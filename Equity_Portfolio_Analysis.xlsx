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iva\Desktop\Equity Project\"/>
    </mc:Choice>
  </mc:AlternateContent>
  <xr:revisionPtr revIDLastSave="0" documentId="13_ncr:1_{5AE0928F-CC65-468E-88F0-AA57AE0F669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Title_Page" sheetId="20" r:id="rId1"/>
    <sheet name="Daily_Returns" sheetId="5" r:id="rId2"/>
    <sheet name="Risk_Return" sheetId="6" r:id="rId3"/>
    <sheet name="Correlation_Matrix" sheetId="7" r:id="rId4"/>
    <sheet name="Portfolio" sheetId="8" r:id="rId5"/>
    <sheet name="Covariance" sheetId="9" r:id="rId6"/>
    <sheet name="Sharpe_Ratio" sheetId="10" r:id="rId7"/>
    <sheet name="Conclusion" sheetId="19" r:id="rId8"/>
    <sheet name="Master_Table" sheetId="1" r:id="rId9"/>
    <sheet name="Nifty 50" sheetId="18" r:id="rId10"/>
    <sheet name="Reliance" sheetId="17" r:id="rId11"/>
    <sheet name="HDFC" sheetId="16" r:id="rId12"/>
    <sheet name="ITC" sheetId="15" r:id="rId13"/>
    <sheet name="TCS" sheetId="11" r:id="rId14"/>
    <sheet name="Infosys" sheetId="13" r:id="rId15"/>
    <sheet name="L &amp; T" sheetId="1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9" l="1" a="1"/>
  <c r="C9" i="9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5" s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5" s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5" s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5" s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5" s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8" i="5" s="1"/>
  <c r="B599" i="1"/>
  <c r="B600" i="1"/>
  <c r="B601" i="1"/>
  <c r="B602" i="1"/>
  <c r="B602" i="5" s="1"/>
  <c r="B603" i="1"/>
  <c r="B604" i="1"/>
  <c r="B605" i="1"/>
  <c r="B606" i="1"/>
  <c r="B606" i="5" s="1"/>
  <c r="B607" i="1"/>
  <c r="B608" i="1"/>
  <c r="B609" i="1"/>
  <c r="B610" i="1"/>
  <c r="B610" i="5" s="1"/>
  <c r="B611" i="1"/>
  <c r="B612" i="1"/>
  <c r="B613" i="1"/>
  <c r="B614" i="1"/>
  <c r="B614" i="5" s="1"/>
  <c r="B615" i="1"/>
  <c r="B616" i="1"/>
  <c r="B617" i="1"/>
  <c r="B618" i="1"/>
  <c r="B618" i="5" s="1"/>
  <c r="B619" i="1"/>
  <c r="B620" i="1"/>
  <c r="B621" i="1"/>
  <c r="B622" i="1"/>
  <c r="B622" i="5" s="1"/>
  <c r="B623" i="1"/>
  <c r="B624" i="1"/>
  <c r="B625" i="1"/>
  <c r="B626" i="1"/>
  <c r="B626" i="5" s="1"/>
  <c r="B627" i="1"/>
  <c r="B628" i="1"/>
  <c r="B629" i="1"/>
  <c r="B630" i="1"/>
  <c r="B630" i="5" s="1"/>
  <c r="B631" i="1"/>
  <c r="B632" i="1"/>
  <c r="B633" i="1"/>
  <c r="B634" i="1"/>
  <c r="B634" i="5" s="1"/>
  <c r="B635" i="1"/>
  <c r="B636" i="1"/>
  <c r="B637" i="1"/>
  <c r="B638" i="1"/>
  <c r="B638" i="5" s="1"/>
  <c r="B639" i="1"/>
  <c r="B640" i="1"/>
  <c r="B641" i="1"/>
  <c r="B642" i="1"/>
  <c r="B642" i="5" s="1"/>
  <c r="B643" i="1"/>
  <c r="B644" i="1"/>
  <c r="B645" i="1"/>
  <c r="B646" i="1"/>
  <c r="B646" i="5" s="1"/>
  <c r="B647" i="1"/>
  <c r="B648" i="1"/>
  <c r="B649" i="1"/>
  <c r="B650" i="1"/>
  <c r="B650" i="5" s="1"/>
  <c r="B651" i="1"/>
  <c r="B652" i="1"/>
  <c r="B653" i="1"/>
  <c r="B654" i="1"/>
  <c r="B654" i="5" s="1"/>
  <c r="B655" i="1"/>
  <c r="B656" i="1"/>
  <c r="B657" i="1"/>
  <c r="B658" i="1"/>
  <c r="B658" i="5" s="1"/>
  <c r="B659" i="1"/>
  <c r="B660" i="1"/>
  <c r="B661" i="1"/>
  <c r="B662" i="1"/>
  <c r="B662" i="5" s="1"/>
  <c r="B663" i="1"/>
  <c r="B664" i="1"/>
  <c r="B665" i="1"/>
  <c r="B666" i="1"/>
  <c r="B666" i="5" s="1"/>
  <c r="B667" i="1"/>
  <c r="B668" i="1"/>
  <c r="B669" i="1"/>
  <c r="B670" i="1"/>
  <c r="B670" i="5" s="1"/>
  <c r="B671" i="1"/>
  <c r="B672" i="1"/>
  <c r="B673" i="1"/>
  <c r="B674" i="1"/>
  <c r="B674" i="5" s="1"/>
  <c r="B675" i="1"/>
  <c r="B676" i="1"/>
  <c r="B677" i="1"/>
  <c r="B678" i="1"/>
  <c r="B678" i="5" s="1"/>
  <c r="B679" i="1"/>
  <c r="B680" i="1"/>
  <c r="B681" i="1"/>
  <c r="B682" i="1"/>
  <c r="B682" i="5" s="1"/>
  <c r="B683" i="1"/>
  <c r="B684" i="1"/>
  <c r="B685" i="1"/>
  <c r="B686" i="1"/>
  <c r="B686" i="5" s="1"/>
  <c r="B687" i="1"/>
  <c r="B688" i="1"/>
  <c r="B689" i="1"/>
  <c r="B690" i="1"/>
  <c r="B690" i="5" s="1"/>
  <c r="B691" i="1"/>
  <c r="B692" i="1"/>
  <c r="B693" i="1"/>
  <c r="B694" i="1"/>
  <c r="B694" i="5" s="1"/>
  <c r="B695" i="1"/>
  <c r="B696" i="1"/>
  <c r="B697" i="1"/>
  <c r="B698" i="1"/>
  <c r="B698" i="5" s="1"/>
  <c r="B699" i="1"/>
  <c r="B700" i="1"/>
  <c r="B701" i="1"/>
  <c r="B702" i="1"/>
  <c r="B702" i="5" s="1"/>
  <c r="B703" i="1"/>
  <c r="B704" i="1"/>
  <c r="B705" i="1"/>
  <c r="B706" i="1"/>
  <c r="B706" i="5" s="1"/>
  <c r="B707" i="1"/>
  <c r="B708" i="1"/>
  <c r="B709" i="1"/>
  <c r="B710" i="1"/>
  <c r="B710" i="5" s="1"/>
  <c r="B711" i="1"/>
  <c r="B712" i="1"/>
  <c r="B713" i="1"/>
  <c r="B714" i="1"/>
  <c r="B714" i="5" s="1"/>
  <c r="B715" i="1"/>
  <c r="B716" i="1"/>
  <c r="B717" i="1"/>
  <c r="B718" i="1"/>
  <c r="B718" i="5" s="1"/>
  <c r="B719" i="1"/>
  <c r="B720" i="1"/>
  <c r="B721" i="1"/>
  <c r="B722" i="1"/>
  <c r="B722" i="5" s="1"/>
  <c r="B723" i="1"/>
  <c r="B724" i="1"/>
  <c r="B725" i="1"/>
  <c r="B726" i="1"/>
  <c r="B726" i="5" s="1"/>
  <c r="B727" i="1"/>
  <c r="B728" i="1"/>
  <c r="B729" i="1"/>
  <c r="B730" i="1"/>
  <c r="B730" i="5" s="1"/>
  <c r="B731" i="1"/>
  <c r="B732" i="1"/>
  <c r="B733" i="1"/>
  <c r="B734" i="1"/>
  <c r="B734" i="5" s="1"/>
  <c r="B735" i="1"/>
  <c r="B736" i="1"/>
  <c r="B737" i="1"/>
  <c r="B738" i="1"/>
  <c r="B738" i="5" s="1"/>
  <c r="B739" i="1"/>
  <c r="B740" i="1"/>
  <c r="B741" i="1"/>
  <c r="B742" i="1"/>
  <c r="B742" i="5" s="1"/>
  <c r="B743" i="1"/>
  <c r="B744" i="1"/>
  <c r="B745" i="1"/>
  <c r="B746" i="1"/>
  <c r="B746" i="5" s="1"/>
  <c r="B747" i="1"/>
  <c r="B748" i="1"/>
  <c r="B749" i="1"/>
  <c r="B750" i="1"/>
  <c r="B750" i="5" s="1"/>
  <c r="B751" i="1"/>
  <c r="B752" i="1"/>
  <c r="B753" i="1"/>
  <c r="B754" i="1"/>
  <c r="B754" i="5" s="1"/>
  <c r="B755" i="1"/>
  <c r="B756" i="1"/>
  <c r="B757" i="1"/>
  <c r="B758" i="1"/>
  <c r="B758" i="5" s="1"/>
  <c r="B759" i="1"/>
  <c r="B760" i="1"/>
  <c r="B761" i="1"/>
  <c r="B762" i="1"/>
  <c r="B762" i="5" s="1"/>
  <c r="B763" i="1"/>
  <c r="B764" i="1"/>
  <c r="B765" i="1"/>
  <c r="B766" i="1"/>
  <c r="B766" i="5" s="1"/>
  <c r="B767" i="1"/>
  <c r="B768" i="1"/>
  <c r="B769" i="1"/>
  <c r="B770" i="1"/>
  <c r="B770" i="5" s="1"/>
  <c r="B771" i="1"/>
  <c r="B772" i="1"/>
  <c r="B773" i="1"/>
  <c r="B774" i="1"/>
  <c r="B774" i="5" s="1"/>
  <c r="B775" i="1"/>
  <c r="B776" i="1"/>
  <c r="B777" i="1"/>
  <c r="B778" i="1"/>
  <c r="B778" i="5" s="1"/>
  <c r="B779" i="1"/>
  <c r="B780" i="1"/>
  <c r="B781" i="1"/>
  <c r="B782" i="1"/>
  <c r="B782" i="5" s="1"/>
  <c r="B783" i="1"/>
  <c r="B784" i="1"/>
  <c r="B785" i="1"/>
  <c r="B786" i="1"/>
  <c r="B786" i="5" s="1"/>
  <c r="B787" i="1"/>
  <c r="B788" i="1"/>
  <c r="B789" i="1"/>
  <c r="B790" i="1"/>
  <c r="B790" i="5" s="1"/>
  <c r="B791" i="1"/>
  <c r="B792" i="1"/>
  <c r="B793" i="1"/>
  <c r="B794" i="1"/>
  <c r="B794" i="5" s="1"/>
  <c r="B795" i="1"/>
  <c r="B796" i="1"/>
  <c r="B797" i="1"/>
  <c r="B798" i="1"/>
  <c r="B798" i="5" s="1"/>
  <c r="B799" i="1"/>
  <c r="B800" i="1"/>
  <c r="B801" i="1"/>
  <c r="B802" i="1"/>
  <c r="B802" i="5" s="1"/>
  <c r="B803" i="1"/>
  <c r="B804" i="1"/>
  <c r="B805" i="1"/>
  <c r="B806" i="1"/>
  <c r="B806" i="5" s="1"/>
  <c r="B807" i="1"/>
  <c r="B808" i="1"/>
  <c r="B809" i="1"/>
  <c r="B810" i="1"/>
  <c r="B810" i="5" s="1"/>
  <c r="B811" i="1"/>
  <c r="B812" i="1"/>
  <c r="B813" i="1"/>
  <c r="B814" i="1"/>
  <c r="B814" i="5" s="1"/>
  <c r="B815" i="1"/>
  <c r="B816" i="1"/>
  <c r="B817" i="1"/>
  <c r="B818" i="1"/>
  <c r="B818" i="5" s="1"/>
  <c r="B819" i="1"/>
  <c r="B820" i="1"/>
  <c r="B821" i="1"/>
  <c r="B822" i="1"/>
  <c r="B822" i="5" s="1"/>
  <c r="B823" i="1"/>
  <c r="B824" i="1"/>
  <c r="B825" i="1"/>
  <c r="B826" i="1"/>
  <c r="B826" i="5" s="1"/>
  <c r="B827" i="1"/>
  <c r="B828" i="1"/>
  <c r="B829" i="1"/>
  <c r="B830" i="1"/>
  <c r="B830" i="5" s="1"/>
  <c r="B831" i="1"/>
  <c r="B832" i="1"/>
  <c r="B833" i="1"/>
  <c r="B834" i="1"/>
  <c r="B834" i="5" s="1"/>
  <c r="B835" i="1"/>
  <c r="B836" i="1"/>
  <c r="B837" i="1"/>
  <c r="B838" i="1"/>
  <c r="B838" i="5" s="1"/>
  <c r="B839" i="1"/>
  <c r="B840" i="1"/>
  <c r="B841" i="1"/>
  <c r="B842" i="1"/>
  <c r="B842" i="5" s="1"/>
  <c r="B843" i="1"/>
  <c r="B844" i="1"/>
  <c r="B845" i="1"/>
  <c r="B846" i="1"/>
  <c r="B846" i="5" s="1"/>
  <c r="B847" i="1"/>
  <c r="B848" i="1"/>
  <c r="B849" i="1"/>
  <c r="B850" i="1"/>
  <c r="B850" i="5" s="1"/>
  <c r="B851" i="1"/>
  <c r="B852" i="1"/>
  <c r="B853" i="1"/>
  <c r="B854" i="1"/>
  <c r="B854" i="5" s="1"/>
  <c r="B855" i="1"/>
  <c r="B856" i="1"/>
  <c r="B857" i="1"/>
  <c r="B858" i="1"/>
  <c r="B858" i="5" s="1"/>
  <c r="B859" i="1"/>
  <c r="B860" i="1"/>
  <c r="B861" i="1"/>
  <c r="B862" i="1"/>
  <c r="B862" i="5" s="1"/>
  <c r="B863" i="1"/>
  <c r="B864" i="1"/>
  <c r="B865" i="1"/>
  <c r="B866" i="1"/>
  <c r="B866" i="5" s="1"/>
  <c r="B867" i="1"/>
  <c r="B868" i="1"/>
  <c r="B869" i="1"/>
  <c r="B870" i="1"/>
  <c r="B870" i="5" s="1"/>
  <c r="B871" i="1"/>
  <c r="B872" i="1"/>
  <c r="B873" i="1"/>
  <c r="B874" i="1"/>
  <c r="B874" i="5" s="1"/>
  <c r="B875" i="1"/>
  <c r="B876" i="1"/>
  <c r="B877" i="1"/>
  <c r="B878" i="1"/>
  <c r="B878" i="5" s="1"/>
  <c r="B879" i="1"/>
  <c r="B880" i="1"/>
  <c r="B881" i="1"/>
  <c r="B882" i="1"/>
  <c r="B882" i="5" s="1"/>
  <c r="B883" i="1"/>
  <c r="B884" i="1"/>
  <c r="B885" i="1"/>
  <c r="B886" i="1"/>
  <c r="B886" i="5" s="1"/>
  <c r="B887" i="1"/>
  <c r="B888" i="1"/>
  <c r="B889" i="1"/>
  <c r="B890" i="1"/>
  <c r="B890" i="5" s="1"/>
  <c r="B891" i="1"/>
  <c r="B892" i="1"/>
  <c r="B893" i="1"/>
  <c r="B894" i="1"/>
  <c r="B894" i="5" s="1"/>
  <c r="B895" i="1"/>
  <c r="B896" i="1"/>
  <c r="B897" i="1"/>
  <c r="B898" i="1"/>
  <c r="B898" i="5" s="1"/>
  <c r="B899" i="1"/>
  <c r="B900" i="1"/>
  <c r="B901" i="1"/>
  <c r="B902" i="1"/>
  <c r="B902" i="5" s="1"/>
  <c r="B903" i="1"/>
  <c r="B904" i="1"/>
  <c r="B905" i="1"/>
  <c r="B906" i="1"/>
  <c r="B906" i="5" s="1"/>
  <c r="B907" i="1"/>
  <c r="B908" i="1"/>
  <c r="B909" i="1"/>
  <c r="B910" i="1"/>
  <c r="B910" i="5" s="1"/>
  <c r="B911" i="1"/>
  <c r="B912" i="1"/>
  <c r="B913" i="1"/>
  <c r="B914" i="1"/>
  <c r="B914" i="5" s="1"/>
  <c r="B915" i="1"/>
  <c r="B916" i="1"/>
  <c r="B917" i="1"/>
  <c r="B918" i="1"/>
  <c r="B918" i="5" s="1"/>
  <c r="B919" i="1"/>
  <c r="B920" i="1"/>
  <c r="B921" i="1"/>
  <c r="B922" i="1"/>
  <c r="B922" i="5" s="1"/>
  <c r="B923" i="1"/>
  <c r="B924" i="1"/>
  <c r="B925" i="1"/>
  <c r="B926" i="1"/>
  <c r="B926" i="5" s="1"/>
  <c r="B927" i="1"/>
  <c r="B928" i="1"/>
  <c r="B929" i="1"/>
  <c r="B930" i="1"/>
  <c r="B930" i="5" s="1"/>
  <c r="B931" i="1"/>
  <c r="B932" i="1"/>
  <c r="B933" i="1"/>
  <c r="B934" i="1"/>
  <c r="B934" i="5" s="1"/>
  <c r="B935" i="1"/>
  <c r="B936" i="1"/>
  <c r="B937" i="1"/>
  <c r="B938" i="1"/>
  <c r="B938" i="5" s="1"/>
  <c r="B939" i="1"/>
  <c r="B940" i="1"/>
  <c r="B941" i="1"/>
  <c r="B942" i="1"/>
  <c r="B942" i="5" s="1"/>
  <c r="B943" i="1"/>
  <c r="B944" i="1"/>
  <c r="B945" i="1"/>
  <c r="B946" i="1"/>
  <c r="B946" i="5" s="1"/>
  <c r="B947" i="1"/>
  <c r="B948" i="1"/>
  <c r="B949" i="1"/>
  <c r="B950" i="1"/>
  <c r="B950" i="5" s="1"/>
  <c r="B951" i="1"/>
  <c r="B952" i="1"/>
  <c r="B953" i="1"/>
  <c r="B954" i="1"/>
  <c r="B954" i="5" s="1"/>
  <c r="B955" i="1"/>
  <c r="B956" i="1"/>
  <c r="B957" i="1"/>
  <c r="B958" i="1"/>
  <c r="B958" i="5" s="1"/>
  <c r="B959" i="1"/>
  <c r="B960" i="1"/>
  <c r="B961" i="1"/>
  <c r="B962" i="1"/>
  <c r="B962" i="5" s="1"/>
  <c r="B963" i="1"/>
  <c r="B964" i="1"/>
  <c r="B965" i="1"/>
  <c r="B966" i="1"/>
  <c r="B966" i="5" s="1"/>
  <c r="B967" i="1"/>
  <c r="B968" i="1"/>
  <c r="B969" i="1"/>
  <c r="B970" i="1"/>
  <c r="B970" i="5" s="1"/>
  <c r="B971" i="1"/>
  <c r="B972" i="1"/>
  <c r="B973" i="1"/>
  <c r="B974" i="1"/>
  <c r="B974" i="5" s="1"/>
  <c r="B975" i="1"/>
  <c r="B976" i="1"/>
  <c r="B977" i="1"/>
  <c r="B978" i="1"/>
  <c r="B978" i="5" s="1"/>
  <c r="B979" i="1"/>
  <c r="B980" i="1"/>
  <c r="B981" i="1"/>
  <c r="B982" i="1"/>
  <c r="B982" i="5" s="1"/>
  <c r="B983" i="1"/>
  <c r="B984" i="1"/>
  <c r="B985" i="1"/>
  <c r="B986" i="1"/>
  <c r="B986" i="5" s="1"/>
  <c r="B987" i="1"/>
  <c r="B988" i="1"/>
  <c r="B989" i="1"/>
  <c r="B990" i="1"/>
  <c r="B990" i="5" s="1"/>
  <c r="B991" i="1"/>
  <c r="B992" i="1"/>
  <c r="B993" i="1"/>
  <c r="B994" i="1"/>
  <c r="B994" i="5" s="1"/>
  <c r="B995" i="1"/>
  <c r="B996" i="1"/>
  <c r="B997" i="1"/>
  <c r="B998" i="1"/>
  <c r="B998" i="5" s="1"/>
  <c r="B999" i="1"/>
  <c r="B1000" i="1"/>
  <c r="B1001" i="1"/>
  <c r="B1002" i="1"/>
  <c r="B1002" i="5" s="1"/>
  <c r="B1003" i="1"/>
  <c r="B1004" i="1"/>
  <c r="B1005" i="1"/>
  <c r="B1006" i="1"/>
  <c r="B1006" i="5" s="1"/>
  <c r="B1007" i="1"/>
  <c r="B1008" i="1"/>
  <c r="B1009" i="1"/>
  <c r="B1010" i="1"/>
  <c r="B1010" i="5" s="1"/>
  <c r="B1011" i="1"/>
  <c r="B1012" i="1"/>
  <c r="B1013" i="1"/>
  <c r="B1014" i="1"/>
  <c r="B1014" i="5" s="1"/>
  <c r="B1015" i="1"/>
  <c r="B1016" i="1"/>
  <c r="B1017" i="1"/>
  <c r="B1018" i="1"/>
  <c r="B1018" i="5" s="1"/>
  <c r="B1019" i="1"/>
  <c r="B1020" i="1"/>
  <c r="B1021" i="1"/>
  <c r="B1022" i="1"/>
  <c r="B1022" i="5" s="1"/>
  <c r="B1023" i="1"/>
  <c r="B1024" i="1"/>
  <c r="B1025" i="1"/>
  <c r="B1026" i="1"/>
  <c r="B1026" i="5" s="1"/>
  <c r="B1027" i="1"/>
  <c r="B1028" i="1"/>
  <c r="B1029" i="1"/>
  <c r="B1030" i="1"/>
  <c r="B1030" i="5" s="1"/>
  <c r="B1031" i="1"/>
  <c r="B1032" i="1"/>
  <c r="B1033" i="1"/>
  <c r="B1034" i="1"/>
  <c r="B1034" i="5" s="1"/>
  <c r="B1035" i="1"/>
  <c r="B1036" i="1"/>
  <c r="B1037" i="1"/>
  <c r="B1038" i="1"/>
  <c r="B1038" i="5" s="1"/>
  <c r="B1039" i="1"/>
  <c r="B1040" i="1"/>
  <c r="B1041" i="1"/>
  <c r="B1042" i="1"/>
  <c r="B1042" i="5" s="1"/>
  <c r="B1043" i="1"/>
  <c r="B1044" i="1"/>
  <c r="B1045" i="1"/>
  <c r="B1046" i="1"/>
  <c r="B1046" i="5" s="1"/>
  <c r="B1047" i="1"/>
  <c r="B1048" i="1"/>
  <c r="B1049" i="1"/>
  <c r="B1050" i="1"/>
  <c r="B1050" i="5" s="1"/>
  <c r="B1051" i="1"/>
  <c r="B1052" i="1"/>
  <c r="B1053" i="1"/>
  <c r="B1054" i="1"/>
  <c r="B1054" i="5" s="1"/>
  <c r="B1055" i="1"/>
  <c r="B1056" i="1"/>
  <c r="B1057" i="1"/>
  <c r="B1058" i="1"/>
  <c r="B1058" i="5" s="1"/>
  <c r="B1059" i="1"/>
  <c r="B1060" i="1"/>
  <c r="B1061" i="1"/>
  <c r="B1062" i="1"/>
  <c r="B1062" i="5" s="1"/>
  <c r="B1063" i="1"/>
  <c r="B1064" i="1"/>
  <c r="B1065" i="1"/>
  <c r="B1066" i="1"/>
  <c r="B1066" i="5" s="1"/>
  <c r="B1067" i="1"/>
  <c r="B1068" i="1"/>
  <c r="B1069" i="1"/>
  <c r="B1070" i="1"/>
  <c r="B1070" i="5" s="1"/>
  <c r="B1071" i="1"/>
  <c r="B1072" i="1"/>
  <c r="B1073" i="1"/>
  <c r="B1074" i="1"/>
  <c r="B1074" i="5" s="1"/>
  <c r="B1075" i="1"/>
  <c r="B1076" i="1"/>
  <c r="B1077" i="1"/>
  <c r="B1078" i="1"/>
  <c r="B1078" i="5" s="1"/>
  <c r="B1079" i="1"/>
  <c r="B1080" i="1"/>
  <c r="B1081" i="1"/>
  <c r="B1082" i="1"/>
  <c r="B1082" i="5" s="1"/>
  <c r="B1083" i="1"/>
  <c r="B1084" i="1"/>
  <c r="B1085" i="1"/>
  <c r="B1086" i="1"/>
  <c r="B1086" i="5" s="1"/>
  <c r="B1087" i="1"/>
  <c r="B1088" i="1"/>
  <c r="B1089" i="1"/>
  <c r="B1090" i="1"/>
  <c r="B1090" i="5" s="1"/>
  <c r="B1091" i="1"/>
  <c r="B1092" i="1"/>
  <c r="B1093" i="1"/>
  <c r="B1094" i="1"/>
  <c r="B1094" i="5" s="1"/>
  <c r="B1095" i="1"/>
  <c r="B1096" i="1"/>
  <c r="B1097" i="1"/>
  <c r="B1098" i="1"/>
  <c r="B1098" i="5" s="1"/>
  <c r="B1099" i="1"/>
  <c r="B1100" i="1"/>
  <c r="B1101" i="1"/>
  <c r="B1102" i="1"/>
  <c r="B1102" i="5" s="1"/>
  <c r="B1103" i="1"/>
  <c r="B1104" i="1"/>
  <c r="B1105" i="1"/>
  <c r="B1106" i="1"/>
  <c r="B1106" i="5" s="1"/>
  <c r="B1107" i="1"/>
  <c r="B1108" i="1"/>
  <c r="B1109" i="1"/>
  <c r="B1110" i="1"/>
  <c r="B1110" i="5" s="1"/>
  <c r="B1111" i="1"/>
  <c r="B1112" i="1"/>
  <c r="B1113" i="1"/>
  <c r="B1114" i="1"/>
  <c r="B1114" i="5" s="1"/>
  <c r="B1115" i="1"/>
  <c r="B1116" i="1"/>
  <c r="B1117" i="1"/>
  <c r="B1118" i="1"/>
  <c r="B1118" i="5" s="1"/>
  <c r="B1119" i="1"/>
  <c r="B1120" i="1"/>
  <c r="B1121" i="1"/>
  <c r="B1122" i="1"/>
  <c r="B1122" i="5" s="1"/>
  <c r="B1123" i="1"/>
  <c r="B1124" i="1"/>
  <c r="B1125" i="1"/>
  <c r="B1126" i="1"/>
  <c r="B1126" i="5" s="1"/>
  <c r="B1127" i="1"/>
  <c r="B1128" i="1"/>
  <c r="B1129" i="1"/>
  <c r="B1130" i="1"/>
  <c r="B1130" i="5" s="1"/>
  <c r="B1131" i="1"/>
  <c r="B1132" i="1"/>
  <c r="B1133" i="1"/>
  <c r="B1134" i="1"/>
  <c r="B1134" i="5" s="1"/>
  <c r="B1135" i="1"/>
  <c r="B1136" i="1"/>
  <c r="B1137" i="1"/>
  <c r="B1138" i="1"/>
  <c r="B1138" i="5" s="1"/>
  <c r="B1139" i="1"/>
  <c r="B1140" i="1"/>
  <c r="B1141" i="1"/>
  <c r="B1142" i="1"/>
  <c r="B1142" i="5" s="1"/>
  <c r="B1143" i="1"/>
  <c r="B1144" i="1"/>
  <c r="B1145" i="1"/>
  <c r="B1146" i="1"/>
  <c r="B1146" i="5" s="1"/>
  <c r="B1147" i="1"/>
  <c r="B1148" i="1"/>
  <c r="B1149" i="1"/>
  <c r="B1150" i="1"/>
  <c r="B1150" i="5" s="1"/>
  <c r="B1151" i="1"/>
  <c r="B1152" i="1"/>
  <c r="B1153" i="1"/>
  <c r="B1154" i="1"/>
  <c r="B1154" i="5" s="1"/>
  <c r="B1155" i="1"/>
  <c r="B1156" i="1"/>
  <c r="B1157" i="1"/>
  <c r="B1158" i="1"/>
  <c r="B1158" i="5" s="1"/>
  <c r="B1159" i="1"/>
  <c r="B1160" i="1"/>
  <c r="B1161" i="1"/>
  <c r="B1162" i="1"/>
  <c r="B1162" i="5" s="1"/>
  <c r="B1163" i="1"/>
  <c r="B1164" i="1"/>
  <c r="B1165" i="1"/>
  <c r="B1166" i="1"/>
  <c r="B1166" i="5" s="1"/>
  <c r="B1167" i="1"/>
  <c r="B1168" i="1"/>
  <c r="B1169" i="1"/>
  <c r="B1170" i="1"/>
  <c r="B1170" i="5" s="1"/>
  <c r="B1171" i="1"/>
  <c r="B1172" i="1"/>
  <c r="B1173" i="1"/>
  <c r="B1174" i="1"/>
  <c r="B1174" i="5" s="1"/>
  <c r="B1175" i="1"/>
  <c r="B1176" i="1"/>
  <c r="B1177" i="1"/>
  <c r="B1178" i="1"/>
  <c r="B1178" i="5" s="1"/>
  <c r="B1179" i="1"/>
  <c r="B1180" i="1"/>
  <c r="B1181" i="1"/>
  <c r="B1182" i="1"/>
  <c r="B1182" i="5" s="1"/>
  <c r="B1183" i="1"/>
  <c r="B1184" i="1"/>
  <c r="B1185" i="1"/>
  <c r="B1186" i="1"/>
  <c r="B1186" i="5" s="1"/>
  <c r="B1187" i="1"/>
  <c r="B1188" i="1"/>
  <c r="B1189" i="1"/>
  <c r="B1190" i="1"/>
  <c r="B1190" i="5" s="1"/>
  <c r="B1191" i="1"/>
  <c r="B1192" i="1"/>
  <c r="B1193" i="1"/>
  <c r="B1194" i="1"/>
  <c r="B1194" i="5" s="1"/>
  <c r="B1195" i="1"/>
  <c r="B1196" i="1"/>
  <c r="B1197" i="1"/>
  <c r="B1198" i="1"/>
  <c r="B1198" i="5" s="1"/>
  <c r="B1199" i="1"/>
  <c r="B1200" i="1"/>
  <c r="B1201" i="1"/>
  <c r="B1202" i="1"/>
  <c r="B1202" i="5" s="1"/>
  <c r="B1203" i="1"/>
  <c r="B1204" i="1"/>
  <c r="B1205" i="1"/>
  <c r="B1206" i="1"/>
  <c r="B1206" i="5" s="1"/>
  <c r="B1207" i="1"/>
  <c r="B1208" i="1"/>
  <c r="B1209" i="1"/>
  <c r="B1210" i="1"/>
  <c r="B1210" i="5" s="1"/>
  <c r="B1211" i="1"/>
  <c r="B1212" i="1"/>
  <c r="B1213" i="1"/>
  <c r="B1214" i="1"/>
  <c r="B1214" i="5" s="1"/>
  <c r="B1215" i="1"/>
  <c r="B1216" i="1"/>
  <c r="B1217" i="1"/>
  <c r="B1218" i="1"/>
  <c r="B1218" i="5" s="1"/>
  <c r="B1219" i="1"/>
  <c r="B1220" i="1"/>
  <c r="B1221" i="1"/>
  <c r="B1222" i="1"/>
  <c r="B1222" i="5" s="1"/>
  <c r="B1223" i="1"/>
  <c r="B1224" i="1"/>
  <c r="B1225" i="1"/>
  <c r="B1226" i="1"/>
  <c r="B1226" i="5" s="1"/>
  <c r="B1227" i="1"/>
  <c r="B1228" i="1"/>
  <c r="B1229" i="1"/>
  <c r="B1230" i="1"/>
  <c r="B1230" i="5" s="1"/>
  <c r="B1231" i="1"/>
  <c r="B1232" i="1"/>
  <c r="B1233" i="1"/>
  <c r="B1234" i="1"/>
  <c r="B1234" i="5" s="1"/>
  <c r="B1235" i="1"/>
  <c r="B1236" i="1"/>
  <c r="B1237" i="1"/>
  <c r="B1238" i="1"/>
  <c r="B1238" i="5" s="1"/>
  <c r="B1239" i="1"/>
  <c r="B1240" i="1"/>
  <c r="B1241" i="1"/>
  <c r="B1242" i="1"/>
  <c r="B1242" i="5" s="1"/>
  <c r="B1243" i="1"/>
  <c r="B1244" i="1"/>
  <c r="B1245" i="1"/>
  <c r="B1246" i="1"/>
  <c r="B1246" i="5" s="1"/>
  <c r="B1247" i="1"/>
  <c r="B1248" i="1"/>
  <c r="B1249" i="1"/>
  <c r="B1250" i="1"/>
  <c r="B1250" i="5" s="1"/>
  <c r="B1251" i="1"/>
  <c r="B1252" i="1"/>
  <c r="B1253" i="1"/>
  <c r="B1254" i="1"/>
  <c r="B1254" i="5" s="1"/>
  <c r="B1255" i="1"/>
  <c r="B1256" i="1"/>
  <c r="B1257" i="1"/>
  <c r="B1258" i="1"/>
  <c r="B1258" i="5" s="1"/>
  <c r="B1259" i="1"/>
  <c r="B1260" i="1"/>
  <c r="B1261" i="1"/>
  <c r="B1262" i="1"/>
  <c r="B1262" i="5" s="1"/>
  <c r="B1263" i="1"/>
  <c r="B1264" i="1"/>
  <c r="B1265" i="1"/>
  <c r="B1266" i="1"/>
  <c r="B1266" i="5" s="1"/>
  <c r="B1267" i="1"/>
  <c r="B1268" i="1"/>
  <c r="B1269" i="1"/>
  <c r="B1270" i="1"/>
  <c r="B1270" i="5" s="1"/>
  <c r="B1271" i="1"/>
  <c r="B1272" i="1"/>
  <c r="B1273" i="1"/>
  <c r="B1274" i="1"/>
  <c r="B1274" i="5" s="1"/>
  <c r="B1275" i="1"/>
  <c r="B1276" i="1"/>
  <c r="B1277" i="1"/>
  <c r="B1278" i="1"/>
  <c r="B1278" i="5" s="1"/>
  <c r="B1279" i="1"/>
  <c r="B1280" i="1"/>
  <c r="B1281" i="1"/>
  <c r="B1282" i="1"/>
  <c r="B1282" i="5" s="1"/>
  <c r="B1283" i="1"/>
  <c r="B1284" i="1"/>
  <c r="B1285" i="1"/>
  <c r="B1286" i="1"/>
  <c r="B1286" i="5" s="1"/>
  <c r="B1287" i="1"/>
  <c r="B1288" i="1"/>
  <c r="B1289" i="1"/>
  <c r="B1290" i="1"/>
  <c r="B1290" i="5" s="1"/>
  <c r="B1291" i="1"/>
  <c r="B1292" i="1"/>
  <c r="B1293" i="1"/>
  <c r="B1294" i="1"/>
  <c r="B1294" i="5" s="1"/>
  <c r="B1295" i="1"/>
  <c r="B1296" i="1"/>
  <c r="B1297" i="1"/>
  <c r="B1298" i="1"/>
  <c r="B1298" i="5" s="1"/>
  <c r="B1299" i="1"/>
  <c r="B1300" i="1"/>
  <c r="B1301" i="1"/>
  <c r="B1302" i="1"/>
  <c r="B1302" i="5" s="1"/>
  <c r="B1303" i="1"/>
  <c r="B1304" i="1"/>
  <c r="B1305" i="1"/>
  <c r="B1306" i="1"/>
  <c r="B1306" i="5" s="1"/>
  <c r="B1307" i="1"/>
  <c r="B1308" i="1"/>
  <c r="B1309" i="1"/>
  <c r="B1310" i="1"/>
  <c r="B1310" i="5" s="1"/>
  <c r="B1311" i="1"/>
  <c r="B1312" i="1"/>
  <c r="B1313" i="1"/>
  <c r="B1314" i="1"/>
  <c r="B1314" i="5" s="1"/>
  <c r="B1315" i="1"/>
  <c r="B1316" i="1"/>
  <c r="B1317" i="1"/>
  <c r="B1318" i="1"/>
  <c r="B1318" i="5" s="1"/>
  <c r="B1319" i="1"/>
  <c r="B1320" i="1"/>
  <c r="B1321" i="1"/>
  <c r="B1322" i="1"/>
  <c r="B1322" i="5" s="1"/>
  <c r="B1323" i="1"/>
  <c r="B1324" i="1"/>
  <c r="B1325" i="1"/>
  <c r="B1326" i="1"/>
  <c r="B1326" i="5" s="1"/>
  <c r="B1327" i="1"/>
  <c r="B1328" i="1"/>
  <c r="B1329" i="1"/>
  <c r="B1330" i="1"/>
  <c r="B1330" i="5" s="1"/>
  <c r="B1331" i="1"/>
  <c r="B1332" i="1"/>
  <c r="B1333" i="1"/>
  <c r="B1334" i="1"/>
  <c r="B1334" i="5" s="1"/>
  <c r="B1335" i="1"/>
  <c r="B1336" i="1"/>
  <c r="B1337" i="1"/>
  <c r="B1338" i="1"/>
  <c r="B1338" i="5" s="1"/>
  <c r="B1339" i="1"/>
  <c r="B1340" i="1"/>
  <c r="B1341" i="1"/>
  <c r="B1342" i="1"/>
  <c r="B1342" i="5" s="1"/>
  <c r="B1343" i="1"/>
  <c r="B1344" i="1"/>
  <c r="B1345" i="1"/>
  <c r="B1346" i="1"/>
  <c r="B1346" i="5" s="1"/>
  <c r="B1347" i="1"/>
  <c r="B1348" i="1"/>
  <c r="B1349" i="1"/>
  <c r="B1350" i="1"/>
  <c r="B1350" i="5" s="1"/>
  <c r="B1351" i="1"/>
  <c r="B1352" i="1"/>
  <c r="B1353" i="1"/>
  <c r="B1354" i="1"/>
  <c r="B1354" i="5" s="1"/>
  <c r="B1355" i="1"/>
  <c r="B1356" i="1"/>
  <c r="B1357" i="1"/>
  <c r="B1358" i="1"/>
  <c r="B1358" i="5" s="1"/>
  <c r="B1359" i="1"/>
  <c r="B1360" i="1"/>
  <c r="B1361" i="1"/>
  <c r="B1362" i="1"/>
  <c r="B1362" i="5" s="1"/>
  <c r="B1363" i="1"/>
  <c r="B1364" i="1"/>
  <c r="B1365" i="1"/>
  <c r="B1366" i="1"/>
  <c r="B1366" i="5" s="1"/>
  <c r="B1367" i="1"/>
  <c r="B1368" i="1"/>
  <c r="B1369" i="1"/>
  <c r="B1370" i="1"/>
  <c r="B1370" i="5" s="1"/>
  <c r="B1371" i="1"/>
  <c r="B1372" i="1"/>
  <c r="B1373" i="1"/>
  <c r="B1374" i="1"/>
  <c r="B1374" i="5" s="1"/>
  <c r="B1375" i="1"/>
  <c r="B1376" i="1"/>
  <c r="B1377" i="1"/>
  <c r="B1378" i="1"/>
  <c r="B1378" i="5" s="1"/>
  <c r="B1379" i="1"/>
  <c r="B1380" i="1"/>
  <c r="B1381" i="1"/>
  <c r="B1382" i="1"/>
  <c r="B1382" i="5" s="1"/>
  <c r="B1383" i="1"/>
  <c r="B1384" i="1"/>
  <c r="B1385" i="1"/>
  <c r="B1386" i="1"/>
  <c r="B1386" i="5" s="1"/>
  <c r="B1387" i="1"/>
  <c r="B1388" i="1"/>
  <c r="B1389" i="1"/>
  <c r="B1390" i="1"/>
  <c r="B1390" i="5" s="1"/>
  <c r="B1391" i="1"/>
  <c r="B1392" i="1"/>
  <c r="B1393" i="1"/>
  <c r="B1394" i="1"/>
  <c r="B1394" i="5" s="1"/>
  <c r="B1395" i="1"/>
  <c r="B1396" i="1"/>
  <c r="B1397" i="1"/>
  <c r="B1398" i="1"/>
  <c r="B1398" i="5" s="1"/>
  <c r="B1399" i="1"/>
  <c r="B1400" i="1"/>
  <c r="B1401" i="1"/>
  <c r="B1402" i="1"/>
  <c r="B1402" i="5" s="1"/>
  <c r="B1403" i="1"/>
  <c r="B1404" i="1"/>
  <c r="B1405" i="1"/>
  <c r="B1406" i="1"/>
  <c r="B1406" i="5" s="1"/>
  <c r="B1407" i="1"/>
  <c r="B1408" i="1"/>
  <c r="B1409" i="1"/>
  <c r="B1410" i="1"/>
  <c r="B1410" i="5" s="1"/>
  <c r="B1411" i="1"/>
  <c r="B1412" i="1"/>
  <c r="B1413" i="1"/>
  <c r="B1414" i="1"/>
  <c r="B1414" i="5" s="1"/>
  <c r="B1415" i="1"/>
  <c r="B1416" i="1"/>
  <c r="B1417" i="1"/>
  <c r="B1418" i="1"/>
  <c r="B1418" i="5" s="1"/>
  <c r="B1419" i="1"/>
  <c r="B1420" i="1"/>
  <c r="B1421" i="1"/>
  <c r="B1422" i="1"/>
  <c r="B1422" i="5" s="1"/>
  <c r="B1423" i="1"/>
  <c r="B1424" i="1"/>
  <c r="B1425" i="1"/>
  <c r="B1426" i="1"/>
  <c r="B1426" i="5" s="1"/>
  <c r="B1427" i="1"/>
  <c r="B1428" i="1"/>
  <c r="B1429" i="1"/>
  <c r="B1430" i="1"/>
  <c r="B1430" i="5" s="1"/>
  <c r="B1431" i="1"/>
  <c r="B1432" i="1"/>
  <c r="B1433" i="1"/>
  <c r="B1434" i="1"/>
  <c r="B1434" i="5" s="1"/>
  <c r="B1435" i="1"/>
  <c r="B1436" i="1"/>
  <c r="B1437" i="1"/>
  <c r="B1438" i="1"/>
  <c r="B1438" i="5" s="1"/>
  <c r="B1439" i="1"/>
  <c r="B1440" i="1"/>
  <c r="B1441" i="1"/>
  <c r="B1442" i="1"/>
  <c r="B1442" i="5" s="1"/>
  <c r="B1443" i="1"/>
  <c r="B1444" i="1"/>
  <c r="B1445" i="1"/>
  <c r="B1446" i="1"/>
  <c r="B1446" i="5" s="1"/>
  <c r="B1447" i="1"/>
  <c r="B1448" i="1"/>
  <c r="B1449" i="1"/>
  <c r="B1450" i="1"/>
  <c r="B1450" i="5" s="1"/>
  <c r="B1451" i="1"/>
  <c r="B1452" i="1"/>
  <c r="B1453" i="1"/>
  <c r="B1454" i="1"/>
  <c r="B1454" i="5" s="1"/>
  <c r="B1455" i="1"/>
  <c r="B1456" i="1"/>
  <c r="B1457" i="1"/>
  <c r="B1458" i="1"/>
  <c r="B1458" i="5" s="1"/>
  <c r="B1459" i="1"/>
  <c r="B1460" i="1"/>
  <c r="B1461" i="1"/>
  <c r="B1462" i="1"/>
  <c r="B1462" i="5" s="1"/>
  <c r="B1463" i="1"/>
  <c r="B1464" i="1"/>
  <c r="B1465" i="1"/>
  <c r="B1466" i="1"/>
  <c r="B1466" i="5" s="1"/>
  <c r="B1467" i="1"/>
  <c r="B1468" i="1"/>
  <c r="B1469" i="1"/>
  <c r="B1470" i="1"/>
  <c r="B1470" i="5" s="1"/>
  <c r="B1471" i="1"/>
  <c r="B1472" i="1"/>
  <c r="B1473" i="1"/>
  <c r="B1474" i="1"/>
  <c r="B1474" i="5" s="1"/>
  <c r="B1475" i="1"/>
  <c r="B1476" i="1"/>
  <c r="B1477" i="1"/>
  <c r="B1478" i="1"/>
  <c r="B1478" i="5" s="1"/>
  <c r="B1479" i="1"/>
  <c r="B1480" i="1"/>
  <c r="B1481" i="1"/>
  <c r="B1482" i="1"/>
  <c r="B1482" i="5" s="1"/>
  <c r="B1483" i="1"/>
  <c r="B1484" i="1"/>
  <c r="B1485" i="1"/>
  <c r="B1486" i="1"/>
  <c r="B1486" i="5" s="1"/>
  <c r="B1487" i="1"/>
  <c r="B1488" i="1"/>
  <c r="B1489" i="1"/>
  <c r="B1490" i="1"/>
  <c r="B1490" i="5" s="1"/>
  <c r="B1491" i="1"/>
  <c r="B1492" i="5" s="1"/>
  <c r="B1492" i="1"/>
  <c r="B2" i="1"/>
  <c r="C3" i="1"/>
  <c r="C4" i="1"/>
  <c r="C5" i="1"/>
  <c r="C6" i="1"/>
  <c r="C7" i="5" s="1"/>
  <c r="C7" i="1"/>
  <c r="C8" i="1"/>
  <c r="C9" i="1"/>
  <c r="C10" i="1"/>
  <c r="C11" i="5" s="1"/>
  <c r="C11" i="1"/>
  <c r="C12" i="1"/>
  <c r="C13" i="1"/>
  <c r="C14" i="1"/>
  <c r="C15" i="5" s="1"/>
  <c r="C15" i="1"/>
  <c r="C16" i="1"/>
  <c r="C17" i="1"/>
  <c r="C18" i="1"/>
  <c r="C18" i="5" s="1"/>
  <c r="C19" i="1"/>
  <c r="C20" i="1"/>
  <c r="C21" i="1"/>
  <c r="C22" i="1"/>
  <c r="C22" i="5" s="1"/>
  <c r="C23" i="1"/>
  <c r="C24" i="1"/>
  <c r="C25" i="1"/>
  <c r="C26" i="1"/>
  <c r="C26" i="5" s="1"/>
  <c r="C27" i="1"/>
  <c r="C28" i="1"/>
  <c r="C29" i="1"/>
  <c r="C30" i="1"/>
  <c r="C31" i="1"/>
  <c r="C32" i="1"/>
  <c r="C33" i="1"/>
  <c r="C34" i="1"/>
  <c r="C34" i="5" s="1"/>
  <c r="C35" i="1"/>
  <c r="C36" i="1"/>
  <c r="C37" i="1"/>
  <c r="C38" i="1"/>
  <c r="C38" i="5" s="1"/>
  <c r="C39" i="1"/>
  <c r="C40" i="1"/>
  <c r="C41" i="1"/>
  <c r="C42" i="1"/>
  <c r="C42" i="5" s="1"/>
  <c r="C43" i="1"/>
  <c r="C44" i="1"/>
  <c r="C45" i="1"/>
  <c r="C46" i="1"/>
  <c r="C47" i="1"/>
  <c r="C48" i="1"/>
  <c r="C49" i="1"/>
  <c r="C50" i="1"/>
  <c r="C50" i="5" s="1"/>
  <c r="C51" i="1"/>
  <c r="C52" i="1"/>
  <c r="C53" i="1"/>
  <c r="C54" i="1"/>
  <c r="C54" i="5" s="1"/>
  <c r="C55" i="1"/>
  <c r="C56" i="1"/>
  <c r="C57" i="1"/>
  <c r="C58" i="1"/>
  <c r="C58" i="5" s="1"/>
  <c r="C59" i="1"/>
  <c r="C60" i="1"/>
  <c r="C61" i="1"/>
  <c r="C62" i="1"/>
  <c r="C63" i="1"/>
  <c r="C64" i="1"/>
  <c r="C65" i="1"/>
  <c r="C66" i="1"/>
  <c r="C66" i="5" s="1"/>
  <c r="C67" i="1"/>
  <c r="C68" i="1"/>
  <c r="C69" i="1"/>
  <c r="C70" i="1"/>
  <c r="C70" i="5" s="1"/>
  <c r="C71" i="1"/>
  <c r="C72" i="1"/>
  <c r="C73" i="1"/>
  <c r="C74" i="1"/>
  <c r="C74" i="5" s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5" s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5" s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5" s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5" s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5" s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8" i="5" s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4" i="5" s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0" i="5" s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6" i="5" s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2" i="5" s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8" i="5" s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4" i="5" s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0" i="5" s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6" i="5" s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2" i="5" s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8" i="5" s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4" i="5" s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0" i="5" s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6" i="5" s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2" i="5" s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8" i="5" s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5" s="1"/>
  <c r="C675" i="1"/>
  <c r="C676" i="1"/>
  <c r="C677" i="1"/>
  <c r="C678" i="1"/>
  <c r="C679" i="5" s="1"/>
  <c r="C679" i="1"/>
  <c r="C680" i="1"/>
  <c r="C681" i="1"/>
  <c r="C682" i="1"/>
  <c r="C683" i="5" s="1"/>
  <c r="C683" i="1"/>
  <c r="C684" i="1"/>
  <c r="C685" i="1"/>
  <c r="C686" i="1"/>
  <c r="C687" i="5" s="1"/>
  <c r="C687" i="1"/>
  <c r="C688" i="1"/>
  <c r="C689" i="1"/>
  <c r="C690" i="1"/>
  <c r="C691" i="5" s="1"/>
  <c r="C691" i="1"/>
  <c r="C692" i="1"/>
  <c r="C693" i="1"/>
  <c r="C694" i="1"/>
  <c r="C695" i="5" s="1"/>
  <c r="C695" i="1"/>
  <c r="C696" i="1"/>
  <c r="C697" i="1"/>
  <c r="C698" i="1"/>
  <c r="C699" i="5" s="1"/>
  <c r="C699" i="1"/>
  <c r="C700" i="1"/>
  <c r="C701" i="1"/>
  <c r="C702" i="1"/>
  <c r="C703" i="5" s="1"/>
  <c r="C703" i="1"/>
  <c r="C704" i="1"/>
  <c r="C705" i="1"/>
  <c r="C706" i="1"/>
  <c r="C707" i="5" s="1"/>
  <c r="C707" i="1"/>
  <c r="C708" i="1"/>
  <c r="C709" i="1"/>
  <c r="C710" i="1"/>
  <c r="C711" i="5" s="1"/>
  <c r="C711" i="1"/>
  <c r="C712" i="1"/>
  <c r="C713" i="1"/>
  <c r="C714" i="1"/>
  <c r="C715" i="5" s="1"/>
  <c r="C715" i="1"/>
  <c r="C716" i="1"/>
  <c r="C717" i="1"/>
  <c r="C718" i="1"/>
  <c r="C719" i="5" s="1"/>
  <c r="C719" i="1"/>
  <c r="C720" i="1"/>
  <c r="C721" i="1"/>
  <c r="C722" i="1"/>
  <c r="C723" i="5" s="1"/>
  <c r="C723" i="1"/>
  <c r="C724" i="1"/>
  <c r="C725" i="1"/>
  <c r="C726" i="1"/>
  <c r="C727" i="5" s="1"/>
  <c r="C727" i="1"/>
  <c r="C728" i="1"/>
  <c r="C729" i="1"/>
  <c r="C730" i="1"/>
  <c r="C731" i="5" s="1"/>
  <c r="C731" i="1"/>
  <c r="C732" i="1"/>
  <c r="C733" i="1"/>
  <c r="C734" i="1"/>
  <c r="C735" i="5" s="1"/>
  <c r="C735" i="1"/>
  <c r="C736" i="1"/>
  <c r="C737" i="1"/>
  <c r="C738" i="1"/>
  <c r="C739" i="5" s="1"/>
  <c r="C739" i="1"/>
  <c r="C740" i="1"/>
  <c r="C741" i="1"/>
  <c r="C742" i="1"/>
  <c r="C743" i="5" s="1"/>
  <c r="C743" i="1"/>
  <c r="C744" i="1"/>
  <c r="C745" i="1"/>
  <c r="C746" i="1"/>
  <c r="C747" i="5" s="1"/>
  <c r="C747" i="1"/>
  <c r="C748" i="1"/>
  <c r="C749" i="1"/>
  <c r="C750" i="1"/>
  <c r="C751" i="5" s="1"/>
  <c r="C751" i="1"/>
  <c r="C752" i="1"/>
  <c r="C753" i="1"/>
  <c r="C754" i="1"/>
  <c r="C755" i="5" s="1"/>
  <c r="C755" i="1"/>
  <c r="C756" i="1"/>
  <c r="C757" i="1"/>
  <c r="C758" i="1"/>
  <c r="C759" i="5" s="1"/>
  <c r="C759" i="1"/>
  <c r="C760" i="1"/>
  <c r="C761" i="1"/>
  <c r="C762" i="1"/>
  <c r="C763" i="5" s="1"/>
  <c r="C763" i="1"/>
  <c r="C764" i="1"/>
  <c r="C765" i="1"/>
  <c r="C766" i="1"/>
  <c r="C767" i="5" s="1"/>
  <c r="C767" i="1"/>
  <c r="C768" i="1"/>
  <c r="C769" i="1"/>
  <c r="C770" i="1"/>
  <c r="C771" i="5" s="1"/>
  <c r="C771" i="1"/>
  <c r="C772" i="1"/>
  <c r="C773" i="1"/>
  <c r="C774" i="1"/>
  <c r="C775" i="5" s="1"/>
  <c r="C775" i="1"/>
  <c r="C776" i="1"/>
  <c r="C777" i="1"/>
  <c r="C778" i="1"/>
  <c r="C779" i="5" s="1"/>
  <c r="C779" i="1"/>
  <c r="C780" i="1"/>
  <c r="C781" i="1"/>
  <c r="C782" i="1"/>
  <c r="C783" i="5" s="1"/>
  <c r="C783" i="1"/>
  <c r="C784" i="1"/>
  <c r="C785" i="1"/>
  <c r="C786" i="1"/>
  <c r="C787" i="5" s="1"/>
  <c r="C787" i="1"/>
  <c r="C788" i="1"/>
  <c r="C789" i="1"/>
  <c r="C790" i="1"/>
  <c r="C791" i="5" s="1"/>
  <c r="C791" i="1"/>
  <c r="C792" i="1"/>
  <c r="C793" i="1"/>
  <c r="C794" i="1"/>
  <c r="C795" i="5" s="1"/>
  <c r="C795" i="1"/>
  <c r="C796" i="1"/>
  <c r="C797" i="1"/>
  <c r="C798" i="1"/>
  <c r="C799" i="5" s="1"/>
  <c r="C799" i="1"/>
  <c r="C800" i="1"/>
  <c r="C801" i="1"/>
  <c r="C802" i="1"/>
  <c r="C803" i="5" s="1"/>
  <c r="C803" i="1"/>
  <c r="C804" i="1"/>
  <c r="C805" i="1"/>
  <c r="C806" i="1"/>
  <c r="C807" i="5" s="1"/>
  <c r="C807" i="1"/>
  <c r="C808" i="1"/>
  <c r="C809" i="1"/>
  <c r="C810" i="1"/>
  <c r="C811" i="5" s="1"/>
  <c r="C811" i="1"/>
  <c r="C812" i="1"/>
  <c r="C813" i="1"/>
  <c r="C814" i="1"/>
  <c r="C815" i="5" s="1"/>
  <c r="C815" i="1"/>
  <c r="C816" i="1"/>
  <c r="C817" i="1"/>
  <c r="C818" i="1"/>
  <c r="C819" i="5" s="1"/>
  <c r="C819" i="1"/>
  <c r="C820" i="1"/>
  <c r="C821" i="1"/>
  <c r="C822" i="1"/>
  <c r="C823" i="5" s="1"/>
  <c r="C823" i="1"/>
  <c r="C824" i="1"/>
  <c r="C825" i="1"/>
  <c r="C826" i="1"/>
  <c r="C827" i="5" s="1"/>
  <c r="C827" i="1"/>
  <c r="C828" i="1"/>
  <c r="C829" i="1"/>
  <c r="C830" i="1"/>
  <c r="C831" i="5" s="1"/>
  <c r="C831" i="1"/>
  <c r="C832" i="1"/>
  <c r="C833" i="1"/>
  <c r="C834" i="1"/>
  <c r="C835" i="5" s="1"/>
  <c r="C835" i="1"/>
  <c r="C836" i="1"/>
  <c r="C837" i="1"/>
  <c r="C838" i="1"/>
  <c r="C839" i="5" s="1"/>
  <c r="C839" i="1"/>
  <c r="C840" i="1"/>
  <c r="C841" i="1"/>
  <c r="C842" i="1"/>
  <c r="C843" i="5" s="1"/>
  <c r="C843" i="1"/>
  <c r="C844" i="1"/>
  <c r="C845" i="1"/>
  <c r="C846" i="1"/>
  <c r="C847" i="5" s="1"/>
  <c r="C847" i="1"/>
  <c r="C848" i="1"/>
  <c r="C849" i="1"/>
  <c r="C850" i="1"/>
  <c r="C851" i="5" s="1"/>
  <c r="C851" i="1"/>
  <c r="C852" i="1"/>
  <c r="C853" i="1"/>
  <c r="C854" i="1"/>
  <c r="C855" i="5" s="1"/>
  <c r="C855" i="1"/>
  <c r="C856" i="1"/>
  <c r="C857" i="1"/>
  <c r="C858" i="1"/>
  <c r="C859" i="5" s="1"/>
  <c r="C859" i="1"/>
  <c r="C860" i="1"/>
  <c r="C861" i="1"/>
  <c r="C862" i="1"/>
  <c r="C863" i="5" s="1"/>
  <c r="C863" i="1"/>
  <c r="C864" i="1"/>
  <c r="C865" i="1"/>
  <c r="C866" i="1"/>
  <c r="C867" i="5" s="1"/>
  <c r="C867" i="1"/>
  <c r="C868" i="1"/>
  <c r="C869" i="1"/>
  <c r="C870" i="1"/>
  <c r="C871" i="5" s="1"/>
  <c r="C871" i="1"/>
  <c r="C872" i="1"/>
  <c r="C873" i="1"/>
  <c r="C874" i="1"/>
  <c r="C875" i="5" s="1"/>
  <c r="C875" i="1"/>
  <c r="C876" i="1"/>
  <c r="C877" i="1"/>
  <c r="C878" i="1"/>
  <c r="C879" i="5" s="1"/>
  <c r="C879" i="1"/>
  <c r="C880" i="1"/>
  <c r="C881" i="1"/>
  <c r="C882" i="1"/>
  <c r="C883" i="5" s="1"/>
  <c r="C883" i="1"/>
  <c r="C884" i="1"/>
  <c r="C885" i="1"/>
  <c r="C886" i="1"/>
  <c r="C887" i="5" s="1"/>
  <c r="C887" i="1"/>
  <c r="C888" i="1"/>
  <c r="C889" i="1"/>
  <c r="C890" i="1"/>
  <c r="C891" i="5" s="1"/>
  <c r="C891" i="1"/>
  <c r="C892" i="1"/>
  <c r="C893" i="1"/>
  <c r="C894" i="1"/>
  <c r="C895" i="5" s="1"/>
  <c r="C895" i="1"/>
  <c r="C896" i="1"/>
  <c r="C897" i="1"/>
  <c r="C898" i="1"/>
  <c r="C899" i="5" s="1"/>
  <c r="C899" i="1"/>
  <c r="C900" i="1"/>
  <c r="C901" i="1"/>
  <c r="C902" i="1"/>
  <c r="C903" i="5" s="1"/>
  <c r="C903" i="1"/>
  <c r="C904" i="1"/>
  <c r="C905" i="1"/>
  <c r="C906" i="1"/>
  <c r="C907" i="5" s="1"/>
  <c r="C907" i="1"/>
  <c r="C908" i="1"/>
  <c r="C909" i="1"/>
  <c r="C910" i="1"/>
  <c r="C911" i="5" s="1"/>
  <c r="C911" i="1"/>
  <c r="C912" i="1"/>
  <c r="C913" i="1"/>
  <c r="C914" i="1"/>
  <c r="C915" i="5" s="1"/>
  <c r="C915" i="1"/>
  <c r="C916" i="1"/>
  <c r="C917" i="1"/>
  <c r="C918" i="1"/>
  <c r="C919" i="5" s="1"/>
  <c r="C919" i="1"/>
  <c r="C920" i="1"/>
  <c r="C921" i="1"/>
  <c r="C922" i="1"/>
  <c r="C923" i="5" s="1"/>
  <c r="C923" i="1"/>
  <c r="C924" i="1"/>
  <c r="C925" i="1"/>
  <c r="C926" i="1"/>
  <c r="C927" i="5" s="1"/>
  <c r="C927" i="1"/>
  <c r="C928" i="1"/>
  <c r="C929" i="1"/>
  <c r="C930" i="1"/>
  <c r="C931" i="5" s="1"/>
  <c r="C931" i="1"/>
  <c r="C932" i="1"/>
  <c r="C933" i="1"/>
  <c r="C934" i="1"/>
  <c r="C935" i="5" s="1"/>
  <c r="C935" i="1"/>
  <c r="C936" i="1"/>
  <c r="C937" i="1"/>
  <c r="C938" i="1"/>
  <c r="C939" i="5" s="1"/>
  <c r="C939" i="1"/>
  <c r="C940" i="1"/>
  <c r="C941" i="1"/>
  <c r="C942" i="1"/>
  <c r="C943" i="5" s="1"/>
  <c r="C943" i="1"/>
  <c r="C944" i="1"/>
  <c r="C945" i="1"/>
  <c r="C946" i="1"/>
  <c r="C947" i="5" s="1"/>
  <c r="C947" i="1"/>
  <c r="C948" i="1"/>
  <c r="C949" i="1"/>
  <c r="C950" i="1"/>
  <c r="C951" i="5" s="1"/>
  <c r="C951" i="1"/>
  <c r="C952" i="1"/>
  <c r="C953" i="1"/>
  <c r="C954" i="1"/>
  <c r="C955" i="5" s="1"/>
  <c r="C955" i="1"/>
  <c r="C956" i="1"/>
  <c r="C957" i="1"/>
  <c r="C958" i="1"/>
  <c r="C959" i="5" s="1"/>
  <c r="C959" i="1"/>
  <c r="C960" i="1"/>
  <c r="C961" i="1"/>
  <c r="C962" i="1"/>
  <c r="C963" i="5" s="1"/>
  <c r="C963" i="1"/>
  <c r="C964" i="1"/>
  <c r="C965" i="1"/>
  <c r="C966" i="1"/>
  <c r="C967" i="5" s="1"/>
  <c r="C967" i="1"/>
  <c r="C968" i="1"/>
  <c r="C969" i="1"/>
  <c r="C970" i="1"/>
  <c r="C971" i="5" s="1"/>
  <c r="C971" i="1"/>
  <c r="C972" i="1"/>
  <c r="C973" i="1"/>
  <c r="C974" i="1"/>
  <c r="C975" i="5" s="1"/>
  <c r="C975" i="1"/>
  <c r="C976" i="1"/>
  <c r="C977" i="1"/>
  <c r="C978" i="1"/>
  <c r="C979" i="5" s="1"/>
  <c r="C979" i="1"/>
  <c r="C980" i="1"/>
  <c r="C981" i="1"/>
  <c r="C982" i="1"/>
  <c r="C983" i="5" s="1"/>
  <c r="C983" i="1"/>
  <c r="C984" i="1"/>
  <c r="C985" i="1"/>
  <c r="C986" i="1"/>
  <c r="C987" i="5" s="1"/>
  <c r="C987" i="1"/>
  <c r="C988" i="1"/>
  <c r="C989" i="1"/>
  <c r="C990" i="1"/>
  <c r="C991" i="5" s="1"/>
  <c r="C991" i="1"/>
  <c r="C992" i="1"/>
  <c r="C993" i="1"/>
  <c r="C994" i="1"/>
  <c r="C995" i="5" s="1"/>
  <c r="C995" i="1"/>
  <c r="C996" i="1"/>
  <c r="C997" i="1"/>
  <c r="C998" i="1"/>
  <c r="C999" i="5" s="1"/>
  <c r="C999" i="1"/>
  <c r="C1000" i="1"/>
  <c r="C1001" i="1"/>
  <c r="C1002" i="1"/>
  <c r="C1003" i="5" s="1"/>
  <c r="C1003" i="1"/>
  <c r="C1004" i="1"/>
  <c r="C1005" i="1"/>
  <c r="C1006" i="1"/>
  <c r="C1007" i="5" s="1"/>
  <c r="C1007" i="1"/>
  <c r="C1008" i="1"/>
  <c r="C1009" i="1"/>
  <c r="C1010" i="1"/>
  <c r="C1011" i="5" s="1"/>
  <c r="C1011" i="1"/>
  <c r="C1012" i="1"/>
  <c r="C1013" i="1"/>
  <c r="C1014" i="1"/>
  <c r="C1015" i="5" s="1"/>
  <c r="C1015" i="1"/>
  <c r="C1016" i="1"/>
  <c r="C1017" i="1"/>
  <c r="C1018" i="1"/>
  <c r="C1019" i="5" s="1"/>
  <c r="C1019" i="1"/>
  <c r="C1020" i="1"/>
  <c r="C1021" i="1"/>
  <c r="C1022" i="1"/>
  <c r="C1023" i="5" s="1"/>
  <c r="C1023" i="1"/>
  <c r="C1024" i="1"/>
  <c r="C1025" i="1"/>
  <c r="C1026" i="1"/>
  <c r="C1027" i="5" s="1"/>
  <c r="C1027" i="1"/>
  <c r="C1028" i="1"/>
  <c r="C1029" i="1"/>
  <c r="C1030" i="1"/>
  <c r="C1031" i="5" s="1"/>
  <c r="C1031" i="1"/>
  <c r="C1032" i="1"/>
  <c r="C1033" i="1"/>
  <c r="C1034" i="1"/>
  <c r="C1035" i="5" s="1"/>
  <c r="C1035" i="1"/>
  <c r="C1036" i="1"/>
  <c r="C1037" i="1"/>
  <c r="C1038" i="1"/>
  <c r="C1039" i="5" s="1"/>
  <c r="C1039" i="1"/>
  <c r="C1040" i="1"/>
  <c r="C1041" i="1"/>
  <c r="C1042" i="1"/>
  <c r="C1043" i="5" s="1"/>
  <c r="C1043" i="1"/>
  <c r="C1044" i="1"/>
  <c r="C1045" i="1"/>
  <c r="C1046" i="1"/>
  <c r="C1047" i="5" s="1"/>
  <c r="C1047" i="1"/>
  <c r="C1048" i="1"/>
  <c r="C1049" i="1"/>
  <c r="C1050" i="1"/>
  <c r="C1051" i="5" s="1"/>
  <c r="C1051" i="1"/>
  <c r="C1052" i="1"/>
  <c r="C1053" i="1"/>
  <c r="C1054" i="1"/>
  <c r="C1055" i="5" s="1"/>
  <c r="C1055" i="1"/>
  <c r="C1056" i="1"/>
  <c r="C1057" i="1"/>
  <c r="C1058" i="1"/>
  <c r="C1059" i="5" s="1"/>
  <c r="C1059" i="1"/>
  <c r="C1060" i="1"/>
  <c r="C1061" i="1"/>
  <c r="C1062" i="1"/>
  <c r="C1063" i="5" s="1"/>
  <c r="C1063" i="1"/>
  <c r="C1064" i="1"/>
  <c r="C1065" i="1"/>
  <c r="C1066" i="1"/>
  <c r="C1067" i="5" s="1"/>
  <c r="C1067" i="1"/>
  <c r="C1068" i="1"/>
  <c r="C1069" i="1"/>
  <c r="C1070" i="1"/>
  <c r="C1071" i="5" s="1"/>
  <c r="C1071" i="1"/>
  <c r="C1072" i="1"/>
  <c r="C1073" i="1"/>
  <c r="C1074" i="1"/>
  <c r="C1075" i="5" s="1"/>
  <c r="C1075" i="1"/>
  <c r="C1076" i="1"/>
  <c r="C1077" i="1"/>
  <c r="C1078" i="1"/>
  <c r="C1079" i="5" s="1"/>
  <c r="C1079" i="1"/>
  <c r="C1080" i="1"/>
  <c r="C1081" i="1"/>
  <c r="C1082" i="1"/>
  <c r="C1083" i="5" s="1"/>
  <c r="C1083" i="1"/>
  <c r="C1084" i="1"/>
  <c r="C1085" i="1"/>
  <c r="C1086" i="1"/>
  <c r="C1087" i="5" s="1"/>
  <c r="C1087" i="1"/>
  <c r="C1088" i="1"/>
  <c r="C1089" i="1"/>
  <c r="C1090" i="1"/>
  <c r="C1091" i="5" s="1"/>
  <c r="C1091" i="1"/>
  <c r="C1092" i="1"/>
  <c r="C1093" i="1"/>
  <c r="C1094" i="1"/>
  <c r="C1095" i="5" s="1"/>
  <c r="C1095" i="1"/>
  <c r="C1096" i="1"/>
  <c r="C1097" i="1"/>
  <c r="C1098" i="1"/>
  <c r="C1099" i="5" s="1"/>
  <c r="C1099" i="1"/>
  <c r="C1100" i="1"/>
  <c r="C1101" i="1"/>
  <c r="C1102" i="1"/>
  <c r="C1103" i="5" s="1"/>
  <c r="C1103" i="1"/>
  <c r="C1104" i="1"/>
  <c r="C1105" i="1"/>
  <c r="C1106" i="1"/>
  <c r="C1107" i="5" s="1"/>
  <c r="C1107" i="1"/>
  <c r="C1108" i="1"/>
  <c r="C1109" i="1"/>
  <c r="C1110" i="1"/>
  <c r="C1111" i="5" s="1"/>
  <c r="C1111" i="1"/>
  <c r="C1112" i="1"/>
  <c r="C1113" i="1"/>
  <c r="C1114" i="1"/>
  <c r="C1115" i="5" s="1"/>
  <c r="C1115" i="1"/>
  <c r="C1116" i="1"/>
  <c r="C1117" i="1"/>
  <c r="C1118" i="1"/>
  <c r="C1119" i="5" s="1"/>
  <c r="C1119" i="1"/>
  <c r="C1120" i="1"/>
  <c r="C1121" i="1"/>
  <c r="C1122" i="1"/>
  <c r="C1123" i="5" s="1"/>
  <c r="C1123" i="1"/>
  <c r="C1124" i="1"/>
  <c r="C1125" i="1"/>
  <c r="C1126" i="1"/>
  <c r="C1127" i="5" s="1"/>
  <c r="C1127" i="1"/>
  <c r="C1128" i="1"/>
  <c r="C1129" i="1"/>
  <c r="C1130" i="1"/>
  <c r="C1131" i="5" s="1"/>
  <c r="C1131" i="1"/>
  <c r="C1132" i="1"/>
  <c r="C1133" i="1"/>
  <c r="C1134" i="1"/>
  <c r="C1135" i="5" s="1"/>
  <c r="C1135" i="1"/>
  <c r="C1136" i="1"/>
  <c r="C1137" i="1"/>
  <c r="C1138" i="1"/>
  <c r="C1139" i="5" s="1"/>
  <c r="C1139" i="1"/>
  <c r="C1140" i="1"/>
  <c r="C1141" i="1"/>
  <c r="C1142" i="1"/>
  <c r="C1143" i="5" s="1"/>
  <c r="C1143" i="1"/>
  <c r="C1144" i="1"/>
  <c r="C1145" i="1"/>
  <c r="C1146" i="1"/>
  <c r="C1147" i="5" s="1"/>
  <c r="C1147" i="1"/>
  <c r="C1148" i="1"/>
  <c r="C1149" i="1"/>
  <c r="C1150" i="1"/>
  <c r="C1151" i="5" s="1"/>
  <c r="C1151" i="1"/>
  <c r="C1152" i="1"/>
  <c r="C1153" i="1"/>
  <c r="C1154" i="1"/>
  <c r="C1155" i="5" s="1"/>
  <c r="C1155" i="1"/>
  <c r="C1156" i="1"/>
  <c r="C1157" i="1"/>
  <c r="C1158" i="1"/>
  <c r="C1159" i="5" s="1"/>
  <c r="C1159" i="1"/>
  <c r="C1160" i="1"/>
  <c r="C1161" i="1"/>
  <c r="C1162" i="1"/>
  <c r="C1163" i="5" s="1"/>
  <c r="C1163" i="1"/>
  <c r="C1164" i="1"/>
  <c r="C1165" i="1"/>
  <c r="C1166" i="1"/>
  <c r="C1167" i="5" s="1"/>
  <c r="C1167" i="1"/>
  <c r="C1168" i="1"/>
  <c r="C1169" i="1"/>
  <c r="C1170" i="1"/>
  <c r="C1171" i="5" s="1"/>
  <c r="C1171" i="1"/>
  <c r="C1172" i="1"/>
  <c r="C1173" i="1"/>
  <c r="C1174" i="1"/>
  <c r="C1175" i="5" s="1"/>
  <c r="C1175" i="1"/>
  <c r="C1176" i="1"/>
  <c r="C1177" i="1"/>
  <c r="C1178" i="1"/>
  <c r="C1179" i="5" s="1"/>
  <c r="C1179" i="1"/>
  <c r="C1180" i="1"/>
  <c r="C1181" i="1"/>
  <c r="C1182" i="1"/>
  <c r="C1183" i="5" s="1"/>
  <c r="C1183" i="1"/>
  <c r="C1184" i="1"/>
  <c r="C1185" i="1"/>
  <c r="C1186" i="1"/>
  <c r="C1187" i="5" s="1"/>
  <c r="C1187" i="1"/>
  <c r="C1188" i="1"/>
  <c r="C1189" i="1"/>
  <c r="C1190" i="1"/>
  <c r="C1191" i="5" s="1"/>
  <c r="C1191" i="1"/>
  <c r="C1192" i="1"/>
  <c r="C1193" i="1"/>
  <c r="C1194" i="1"/>
  <c r="C1195" i="5" s="1"/>
  <c r="C1195" i="1"/>
  <c r="C1196" i="1"/>
  <c r="C1197" i="1"/>
  <c r="C1198" i="1"/>
  <c r="C1199" i="5" s="1"/>
  <c r="C1199" i="1"/>
  <c r="C1200" i="1"/>
  <c r="C1201" i="1"/>
  <c r="C1202" i="1"/>
  <c r="C1203" i="5" s="1"/>
  <c r="C1203" i="1"/>
  <c r="C1204" i="1"/>
  <c r="C1205" i="1"/>
  <c r="C1206" i="1"/>
  <c r="C1207" i="5" s="1"/>
  <c r="C1207" i="1"/>
  <c r="C1208" i="1"/>
  <c r="C1209" i="1"/>
  <c r="C1210" i="1"/>
  <c r="C1211" i="5" s="1"/>
  <c r="C1211" i="1"/>
  <c r="C1212" i="1"/>
  <c r="C1213" i="1"/>
  <c r="C1214" i="1"/>
  <c r="C1215" i="5" s="1"/>
  <c r="C1215" i="1"/>
  <c r="C1216" i="1"/>
  <c r="C1217" i="1"/>
  <c r="C1218" i="1"/>
  <c r="C1219" i="5" s="1"/>
  <c r="C1219" i="1"/>
  <c r="C1220" i="1"/>
  <c r="C1221" i="1"/>
  <c r="C1222" i="1"/>
  <c r="C1223" i="5" s="1"/>
  <c r="C1223" i="1"/>
  <c r="C1224" i="1"/>
  <c r="C1225" i="1"/>
  <c r="C1226" i="1"/>
  <c r="C1227" i="5" s="1"/>
  <c r="C1227" i="1"/>
  <c r="C1228" i="1"/>
  <c r="C1229" i="1"/>
  <c r="C1230" i="1"/>
  <c r="C1231" i="5" s="1"/>
  <c r="C1231" i="1"/>
  <c r="C1232" i="1"/>
  <c r="C1233" i="1"/>
  <c r="C1234" i="1"/>
  <c r="C1235" i="5" s="1"/>
  <c r="C1235" i="1"/>
  <c r="C1236" i="1"/>
  <c r="C1237" i="1"/>
  <c r="C1238" i="1"/>
  <c r="C1239" i="5" s="1"/>
  <c r="C1239" i="1"/>
  <c r="C1240" i="1"/>
  <c r="C1241" i="1"/>
  <c r="C1242" i="1"/>
  <c r="C1243" i="5" s="1"/>
  <c r="C1243" i="1"/>
  <c r="C1244" i="1"/>
  <c r="C1245" i="1"/>
  <c r="C1246" i="1"/>
  <c r="C1247" i="5" s="1"/>
  <c r="C1247" i="1"/>
  <c r="C1248" i="1"/>
  <c r="C1249" i="1"/>
  <c r="C1250" i="1"/>
  <c r="C1251" i="5" s="1"/>
  <c r="C1251" i="1"/>
  <c r="C1252" i="1"/>
  <c r="C1253" i="1"/>
  <c r="C1254" i="1"/>
  <c r="C1255" i="5" s="1"/>
  <c r="C1255" i="1"/>
  <c r="C1256" i="1"/>
  <c r="C1257" i="1"/>
  <c r="C1258" i="1"/>
  <c r="C1259" i="5" s="1"/>
  <c r="C1259" i="1"/>
  <c r="C1260" i="1"/>
  <c r="C1261" i="1"/>
  <c r="C1262" i="1"/>
  <c r="C1263" i="5" s="1"/>
  <c r="C1263" i="1"/>
  <c r="C1264" i="1"/>
  <c r="C1265" i="1"/>
  <c r="C1266" i="1"/>
  <c r="C1267" i="5" s="1"/>
  <c r="C1267" i="1"/>
  <c r="C1268" i="1"/>
  <c r="C1269" i="1"/>
  <c r="C1270" i="1"/>
  <c r="C1271" i="5" s="1"/>
  <c r="C1271" i="1"/>
  <c r="C1272" i="1"/>
  <c r="C1273" i="1"/>
  <c r="C1274" i="1"/>
  <c r="C1275" i="5" s="1"/>
  <c r="C1275" i="1"/>
  <c r="C1276" i="1"/>
  <c r="C1277" i="1"/>
  <c r="C1278" i="1"/>
  <c r="C1279" i="5" s="1"/>
  <c r="C1279" i="1"/>
  <c r="C1280" i="1"/>
  <c r="C1281" i="1"/>
  <c r="C1282" i="1"/>
  <c r="C1283" i="5" s="1"/>
  <c r="C1283" i="1"/>
  <c r="C1284" i="1"/>
  <c r="C1285" i="1"/>
  <c r="C1286" i="1"/>
  <c r="C1287" i="5" s="1"/>
  <c r="C1287" i="1"/>
  <c r="C1288" i="1"/>
  <c r="C1289" i="1"/>
  <c r="C1290" i="1"/>
  <c r="C1291" i="5" s="1"/>
  <c r="C1291" i="1"/>
  <c r="C1292" i="1"/>
  <c r="C1293" i="1"/>
  <c r="C1294" i="1"/>
  <c r="C1295" i="5" s="1"/>
  <c r="C1295" i="1"/>
  <c r="C1296" i="1"/>
  <c r="C1297" i="1"/>
  <c r="C1298" i="1"/>
  <c r="C1299" i="5" s="1"/>
  <c r="C1299" i="1"/>
  <c r="C1300" i="1"/>
  <c r="C1301" i="1"/>
  <c r="C1302" i="1"/>
  <c r="C1303" i="5" s="1"/>
  <c r="C1303" i="1"/>
  <c r="C1304" i="1"/>
  <c r="C1305" i="1"/>
  <c r="C1306" i="1"/>
  <c r="C1307" i="5" s="1"/>
  <c r="C1307" i="1"/>
  <c r="C1308" i="1"/>
  <c r="C1309" i="1"/>
  <c r="C1310" i="1"/>
  <c r="C1311" i="5" s="1"/>
  <c r="C1311" i="1"/>
  <c r="C1312" i="1"/>
  <c r="C1313" i="1"/>
  <c r="C1314" i="1"/>
  <c r="C1315" i="5" s="1"/>
  <c r="C1315" i="1"/>
  <c r="C1316" i="1"/>
  <c r="C1317" i="1"/>
  <c r="C1318" i="1"/>
  <c r="C1319" i="5" s="1"/>
  <c r="C1319" i="1"/>
  <c r="C1320" i="1"/>
  <c r="C1321" i="1"/>
  <c r="C1322" i="1"/>
  <c r="C1323" i="5" s="1"/>
  <c r="C1323" i="1"/>
  <c r="C1324" i="1"/>
  <c r="C1325" i="1"/>
  <c r="C1326" i="1"/>
  <c r="C1327" i="5" s="1"/>
  <c r="C1327" i="1"/>
  <c r="C1328" i="1"/>
  <c r="C1329" i="1"/>
  <c r="C1330" i="1"/>
  <c r="C1331" i="5" s="1"/>
  <c r="C1331" i="1"/>
  <c r="C1332" i="1"/>
  <c r="C1333" i="1"/>
  <c r="C1334" i="1"/>
  <c r="C1335" i="5" s="1"/>
  <c r="C1335" i="1"/>
  <c r="C1336" i="1"/>
  <c r="C1337" i="1"/>
  <c r="C1338" i="1"/>
  <c r="C1339" i="5" s="1"/>
  <c r="C1339" i="1"/>
  <c r="C1340" i="1"/>
  <c r="C1341" i="1"/>
  <c r="C1342" i="1"/>
  <c r="C1343" i="5" s="1"/>
  <c r="C1343" i="1"/>
  <c r="C1344" i="1"/>
  <c r="C1345" i="1"/>
  <c r="C1346" i="1"/>
  <c r="C1347" i="5" s="1"/>
  <c r="C1347" i="1"/>
  <c r="C1348" i="1"/>
  <c r="C1349" i="1"/>
  <c r="C1350" i="1"/>
  <c r="C1351" i="5" s="1"/>
  <c r="C1351" i="1"/>
  <c r="C1352" i="1"/>
  <c r="C1353" i="1"/>
  <c r="C1354" i="1"/>
  <c r="C1355" i="5" s="1"/>
  <c r="C1355" i="1"/>
  <c r="C1356" i="1"/>
  <c r="C1357" i="1"/>
  <c r="C1358" i="1"/>
  <c r="C1359" i="5" s="1"/>
  <c r="C1359" i="1"/>
  <c r="C1360" i="1"/>
  <c r="C1361" i="1"/>
  <c r="C1362" i="1"/>
  <c r="C1363" i="5" s="1"/>
  <c r="C1363" i="1"/>
  <c r="C1364" i="1"/>
  <c r="C1365" i="1"/>
  <c r="C1366" i="1"/>
  <c r="C1367" i="5" s="1"/>
  <c r="C1367" i="1"/>
  <c r="C1368" i="1"/>
  <c r="C1369" i="1"/>
  <c r="C1370" i="1"/>
  <c r="C1371" i="5" s="1"/>
  <c r="C1371" i="1"/>
  <c r="C1372" i="1"/>
  <c r="C1373" i="1"/>
  <c r="C1374" i="1"/>
  <c r="C1375" i="5" s="1"/>
  <c r="C1375" i="1"/>
  <c r="C1376" i="1"/>
  <c r="C1377" i="1"/>
  <c r="C1378" i="1"/>
  <c r="C1379" i="5" s="1"/>
  <c r="C1379" i="1"/>
  <c r="C1380" i="1"/>
  <c r="C1381" i="1"/>
  <c r="C1382" i="1"/>
  <c r="C1383" i="5" s="1"/>
  <c r="C1383" i="1"/>
  <c r="C1384" i="1"/>
  <c r="C1385" i="1"/>
  <c r="C1386" i="1"/>
  <c r="C1387" i="5" s="1"/>
  <c r="C1387" i="1"/>
  <c r="C1388" i="1"/>
  <c r="C1389" i="1"/>
  <c r="C1390" i="1"/>
  <c r="C1391" i="5" s="1"/>
  <c r="C1391" i="1"/>
  <c r="C1392" i="1"/>
  <c r="C1393" i="1"/>
  <c r="C1394" i="1"/>
  <c r="C1395" i="5" s="1"/>
  <c r="C1395" i="1"/>
  <c r="C1396" i="1"/>
  <c r="C1397" i="1"/>
  <c r="C1398" i="1"/>
  <c r="C1399" i="5" s="1"/>
  <c r="C1399" i="1"/>
  <c r="C1400" i="1"/>
  <c r="C1401" i="1"/>
  <c r="C1402" i="1"/>
  <c r="C1403" i="5" s="1"/>
  <c r="C1403" i="1"/>
  <c r="C1404" i="1"/>
  <c r="C1405" i="1"/>
  <c r="C1406" i="1"/>
  <c r="C1407" i="5" s="1"/>
  <c r="C1407" i="1"/>
  <c r="C1408" i="1"/>
  <c r="C1409" i="1"/>
  <c r="C1410" i="1"/>
  <c r="C1411" i="5" s="1"/>
  <c r="C1411" i="1"/>
  <c r="C1412" i="1"/>
  <c r="C1413" i="1"/>
  <c r="C1414" i="1"/>
  <c r="C1415" i="5" s="1"/>
  <c r="C1415" i="1"/>
  <c r="C1416" i="1"/>
  <c r="C1417" i="1"/>
  <c r="C1418" i="1"/>
  <c r="C1419" i="5" s="1"/>
  <c r="C1419" i="1"/>
  <c r="C1420" i="1"/>
  <c r="C1421" i="1"/>
  <c r="C1422" i="1"/>
  <c r="C1423" i="5" s="1"/>
  <c r="C1423" i="1"/>
  <c r="C1424" i="1"/>
  <c r="C1425" i="1"/>
  <c r="C1426" i="1"/>
  <c r="C1427" i="5" s="1"/>
  <c r="C1427" i="1"/>
  <c r="C1428" i="1"/>
  <c r="C1429" i="1"/>
  <c r="C1430" i="1"/>
  <c r="C1431" i="5" s="1"/>
  <c r="C1431" i="1"/>
  <c r="C1432" i="1"/>
  <c r="C1433" i="1"/>
  <c r="C1434" i="1"/>
  <c r="C1435" i="5" s="1"/>
  <c r="C1435" i="1"/>
  <c r="C1436" i="1"/>
  <c r="C1437" i="1"/>
  <c r="C1438" i="1"/>
  <c r="C1439" i="5" s="1"/>
  <c r="C1439" i="1"/>
  <c r="C1440" i="1"/>
  <c r="C1441" i="1"/>
  <c r="C1442" i="1"/>
  <c r="C1443" i="5" s="1"/>
  <c r="C1443" i="1"/>
  <c r="C1444" i="1"/>
  <c r="C1445" i="1"/>
  <c r="C1446" i="1"/>
  <c r="C1447" i="5" s="1"/>
  <c r="C1447" i="1"/>
  <c r="C1448" i="1"/>
  <c r="C1449" i="1"/>
  <c r="C1450" i="1"/>
  <c r="C1451" i="5" s="1"/>
  <c r="C1451" i="1"/>
  <c r="C1452" i="1"/>
  <c r="C1453" i="1"/>
  <c r="C1454" i="1"/>
  <c r="C1455" i="5" s="1"/>
  <c r="C1455" i="1"/>
  <c r="C1456" i="1"/>
  <c r="C1457" i="1"/>
  <c r="C1458" i="1"/>
  <c r="C1459" i="5" s="1"/>
  <c r="C1459" i="1"/>
  <c r="C1460" i="5" s="1"/>
  <c r="C1460" i="1"/>
  <c r="C1461" i="1"/>
  <c r="C1462" i="1"/>
  <c r="C1462" i="5" s="1"/>
  <c r="C1463" i="1"/>
  <c r="C1464" i="5" s="1"/>
  <c r="C1464" i="1"/>
  <c r="C1465" i="1"/>
  <c r="C1466" i="1"/>
  <c r="C1466" i="5" s="1"/>
  <c r="C1467" i="1"/>
  <c r="C1468" i="5" s="1"/>
  <c r="C1468" i="1"/>
  <c r="C1469" i="1"/>
  <c r="C1470" i="1"/>
  <c r="C1471" i="5" s="1"/>
  <c r="C1471" i="1"/>
  <c r="C1472" i="5" s="1"/>
  <c r="C1472" i="1"/>
  <c r="C1473" i="1"/>
  <c r="C1474" i="1"/>
  <c r="C1474" i="5" s="1"/>
  <c r="C1475" i="1"/>
  <c r="C1476" i="5" s="1"/>
  <c r="C1476" i="1"/>
  <c r="C1477" i="1"/>
  <c r="C1478" i="1"/>
  <c r="C1478" i="5" s="1"/>
  <c r="C1479" i="1"/>
  <c r="C1480" i="5" s="1"/>
  <c r="C1480" i="1"/>
  <c r="C1481" i="1"/>
  <c r="C1482" i="1"/>
  <c r="C1482" i="5" s="1"/>
  <c r="C1483" i="1"/>
  <c r="C1484" i="5" s="1"/>
  <c r="C1484" i="1"/>
  <c r="C1485" i="1"/>
  <c r="C1486" i="1"/>
  <c r="C1487" i="5" s="1"/>
  <c r="C1487" i="1"/>
  <c r="C1488" i="5" s="1"/>
  <c r="C1488" i="1"/>
  <c r="C1489" i="1"/>
  <c r="C1490" i="1"/>
  <c r="C1491" i="5" s="1"/>
  <c r="C1491" i="1"/>
  <c r="C1492" i="5" s="1"/>
  <c r="C149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6" i="5" s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0" i="5" s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4" i="5" s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8" i="5" s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2" i="5" s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4" i="5" s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6" i="5" s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2" i="5" s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8" i="5" s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0" i="5" s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6" i="5" s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2" i="5" s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8" i="5" s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4" i="5" s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0" i="5" s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6" i="5" s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2" i="5" s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8" i="5" s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5" s="1"/>
  <c r="D611" i="1"/>
  <c r="D612" i="1"/>
  <c r="D613" i="1"/>
  <c r="D614" i="1"/>
  <c r="D614" i="5" s="1"/>
  <c r="D615" i="1"/>
  <c r="D616" i="1"/>
  <c r="D617" i="1"/>
  <c r="D618" i="1"/>
  <c r="D618" i="5" s="1"/>
  <c r="D619" i="1"/>
  <c r="D620" i="1"/>
  <c r="D621" i="1"/>
  <c r="D622" i="1"/>
  <c r="D622" i="5" s="1"/>
  <c r="D623" i="1"/>
  <c r="D624" i="1"/>
  <c r="D625" i="1"/>
  <c r="D626" i="1"/>
  <c r="D626" i="5" s="1"/>
  <c r="D627" i="1"/>
  <c r="D628" i="1"/>
  <c r="D629" i="1"/>
  <c r="D630" i="1"/>
  <c r="D630" i="5" s="1"/>
  <c r="D631" i="1"/>
  <c r="D632" i="1"/>
  <c r="D633" i="1"/>
  <c r="D634" i="1"/>
  <c r="D634" i="5" s="1"/>
  <c r="D635" i="1"/>
  <c r="D636" i="1"/>
  <c r="D637" i="1"/>
  <c r="D638" i="1"/>
  <c r="D639" i="5" s="1"/>
  <c r="D639" i="1"/>
  <c r="D640" i="1"/>
  <c r="D641" i="1"/>
  <c r="D642" i="1"/>
  <c r="D642" i="5" s="1"/>
  <c r="D643" i="1"/>
  <c r="D644" i="1"/>
  <c r="D645" i="1"/>
  <c r="D646" i="1"/>
  <c r="D646" i="5" s="1"/>
  <c r="D647" i="1"/>
  <c r="D648" i="1"/>
  <c r="D649" i="1"/>
  <c r="D650" i="1"/>
  <c r="D650" i="5" s="1"/>
  <c r="D651" i="1"/>
  <c r="D652" i="1"/>
  <c r="D653" i="1"/>
  <c r="D654" i="1"/>
  <c r="D655" i="5" s="1"/>
  <c r="D655" i="1"/>
  <c r="D656" i="1"/>
  <c r="D657" i="1"/>
  <c r="D658" i="1"/>
  <c r="D658" i="5" s="1"/>
  <c r="D659" i="1"/>
  <c r="D660" i="1"/>
  <c r="D661" i="1"/>
  <c r="D662" i="1"/>
  <c r="D662" i="5" s="1"/>
  <c r="D663" i="1"/>
  <c r="D664" i="1"/>
  <c r="D665" i="1"/>
  <c r="D666" i="1"/>
  <c r="D666" i="5" s="1"/>
  <c r="D667" i="1"/>
  <c r="D668" i="1"/>
  <c r="D669" i="1"/>
  <c r="D670" i="1"/>
  <c r="D671" i="5" s="1"/>
  <c r="D671" i="1"/>
  <c r="D672" i="1"/>
  <c r="D673" i="1"/>
  <c r="D674" i="1"/>
  <c r="D674" i="5" s="1"/>
  <c r="D675" i="1"/>
  <c r="D676" i="1"/>
  <c r="D677" i="1"/>
  <c r="D678" i="1"/>
  <c r="D678" i="5" s="1"/>
  <c r="D679" i="1"/>
  <c r="D680" i="1"/>
  <c r="D681" i="1"/>
  <c r="D682" i="1"/>
  <c r="D682" i="5" s="1"/>
  <c r="D683" i="1"/>
  <c r="D684" i="1"/>
  <c r="D685" i="1"/>
  <c r="D686" i="1"/>
  <c r="D686" i="5" s="1"/>
  <c r="D687" i="1"/>
  <c r="D688" i="1"/>
  <c r="D689" i="1"/>
  <c r="D690" i="1"/>
  <c r="D690" i="5" s="1"/>
  <c r="D691" i="1"/>
  <c r="D692" i="1"/>
  <c r="D693" i="1"/>
  <c r="D694" i="1"/>
  <c r="D694" i="5" s="1"/>
  <c r="D695" i="1"/>
  <c r="D696" i="1"/>
  <c r="D697" i="1"/>
  <c r="D698" i="1"/>
  <c r="D698" i="5" s="1"/>
  <c r="D699" i="1"/>
  <c r="D700" i="1"/>
  <c r="D701" i="1"/>
  <c r="D702" i="1"/>
  <c r="D702" i="5" s="1"/>
  <c r="D703" i="1"/>
  <c r="D704" i="1"/>
  <c r="D705" i="1"/>
  <c r="D706" i="1"/>
  <c r="D706" i="5" s="1"/>
  <c r="D707" i="1"/>
  <c r="D708" i="1"/>
  <c r="D709" i="1"/>
  <c r="D710" i="1"/>
  <c r="D710" i="5" s="1"/>
  <c r="D711" i="1"/>
  <c r="D712" i="1"/>
  <c r="D713" i="1"/>
  <c r="D714" i="1"/>
  <c r="D714" i="5" s="1"/>
  <c r="D715" i="1"/>
  <c r="D716" i="1"/>
  <c r="D717" i="1"/>
  <c r="D718" i="1"/>
  <c r="D719" i="5" s="1"/>
  <c r="D719" i="1"/>
  <c r="D720" i="1"/>
  <c r="D721" i="1"/>
  <c r="D722" i="1"/>
  <c r="D722" i="5" s="1"/>
  <c r="D723" i="1"/>
  <c r="D724" i="1"/>
  <c r="D725" i="1"/>
  <c r="D726" i="1"/>
  <c r="D726" i="5" s="1"/>
  <c r="D727" i="1"/>
  <c r="D728" i="1"/>
  <c r="D729" i="1"/>
  <c r="D730" i="1"/>
  <c r="D730" i="5" s="1"/>
  <c r="D731" i="1"/>
  <c r="D732" i="1"/>
  <c r="D733" i="1"/>
  <c r="D734" i="1"/>
  <c r="D735" i="5" s="1"/>
  <c r="D735" i="1"/>
  <c r="D736" i="1"/>
  <c r="D737" i="1"/>
  <c r="D738" i="1"/>
  <c r="D738" i="5" s="1"/>
  <c r="D739" i="1"/>
  <c r="D740" i="1"/>
  <c r="D741" i="1"/>
  <c r="D742" i="1"/>
  <c r="D742" i="5" s="1"/>
  <c r="D743" i="1"/>
  <c r="D744" i="1"/>
  <c r="D745" i="1"/>
  <c r="D746" i="1"/>
  <c r="D746" i="5" s="1"/>
  <c r="D747" i="1"/>
  <c r="D748" i="1"/>
  <c r="D749" i="1"/>
  <c r="D750" i="1"/>
  <c r="D750" i="5" s="1"/>
  <c r="D751" i="1"/>
  <c r="D752" i="1"/>
  <c r="D753" i="1"/>
  <c r="D754" i="1"/>
  <c r="D754" i="5" s="1"/>
  <c r="D755" i="1"/>
  <c r="D756" i="1"/>
  <c r="D757" i="1"/>
  <c r="D758" i="1"/>
  <c r="D758" i="5" s="1"/>
  <c r="D759" i="1"/>
  <c r="D760" i="1"/>
  <c r="D761" i="1"/>
  <c r="D762" i="1"/>
  <c r="D762" i="5" s="1"/>
  <c r="D763" i="1"/>
  <c r="D764" i="1"/>
  <c r="D765" i="1"/>
  <c r="D766" i="1"/>
  <c r="D766" i="5" s="1"/>
  <c r="D767" i="1"/>
  <c r="D768" i="1"/>
  <c r="D769" i="1"/>
  <c r="D770" i="1"/>
  <c r="D770" i="5" s="1"/>
  <c r="D771" i="1"/>
  <c r="D772" i="1"/>
  <c r="D773" i="1"/>
  <c r="D774" i="1"/>
  <c r="D774" i="5" s="1"/>
  <c r="D775" i="1"/>
  <c r="D776" i="1"/>
  <c r="D777" i="1"/>
  <c r="D778" i="1"/>
  <c r="D778" i="5" s="1"/>
  <c r="D779" i="1"/>
  <c r="D780" i="1"/>
  <c r="D781" i="1"/>
  <c r="D782" i="1"/>
  <c r="D783" i="5" s="1"/>
  <c r="D783" i="1"/>
  <c r="D784" i="1"/>
  <c r="D785" i="1"/>
  <c r="D786" i="1"/>
  <c r="D786" i="5" s="1"/>
  <c r="D787" i="1"/>
  <c r="D788" i="1"/>
  <c r="D789" i="1"/>
  <c r="D790" i="1"/>
  <c r="D790" i="5" s="1"/>
  <c r="D791" i="1"/>
  <c r="D792" i="1"/>
  <c r="D793" i="1"/>
  <c r="D794" i="1"/>
  <c r="D794" i="5" s="1"/>
  <c r="D795" i="1"/>
  <c r="D796" i="1"/>
  <c r="D797" i="1"/>
  <c r="D798" i="1"/>
  <c r="D799" i="1"/>
  <c r="D800" i="1"/>
  <c r="D801" i="1"/>
  <c r="D802" i="1"/>
  <c r="D802" i="5" s="1"/>
  <c r="D803" i="1"/>
  <c r="D804" i="1"/>
  <c r="D805" i="1"/>
  <c r="D806" i="1"/>
  <c r="D806" i="5" s="1"/>
  <c r="D807" i="1"/>
  <c r="D808" i="1"/>
  <c r="D809" i="1"/>
  <c r="D810" i="1"/>
  <c r="D810" i="5" s="1"/>
  <c r="D811" i="1"/>
  <c r="D812" i="1"/>
  <c r="D813" i="1"/>
  <c r="D814" i="1"/>
  <c r="D814" i="5" s="1"/>
  <c r="D815" i="1"/>
  <c r="D816" i="1"/>
  <c r="D817" i="1"/>
  <c r="D818" i="1"/>
  <c r="D818" i="5" s="1"/>
  <c r="D819" i="1"/>
  <c r="D820" i="1"/>
  <c r="D821" i="1"/>
  <c r="D822" i="1"/>
  <c r="D822" i="5" s="1"/>
  <c r="D823" i="1"/>
  <c r="D824" i="1"/>
  <c r="D825" i="1"/>
  <c r="D826" i="1"/>
  <c r="D826" i="5" s="1"/>
  <c r="D827" i="1"/>
  <c r="D828" i="1"/>
  <c r="D829" i="1"/>
  <c r="D830" i="1"/>
  <c r="D830" i="5" s="1"/>
  <c r="D831" i="1"/>
  <c r="D832" i="1"/>
  <c r="D833" i="1"/>
  <c r="D834" i="1"/>
  <c r="D834" i="5" s="1"/>
  <c r="D835" i="1"/>
  <c r="D836" i="1"/>
  <c r="D837" i="1"/>
  <c r="D838" i="1"/>
  <c r="D838" i="5" s="1"/>
  <c r="D839" i="1"/>
  <c r="D840" i="1"/>
  <c r="D841" i="1"/>
  <c r="D842" i="1"/>
  <c r="D842" i="5" s="1"/>
  <c r="D843" i="1"/>
  <c r="D844" i="1"/>
  <c r="D845" i="1"/>
  <c r="D846" i="1"/>
  <c r="D847" i="5" s="1"/>
  <c r="D847" i="1"/>
  <c r="D848" i="1"/>
  <c r="D849" i="1"/>
  <c r="D850" i="1"/>
  <c r="D850" i="5" s="1"/>
  <c r="D851" i="1"/>
  <c r="D852" i="1"/>
  <c r="D853" i="1"/>
  <c r="D854" i="1"/>
  <c r="D854" i="5" s="1"/>
  <c r="D855" i="1"/>
  <c r="D856" i="1"/>
  <c r="D857" i="1"/>
  <c r="D858" i="1"/>
  <c r="D858" i="5" s="1"/>
  <c r="D859" i="1"/>
  <c r="D860" i="1"/>
  <c r="D861" i="1"/>
  <c r="D862" i="1"/>
  <c r="D863" i="5" s="1"/>
  <c r="D863" i="1"/>
  <c r="D864" i="1"/>
  <c r="D865" i="1"/>
  <c r="D866" i="1"/>
  <c r="D866" i="5" s="1"/>
  <c r="D867" i="1"/>
  <c r="D868" i="1"/>
  <c r="D869" i="1"/>
  <c r="D870" i="1"/>
  <c r="D870" i="5" s="1"/>
  <c r="D871" i="1"/>
  <c r="D872" i="1"/>
  <c r="D873" i="1"/>
  <c r="D874" i="1"/>
  <c r="D874" i="5" s="1"/>
  <c r="D875" i="1"/>
  <c r="D876" i="1"/>
  <c r="D877" i="1"/>
  <c r="D878" i="1"/>
  <c r="D878" i="5" s="1"/>
  <c r="D879" i="1"/>
  <c r="D880" i="1"/>
  <c r="D881" i="1"/>
  <c r="D882" i="1"/>
  <c r="D882" i="5" s="1"/>
  <c r="D883" i="1"/>
  <c r="D884" i="1"/>
  <c r="D885" i="1"/>
  <c r="D886" i="1"/>
  <c r="D886" i="5" s="1"/>
  <c r="D887" i="1"/>
  <c r="D888" i="1"/>
  <c r="D889" i="1"/>
  <c r="D890" i="1"/>
  <c r="D890" i="5" s="1"/>
  <c r="D891" i="1"/>
  <c r="D892" i="1"/>
  <c r="D893" i="1"/>
  <c r="D894" i="1"/>
  <c r="D895" i="5" s="1"/>
  <c r="D895" i="1"/>
  <c r="D896" i="1"/>
  <c r="D897" i="1"/>
  <c r="D898" i="1"/>
  <c r="D898" i="5" s="1"/>
  <c r="D899" i="1"/>
  <c r="D900" i="1"/>
  <c r="D901" i="1"/>
  <c r="D902" i="1"/>
  <c r="D902" i="5" s="1"/>
  <c r="D903" i="1"/>
  <c r="D904" i="1"/>
  <c r="D905" i="1"/>
  <c r="D906" i="1"/>
  <c r="D906" i="5" s="1"/>
  <c r="D907" i="1"/>
  <c r="D908" i="1"/>
  <c r="D909" i="1"/>
  <c r="D910" i="1"/>
  <c r="D911" i="5" s="1"/>
  <c r="D911" i="1"/>
  <c r="D912" i="1"/>
  <c r="D913" i="1"/>
  <c r="D914" i="1"/>
  <c r="D914" i="5" s="1"/>
  <c r="D915" i="1"/>
  <c r="D916" i="1"/>
  <c r="D917" i="1"/>
  <c r="D918" i="1"/>
  <c r="D918" i="5" s="1"/>
  <c r="D919" i="1"/>
  <c r="D920" i="1"/>
  <c r="D921" i="1"/>
  <c r="D922" i="1"/>
  <c r="D922" i="5" s="1"/>
  <c r="D923" i="1"/>
  <c r="D924" i="1"/>
  <c r="D925" i="1"/>
  <c r="D926" i="1"/>
  <c r="D927" i="5" s="1"/>
  <c r="D927" i="1"/>
  <c r="D928" i="1"/>
  <c r="D929" i="1"/>
  <c r="D930" i="1"/>
  <c r="D930" i="5" s="1"/>
  <c r="D931" i="1"/>
  <c r="D932" i="1"/>
  <c r="D933" i="1"/>
  <c r="D934" i="1"/>
  <c r="D934" i="5" s="1"/>
  <c r="D935" i="1"/>
  <c r="D936" i="1"/>
  <c r="D937" i="1"/>
  <c r="D938" i="1"/>
  <c r="D938" i="5" s="1"/>
  <c r="D939" i="1"/>
  <c r="D940" i="1"/>
  <c r="D941" i="1"/>
  <c r="D942" i="1"/>
  <c r="D942" i="5" s="1"/>
  <c r="D943" i="1"/>
  <c r="D944" i="1"/>
  <c r="D945" i="1"/>
  <c r="D946" i="1"/>
  <c r="D946" i="5" s="1"/>
  <c r="D947" i="1"/>
  <c r="D948" i="1"/>
  <c r="D949" i="1"/>
  <c r="D950" i="1"/>
  <c r="D950" i="5" s="1"/>
  <c r="D951" i="1"/>
  <c r="D952" i="1"/>
  <c r="D953" i="1"/>
  <c r="D954" i="1"/>
  <c r="D954" i="5" s="1"/>
  <c r="D955" i="1"/>
  <c r="D956" i="1"/>
  <c r="D957" i="1"/>
  <c r="D958" i="1"/>
  <c r="D958" i="5" s="1"/>
  <c r="D959" i="1"/>
  <c r="D960" i="1"/>
  <c r="D961" i="1"/>
  <c r="D962" i="1"/>
  <c r="D962" i="5" s="1"/>
  <c r="D963" i="1"/>
  <c r="D964" i="1"/>
  <c r="D965" i="1"/>
  <c r="D966" i="1"/>
  <c r="D966" i="5" s="1"/>
  <c r="D967" i="1"/>
  <c r="D968" i="1"/>
  <c r="D969" i="1"/>
  <c r="D970" i="1"/>
  <c r="D970" i="5" s="1"/>
  <c r="D971" i="1"/>
  <c r="D972" i="1"/>
  <c r="D973" i="1"/>
  <c r="D974" i="1"/>
  <c r="D975" i="5" s="1"/>
  <c r="D975" i="1"/>
  <c r="D976" i="1"/>
  <c r="D977" i="1"/>
  <c r="D978" i="1"/>
  <c r="D978" i="5" s="1"/>
  <c r="D979" i="1"/>
  <c r="D980" i="1"/>
  <c r="D981" i="1"/>
  <c r="D982" i="1"/>
  <c r="D982" i="5" s="1"/>
  <c r="D983" i="1"/>
  <c r="D984" i="1"/>
  <c r="D985" i="1"/>
  <c r="D986" i="1"/>
  <c r="D986" i="5" s="1"/>
  <c r="D987" i="1"/>
  <c r="D988" i="1"/>
  <c r="D989" i="1"/>
  <c r="D990" i="1"/>
  <c r="D991" i="5" s="1"/>
  <c r="D991" i="1"/>
  <c r="D992" i="1"/>
  <c r="D993" i="1"/>
  <c r="D994" i="1"/>
  <c r="D994" i="5" s="1"/>
  <c r="D995" i="1"/>
  <c r="D996" i="1"/>
  <c r="D997" i="1"/>
  <c r="D998" i="1"/>
  <c r="D998" i="5" s="1"/>
  <c r="D999" i="1"/>
  <c r="D1000" i="1"/>
  <c r="D1001" i="1"/>
  <c r="D1002" i="1"/>
  <c r="D1002" i="5" s="1"/>
  <c r="D1003" i="1"/>
  <c r="D1004" i="1"/>
  <c r="D1005" i="1"/>
  <c r="D1006" i="1"/>
  <c r="D1006" i="5" s="1"/>
  <c r="D1007" i="1"/>
  <c r="D1008" i="1"/>
  <c r="D1009" i="1"/>
  <c r="D1010" i="1"/>
  <c r="D1010" i="5" s="1"/>
  <c r="D1011" i="1"/>
  <c r="D1012" i="1"/>
  <c r="D1013" i="1"/>
  <c r="D1014" i="1"/>
  <c r="D1014" i="5" s="1"/>
  <c r="D1015" i="1"/>
  <c r="D1016" i="1"/>
  <c r="D1017" i="1"/>
  <c r="D1018" i="1"/>
  <c r="D1018" i="5" s="1"/>
  <c r="D1019" i="1"/>
  <c r="D1020" i="1"/>
  <c r="D1021" i="1"/>
  <c r="D1022" i="1"/>
  <c r="D1022" i="5" s="1"/>
  <c r="D1023" i="1"/>
  <c r="D1024" i="1"/>
  <c r="D1025" i="1"/>
  <c r="D1026" i="1"/>
  <c r="D1026" i="5" s="1"/>
  <c r="D1027" i="1"/>
  <c r="D1028" i="1"/>
  <c r="D1029" i="1"/>
  <c r="D1030" i="1"/>
  <c r="D1030" i="5" s="1"/>
  <c r="D1031" i="1"/>
  <c r="D1032" i="1"/>
  <c r="D1033" i="1"/>
  <c r="D1034" i="1"/>
  <c r="D1034" i="5" s="1"/>
  <c r="D1035" i="1"/>
  <c r="D1036" i="1"/>
  <c r="D1037" i="1"/>
  <c r="D1038" i="1"/>
  <c r="D1038" i="5" s="1"/>
  <c r="D1039" i="1"/>
  <c r="D1040" i="1"/>
  <c r="D1041" i="1"/>
  <c r="D1042" i="1"/>
  <c r="D1042" i="5" s="1"/>
  <c r="D1043" i="1"/>
  <c r="D1044" i="1"/>
  <c r="D1045" i="1"/>
  <c r="D1046" i="1"/>
  <c r="D1046" i="5" s="1"/>
  <c r="D1047" i="1"/>
  <c r="D1048" i="1"/>
  <c r="D1049" i="1"/>
  <c r="D1050" i="1"/>
  <c r="D1050" i="5" s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2" i="5" s="1"/>
  <c r="D1063" i="1"/>
  <c r="D1064" i="1"/>
  <c r="D1065" i="1"/>
  <c r="D1066" i="1"/>
  <c r="D1066" i="5" s="1"/>
  <c r="D1067" i="1"/>
  <c r="D1068" i="1"/>
  <c r="D1069" i="1"/>
  <c r="D1070" i="1"/>
  <c r="D1070" i="5" s="1"/>
  <c r="D1071" i="1"/>
  <c r="D1072" i="1"/>
  <c r="D1073" i="1"/>
  <c r="D1074" i="1"/>
  <c r="D1074" i="5" s="1"/>
  <c r="D1075" i="1"/>
  <c r="D1076" i="1"/>
  <c r="D1077" i="1"/>
  <c r="D1078" i="1"/>
  <c r="D1078" i="5" s="1"/>
  <c r="D1079" i="1"/>
  <c r="D1080" i="1"/>
  <c r="D1081" i="1"/>
  <c r="D1082" i="1"/>
  <c r="D1082" i="5" s="1"/>
  <c r="D1083" i="1"/>
  <c r="D1084" i="1"/>
  <c r="D1085" i="1"/>
  <c r="D1086" i="1"/>
  <c r="D1086" i="5" s="1"/>
  <c r="D1087" i="1"/>
  <c r="D1088" i="1"/>
  <c r="D1089" i="1"/>
  <c r="D1090" i="1"/>
  <c r="D1090" i="5" s="1"/>
  <c r="D1091" i="1"/>
  <c r="D1092" i="1"/>
  <c r="D1093" i="1"/>
  <c r="D1094" i="1"/>
  <c r="D1094" i="5" s="1"/>
  <c r="D1095" i="1"/>
  <c r="D1096" i="1"/>
  <c r="D1097" i="1"/>
  <c r="D1098" i="1"/>
  <c r="D1098" i="5" s="1"/>
  <c r="D1099" i="1"/>
  <c r="D1100" i="1"/>
  <c r="D1101" i="1"/>
  <c r="D1102" i="1"/>
  <c r="D1102" i="5" s="1"/>
  <c r="D1103" i="1"/>
  <c r="D1104" i="1"/>
  <c r="D1105" i="1"/>
  <c r="D1106" i="1"/>
  <c r="D1106" i="5" s="1"/>
  <c r="D1107" i="1"/>
  <c r="D1108" i="1"/>
  <c r="D1109" i="1"/>
  <c r="D1110" i="1"/>
  <c r="D1110" i="5" s="1"/>
  <c r="D1111" i="1"/>
  <c r="D1112" i="1"/>
  <c r="D1113" i="1"/>
  <c r="D1114" i="1"/>
  <c r="D1114" i="5" s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6" i="5" s="1"/>
  <c r="D1127" i="1"/>
  <c r="D1128" i="1"/>
  <c r="D1129" i="1"/>
  <c r="D1130" i="1"/>
  <c r="D1130" i="5" s="1"/>
  <c r="D1131" i="1"/>
  <c r="D1132" i="1"/>
  <c r="D1133" i="1"/>
  <c r="D1134" i="1"/>
  <c r="D1134" i="5" s="1"/>
  <c r="D1135" i="1"/>
  <c r="D1136" i="1"/>
  <c r="D1137" i="1"/>
  <c r="D1138" i="1"/>
  <c r="D1138" i="5" s="1"/>
  <c r="D1139" i="1"/>
  <c r="D1140" i="1"/>
  <c r="D1141" i="1"/>
  <c r="D1142" i="1"/>
  <c r="D1142" i="5" s="1"/>
  <c r="D1143" i="1"/>
  <c r="D1144" i="1"/>
  <c r="D1145" i="1"/>
  <c r="D1146" i="1"/>
  <c r="D1146" i="5" s="1"/>
  <c r="D1147" i="1"/>
  <c r="D1148" i="1"/>
  <c r="D1149" i="1"/>
  <c r="D1150" i="1"/>
  <c r="D1150" i="5" s="1"/>
  <c r="D1151" i="1"/>
  <c r="D1152" i="1"/>
  <c r="D1153" i="1"/>
  <c r="D1154" i="1"/>
  <c r="D1154" i="5" s="1"/>
  <c r="D1155" i="1"/>
  <c r="D1156" i="1"/>
  <c r="D1157" i="1"/>
  <c r="D1158" i="1"/>
  <c r="D1158" i="5" s="1"/>
  <c r="D1159" i="1"/>
  <c r="D1160" i="1"/>
  <c r="D1161" i="1"/>
  <c r="D1162" i="1"/>
  <c r="D1162" i="5" s="1"/>
  <c r="D1163" i="1"/>
  <c r="D1164" i="1"/>
  <c r="D1165" i="1"/>
  <c r="D1166" i="1"/>
  <c r="D1166" i="5" s="1"/>
  <c r="D1167" i="1"/>
  <c r="D1168" i="1"/>
  <c r="D1169" i="1"/>
  <c r="D1170" i="1"/>
  <c r="D1170" i="5" s="1"/>
  <c r="D1171" i="1"/>
  <c r="D1172" i="1"/>
  <c r="D1173" i="1"/>
  <c r="D1174" i="1"/>
  <c r="D1174" i="5" s="1"/>
  <c r="D1175" i="1"/>
  <c r="D1176" i="1"/>
  <c r="D1177" i="1"/>
  <c r="D1178" i="1"/>
  <c r="D1178" i="5" s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0" i="5" s="1"/>
  <c r="D1191" i="1"/>
  <c r="D1192" i="1"/>
  <c r="D1193" i="1"/>
  <c r="D1194" i="1"/>
  <c r="D1194" i="5" s="1"/>
  <c r="D1195" i="1"/>
  <c r="D1196" i="1"/>
  <c r="D1197" i="1"/>
  <c r="D1198" i="1"/>
  <c r="D1198" i="5" s="1"/>
  <c r="D1199" i="1"/>
  <c r="D1200" i="1"/>
  <c r="D1201" i="1"/>
  <c r="D1202" i="1"/>
  <c r="D1202" i="5" s="1"/>
  <c r="D1203" i="1"/>
  <c r="D1204" i="1"/>
  <c r="D1205" i="1"/>
  <c r="D1206" i="1"/>
  <c r="D1206" i="5" s="1"/>
  <c r="D1207" i="1"/>
  <c r="D1208" i="1"/>
  <c r="D1209" i="1"/>
  <c r="D1210" i="1"/>
  <c r="D1210" i="5" s="1"/>
  <c r="D1211" i="1"/>
  <c r="D1212" i="1"/>
  <c r="D1213" i="1"/>
  <c r="D1214" i="1"/>
  <c r="D1214" i="5" s="1"/>
  <c r="D1215" i="1"/>
  <c r="D1216" i="1"/>
  <c r="D1217" i="1"/>
  <c r="D1218" i="1"/>
  <c r="D1218" i="5" s="1"/>
  <c r="D1219" i="1"/>
  <c r="D1220" i="1"/>
  <c r="D1221" i="1"/>
  <c r="D1222" i="1"/>
  <c r="D1222" i="5" s="1"/>
  <c r="D1223" i="1"/>
  <c r="D1224" i="1"/>
  <c r="D1225" i="1"/>
  <c r="D1226" i="1"/>
  <c r="D1226" i="5" s="1"/>
  <c r="D1227" i="1"/>
  <c r="D1228" i="1"/>
  <c r="D1229" i="1"/>
  <c r="D1230" i="1"/>
  <c r="D1230" i="5" s="1"/>
  <c r="D1231" i="1"/>
  <c r="D1232" i="1"/>
  <c r="D1233" i="1"/>
  <c r="D1234" i="1"/>
  <c r="D1234" i="5" s="1"/>
  <c r="D1235" i="1"/>
  <c r="D1236" i="1"/>
  <c r="D1237" i="1"/>
  <c r="D1238" i="1"/>
  <c r="D1238" i="5" s="1"/>
  <c r="D1239" i="1"/>
  <c r="D1240" i="1"/>
  <c r="D1241" i="1"/>
  <c r="D1242" i="1"/>
  <c r="D1242" i="5" s="1"/>
  <c r="D1243" i="1"/>
  <c r="D1244" i="1"/>
  <c r="D1245" i="1"/>
  <c r="D1246" i="1"/>
  <c r="D1247" i="1"/>
  <c r="D1248" i="1"/>
  <c r="D1249" i="1"/>
  <c r="D1250" i="1"/>
  <c r="D1250" i="5" s="1"/>
  <c r="D1251" i="1"/>
  <c r="D1252" i="1"/>
  <c r="D1253" i="1"/>
  <c r="D1254" i="1"/>
  <c r="D1254" i="5" s="1"/>
  <c r="D1255" i="1"/>
  <c r="D1256" i="1"/>
  <c r="D1257" i="1"/>
  <c r="D1258" i="1"/>
  <c r="D1258" i="5" s="1"/>
  <c r="D1259" i="1"/>
  <c r="D1260" i="1"/>
  <c r="D1261" i="1"/>
  <c r="D1262" i="1"/>
  <c r="D1262" i="5" s="1"/>
  <c r="D1263" i="1"/>
  <c r="D1264" i="1"/>
  <c r="D1265" i="1"/>
  <c r="D1266" i="1"/>
  <c r="D1266" i="5" s="1"/>
  <c r="D1267" i="1"/>
  <c r="D1268" i="1"/>
  <c r="D1269" i="1"/>
  <c r="D1270" i="1"/>
  <c r="D1270" i="5" s="1"/>
  <c r="D1271" i="1"/>
  <c r="D1272" i="1"/>
  <c r="D1273" i="1"/>
  <c r="D1274" i="1"/>
  <c r="D1274" i="5" s="1"/>
  <c r="D1275" i="1"/>
  <c r="D1276" i="1"/>
  <c r="D1277" i="1"/>
  <c r="D1278" i="1"/>
  <c r="D1278" i="5" s="1"/>
  <c r="D1279" i="1"/>
  <c r="D1280" i="1"/>
  <c r="D1281" i="1"/>
  <c r="D1282" i="1"/>
  <c r="D1282" i="5" s="1"/>
  <c r="D1283" i="1"/>
  <c r="D1284" i="1"/>
  <c r="D1285" i="1"/>
  <c r="D1286" i="1"/>
  <c r="D1286" i="5" s="1"/>
  <c r="D1287" i="1"/>
  <c r="D1288" i="1"/>
  <c r="D1289" i="1"/>
  <c r="D1290" i="1"/>
  <c r="D1290" i="5" s="1"/>
  <c r="D1291" i="1"/>
  <c r="D1292" i="1"/>
  <c r="D1293" i="1"/>
  <c r="D1294" i="1"/>
  <c r="D1294" i="5" s="1"/>
  <c r="D1295" i="1"/>
  <c r="D1296" i="1"/>
  <c r="D1297" i="1"/>
  <c r="D1298" i="1"/>
  <c r="D1298" i="5" s="1"/>
  <c r="D1299" i="1"/>
  <c r="D1300" i="1"/>
  <c r="D1301" i="1"/>
  <c r="D1302" i="1"/>
  <c r="D1302" i="5" s="1"/>
  <c r="D1303" i="1"/>
  <c r="D1304" i="1"/>
  <c r="D1305" i="1"/>
  <c r="D1306" i="1"/>
  <c r="D1306" i="5" s="1"/>
  <c r="D1307" i="1"/>
  <c r="D1308" i="1"/>
  <c r="D1309" i="1"/>
  <c r="D1310" i="1"/>
  <c r="D1311" i="1"/>
  <c r="D1312" i="1"/>
  <c r="D1313" i="1"/>
  <c r="D1314" i="1"/>
  <c r="D1314" i="5" s="1"/>
  <c r="D1315" i="1"/>
  <c r="D1316" i="1"/>
  <c r="D1317" i="1"/>
  <c r="D1318" i="1"/>
  <c r="D1318" i="5" s="1"/>
  <c r="D1319" i="1"/>
  <c r="D1320" i="1"/>
  <c r="D1321" i="1"/>
  <c r="D1322" i="1"/>
  <c r="D1322" i="5" s="1"/>
  <c r="D1323" i="1"/>
  <c r="D1324" i="1"/>
  <c r="D1325" i="1"/>
  <c r="D1326" i="1"/>
  <c r="D1326" i="5" s="1"/>
  <c r="D1327" i="1"/>
  <c r="D1328" i="1"/>
  <c r="D1329" i="1"/>
  <c r="D1330" i="1"/>
  <c r="D1330" i="5" s="1"/>
  <c r="D1331" i="1"/>
  <c r="D1332" i="1"/>
  <c r="D1333" i="1"/>
  <c r="D1334" i="1"/>
  <c r="D1334" i="5" s="1"/>
  <c r="D1335" i="1"/>
  <c r="D1336" i="1"/>
  <c r="D1337" i="1"/>
  <c r="D1338" i="1"/>
  <c r="D1338" i="5" s="1"/>
  <c r="D1339" i="1"/>
  <c r="D1340" i="1"/>
  <c r="D1341" i="1"/>
  <c r="D1342" i="1"/>
  <c r="D1342" i="5" s="1"/>
  <c r="D1343" i="1"/>
  <c r="D1344" i="1"/>
  <c r="D1345" i="1"/>
  <c r="D1346" i="1"/>
  <c r="D1346" i="5" s="1"/>
  <c r="D1347" i="1"/>
  <c r="D1348" i="1"/>
  <c r="D1349" i="1"/>
  <c r="D1350" i="1"/>
  <c r="D1350" i="5" s="1"/>
  <c r="D1351" i="1"/>
  <c r="D1352" i="1"/>
  <c r="D1353" i="1"/>
  <c r="D1354" i="1"/>
  <c r="D1354" i="5" s="1"/>
  <c r="D1355" i="1"/>
  <c r="D1356" i="1"/>
  <c r="D1357" i="1"/>
  <c r="D1358" i="1"/>
  <c r="D1358" i="5" s="1"/>
  <c r="D1359" i="1"/>
  <c r="D1360" i="1"/>
  <c r="D1361" i="1"/>
  <c r="D1362" i="1"/>
  <c r="D1362" i="5" s="1"/>
  <c r="D1363" i="1"/>
  <c r="D1364" i="1"/>
  <c r="D1365" i="1"/>
  <c r="D1366" i="1"/>
  <c r="D1366" i="5" s="1"/>
  <c r="D1367" i="1"/>
  <c r="D1368" i="1"/>
  <c r="D1369" i="1"/>
  <c r="D1370" i="1"/>
  <c r="D1370" i="5" s="1"/>
  <c r="D1371" i="1"/>
  <c r="D1372" i="1"/>
  <c r="D1373" i="1"/>
  <c r="D1374" i="1"/>
  <c r="D1375" i="1"/>
  <c r="D1376" i="1"/>
  <c r="D1377" i="1"/>
  <c r="D1378" i="1"/>
  <c r="D1378" i="5" s="1"/>
  <c r="D1379" i="1"/>
  <c r="D1380" i="1"/>
  <c r="D1381" i="1"/>
  <c r="D1382" i="1"/>
  <c r="D1382" i="5" s="1"/>
  <c r="D1383" i="1"/>
  <c r="D1384" i="1"/>
  <c r="D1385" i="1"/>
  <c r="D1386" i="1"/>
  <c r="D1386" i="5" s="1"/>
  <c r="D1387" i="1"/>
  <c r="D1388" i="1"/>
  <c r="D1389" i="1"/>
  <c r="D1390" i="1"/>
  <c r="D1390" i="5" s="1"/>
  <c r="D1391" i="1"/>
  <c r="D1392" i="1"/>
  <c r="D1393" i="1"/>
  <c r="D1394" i="1"/>
  <c r="D1394" i="5" s="1"/>
  <c r="D1395" i="1"/>
  <c r="D1396" i="1"/>
  <c r="D1397" i="1"/>
  <c r="D1398" i="1"/>
  <c r="D1398" i="5" s="1"/>
  <c r="D1399" i="1"/>
  <c r="D1400" i="5" s="1"/>
  <c r="D1400" i="1"/>
  <c r="D1401" i="1"/>
  <c r="D1402" i="1"/>
  <c r="D1402" i="5" s="1"/>
  <c r="D1403" i="1"/>
  <c r="D1404" i="1"/>
  <c r="D1405" i="1"/>
  <c r="D1406" i="1"/>
  <c r="D1406" i="5" s="1"/>
  <c r="D1407" i="1"/>
  <c r="D1408" i="5" s="1"/>
  <c r="D1408" i="1"/>
  <c r="D1409" i="1"/>
  <c r="D1410" i="1"/>
  <c r="D1410" i="5" s="1"/>
  <c r="D1411" i="1"/>
  <c r="D1412" i="1"/>
  <c r="D1413" i="1"/>
  <c r="D1414" i="1"/>
  <c r="D1414" i="5" s="1"/>
  <c r="D1415" i="1"/>
  <c r="D1416" i="5" s="1"/>
  <c r="D1416" i="1"/>
  <c r="D1417" i="1"/>
  <c r="D1418" i="1"/>
  <c r="D1418" i="5" s="1"/>
  <c r="D1419" i="1"/>
  <c r="D1420" i="1"/>
  <c r="D1421" i="1"/>
  <c r="D1422" i="1"/>
  <c r="D1422" i="5" s="1"/>
  <c r="D1423" i="1"/>
  <c r="D1424" i="5" s="1"/>
  <c r="D1424" i="1"/>
  <c r="D1425" i="1"/>
  <c r="D1426" i="1"/>
  <c r="D1426" i="5" s="1"/>
  <c r="D1427" i="1"/>
  <c r="D1428" i="1"/>
  <c r="D1429" i="1"/>
  <c r="D1430" i="1"/>
  <c r="D1430" i="5" s="1"/>
  <c r="D1431" i="1"/>
  <c r="D1432" i="5" s="1"/>
  <c r="D1432" i="1"/>
  <c r="D1433" i="1"/>
  <c r="D1434" i="1"/>
  <c r="D1434" i="5" s="1"/>
  <c r="D1435" i="1"/>
  <c r="D1436" i="1"/>
  <c r="D1437" i="1"/>
  <c r="D1438" i="1"/>
  <c r="D1439" i="1"/>
  <c r="D1440" i="5" s="1"/>
  <c r="D1440" i="1"/>
  <c r="D1441" i="1"/>
  <c r="D1442" i="1"/>
  <c r="D1442" i="5" s="1"/>
  <c r="D1443" i="1"/>
  <c r="D1444" i="1"/>
  <c r="D1445" i="1"/>
  <c r="D1446" i="1"/>
  <c r="D1446" i="5" s="1"/>
  <c r="D1447" i="1"/>
  <c r="D1448" i="5" s="1"/>
  <c r="D1448" i="1"/>
  <c r="D1449" i="1"/>
  <c r="D1450" i="1"/>
  <c r="D1450" i="5" s="1"/>
  <c r="D1451" i="1"/>
  <c r="D1452" i="1"/>
  <c r="D1453" i="1"/>
  <c r="D1454" i="1"/>
  <c r="D1454" i="5" s="1"/>
  <c r="D1455" i="1"/>
  <c r="D1456" i="5" s="1"/>
  <c r="D1456" i="1"/>
  <c r="D1457" i="1"/>
  <c r="D1458" i="1"/>
  <c r="D1458" i="5" s="1"/>
  <c r="D1459" i="1"/>
  <c r="D1460" i="1"/>
  <c r="D1461" i="1"/>
  <c r="D1462" i="1"/>
  <c r="D1462" i="5" s="1"/>
  <c r="D1463" i="1"/>
  <c r="D1464" i="5" s="1"/>
  <c r="D1464" i="1"/>
  <c r="D1465" i="1"/>
  <c r="D1466" i="1"/>
  <c r="D1466" i="5" s="1"/>
  <c r="D1467" i="1"/>
  <c r="D1468" i="1"/>
  <c r="D1469" i="1"/>
  <c r="D1470" i="1"/>
  <c r="D1470" i="5" s="1"/>
  <c r="D1471" i="1"/>
  <c r="D1472" i="5" s="1"/>
  <c r="D1472" i="1"/>
  <c r="D1473" i="1"/>
  <c r="D1474" i="1"/>
  <c r="D1474" i="5" s="1"/>
  <c r="D1475" i="1"/>
  <c r="D1476" i="1"/>
  <c r="D1477" i="1"/>
  <c r="D1478" i="1"/>
  <c r="D1478" i="5" s="1"/>
  <c r="D1479" i="1"/>
  <c r="D1480" i="5" s="1"/>
  <c r="D1480" i="1"/>
  <c r="D1481" i="1"/>
  <c r="D1482" i="1"/>
  <c r="D1482" i="5" s="1"/>
  <c r="D1483" i="1"/>
  <c r="D1484" i="1"/>
  <c r="D1485" i="1"/>
  <c r="D1486" i="1"/>
  <c r="D1487" i="1"/>
  <c r="D1488" i="1"/>
  <c r="D1489" i="1"/>
  <c r="D1490" i="1"/>
  <c r="D1491" i="1"/>
  <c r="D1492" i="1"/>
  <c r="D2" i="1"/>
  <c r="E3" i="1"/>
  <c r="E4" i="1"/>
  <c r="E5" i="1"/>
  <c r="E6" i="1"/>
  <c r="E7" i="5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5" s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5" s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5" s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5" s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5" s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5" s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5" s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5" s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5" s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6" i="5" s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2" i="5" s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8" i="5" s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0" i="5" s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6" i="5" s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2" i="5" s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4" i="5" s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0" i="5" s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6" i="5" s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8" i="5" s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4" i="5" s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0" i="5" s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2" i="5" s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8" i="5" s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4" i="5" s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6" i="5" s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2" i="5" s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8" i="5" s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0" i="5" s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6" i="5" s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2" i="5" s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4" i="5" s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0" i="5" s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6" i="5" s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8" i="5" s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4" i="5" s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0" i="5" s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3" i="5" s="1"/>
  <c r="E1354" i="1"/>
  <c r="E1355" i="1"/>
  <c r="E1356" i="1"/>
  <c r="E1357" i="1"/>
  <c r="E1358" i="1"/>
  <c r="E1359" i="1"/>
  <c r="E1360" i="1"/>
  <c r="E1361" i="1"/>
  <c r="E1361" i="5" s="1"/>
  <c r="E1362" i="1"/>
  <c r="E1363" i="1"/>
  <c r="E1364" i="1"/>
  <c r="E1365" i="1"/>
  <c r="E1366" i="1"/>
  <c r="E1367" i="1"/>
  <c r="E1368" i="1"/>
  <c r="E1369" i="1"/>
  <c r="E1369" i="5" s="1"/>
  <c r="E1370" i="1"/>
  <c r="E1371" i="1"/>
  <c r="E1372" i="1"/>
  <c r="E1373" i="1"/>
  <c r="E1374" i="1"/>
  <c r="E1375" i="1"/>
  <c r="E1376" i="1"/>
  <c r="E1377" i="1"/>
  <c r="E1377" i="5" s="1"/>
  <c r="E1378" i="1"/>
  <c r="E1379" i="1"/>
  <c r="E1380" i="1"/>
  <c r="E1381" i="1"/>
  <c r="E1382" i="1"/>
  <c r="E1383" i="1"/>
  <c r="E1384" i="1"/>
  <c r="E1385" i="1"/>
  <c r="E1385" i="5" s="1"/>
  <c r="E1386" i="1"/>
  <c r="E1387" i="1"/>
  <c r="E1388" i="1"/>
  <c r="E1389" i="1"/>
  <c r="E1390" i="1"/>
  <c r="E1391" i="1"/>
  <c r="E1392" i="1"/>
  <c r="E1393" i="1"/>
  <c r="E1393" i="5" s="1"/>
  <c r="E1394" i="1"/>
  <c r="E1394" i="5" s="1"/>
  <c r="E1395" i="1"/>
  <c r="E1396" i="1"/>
  <c r="E1397" i="1"/>
  <c r="E1398" i="1"/>
  <c r="E1398" i="5" s="1"/>
  <c r="E1399" i="1"/>
  <c r="E1400" i="1"/>
  <c r="E1401" i="1"/>
  <c r="E1401" i="5" s="1"/>
  <c r="E1402" i="1"/>
  <c r="E1403" i="5" s="1"/>
  <c r="E1403" i="1"/>
  <c r="E1404" i="1"/>
  <c r="E1405" i="1"/>
  <c r="E1406" i="1"/>
  <c r="E1407" i="1"/>
  <c r="E1408" i="5" s="1"/>
  <c r="E1408" i="1"/>
  <c r="E1409" i="1"/>
  <c r="E1410" i="1"/>
  <c r="E1410" i="5" s="1"/>
  <c r="E1411" i="1"/>
  <c r="E1412" i="1"/>
  <c r="E1413" i="1"/>
  <c r="E1414" i="1"/>
  <c r="E1414" i="5" s="1"/>
  <c r="E1415" i="1"/>
  <c r="E1416" i="5" s="1"/>
  <c r="E1416" i="1"/>
  <c r="E1417" i="1"/>
  <c r="E1418" i="1"/>
  <c r="E1418" i="5" s="1"/>
  <c r="E1419" i="1"/>
  <c r="E1420" i="1"/>
  <c r="E1421" i="1"/>
  <c r="E1421" i="5" s="1"/>
  <c r="E1422" i="1"/>
  <c r="E1423" i="1"/>
  <c r="E1424" i="1"/>
  <c r="E1425" i="1"/>
  <c r="E1426" i="1"/>
  <c r="E1426" i="5" s="1"/>
  <c r="E1427" i="1"/>
  <c r="E1428" i="1"/>
  <c r="E1429" i="1"/>
  <c r="E1429" i="5" s="1"/>
  <c r="E1430" i="1"/>
  <c r="E1430" i="5" s="1"/>
  <c r="E1431" i="1"/>
  <c r="E1432" i="1"/>
  <c r="E1433" i="1"/>
  <c r="E1434" i="1"/>
  <c r="E1435" i="1"/>
  <c r="E1436" i="1"/>
  <c r="E1437" i="1"/>
  <c r="E1438" i="1"/>
  <c r="E1438" i="5" s="1"/>
  <c r="E1439" i="1"/>
  <c r="E1440" i="1"/>
  <c r="E1441" i="1"/>
  <c r="E1442" i="1"/>
  <c r="E1443" i="1"/>
  <c r="E1444" i="5" s="1"/>
  <c r="E1444" i="1"/>
  <c r="E1445" i="1"/>
  <c r="E1446" i="1"/>
  <c r="E1446" i="5" s="1"/>
  <c r="E1447" i="1"/>
  <c r="E1448" i="1"/>
  <c r="E1449" i="1"/>
  <c r="E1450" i="1"/>
  <c r="E1451" i="1"/>
  <c r="E1452" i="1"/>
  <c r="E1453" i="1"/>
  <c r="E1454" i="1"/>
  <c r="E1454" i="5" s="1"/>
  <c r="E1455" i="1"/>
  <c r="E1456" i="1"/>
  <c r="E1457" i="1"/>
  <c r="E1458" i="1"/>
  <c r="E1459" i="1"/>
  <c r="E1460" i="5" s="1"/>
  <c r="E1460" i="1"/>
  <c r="E1461" i="1"/>
  <c r="E1462" i="1"/>
  <c r="E1462" i="5" s="1"/>
  <c r="E1463" i="1"/>
  <c r="E1464" i="1"/>
  <c r="E1465" i="1"/>
  <c r="E1466" i="1"/>
  <c r="E1467" i="1"/>
  <c r="E1468" i="1"/>
  <c r="E1469" i="1"/>
  <c r="E1470" i="1"/>
  <c r="E1470" i="5" s="1"/>
  <c r="E1471" i="1"/>
  <c r="E1472" i="1"/>
  <c r="E1473" i="1"/>
  <c r="E1474" i="1"/>
  <c r="E1475" i="1"/>
  <c r="E1476" i="5" s="1"/>
  <c r="E1476" i="1"/>
  <c r="E1477" i="1"/>
  <c r="E1478" i="1"/>
  <c r="E1478" i="5" s="1"/>
  <c r="E1479" i="1"/>
  <c r="E1480" i="1"/>
  <c r="E1481" i="1"/>
  <c r="E1481" i="5" s="1"/>
  <c r="E1482" i="1"/>
  <c r="E1483" i="1"/>
  <c r="E1484" i="1"/>
  <c r="E1485" i="1"/>
  <c r="E1486" i="1"/>
  <c r="E1486" i="5" s="1"/>
  <c r="E1487" i="1"/>
  <c r="E1488" i="1"/>
  <c r="E1489" i="1"/>
  <c r="E1490" i="1"/>
  <c r="E1491" i="1"/>
  <c r="E1492" i="5" s="1"/>
  <c r="E1492" i="1"/>
  <c r="E2" i="1"/>
  <c r="D338" i="5"/>
  <c r="D594" i="5"/>
  <c r="D670" i="5"/>
  <c r="D734" i="5"/>
  <c r="D798" i="5"/>
  <c r="D862" i="5"/>
  <c r="D926" i="5"/>
  <c r="D990" i="5"/>
  <c r="D1054" i="5"/>
  <c r="D1118" i="5"/>
  <c r="D1182" i="5"/>
  <c r="D1246" i="5"/>
  <c r="D1310" i="5"/>
  <c r="D1374" i="5"/>
  <c r="D1438" i="5"/>
  <c r="D1485" i="5"/>
  <c r="D1489" i="5"/>
  <c r="E71" i="5"/>
  <c r="E327" i="5"/>
  <c r="E463" i="5"/>
  <c r="E591" i="5"/>
  <c r="E654" i="5"/>
  <c r="E718" i="5"/>
  <c r="E782" i="5"/>
  <c r="E846" i="5"/>
  <c r="E910" i="5"/>
  <c r="E974" i="5"/>
  <c r="E1038" i="5"/>
  <c r="E1102" i="5"/>
  <c r="E1166" i="5"/>
  <c r="E1406" i="5"/>
  <c r="E1422" i="5"/>
  <c r="E1433" i="5"/>
  <c r="E1434" i="5"/>
  <c r="E1437" i="5"/>
  <c r="E1441" i="5"/>
  <c r="E1442" i="5"/>
  <c r="E1445" i="5"/>
  <c r="E1449" i="5"/>
  <c r="E1450" i="5"/>
  <c r="E1453" i="5"/>
  <c r="E1457" i="5"/>
  <c r="E1458" i="5"/>
  <c r="E1461" i="5"/>
  <c r="E1465" i="5"/>
  <c r="E1466" i="5"/>
  <c r="E1469" i="5"/>
  <c r="E1473" i="5"/>
  <c r="E1474" i="5"/>
  <c r="E1477" i="5"/>
  <c r="E1482" i="5"/>
  <c r="E1485" i="5"/>
  <c r="E1489" i="5"/>
  <c r="E1490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8" i="5" s="1"/>
  <c r="H959" i="1"/>
  <c r="H960" i="1"/>
  <c r="H961" i="1"/>
  <c r="H962" i="1"/>
  <c r="H962" i="5" s="1"/>
  <c r="H963" i="1"/>
  <c r="H964" i="1"/>
  <c r="H965" i="1"/>
  <c r="H966" i="1"/>
  <c r="H967" i="1"/>
  <c r="H968" i="1"/>
  <c r="H969" i="1"/>
  <c r="H970" i="1"/>
  <c r="H970" i="5" s="1"/>
  <c r="H971" i="1"/>
  <c r="H972" i="1"/>
  <c r="H973" i="1"/>
  <c r="H974" i="1"/>
  <c r="H974" i="5" s="1"/>
  <c r="H975" i="1"/>
  <c r="H976" i="1"/>
  <c r="H977" i="1"/>
  <c r="H978" i="1"/>
  <c r="H978" i="5" s="1"/>
  <c r="H979" i="1"/>
  <c r="H980" i="1"/>
  <c r="H981" i="1"/>
  <c r="H982" i="1"/>
  <c r="H983" i="1"/>
  <c r="H984" i="1"/>
  <c r="H985" i="1"/>
  <c r="H986" i="1"/>
  <c r="H986" i="5" s="1"/>
  <c r="H987" i="1"/>
  <c r="H988" i="1"/>
  <c r="H989" i="1"/>
  <c r="H990" i="1"/>
  <c r="H990" i="5" s="1"/>
  <c r="H991" i="1"/>
  <c r="H992" i="1"/>
  <c r="H993" i="1"/>
  <c r="H994" i="1"/>
  <c r="H994" i="5" s="1"/>
  <c r="H995" i="1"/>
  <c r="H996" i="1"/>
  <c r="H997" i="1"/>
  <c r="H998" i="1"/>
  <c r="H999" i="1"/>
  <c r="H1000" i="1"/>
  <c r="H1001" i="1"/>
  <c r="H1002" i="1"/>
  <c r="H1002" i="5" s="1"/>
  <c r="H1003" i="1"/>
  <c r="H1004" i="1"/>
  <c r="H1005" i="1"/>
  <c r="H1006" i="1"/>
  <c r="H1006" i="5" s="1"/>
  <c r="H1007" i="1"/>
  <c r="H1008" i="1"/>
  <c r="H1009" i="1"/>
  <c r="H1010" i="1"/>
  <c r="H1010" i="5" s="1"/>
  <c r="H1011" i="1"/>
  <c r="H1012" i="1"/>
  <c r="H1013" i="1"/>
  <c r="H1014" i="1"/>
  <c r="H1015" i="1"/>
  <c r="H1016" i="1"/>
  <c r="H1017" i="1"/>
  <c r="H1018" i="1"/>
  <c r="H1018" i="5" s="1"/>
  <c r="H1019" i="1"/>
  <c r="H1020" i="1"/>
  <c r="H1021" i="1"/>
  <c r="H1022" i="1"/>
  <c r="H1022" i="5" s="1"/>
  <c r="H1023" i="1"/>
  <c r="H1024" i="1"/>
  <c r="H1025" i="1"/>
  <c r="H1026" i="1"/>
  <c r="H1026" i="5" s="1"/>
  <c r="H1027" i="1"/>
  <c r="H1028" i="1"/>
  <c r="H1029" i="1"/>
  <c r="H1030" i="1"/>
  <c r="H1031" i="1"/>
  <c r="H1032" i="1"/>
  <c r="H1033" i="1"/>
  <c r="H1034" i="1"/>
  <c r="H1034" i="5" s="1"/>
  <c r="H1035" i="1"/>
  <c r="H1036" i="1"/>
  <c r="H1037" i="1"/>
  <c r="H1038" i="1"/>
  <c r="H1038" i="5" s="1"/>
  <c r="H1039" i="1"/>
  <c r="H1040" i="1"/>
  <c r="H1041" i="1"/>
  <c r="H1042" i="1"/>
  <c r="H1042" i="5" s="1"/>
  <c r="H1043" i="1"/>
  <c r="H1044" i="1"/>
  <c r="H1045" i="1"/>
  <c r="H1046" i="1"/>
  <c r="H1047" i="1"/>
  <c r="H1048" i="1"/>
  <c r="H1049" i="1"/>
  <c r="H1050" i="1"/>
  <c r="H1050" i="5" s="1"/>
  <c r="H1051" i="1"/>
  <c r="H1052" i="1"/>
  <c r="H1053" i="1"/>
  <c r="H1054" i="1"/>
  <c r="H1054" i="5" s="1"/>
  <c r="H1055" i="1"/>
  <c r="H1056" i="1"/>
  <c r="H1057" i="1"/>
  <c r="H1058" i="1"/>
  <c r="H1058" i="5" s="1"/>
  <c r="H1059" i="1"/>
  <c r="H1060" i="1"/>
  <c r="H1061" i="1"/>
  <c r="H1062" i="1"/>
  <c r="H1063" i="1"/>
  <c r="H1064" i="1"/>
  <c r="H1065" i="1"/>
  <c r="H1066" i="1"/>
  <c r="H1066" i="5" s="1"/>
  <c r="H1067" i="1"/>
  <c r="H1068" i="1"/>
  <c r="H1069" i="1"/>
  <c r="H1070" i="1"/>
  <c r="H1070" i="5" s="1"/>
  <c r="H1071" i="1"/>
  <c r="H1072" i="1"/>
  <c r="H1073" i="1"/>
  <c r="H1074" i="1"/>
  <c r="H1074" i="5" s="1"/>
  <c r="H1075" i="1"/>
  <c r="H1076" i="1"/>
  <c r="H1077" i="1"/>
  <c r="H1078" i="1"/>
  <c r="H1079" i="1"/>
  <c r="H1080" i="1"/>
  <c r="H1081" i="1"/>
  <c r="H1082" i="1"/>
  <c r="H1082" i="5" s="1"/>
  <c r="H1083" i="1"/>
  <c r="H1084" i="1"/>
  <c r="H1085" i="1"/>
  <c r="H1086" i="1"/>
  <c r="H1086" i="5" s="1"/>
  <c r="H1087" i="1"/>
  <c r="H1088" i="1"/>
  <c r="H1089" i="1"/>
  <c r="H1090" i="1"/>
  <c r="H1090" i="5" s="1"/>
  <c r="H1091" i="1"/>
  <c r="H1092" i="1"/>
  <c r="H1093" i="1"/>
  <c r="H1094" i="1"/>
  <c r="H1095" i="1"/>
  <c r="H1096" i="1"/>
  <c r="H1097" i="1"/>
  <c r="H1098" i="1"/>
  <c r="H1098" i="5" s="1"/>
  <c r="H1099" i="1"/>
  <c r="H1100" i="1"/>
  <c r="H1101" i="1"/>
  <c r="H1102" i="1"/>
  <c r="H1102" i="5" s="1"/>
  <c r="H1103" i="1"/>
  <c r="H1104" i="1"/>
  <c r="H1105" i="1"/>
  <c r="H1106" i="1"/>
  <c r="H1106" i="5" s="1"/>
  <c r="H1107" i="1"/>
  <c r="H1108" i="1"/>
  <c r="H1109" i="1"/>
  <c r="H1110" i="1"/>
  <c r="H1111" i="1"/>
  <c r="H1112" i="1"/>
  <c r="H1113" i="1"/>
  <c r="H1114" i="1"/>
  <c r="H1114" i="5" s="1"/>
  <c r="H1115" i="1"/>
  <c r="H1116" i="1"/>
  <c r="H1117" i="1"/>
  <c r="H1118" i="1"/>
  <c r="H1118" i="5" s="1"/>
  <c r="H1119" i="1"/>
  <c r="H1120" i="1"/>
  <c r="H1121" i="1"/>
  <c r="H1122" i="1"/>
  <c r="H1122" i="5" s="1"/>
  <c r="H1123" i="1"/>
  <c r="H1124" i="1"/>
  <c r="H1125" i="1"/>
  <c r="H1126" i="1"/>
  <c r="H1127" i="1"/>
  <c r="H1128" i="1"/>
  <c r="H1129" i="1"/>
  <c r="H1130" i="1"/>
  <c r="H1130" i="5" s="1"/>
  <c r="H1131" i="1"/>
  <c r="H1132" i="1"/>
  <c r="H1133" i="1"/>
  <c r="H1134" i="1"/>
  <c r="H1134" i="5" s="1"/>
  <c r="H1135" i="1"/>
  <c r="H1136" i="1"/>
  <c r="H1137" i="1"/>
  <c r="H1138" i="1"/>
  <c r="H1138" i="5" s="1"/>
  <c r="H1139" i="1"/>
  <c r="H1140" i="1"/>
  <c r="H1141" i="1"/>
  <c r="H1142" i="1"/>
  <c r="H1143" i="1"/>
  <c r="H1144" i="1"/>
  <c r="H1145" i="1"/>
  <c r="H1146" i="1"/>
  <c r="H1146" i="5" s="1"/>
  <c r="H1147" i="1"/>
  <c r="H1148" i="1"/>
  <c r="H1149" i="1"/>
  <c r="H1150" i="1"/>
  <c r="H1150" i="5" s="1"/>
  <c r="H1151" i="1"/>
  <c r="H1152" i="1"/>
  <c r="H1153" i="1"/>
  <c r="H1154" i="1"/>
  <c r="H1154" i="5" s="1"/>
  <c r="H1155" i="1"/>
  <c r="H1156" i="1"/>
  <c r="H1157" i="1"/>
  <c r="H1158" i="1"/>
  <c r="H1159" i="1"/>
  <c r="H1160" i="1"/>
  <c r="H1161" i="1"/>
  <c r="H1162" i="1"/>
  <c r="H1162" i="5" s="1"/>
  <c r="H1163" i="1"/>
  <c r="H1164" i="1"/>
  <c r="H1165" i="1"/>
  <c r="H1166" i="1"/>
  <c r="H1166" i="5" s="1"/>
  <c r="H1167" i="1"/>
  <c r="H1168" i="1"/>
  <c r="H1169" i="1"/>
  <c r="H1170" i="1"/>
  <c r="H1170" i="5" s="1"/>
  <c r="H1171" i="1"/>
  <c r="H1172" i="1"/>
  <c r="H1173" i="1"/>
  <c r="H1174" i="1"/>
  <c r="H1175" i="1"/>
  <c r="H1176" i="1"/>
  <c r="H1177" i="1"/>
  <c r="H1178" i="1"/>
  <c r="H1178" i="5" s="1"/>
  <c r="H1179" i="1"/>
  <c r="H1180" i="1"/>
  <c r="H1181" i="1"/>
  <c r="H1182" i="1"/>
  <c r="H1182" i="5" s="1"/>
  <c r="H1183" i="1"/>
  <c r="H1184" i="1"/>
  <c r="H1185" i="1"/>
  <c r="H1186" i="1"/>
  <c r="H1186" i="5" s="1"/>
  <c r="H1187" i="1"/>
  <c r="H1188" i="1"/>
  <c r="H1189" i="1"/>
  <c r="H1190" i="1"/>
  <c r="H1191" i="1"/>
  <c r="H1192" i="1"/>
  <c r="H1193" i="1"/>
  <c r="H1194" i="1"/>
  <c r="H1194" i="5" s="1"/>
  <c r="H1195" i="1"/>
  <c r="H1196" i="1"/>
  <c r="H1197" i="1"/>
  <c r="H1198" i="1"/>
  <c r="H1198" i="5" s="1"/>
  <c r="H1199" i="1"/>
  <c r="H1200" i="1"/>
  <c r="H1201" i="1"/>
  <c r="H1202" i="1"/>
  <c r="H1202" i="5" s="1"/>
  <c r="H1203" i="1"/>
  <c r="H1204" i="1"/>
  <c r="H1205" i="1"/>
  <c r="H1206" i="1"/>
  <c r="H1207" i="1"/>
  <c r="H1208" i="1"/>
  <c r="H1209" i="1"/>
  <c r="H1210" i="1"/>
  <c r="H1210" i="5" s="1"/>
  <c r="H1211" i="1"/>
  <c r="H1212" i="1"/>
  <c r="H1213" i="1"/>
  <c r="H1214" i="1"/>
  <c r="H1214" i="5" s="1"/>
  <c r="H1215" i="1"/>
  <c r="H1216" i="1"/>
  <c r="H1217" i="1"/>
  <c r="H1218" i="1"/>
  <c r="H1218" i="5" s="1"/>
  <c r="H1219" i="1"/>
  <c r="H1220" i="1"/>
  <c r="H1221" i="1"/>
  <c r="H1222" i="1"/>
  <c r="H1223" i="1"/>
  <c r="H1224" i="1"/>
  <c r="H1225" i="1"/>
  <c r="H1226" i="1"/>
  <c r="H1226" i="5" s="1"/>
  <c r="H1227" i="1"/>
  <c r="H1228" i="1"/>
  <c r="H1229" i="1"/>
  <c r="H1230" i="1"/>
  <c r="H1230" i="5" s="1"/>
  <c r="H1231" i="1"/>
  <c r="H1232" i="1"/>
  <c r="H1233" i="1"/>
  <c r="H1234" i="1"/>
  <c r="H1234" i="5" s="1"/>
  <c r="H1235" i="1"/>
  <c r="H1236" i="1"/>
  <c r="H1237" i="1"/>
  <c r="H1238" i="1"/>
  <c r="H1239" i="1"/>
  <c r="H1240" i="1"/>
  <c r="H1241" i="1"/>
  <c r="H1242" i="1"/>
  <c r="H1242" i="5" s="1"/>
  <c r="H1243" i="1"/>
  <c r="H1244" i="1"/>
  <c r="H1245" i="1"/>
  <c r="H1246" i="1"/>
  <c r="H1246" i="5" s="1"/>
  <c r="H1247" i="1"/>
  <c r="H1248" i="1"/>
  <c r="H1249" i="1"/>
  <c r="H1250" i="1"/>
  <c r="H1250" i="5" s="1"/>
  <c r="H1251" i="1"/>
  <c r="H1252" i="1"/>
  <c r="H1253" i="1"/>
  <c r="H1254" i="1"/>
  <c r="H1255" i="1"/>
  <c r="H1256" i="1"/>
  <c r="H1257" i="1"/>
  <c r="H1258" i="1"/>
  <c r="H1258" i="5" s="1"/>
  <c r="H1259" i="1"/>
  <c r="H1260" i="1"/>
  <c r="H1261" i="1"/>
  <c r="H1262" i="1"/>
  <c r="H1262" i="5" s="1"/>
  <c r="H1263" i="1"/>
  <c r="H1264" i="1"/>
  <c r="H1265" i="1"/>
  <c r="H1266" i="1"/>
  <c r="H1266" i="5" s="1"/>
  <c r="H1267" i="1"/>
  <c r="H1268" i="1"/>
  <c r="H1269" i="1"/>
  <c r="H1270" i="1"/>
  <c r="H1271" i="1"/>
  <c r="H1272" i="1"/>
  <c r="H1273" i="1"/>
  <c r="H1274" i="1"/>
  <c r="H1274" i="5" s="1"/>
  <c r="H1275" i="1"/>
  <c r="H1276" i="1"/>
  <c r="H1277" i="1"/>
  <c r="H1278" i="1"/>
  <c r="H1278" i="5" s="1"/>
  <c r="H1279" i="1"/>
  <c r="H1280" i="1"/>
  <c r="H1281" i="1"/>
  <c r="H1282" i="1"/>
  <c r="H1282" i="5" s="1"/>
  <c r="H1283" i="1"/>
  <c r="H1284" i="1"/>
  <c r="H1285" i="1"/>
  <c r="H1286" i="1"/>
  <c r="H1287" i="1"/>
  <c r="H1288" i="1"/>
  <c r="H1289" i="1"/>
  <c r="H1290" i="1"/>
  <c r="H1290" i="5" s="1"/>
  <c r="H1291" i="1"/>
  <c r="H1292" i="1"/>
  <c r="H1293" i="1"/>
  <c r="H1294" i="1"/>
  <c r="H1294" i="5" s="1"/>
  <c r="H1295" i="1"/>
  <c r="H1296" i="1"/>
  <c r="H1297" i="1"/>
  <c r="H1298" i="1"/>
  <c r="H1298" i="5" s="1"/>
  <c r="H1299" i="1"/>
  <c r="H1300" i="1"/>
  <c r="H1301" i="1"/>
  <c r="H1302" i="1"/>
  <c r="H1303" i="1"/>
  <c r="H1304" i="1"/>
  <c r="H1305" i="1"/>
  <c r="H1306" i="1"/>
  <c r="H1306" i="5" s="1"/>
  <c r="H1307" i="1"/>
  <c r="H1308" i="1"/>
  <c r="H1309" i="1"/>
  <c r="H1310" i="1"/>
  <c r="H1310" i="5" s="1"/>
  <c r="H1311" i="1"/>
  <c r="H1312" i="1"/>
  <c r="H1313" i="1"/>
  <c r="H1314" i="1"/>
  <c r="H1314" i="5" s="1"/>
  <c r="H1315" i="1"/>
  <c r="H1316" i="1"/>
  <c r="H1317" i="1"/>
  <c r="H1318" i="1"/>
  <c r="H1319" i="1"/>
  <c r="H1320" i="1"/>
  <c r="H1321" i="1"/>
  <c r="H1322" i="1"/>
  <c r="H1322" i="5" s="1"/>
  <c r="H1323" i="1"/>
  <c r="H1324" i="1"/>
  <c r="H1325" i="1"/>
  <c r="H1326" i="1"/>
  <c r="H1326" i="5" s="1"/>
  <c r="H1327" i="1"/>
  <c r="H1328" i="1"/>
  <c r="H1329" i="1"/>
  <c r="H1330" i="1"/>
  <c r="H1330" i="5" s="1"/>
  <c r="H1331" i="1"/>
  <c r="H1332" i="1"/>
  <c r="H1333" i="1"/>
  <c r="H1334" i="1"/>
  <c r="H1335" i="1"/>
  <c r="H1336" i="1"/>
  <c r="H1337" i="1"/>
  <c r="H1338" i="1"/>
  <c r="H1338" i="5" s="1"/>
  <c r="H1339" i="1"/>
  <c r="H1340" i="1"/>
  <c r="H1341" i="1"/>
  <c r="H1342" i="1"/>
  <c r="H1342" i="5" s="1"/>
  <c r="H1343" i="1"/>
  <c r="H1344" i="1"/>
  <c r="H1345" i="1"/>
  <c r="H1346" i="1"/>
  <c r="H1346" i="5" s="1"/>
  <c r="H1347" i="1"/>
  <c r="H1348" i="1"/>
  <c r="H1349" i="1"/>
  <c r="H1350" i="1"/>
  <c r="H1351" i="1"/>
  <c r="H1352" i="1"/>
  <c r="H1353" i="1"/>
  <c r="H1354" i="1"/>
  <c r="H1354" i="5" s="1"/>
  <c r="H1355" i="1"/>
  <c r="H1356" i="1"/>
  <c r="H1357" i="1"/>
  <c r="H1358" i="1"/>
  <c r="H1358" i="5" s="1"/>
  <c r="H1359" i="1"/>
  <c r="H1360" i="1"/>
  <c r="H1361" i="1"/>
  <c r="H1362" i="1"/>
  <c r="H1362" i="5" s="1"/>
  <c r="H1363" i="1"/>
  <c r="H1364" i="1"/>
  <c r="H1365" i="1"/>
  <c r="H1366" i="1"/>
  <c r="H1367" i="1"/>
  <c r="H1368" i="1"/>
  <c r="H1369" i="1"/>
  <c r="H1370" i="1"/>
  <c r="H1370" i="5" s="1"/>
  <c r="H1371" i="1"/>
  <c r="H1372" i="1"/>
  <c r="H1373" i="1"/>
  <c r="H1374" i="1"/>
  <c r="H1374" i="5" s="1"/>
  <c r="H1375" i="1"/>
  <c r="H1376" i="1"/>
  <c r="H1377" i="1"/>
  <c r="H1378" i="1"/>
  <c r="H1378" i="5" s="1"/>
  <c r="H1379" i="1"/>
  <c r="H1380" i="1"/>
  <c r="H1381" i="1"/>
  <c r="H1382" i="1"/>
  <c r="H1383" i="1"/>
  <c r="H1384" i="1"/>
  <c r="H1385" i="1"/>
  <c r="H1386" i="1"/>
  <c r="H1386" i="5" s="1"/>
  <c r="H1387" i="1"/>
  <c r="H1388" i="1"/>
  <c r="H1389" i="1"/>
  <c r="H1390" i="1"/>
  <c r="H1390" i="5" s="1"/>
  <c r="H1391" i="1"/>
  <c r="H1392" i="1"/>
  <c r="H1393" i="1"/>
  <c r="H1394" i="1"/>
  <c r="H1394" i="5" s="1"/>
  <c r="H1395" i="1"/>
  <c r="H1396" i="1"/>
  <c r="H1397" i="1"/>
  <c r="H1398" i="1"/>
  <c r="H1399" i="1"/>
  <c r="H1400" i="1"/>
  <c r="H1401" i="1"/>
  <c r="H1402" i="1"/>
  <c r="H1402" i="5" s="1"/>
  <c r="H1403" i="1"/>
  <c r="H1404" i="1"/>
  <c r="H1405" i="1"/>
  <c r="H1406" i="1"/>
  <c r="H1406" i="5" s="1"/>
  <c r="H1407" i="1"/>
  <c r="H1408" i="1"/>
  <c r="H1409" i="1"/>
  <c r="H1410" i="1"/>
  <c r="H1410" i="5" s="1"/>
  <c r="H1411" i="1"/>
  <c r="H1412" i="1"/>
  <c r="H1413" i="1"/>
  <c r="H1414" i="1"/>
  <c r="H1415" i="1"/>
  <c r="H1416" i="1"/>
  <c r="H1417" i="1"/>
  <c r="H1418" i="1"/>
  <c r="H1418" i="5" s="1"/>
  <c r="H1419" i="1"/>
  <c r="H1420" i="1"/>
  <c r="H1421" i="1"/>
  <c r="H1422" i="1"/>
  <c r="H1422" i="5" s="1"/>
  <c r="H1423" i="1"/>
  <c r="H1424" i="1"/>
  <c r="H1425" i="1"/>
  <c r="H1426" i="1"/>
  <c r="H1426" i="5" s="1"/>
  <c r="H1427" i="1"/>
  <c r="H1428" i="1"/>
  <c r="H1429" i="1"/>
  <c r="H1430" i="1"/>
  <c r="H1431" i="1"/>
  <c r="H1432" i="1"/>
  <c r="H1433" i="1"/>
  <c r="H1434" i="1"/>
  <c r="H1434" i="5" s="1"/>
  <c r="H1435" i="1"/>
  <c r="H1436" i="1"/>
  <c r="H1437" i="1"/>
  <c r="H1438" i="1"/>
  <c r="H1438" i="5" s="1"/>
  <c r="H1439" i="1"/>
  <c r="H1440" i="1"/>
  <c r="H1441" i="1"/>
  <c r="H1442" i="1"/>
  <c r="H1442" i="5" s="1"/>
  <c r="H1443" i="1"/>
  <c r="H1444" i="1"/>
  <c r="H1445" i="1"/>
  <c r="H1446" i="1"/>
  <c r="H1447" i="1"/>
  <c r="H1448" i="1"/>
  <c r="H1449" i="1"/>
  <c r="H1450" i="1"/>
  <c r="H1450" i="5" s="1"/>
  <c r="H1451" i="1"/>
  <c r="H1452" i="1"/>
  <c r="H1453" i="1"/>
  <c r="H1454" i="1"/>
  <c r="H1454" i="5" s="1"/>
  <c r="H1455" i="1"/>
  <c r="H1456" i="1"/>
  <c r="H1457" i="1"/>
  <c r="H1458" i="1"/>
  <c r="H1458" i="5" s="1"/>
  <c r="H1459" i="1"/>
  <c r="H1460" i="1"/>
  <c r="H1461" i="1"/>
  <c r="H1462" i="1"/>
  <c r="H1463" i="1"/>
  <c r="H1464" i="1"/>
  <c r="H1465" i="1"/>
  <c r="H1466" i="1"/>
  <c r="H1466" i="5" s="1"/>
  <c r="H1467" i="1"/>
  <c r="H1468" i="1"/>
  <c r="H1469" i="1"/>
  <c r="H1470" i="1"/>
  <c r="H1470" i="5" s="1"/>
  <c r="H1471" i="1"/>
  <c r="H1472" i="1"/>
  <c r="H1473" i="1"/>
  <c r="H1474" i="1"/>
  <c r="H1474" i="5" s="1"/>
  <c r="H1475" i="1"/>
  <c r="H1476" i="1"/>
  <c r="H1477" i="1"/>
  <c r="H1478" i="1"/>
  <c r="H1479" i="1"/>
  <c r="H1480" i="1"/>
  <c r="H1481" i="1"/>
  <c r="H1482" i="1"/>
  <c r="H1482" i="5" s="1"/>
  <c r="H1483" i="1"/>
  <c r="H1484" i="1"/>
  <c r="H1485" i="1"/>
  <c r="H1486" i="1"/>
  <c r="H1486" i="5" s="1"/>
  <c r="H1487" i="1"/>
  <c r="H1488" i="1"/>
  <c r="H1489" i="1"/>
  <c r="H1490" i="1"/>
  <c r="H1490" i="5" s="1"/>
  <c r="H1491" i="1"/>
  <c r="H1492" i="1"/>
  <c r="H2" i="1"/>
  <c r="G3" i="1"/>
  <c r="G4" i="1"/>
  <c r="G5" i="1"/>
  <c r="G6" i="1"/>
  <c r="G7" i="5" s="1"/>
  <c r="G7" i="1"/>
  <c r="G8" i="1"/>
  <c r="G9" i="1"/>
  <c r="G10" i="1"/>
  <c r="G11" i="5" s="1"/>
  <c r="G11" i="1"/>
  <c r="G12" i="1"/>
  <c r="G13" i="1"/>
  <c r="G14" i="1"/>
  <c r="G15" i="5" s="1"/>
  <c r="G15" i="1"/>
  <c r="G16" i="1"/>
  <c r="G17" i="1"/>
  <c r="G18" i="1"/>
  <c r="G19" i="1"/>
  <c r="G20" i="1"/>
  <c r="G21" i="1"/>
  <c r="G22" i="1"/>
  <c r="G23" i="5" s="1"/>
  <c r="G23" i="1"/>
  <c r="G24" i="1"/>
  <c r="G25" i="1"/>
  <c r="G26" i="1"/>
  <c r="G27" i="5" s="1"/>
  <c r="G27" i="1"/>
  <c r="G28" i="1"/>
  <c r="G29" i="1"/>
  <c r="G30" i="1"/>
  <c r="G31" i="5" s="1"/>
  <c r="G31" i="1"/>
  <c r="G32" i="1"/>
  <c r="G33" i="1"/>
  <c r="G34" i="1"/>
  <c r="G35" i="5" s="1"/>
  <c r="G35" i="1"/>
  <c r="G36" i="1"/>
  <c r="G37" i="1"/>
  <c r="G38" i="1"/>
  <c r="G39" i="5" s="1"/>
  <c r="G39" i="1"/>
  <c r="G40" i="1"/>
  <c r="G41" i="1"/>
  <c r="G42" i="1"/>
  <c r="G43" i="1"/>
  <c r="G44" i="1"/>
  <c r="G45" i="1"/>
  <c r="G46" i="1"/>
  <c r="G47" i="5" s="1"/>
  <c r="G47" i="1"/>
  <c r="G48" i="1"/>
  <c r="G49" i="1"/>
  <c r="G50" i="1"/>
  <c r="G51" i="5" s="1"/>
  <c r="G51" i="1"/>
  <c r="G52" i="1"/>
  <c r="G53" i="1"/>
  <c r="G54" i="1"/>
  <c r="G55" i="5" s="1"/>
  <c r="G55" i="1"/>
  <c r="G56" i="1"/>
  <c r="G57" i="1"/>
  <c r="G58" i="1"/>
  <c r="G59" i="5" s="1"/>
  <c r="G59" i="1"/>
  <c r="G60" i="1"/>
  <c r="G61" i="1"/>
  <c r="G62" i="1"/>
  <c r="G63" i="1"/>
  <c r="G64" i="1"/>
  <c r="G65" i="1"/>
  <c r="G66" i="1"/>
  <c r="G67" i="5" s="1"/>
  <c r="G67" i="1"/>
  <c r="G68" i="1"/>
  <c r="G69" i="1"/>
  <c r="G70" i="1"/>
  <c r="G71" i="5" s="1"/>
  <c r="G71" i="1"/>
  <c r="G72" i="1"/>
  <c r="G73" i="1"/>
  <c r="G74" i="1"/>
  <c r="G75" i="5" s="1"/>
  <c r="G75" i="1"/>
  <c r="G76" i="1"/>
  <c r="G77" i="1"/>
  <c r="G78" i="1"/>
  <c r="G79" i="5" s="1"/>
  <c r="G79" i="1"/>
  <c r="G80" i="1"/>
  <c r="G81" i="1"/>
  <c r="G82" i="1"/>
  <c r="G83" i="1"/>
  <c r="G84" i="1"/>
  <c r="G85" i="1"/>
  <c r="G86" i="1"/>
  <c r="G87" i="5" s="1"/>
  <c r="G87" i="1"/>
  <c r="G88" i="1"/>
  <c r="G89" i="1"/>
  <c r="G90" i="1"/>
  <c r="G91" i="5" s="1"/>
  <c r="G91" i="1"/>
  <c r="G92" i="1"/>
  <c r="G93" i="1"/>
  <c r="G94" i="1"/>
  <c r="G95" i="5" s="1"/>
  <c r="G95" i="1"/>
  <c r="G96" i="1"/>
  <c r="G97" i="1"/>
  <c r="G98" i="1"/>
  <c r="G99" i="5" s="1"/>
  <c r="G99" i="1"/>
  <c r="G100" i="1"/>
  <c r="G101" i="1"/>
  <c r="G102" i="1"/>
  <c r="G103" i="5" s="1"/>
  <c r="G103" i="1"/>
  <c r="G104" i="1"/>
  <c r="G105" i="1"/>
  <c r="G106" i="1"/>
  <c r="G107" i="1"/>
  <c r="G108" i="1"/>
  <c r="G109" i="1"/>
  <c r="G110" i="1"/>
  <c r="G111" i="5" s="1"/>
  <c r="G111" i="1"/>
  <c r="G112" i="1"/>
  <c r="G113" i="1"/>
  <c r="G114" i="1"/>
  <c r="G115" i="5" s="1"/>
  <c r="G115" i="1"/>
  <c r="G116" i="1"/>
  <c r="G117" i="1"/>
  <c r="G118" i="1"/>
  <c r="G119" i="5" s="1"/>
  <c r="G119" i="1"/>
  <c r="G120" i="1"/>
  <c r="G121" i="1"/>
  <c r="G122" i="1"/>
  <c r="G123" i="5" s="1"/>
  <c r="G123" i="1"/>
  <c r="G124" i="1"/>
  <c r="G125" i="1"/>
  <c r="G126" i="1"/>
  <c r="G127" i="1"/>
  <c r="G128" i="1"/>
  <c r="G129" i="1"/>
  <c r="G130" i="1"/>
  <c r="G131" i="5" s="1"/>
  <c r="G131" i="1"/>
  <c r="G132" i="1"/>
  <c r="G133" i="1"/>
  <c r="G134" i="1"/>
  <c r="G135" i="5" s="1"/>
  <c r="G135" i="1"/>
  <c r="G136" i="1"/>
  <c r="G137" i="1"/>
  <c r="G138" i="1"/>
  <c r="G139" i="5" s="1"/>
  <c r="G139" i="1"/>
  <c r="G140" i="1"/>
  <c r="G141" i="1"/>
  <c r="G142" i="1"/>
  <c r="G143" i="5" s="1"/>
  <c r="G143" i="1"/>
  <c r="G144" i="1"/>
  <c r="G145" i="1"/>
  <c r="G146" i="1"/>
  <c r="G147" i="1"/>
  <c r="G148" i="1"/>
  <c r="G149" i="1"/>
  <c r="G150" i="1"/>
  <c r="G151" i="5" s="1"/>
  <c r="G151" i="1"/>
  <c r="G152" i="1"/>
  <c r="G153" i="1"/>
  <c r="G154" i="1"/>
  <c r="G155" i="5" s="1"/>
  <c r="G155" i="1"/>
  <c r="G156" i="1"/>
  <c r="G157" i="1"/>
  <c r="G158" i="1"/>
  <c r="G159" i="5" s="1"/>
  <c r="G159" i="1"/>
  <c r="G160" i="1"/>
  <c r="G161" i="1"/>
  <c r="G162" i="1"/>
  <c r="G163" i="5" s="1"/>
  <c r="G163" i="1"/>
  <c r="G164" i="1"/>
  <c r="G165" i="1"/>
  <c r="G166" i="1"/>
  <c r="G167" i="5" s="1"/>
  <c r="G167" i="1"/>
  <c r="G168" i="1"/>
  <c r="G169" i="1"/>
  <c r="G170" i="1"/>
  <c r="G171" i="1"/>
  <c r="G172" i="1"/>
  <c r="G173" i="1"/>
  <c r="G174" i="1"/>
  <c r="G175" i="5" s="1"/>
  <c r="G175" i="1"/>
  <c r="G176" i="1"/>
  <c r="G177" i="1"/>
  <c r="G178" i="1"/>
  <c r="G179" i="5" s="1"/>
  <c r="G179" i="1"/>
  <c r="G180" i="1"/>
  <c r="G181" i="1"/>
  <c r="G182" i="1"/>
  <c r="G183" i="5" s="1"/>
  <c r="G183" i="1"/>
  <c r="G184" i="1"/>
  <c r="G185" i="1"/>
  <c r="G186" i="1"/>
  <c r="G187" i="5" s="1"/>
  <c r="G187" i="1"/>
  <c r="G188" i="1"/>
  <c r="G189" i="1"/>
  <c r="G190" i="1"/>
  <c r="G191" i="1"/>
  <c r="G192" i="1"/>
  <c r="G193" i="1"/>
  <c r="G194" i="1"/>
  <c r="G195" i="5" s="1"/>
  <c r="G195" i="1"/>
  <c r="G196" i="1"/>
  <c r="G197" i="1"/>
  <c r="G198" i="1"/>
  <c r="G199" i="5" s="1"/>
  <c r="G199" i="1"/>
  <c r="G200" i="1"/>
  <c r="G201" i="1"/>
  <c r="G202" i="1"/>
  <c r="G203" i="5" s="1"/>
  <c r="G203" i="1"/>
  <c r="G204" i="1"/>
  <c r="G205" i="1"/>
  <c r="G206" i="1"/>
  <c r="G207" i="5" s="1"/>
  <c r="G207" i="1"/>
  <c r="G208" i="1"/>
  <c r="G209" i="1"/>
  <c r="G210" i="1"/>
  <c r="G211" i="1"/>
  <c r="G212" i="1"/>
  <c r="G213" i="1"/>
  <c r="G214" i="1"/>
  <c r="G215" i="5" s="1"/>
  <c r="G215" i="1"/>
  <c r="G216" i="1"/>
  <c r="G217" i="1"/>
  <c r="G218" i="1"/>
  <c r="G219" i="5" s="1"/>
  <c r="G219" i="1"/>
  <c r="G220" i="1"/>
  <c r="G221" i="1"/>
  <c r="G222" i="1"/>
  <c r="G223" i="5" s="1"/>
  <c r="G223" i="1"/>
  <c r="G224" i="1"/>
  <c r="G225" i="1"/>
  <c r="G226" i="1"/>
  <c r="G227" i="5" s="1"/>
  <c r="G227" i="1"/>
  <c r="G228" i="1"/>
  <c r="G229" i="1"/>
  <c r="G230" i="1"/>
  <c r="G231" i="5" s="1"/>
  <c r="G231" i="1"/>
  <c r="G232" i="1"/>
  <c r="G233" i="1"/>
  <c r="G234" i="1"/>
  <c r="G235" i="1"/>
  <c r="G236" i="1"/>
  <c r="G237" i="1"/>
  <c r="G238" i="1"/>
  <c r="G239" i="5" s="1"/>
  <c r="G239" i="1"/>
  <c r="G240" i="1"/>
  <c r="G241" i="1"/>
  <c r="G242" i="1"/>
  <c r="G243" i="5" s="1"/>
  <c r="G243" i="1"/>
  <c r="G244" i="1"/>
  <c r="G245" i="1"/>
  <c r="G246" i="1"/>
  <c r="G247" i="5" s="1"/>
  <c r="G247" i="1"/>
  <c r="G248" i="1"/>
  <c r="G249" i="1"/>
  <c r="G250" i="1"/>
  <c r="G251" i="5" s="1"/>
  <c r="G251" i="1"/>
  <c r="G252" i="1"/>
  <c r="G253" i="1"/>
  <c r="G254" i="1"/>
  <c r="G255" i="1"/>
  <c r="G256" i="1"/>
  <c r="G257" i="1"/>
  <c r="G258" i="1"/>
  <c r="G259" i="5" s="1"/>
  <c r="G259" i="1"/>
  <c r="G260" i="1"/>
  <c r="G261" i="1"/>
  <c r="G262" i="1"/>
  <c r="G263" i="5" s="1"/>
  <c r="G263" i="1"/>
  <c r="G264" i="1"/>
  <c r="G265" i="1"/>
  <c r="G266" i="1"/>
  <c r="G267" i="5" s="1"/>
  <c r="G267" i="1"/>
  <c r="G268" i="1"/>
  <c r="G269" i="1"/>
  <c r="G270" i="1"/>
  <c r="G271" i="5" s="1"/>
  <c r="G271" i="1"/>
  <c r="G272" i="1"/>
  <c r="G273" i="1"/>
  <c r="G274" i="1"/>
  <c r="G275" i="1"/>
  <c r="G276" i="1"/>
  <c r="G277" i="1"/>
  <c r="G278" i="1"/>
  <c r="G279" i="5" s="1"/>
  <c r="G279" i="1"/>
  <c r="G280" i="1"/>
  <c r="G281" i="1"/>
  <c r="G282" i="1"/>
  <c r="G283" i="5" s="1"/>
  <c r="G283" i="1"/>
  <c r="G284" i="1"/>
  <c r="G285" i="1"/>
  <c r="G286" i="1"/>
  <c r="G287" i="5" s="1"/>
  <c r="G287" i="1"/>
  <c r="G288" i="1"/>
  <c r="G289" i="1"/>
  <c r="G290" i="1"/>
  <c r="G291" i="5" s="1"/>
  <c r="G291" i="1"/>
  <c r="G292" i="1"/>
  <c r="G293" i="1"/>
  <c r="G294" i="1"/>
  <c r="G295" i="5" s="1"/>
  <c r="G295" i="1"/>
  <c r="G296" i="1"/>
  <c r="G297" i="1"/>
  <c r="G298" i="1"/>
  <c r="G299" i="1"/>
  <c r="G300" i="1"/>
  <c r="G301" i="1"/>
  <c r="G302" i="1"/>
  <c r="G303" i="5" s="1"/>
  <c r="G303" i="1"/>
  <c r="G304" i="1"/>
  <c r="G305" i="1"/>
  <c r="G306" i="1"/>
  <c r="G307" i="5" s="1"/>
  <c r="G307" i="1"/>
  <c r="G308" i="1"/>
  <c r="G309" i="1"/>
  <c r="G310" i="1"/>
  <c r="G311" i="5" s="1"/>
  <c r="G311" i="1"/>
  <c r="G312" i="1"/>
  <c r="G313" i="1"/>
  <c r="G314" i="1"/>
  <c r="G315" i="5" s="1"/>
  <c r="G315" i="1"/>
  <c r="G316" i="1"/>
  <c r="G317" i="1"/>
  <c r="G318" i="1"/>
  <c r="G319" i="1"/>
  <c r="G320" i="1"/>
  <c r="G321" i="1"/>
  <c r="G322" i="1"/>
  <c r="G323" i="5" s="1"/>
  <c r="G323" i="1"/>
  <c r="G324" i="1"/>
  <c r="G325" i="1"/>
  <c r="G326" i="1"/>
  <c r="G327" i="5" s="1"/>
  <c r="G327" i="1"/>
  <c r="G328" i="1"/>
  <c r="G329" i="1"/>
  <c r="G330" i="1"/>
  <c r="G331" i="5" s="1"/>
  <c r="G331" i="1"/>
  <c r="G332" i="1"/>
  <c r="G333" i="1"/>
  <c r="G334" i="1"/>
  <c r="G335" i="5" s="1"/>
  <c r="G335" i="1"/>
  <c r="G336" i="1"/>
  <c r="G337" i="1"/>
  <c r="G338" i="1"/>
  <c r="G339" i="1"/>
  <c r="G340" i="1"/>
  <c r="G341" i="1"/>
  <c r="G342" i="1"/>
  <c r="G343" i="5" s="1"/>
  <c r="G343" i="1"/>
  <c r="G344" i="1"/>
  <c r="G345" i="1"/>
  <c r="G346" i="1"/>
  <c r="G347" i="5" s="1"/>
  <c r="G347" i="1"/>
  <c r="G348" i="1"/>
  <c r="G349" i="1"/>
  <c r="G350" i="1"/>
  <c r="G351" i="5" s="1"/>
  <c r="G351" i="1"/>
  <c r="G352" i="1"/>
  <c r="G353" i="1"/>
  <c r="G354" i="1"/>
  <c r="G355" i="5" s="1"/>
  <c r="G355" i="1"/>
  <c r="G356" i="1"/>
  <c r="G357" i="1"/>
  <c r="G358" i="1"/>
  <c r="G359" i="5" s="1"/>
  <c r="G359" i="1"/>
  <c r="G360" i="1"/>
  <c r="G361" i="1"/>
  <c r="G362" i="1"/>
  <c r="G363" i="1"/>
  <c r="G364" i="1"/>
  <c r="G365" i="1"/>
  <c r="G366" i="1"/>
  <c r="G367" i="5" s="1"/>
  <c r="G367" i="1"/>
  <c r="G368" i="1"/>
  <c r="G369" i="1"/>
  <c r="G370" i="1"/>
  <c r="G371" i="5" s="1"/>
  <c r="G371" i="1"/>
  <c r="G372" i="1"/>
  <c r="G373" i="1"/>
  <c r="G374" i="1"/>
  <c r="G375" i="5" s="1"/>
  <c r="G375" i="1"/>
  <c r="G376" i="1"/>
  <c r="G377" i="1"/>
  <c r="G378" i="1"/>
  <c r="G379" i="5" s="1"/>
  <c r="G379" i="1"/>
  <c r="G380" i="1"/>
  <c r="G381" i="1"/>
  <c r="G382" i="1"/>
  <c r="G383" i="1"/>
  <c r="G384" i="1"/>
  <c r="G385" i="1"/>
  <c r="G386" i="1"/>
  <c r="G387" i="5" s="1"/>
  <c r="G387" i="1"/>
  <c r="G388" i="1"/>
  <c r="G389" i="1"/>
  <c r="G390" i="1"/>
  <c r="G391" i="5" s="1"/>
  <c r="G391" i="1"/>
  <c r="G392" i="1"/>
  <c r="G393" i="1"/>
  <c r="G394" i="1"/>
  <c r="G395" i="5" s="1"/>
  <c r="G395" i="1"/>
  <c r="G396" i="1"/>
  <c r="G397" i="1"/>
  <c r="G398" i="1"/>
  <c r="G399" i="5" s="1"/>
  <c r="G399" i="1"/>
  <c r="G400" i="1"/>
  <c r="G401" i="1"/>
  <c r="G402" i="1"/>
  <c r="G403" i="1"/>
  <c r="G404" i="1"/>
  <c r="G405" i="1"/>
  <c r="G406" i="1"/>
  <c r="G407" i="5" s="1"/>
  <c r="G407" i="1"/>
  <c r="G408" i="1"/>
  <c r="G409" i="1"/>
  <c r="G410" i="1"/>
  <c r="G411" i="5" s="1"/>
  <c r="G411" i="1"/>
  <c r="G412" i="1"/>
  <c r="G413" i="1"/>
  <c r="G414" i="1"/>
  <c r="G415" i="5" s="1"/>
  <c r="G415" i="1"/>
  <c r="G416" i="1"/>
  <c r="G417" i="1"/>
  <c r="G418" i="1"/>
  <c r="G419" i="5" s="1"/>
  <c r="G419" i="1"/>
  <c r="G420" i="1"/>
  <c r="G421" i="1"/>
  <c r="G422" i="1"/>
  <c r="G423" i="5" s="1"/>
  <c r="G423" i="1"/>
  <c r="G424" i="1"/>
  <c r="G425" i="1"/>
  <c r="G426" i="1"/>
  <c r="G427" i="1"/>
  <c r="G428" i="1"/>
  <c r="G429" i="1"/>
  <c r="G430" i="1"/>
  <c r="G431" i="5" s="1"/>
  <c r="G431" i="1"/>
  <c r="G432" i="1"/>
  <c r="G433" i="1"/>
  <c r="G434" i="1"/>
  <c r="G435" i="5" s="1"/>
  <c r="G435" i="1"/>
  <c r="G436" i="1"/>
  <c r="G437" i="1"/>
  <c r="G438" i="1"/>
  <c r="G439" i="5" s="1"/>
  <c r="G439" i="1"/>
  <c r="G440" i="1"/>
  <c r="G441" i="1"/>
  <c r="G442" i="1"/>
  <c r="G443" i="5" s="1"/>
  <c r="G443" i="1"/>
  <c r="G444" i="1"/>
  <c r="G445" i="1"/>
  <c r="G446" i="1"/>
  <c r="G447" i="1"/>
  <c r="G448" i="1"/>
  <c r="G449" i="1"/>
  <c r="G450" i="1"/>
  <c r="G451" i="5" s="1"/>
  <c r="G451" i="1"/>
  <c r="G452" i="1"/>
  <c r="G453" i="1"/>
  <c r="G454" i="1"/>
  <c r="G455" i="5" s="1"/>
  <c r="G455" i="1"/>
  <c r="G456" i="1"/>
  <c r="G457" i="1"/>
  <c r="G458" i="1"/>
  <c r="G459" i="5" s="1"/>
  <c r="G459" i="1"/>
  <c r="G460" i="1"/>
  <c r="G461" i="1"/>
  <c r="G462" i="1"/>
  <c r="G463" i="5" s="1"/>
  <c r="G463" i="1"/>
  <c r="G464" i="1"/>
  <c r="G465" i="1"/>
  <c r="G466" i="1"/>
  <c r="G467" i="1"/>
  <c r="G468" i="1"/>
  <c r="G469" i="1"/>
  <c r="G470" i="1"/>
  <c r="G471" i="5" s="1"/>
  <c r="G471" i="1"/>
  <c r="G472" i="1"/>
  <c r="G473" i="1"/>
  <c r="G474" i="1"/>
  <c r="G475" i="5" s="1"/>
  <c r="G475" i="1"/>
  <c r="G476" i="1"/>
  <c r="G477" i="1"/>
  <c r="G478" i="1"/>
  <c r="G479" i="5" s="1"/>
  <c r="G479" i="1"/>
  <c r="G480" i="1"/>
  <c r="G481" i="1"/>
  <c r="G482" i="1"/>
  <c r="G483" i="5" s="1"/>
  <c r="G483" i="1"/>
  <c r="G484" i="1"/>
  <c r="G485" i="1"/>
  <c r="G486" i="1"/>
  <c r="G487" i="5" s="1"/>
  <c r="G487" i="1"/>
  <c r="G488" i="1"/>
  <c r="G489" i="1"/>
  <c r="G490" i="1"/>
  <c r="G491" i="1"/>
  <c r="G492" i="1"/>
  <c r="G493" i="1"/>
  <c r="G494" i="1"/>
  <c r="G495" i="5" s="1"/>
  <c r="G495" i="1"/>
  <c r="G496" i="1"/>
  <c r="G497" i="1"/>
  <c r="G498" i="1"/>
  <c r="G499" i="5" s="1"/>
  <c r="G499" i="1"/>
  <c r="G500" i="1"/>
  <c r="G501" i="1"/>
  <c r="G502" i="1"/>
  <c r="G503" i="5" s="1"/>
  <c r="G503" i="1"/>
  <c r="G504" i="1"/>
  <c r="G505" i="1"/>
  <c r="G506" i="1"/>
  <c r="G507" i="5" s="1"/>
  <c r="G507" i="1"/>
  <c r="G508" i="1"/>
  <c r="G509" i="1"/>
  <c r="G510" i="1"/>
  <c r="G511" i="1"/>
  <c r="G512" i="1"/>
  <c r="G513" i="1"/>
  <c r="G514" i="1"/>
  <c r="G515" i="5" s="1"/>
  <c r="G515" i="1"/>
  <c r="G516" i="1"/>
  <c r="G517" i="1"/>
  <c r="G518" i="1"/>
  <c r="G519" i="5" s="1"/>
  <c r="G519" i="1"/>
  <c r="G520" i="1"/>
  <c r="G521" i="1"/>
  <c r="G522" i="1"/>
  <c r="G523" i="5" s="1"/>
  <c r="G523" i="1"/>
  <c r="G524" i="1"/>
  <c r="G525" i="1"/>
  <c r="G526" i="1"/>
  <c r="G527" i="5" s="1"/>
  <c r="G527" i="1"/>
  <c r="G528" i="1"/>
  <c r="G529" i="1"/>
  <c r="G530" i="1"/>
  <c r="G531" i="1"/>
  <c r="G532" i="1"/>
  <c r="G533" i="1"/>
  <c r="G534" i="1"/>
  <c r="G535" i="5" s="1"/>
  <c r="G535" i="1"/>
  <c r="G536" i="1"/>
  <c r="G537" i="1"/>
  <c r="G538" i="1"/>
  <c r="G539" i="5" s="1"/>
  <c r="G539" i="1"/>
  <c r="G540" i="1"/>
  <c r="G541" i="1"/>
  <c r="G542" i="1"/>
  <c r="G543" i="5" s="1"/>
  <c r="G543" i="1"/>
  <c r="G544" i="1"/>
  <c r="G545" i="1"/>
  <c r="G546" i="1"/>
  <c r="G547" i="5" s="1"/>
  <c r="G547" i="1"/>
  <c r="G548" i="1"/>
  <c r="G549" i="1"/>
  <c r="G550" i="1"/>
  <c r="G551" i="5" s="1"/>
  <c r="G551" i="1"/>
  <c r="G552" i="1"/>
  <c r="G553" i="1"/>
  <c r="G554" i="1"/>
  <c r="G555" i="1"/>
  <c r="G556" i="1"/>
  <c r="G557" i="1"/>
  <c r="G558" i="1"/>
  <c r="G559" i="5" s="1"/>
  <c r="G559" i="1"/>
  <c r="G560" i="1"/>
  <c r="G561" i="1"/>
  <c r="G562" i="1"/>
  <c r="G563" i="5" s="1"/>
  <c r="G563" i="1"/>
  <c r="G564" i="1"/>
  <c r="G565" i="1"/>
  <c r="G566" i="1"/>
  <c r="G567" i="5" s="1"/>
  <c r="G567" i="1"/>
  <c r="G568" i="1"/>
  <c r="G569" i="1"/>
  <c r="G570" i="1"/>
  <c r="G571" i="5" s="1"/>
  <c r="G571" i="1"/>
  <c r="G572" i="1"/>
  <c r="G573" i="1"/>
  <c r="G574" i="1"/>
  <c r="G575" i="1"/>
  <c r="G576" i="1"/>
  <c r="G577" i="1"/>
  <c r="G578" i="1"/>
  <c r="G579" i="5" s="1"/>
  <c r="G579" i="1"/>
  <c r="G580" i="1"/>
  <c r="G581" i="1"/>
  <c r="G582" i="1"/>
  <c r="G583" i="5" s="1"/>
  <c r="G583" i="1"/>
  <c r="G584" i="1"/>
  <c r="G585" i="1"/>
  <c r="G586" i="1"/>
  <c r="G587" i="5" s="1"/>
  <c r="G587" i="1"/>
  <c r="G588" i="1"/>
  <c r="G589" i="1"/>
  <c r="G590" i="1"/>
  <c r="G591" i="5" s="1"/>
  <c r="G591" i="1"/>
  <c r="G592" i="1"/>
  <c r="G593" i="1"/>
  <c r="G594" i="1"/>
  <c r="G595" i="1"/>
  <c r="G596" i="1"/>
  <c r="G597" i="1"/>
  <c r="G598" i="1"/>
  <c r="G599" i="5" s="1"/>
  <c r="G599" i="1"/>
  <c r="G600" i="1"/>
  <c r="G601" i="1"/>
  <c r="G602" i="1"/>
  <c r="G603" i="5" s="1"/>
  <c r="G603" i="1"/>
  <c r="G604" i="1"/>
  <c r="G605" i="1"/>
  <c r="G606" i="1"/>
  <c r="G607" i="5" s="1"/>
  <c r="G607" i="1"/>
  <c r="G608" i="1"/>
  <c r="G609" i="1"/>
  <c r="G610" i="1"/>
  <c r="G611" i="5" s="1"/>
  <c r="G611" i="1"/>
  <c r="G612" i="1"/>
  <c r="G613" i="1"/>
  <c r="G614" i="1"/>
  <c r="G615" i="5" s="1"/>
  <c r="G615" i="1"/>
  <c r="G616" i="1"/>
  <c r="G617" i="1"/>
  <c r="G618" i="1"/>
  <c r="G619" i="1"/>
  <c r="G620" i="1"/>
  <c r="G621" i="1"/>
  <c r="G622" i="1"/>
  <c r="G623" i="5" s="1"/>
  <c r="G623" i="1"/>
  <c r="G624" i="1"/>
  <c r="G625" i="1"/>
  <c r="G626" i="1"/>
  <c r="G627" i="5" s="1"/>
  <c r="G627" i="1"/>
  <c r="G628" i="1"/>
  <c r="G629" i="1"/>
  <c r="G630" i="1"/>
  <c r="G631" i="5" s="1"/>
  <c r="G631" i="1"/>
  <c r="G632" i="1"/>
  <c r="G633" i="1"/>
  <c r="G634" i="1"/>
  <c r="G635" i="5" s="1"/>
  <c r="G635" i="1"/>
  <c r="G636" i="1"/>
  <c r="G637" i="1"/>
  <c r="G638" i="1"/>
  <c r="G639" i="1"/>
  <c r="G640" i="1"/>
  <c r="G641" i="1"/>
  <c r="G642" i="1"/>
  <c r="G643" i="5" s="1"/>
  <c r="G643" i="1"/>
  <c r="G644" i="1"/>
  <c r="G645" i="1"/>
  <c r="G646" i="1"/>
  <c r="G647" i="5" s="1"/>
  <c r="G647" i="1"/>
  <c r="G648" i="1"/>
  <c r="G649" i="1"/>
  <c r="G650" i="1"/>
  <c r="G651" i="5" s="1"/>
  <c r="G651" i="1"/>
  <c r="G652" i="1"/>
  <c r="G653" i="1"/>
  <c r="G654" i="1"/>
  <c r="G655" i="5" s="1"/>
  <c r="G655" i="1"/>
  <c r="G656" i="1"/>
  <c r="G657" i="1"/>
  <c r="G658" i="1"/>
  <c r="G659" i="1"/>
  <c r="G660" i="1"/>
  <c r="G661" i="1"/>
  <c r="G662" i="1"/>
  <c r="G663" i="5" s="1"/>
  <c r="G663" i="1"/>
  <c r="G664" i="1"/>
  <c r="G665" i="1"/>
  <c r="G666" i="1"/>
  <c r="G667" i="5" s="1"/>
  <c r="G667" i="1"/>
  <c r="G668" i="1"/>
  <c r="G669" i="1"/>
  <c r="G670" i="1"/>
  <c r="G671" i="5" s="1"/>
  <c r="G671" i="1"/>
  <c r="G672" i="1"/>
  <c r="G673" i="1"/>
  <c r="G674" i="1"/>
  <c r="G675" i="5" s="1"/>
  <c r="G675" i="1"/>
  <c r="G676" i="1"/>
  <c r="G677" i="1"/>
  <c r="G678" i="1"/>
  <c r="G679" i="5" s="1"/>
  <c r="G679" i="1"/>
  <c r="G680" i="1"/>
  <c r="G681" i="1"/>
  <c r="G682" i="1"/>
  <c r="G683" i="1"/>
  <c r="G684" i="1"/>
  <c r="G685" i="1"/>
  <c r="G686" i="1"/>
  <c r="G687" i="5" s="1"/>
  <c r="G687" i="1"/>
  <c r="G688" i="1"/>
  <c r="G689" i="1"/>
  <c r="G690" i="1"/>
  <c r="G691" i="5" s="1"/>
  <c r="G691" i="1"/>
  <c r="G692" i="1"/>
  <c r="G693" i="1"/>
  <c r="G694" i="1"/>
  <c r="G695" i="5" s="1"/>
  <c r="G695" i="1"/>
  <c r="G696" i="1"/>
  <c r="G697" i="1"/>
  <c r="G698" i="1"/>
  <c r="G699" i="5" s="1"/>
  <c r="G699" i="1"/>
  <c r="G700" i="1"/>
  <c r="G701" i="1"/>
  <c r="G702" i="1"/>
  <c r="G703" i="1"/>
  <c r="G704" i="1"/>
  <c r="G705" i="1"/>
  <c r="G706" i="1"/>
  <c r="G707" i="5" s="1"/>
  <c r="G707" i="1"/>
  <c r="G708" i="1"/>
  <c r="G709" i="1"/>
  <c r="G710" i="1"/>
  <c r="G711" i="5" s="1"/>
  <c r="G711" i="1"/>
  <c r="G712" i="1"/>
  <c r="G713" i="1"/>
  <c r="G714" i="1"/>
  <c r="G715" i="5" s="1"/>
  <c r="G715" i="1"/>
  <c r="G716" i="1"/>
  <c r="G717" i="1"/>
  <c r="G718" i="1"/>
  <c r="G719" i="5" s="1"/>
  <c r="G719" i="1"/>
  <c r="G720" i="1"/>
  <c r="G721" i="1"/>
  <c r="G722" i="1"/>
  <c r="G723" i="1"/>
  <c r="G724" i="1"/>
  <c r="G725" i="1"/>
  <c r="G726" i="1"/>
  <c r="G727" i="5" s="1"/>
  <c r="G727" i="1"/>
  <c r="G728" i="1"/>
  <c r="G729" i="1"/>
  <c r="G730" i="1"/>
  <c r="G731" i="5" s="1"/>
  <c r="G731" i="1"/>
  <c r="G732" i="1"/>
  <c r="G733" i="1"/>
  <c r="G734" i="1"/>
  <c r="G735" i="5" s="1"/>
  <c r="G735" i="1"/>
  <c r="G736" i="1"/>
  <c r="G737" i="1"/>
  <c r="G738" i="1"/>
  <c r="G739" i="5" s="1"/>
  <c r="G739" i="1"/>
  <c r="G740" i="1"/>
  <c r="G741" i="1"/>
  <c r="G742" i="1"/>
  <c r="G743" i="5" s="1"/>
  <c r="G743" i="1"/>
  <c r="G744" i="1"/>
  <c r="G745" i="1"/>
  <c r="G746" i="1"/>
  <c r="G747" i="1"/>
  <c r="G748" i="1"/>
  <c r="G749" i="1"/>
  <c r="G750" i="1"/>
  <c r="G751" i="5" s="1"/>
  <c r="G751" i="1"/>
  <c r="G752" i="1"/>
  <c r="G753" i="1"/>
  <c r="G754" i="1"/>
  <c r="G755" i="5" s="1"/>
  <c r="G755" i="1"/>
  <c r="G756" i="1"/>
  <c r="G757" i="1"/>
  <c r="G758" i="1"/>
  <c r="G759" i="5" s="1"/>
  <c r="G759" i="1"/>
  <c r="G760" i="1"/>
  <c r="G761" i="1"/>
  <c r="G762" i="1"/>
  <c r="G763" i="5" s="1"/>
  <c r="G763" i="1"/>
  <c r="G764" i="1"/>
  <c r="G765" i="1"/>
  <c r="G766" i="1"/>
  <c r="G767" i="1"/>
  <c r="G768" i="1"/>
  <c r="G769" i="1"/>
  <c r="G770" i="1"/>
  <c r="G771" i="5" s="1"/>
  <c r="G771" i="1"/>
  <c r="G772" i="1"/>
  <c r="G773" i="1"/>
  <c r="G774" i="1"/>
  <c r="G775" i="5" s="1"/>
  <c r="G775" i="1"/>
  <c r="G776" i="1"/>
  <c r="G777" i="1"/>
  <c r="G778" i="1"/>
  <c r="G779" i="5" s="1"/>
  <c r="G779" i="1"/>
  <c r="G780" i="1"/>
  <c r="G781" i="1"/>
  <c r="G782" i="1"/>
  <c r="G783" i="5" s="1"/>
  <c r="G783" i="1"/>
  <c r="G784" i="1"/>
  <c r="G785" i="1"/>
  <c r="G786" i="1"/>
  <c r="G787" i="1"/>
  <c r="G788" i="1"/>
  <c r="G789" i="1"/>
  <c r="G790" i="1"/>
  <c r="G791" i="5" s="1"/>
  <c r="G791" i="1"/>
  <c r="G792" i="1"/>
  <c r="G793" i="1"/>
  <c r="G794" i="1"/>
  <c r="G795" i="5" s="1"/>
  <c r="G795" i="1"/>
  <c r="G796" i="1"/>
  <c r="G797" i="1"/>
  <c r="G798" i="1"/>
  <c r="G799" i="5" s="1"/>
  <c r="G799" i="1"/>
  <c r="G800" i="1"/>
  <c r="G801" i="1"/>
  <c r="G802" i="1"/>
  <c r="G803" i="5" s="1"/>
  <c r="G803" i="1"/>
  <c r="G804" i="1"/>
  <c r="G805" i="1"/>
  <c r="G806" i="1"/>
  <c r="G807" i="5" s="1"/>
  <c r="G807" i="1"/>
  <c r="G808" i="1"/>
  <c r="G809" i="1"/>
  <c r="G810" i="1"/>
  <c r="G811" i="1"/>
  <c r="G812" i="1"/>
  <c r="G813" i="1"/>
  <c r="G814" i="1"/>
  <c r="G815" i="5" s="1"/>
  <c r="G815" i="1"/>
  <c r="G816" i="1"/>
  <c r="G817" i="1"/>
  <c r="G818" i="1"/>
  <c r="G819" i="5" s="1"/>
  <c r="G819" i="1"/>
  <c r="G820" i="1"/>
  <c r="G821" i="1"/>
  <c r="G822" i="1"/>
  <c r="G823" i="5" s="1"/>
  <c r="G823" i="1"/>
  <c r="G824" i="1"/>
  <c r="G825" i="1"/>
  <c r="G826" i="1"/>
  <c r="G827" i="5" s="1"/>
  <c r="G827" i="1"/>
  <c r="G828" i="1"/>
  <c r="G829" i="1"/>
  <c r="G830" i="1"/>
  <c r="G831" i="1"/>
  <c r="G832" i="1"/>
  <c r="G833" i="1"/>
  <c r="G834" i="1"/>
  <c r="G835" i="5" s="1"/>
  <c r="G835" i="1"/>
  <c r="G836" i="1"/>
  <c r="G837" i="1"/>
  <c r="G838" i="1"/>
  <c r="G839" i="5" s="1"/>
  <c r="G839" i="1"/>
  <c r="G840" i="1"/>
  <c r="G841" i="1"/>
  <c r="G842" i="1"/>
  <c r="G843" i="5" s="1"/>
  <c r="G843" i="1"/>
  <c r="G844" i="1"/>
  <c r="G845" i="1"/>
  <c r="G846" i="1"/>
  <c r="G847" i="5" s="1"/>
  <c r="G847" i="1"/>
  <c r="G848" i="1"/>
  <c r="G849" i="1"/>
  <c r="G850" i="1"/>
  <c r="G851" i="1"/>
  <c r="G852" i="1"/>
  <c r="G853" i="1"/>
  <c r="G854" i="1"/>
  <c r="G855" i="5" s="1"/>
  <c r="G855" i="1"/>
  <c r="G856" i="1"/>
  <c r="G857" i="1"/>
  <c r="G858" i="1"/>
  <c r="G859" i="5" s="1"/>
  <c r="G859" i="1"/>
  <c r="G860" i="1"/>
  <c r="G861" i="1"/>
  <c r="G862" i="1"/>
  <c r="G863" i="5" s="1"/>
  <c r="G863" i="1"/>
  <c r="G864" i="1"/>
  <c r="G865" i="1"/>
  <c r="G866" i="1"/>
  <c r="G867" i="5" s="1"/>
  <c r="G867" i="1"/>
  <c r="G868" i="1"/>
  <c r="G869" i="1"/>
  <c r="G870" i="1"/>
  <c r="G871" i="5" s="1"/>
  <c r="G871" i="1"/>
  <c r="G872" i="1"/>
  <c r="G873" i="1"/>
  <c r="G874" i="1"/>
  <c r="G875" i="1"/>
  <c r="G876" i="1"/>
  <c r="G877" i="1"/>
  <c r="G878" i="1"/>
  <c r="G879" i="5" s="1"/>
  <c r="G879" i="1"/>
  <c r="G880" i="1"/>
  <c r="G881" i="1"/>
  <c r="G882" i="1"/>
  <c r="G883" i="5" s="1"/>
  <c r="G883" i="1"/>
  <c r="G884" i="1"/>
  <c r="G885" i="1"/>
  <c r="G886" i="1"/>
  <c r="G887" i="5" s="1"/>
  <c r="G887" i="1"/>
  <c r="G888" i="1"/>
  <c r="G889" i="1"/>
  <c r="G890" i="1"/>
  <c r="G891" i="5" s="1"/>
  <c r="G891" i="1"/>
  <c r="G892" i="1"/>
  <c r="G893" i="1"/>
  <c r="G894" i="1"/>
  <c r="G895" i="1"/>
  <c r="G896" i="1"/>
  <c r="G897" i="1"/>
  <c r="G898" i="1"/>
  <c r="G899" i="5" s="1"/>
  <c r="G899" i="1"/>
  <c r="G900" i="1"/>
  <c r="G901" i="1"/>
  <c r="G902" i="1"/>
  <c r="G903" i="5" s="1"/>
  <c r="G903" i="1"/>
  <c r="G904" i="1"/>
  <c r="G905" i="1"/>
  <c r="G906" i="1"/>
  <c r="G907" i="5" s="1"/>
  <c r="G907" i="1"/>
  <c r="G908" i="1"/>
  <c r="G909" i="1"/>
  <c r="G910" i="1"/>
  <c r="G911" i="5" s="1"/>
  <c r="G911" i="1"/>
  <c r="G912" i="1"/>
  <c r="G913" i="1"/>
  <c r="G914" i="1"/>
  <c r="G915" i="1"/>
  <c r="G916" i="1"/>
  <c r="G917" i="1"/>
  <c r="G918" i="1"/>
  <c r="G919" i="5" s="1"/>
  <c r="G919" i="1"/>
  <c r="G920" i="1"/>
  <c r="G921" i="1"/>
  <c r="G922" i="1"/>
  <c r="G923" i="5" s="1"/>
  <c r="G923" i="1"/>
  <c r="G924" i="1"/>
  <c r="G925" i="1"/>
  <c r="G926" i="1"/>
  <c r="G927" i="5" s="1"/>
  <c r="G927" i="1"/>
  <c r="G928" i="1"/>
  <c r="G929" i="1"/>
  <c r="G930" i="1"/>
  <c r="G931" i="5" s="1"/>
  <c r="G931" i="1"/>
  <c r="G932" i="1"/>
  <c r="G933" i="1"/>
  <c r="G934" i="1"/>
  <c r="G935" i="5" s="1"/>
  <c r="G935" i="1"/>
  <c r="G936" i="1"/>
  <c r="G937" i="1"/>
  <c r="G938" i="1"/>
  <c r="G939" i="1"/>
  <c r="G940" i="1"/>
  <c r="G941" i="1"/>
  <c r="G942" i="1"/>
  <c r="G943" i="5" s="1"/>
  <c r="G943" i="1"/>
  <c r="G944" i="1"/>
  <c r="G945" i="1"/>
  <c r="G946" i="1"/>
  <c r="G947" i="5" s="1"/>
  <c r="G947" i="1"/>
  <c r="G948" i="1"/>
  <c r="G949" i="1"/>
  <c r="G950" i="1"/>
  <c r="G951" i="5" s="1"/>
  <c r="G951" i="1"/>
  <c r="G952" i="1"/>
  <c r="G953" i="1"/>
  <c r="G954" i="1"/>
  <c r="G955" i="5" s="1"/>
  <c r="G955" i="1"/>
  <c r="G956" i="1"/>
  <c r="G957" i="1"/>
  <c r="G958" i="1"/>
  <c r="G959" i="1"/>
  <c r="G960" i="1"/>
  <c r="G961" i="1"/>
  <c r="G962" i="1"/>
  <c r="G963" i="5" s="1"/>
  <c r="G963" i="1"/>
  <c r="G964" i="1"/>
  <c r="G965" i="1"/>
  <c r="G966" i="1"/>
  <c r="G967" i="5" s="1"/>
  <c r="G967" i="1"/>
  <c r="G968" i="1"/>
  <c r="G969" i="1"/>
  <c r="G970" i="1"/>
  <c r="G971" i="5" s="1"/>
  <c r="G971" i="1"/>
  <c r="G972" i="1"/>
  <c r="G973" i="1"/>
  <c r="G974" i="1"/>
  <c r="G975" i="5" s="1"/>
  <c r="G975" i="1"/>
  <c r="G976" i="1"/>
  <c r="G977" i="1"/>
  <c r="G978" i="1"/>
  <c r="G979" i="1"/>
  <c r="G980" i="1"/>
  <c r="G981" i="1"/>
  <c r="G982" i="1"/>
  <c r="G983" i="5" s="1"/>
  <c r="G983" i="1"/>
  <c r="G984" i="1"/>
  <c r="G985" i="1"/>
  <c r="G986" i="1"/>
  <c r="G987" i="5" s="1"/>
  <c r="G987" i="1"/>
  <c r="G988" i="1"/>
  <c r="G989" i="1"/>
  <c r="G990" i="1"/>
  <c r="G991" i="5" s="1"/>
  <c r="G991" i="1"/>
  <c r="G992" i="1"/>
  <c r="G993" i="1"/>
  <c r="G994" i="1"/>
  <c r="G995" i="5" s="1"/>
  <c r="G995" i="1"/>
  <c r="G996" i="1"/>
  <c r="G997" i="1"/>
  <c r="G998" i="1"/>
  <c r="G999" i="5" s="1"/>
  <c r="G999" i="1"/>
  <c r="G1000" i="1"/>
  <c r="G1001" i="1"/>
  <c r="G1002" i="1"/>
  <c r="G1003" i="1"/>
  <c r="G1004" i="1"/>
  <c r="G1005" i="1"/>
  <c r="G1006" i="1"/>
  <c r="G1007" i="5" s="1"/>
  <c r="G1007" i="1"/>
  <c r="G1008" i="1"/>
  <c r="G1009" i="1"/>
  <c r="G1010" i="1"/>
  <c r="G1011" i="5" s="1"/>
  <c r="G1011" i="1"/>
  <c r="G1012" i="1"/>
  <c r="G1013" i="1"/>
  <c r="G1014" i="1"/>
  <c r="G1015" i="5" s="1"/>
  <c r="G1015" i="1"/>
  <c r="G1016" i="1"/>
  <c r="G1017" i="1"/>
  <c r="G1018" i="1"/>
  <c r="G1019" i="5" s="1"/>
  <c r="G1019" i="1"/>
  <c r="G1020" i="1"/>
  <c r="G1021" i="1"/>
  <c r="G1022" i="1"/>
  <c r="G1023" i="1"/>
  <c r="G1024" i="1"/>
  <c r="G1025" i="1"/>
  <c r="G1026" i="1"/>
  <c r="G1027" i="5" s="1"/>
  <c r="G1027" i="1"/>
  <c r="G1028" i="1"/>
  <c r="G1029" i="1"/>
  <c r="G1030" i="1"/>
  <c r="G1031" i="5" s="1"/>
  <c r="G1031" i="1"/>
  <c r="G1032" i="1"/>
  <c r="G1033" i="1"/>
  <c r="G1034" i="1"/>
  <c r="G1035" i="5" s="1"/>
  <c r="G1035" i="1"/>
  <c r="G1036" i="1"/>
  <c r="G1037" i="1"/>
  <c r="G1038" i="1"/>
  <c r="G1039" i="5" s="1"/>
  <c r="G1039" i="1"/>
  <c r="G1040" i="1"/>
  <c r="G1041" i="1"/>
  <c r="G1042" i="1"/>
  <c r="G1043" i="1"/>
  <c r="G1044" i="1"/>
  <c r="G1045" i="1"/>
  <c r="G1046" i="1"/>
  <c r="G1047" i="5" s="1"/>
  <c r="G1047" i="1"/>
  <c r="G1048" i="1"/>
  <c r="G1049" i="1"/>
  <c r="G1050" i="1"/>
  <c r="G1051" i="5" s="1"/>
  <c r="G1051" i="1"/>
  <c r="G1052" i="1"/>
  <c r="G1053" i="1"/>
  <c r="G1054" i="1"/>
  <c r="G1055" i="5" s="1"/>
  <c r="G1055" i="1"/>
  <c r="G1056" i="1"/>
  <c r="G1057" i="1"/>
  <c r="G1058" i="1"/>
  <c r="G1059" i="5" s="1"/>
  <c r="G1059" i="1"/>
  <c r="G1060" i="1"/>
  <c r="G1061" i="1"/>
  <c r="G1062" i="1"/>
  <c r="G1063" i="5" s="1"/>
  <c r="G1063" i="1"/>
  <c r="G1064" i="1"/>
  <c r="G1065" i="1"/>
  <c r="G1066" i="1"/>
  <c r="G1067" i="1"/>
  <c r="G1068" i="1"/>
  <c r="G1069" i="1"/>
  <c r="G1070" i="1"/>
  <c r="G1071" i="5" s="1"/>
  <c r="G1071" i="1"/>
  <c r="G1072" i="1"/>
  <c r="G1073" i="1"/>
  <c r="G1074" i="1"/>
  <c r="G1075" i="5" s="1"/>
  <c r="G1075" i="1"/>
  <c r="G1076" i="1"/>
  <c r="G1077" i="1"/>
  <c r="G1078" i="1"/>
  <c r="G1079" i="5" s="1"/>
  <c r="G1079" i="1"/>
  <c r="G1080" i="1"/>
  <c r="G1081" i="1"/>
  <c r="G1082" i="1"/>
  <c r="G1083" i="5" s="1"/>
  <c r="G1083" i="1"/>
  <c r="G1084" i="1"/>
  <c r="G1085" i="1"/>
  <c r="G1086" i="1"/>
  <c r="G1087" i="1"/>
  <c r="G1088" i="1"/>
  <c r="G1089" i="1"/>
  <c r="G1090" i="1"/>
  <c r="G1091" i="5" s="1"/>
  <c r="G1091" i="1"/>
  <c r="G1092" i="1"/>
  <c r="G1093" i="1"/>
  <c r="G1094" i="1"/>
  <c r="G1095" i="5" s="1"/>
  <c r="G1095" i="1"/>
  <c r="G1096" i="1"/>
  <c r="G1097" i="1"/>
  <c r="G1098" i="1"/>
  <c r="G1099" i="5" s="1"/>
  <c r="G1099" i="1"/>
  <c r="G1100" i="1"/>
  <c r="G1101" i="1"/>
  <c r="G1102" i="1"/>
  <c r="G1103" i="5" s="1"/>
  <c r="G1103" i="1"/>
  <c r="G1104" i="1"/>
  <c r="G1105" i="1"/>
  <c r="G1106" i="1"/>
  <c r="G1107" i="1"/>
  <c r="G1108" i="1"/>
  <c r="G1109" i="1"/>
  <c r="G1110" i="1"/>
  <c r="G1111" i="5" s="1"/>
  <c r="G1111" i="1"/>
  <c r="G1112" i="1"/>
  <c r="G1113" i="1"/>
  <c r="G1114" i="1"/>
  <c r="G1115" i="5" s="1"/>
  <c r="G1115" i="1"/>
  <c r="G1116" i="1"/>
  <c r="G1117" i="1"/>
  <c r="G1118" i="1"/>
  <c r="G1119" i="5" s="1"/>
  <c r="G1119" i="1"/>
  <c r="G1120" i="1"/>
  <c r="G1121" i="1"/>
  <c r="G1122" i="1"/>
  <c r="G1123" i="5" s="1"/>
  <c r="G1123" i="1"/>
  <c r="G1124" i="1"/>
  <c r="G1125" i="1"/>
  <c r="G1126" i="1"/>
  <c r="G1127" i="5" s="1"/>
  <c r="G1127" i="1"/>
  <c r="G1128" i="1"/>
  <c r="G1129" i="1"/>
  <c r="G1130" i="1"/>
  <c r="G1131" i="1"/>
  <c r="G1132" i="1"/>
  <c r="G1133" i="1"/>
  <c r="G1134" i="1"/>
  <c r="G1135" i="5" s="1"/>
  <c r="G1135" i="1"/>
  <c r="G1136" i="1"/>
  <c r="G1137" i="1"/>
  <c r="G1138" i="1"/>
  <c r="G1139" i="5" s="1"/>
  <c r="G1139" i="1"/>
  <c r="G1140" i="1"/>
  <c r="G1141" i="1"/>
  <c r="G1142" i="1"/>
  <c r="G1143" i="5" s="1"/>
  <c r="G1143" i="1"/>
  <c r="G1144" i="1"/>
  <c r="G1145" i="1"/>
  <c r="G1146" i="1"/>
  <c r="G1147" i="5" s="1"/>
  <c r="G1147" i="1"/>
  <c r="G1148" i="1"/>
  <c r="G1149" i="1"/>
  <c r="G1150" i="1"/>
  <c r="G1151" i="1"/>
  <c r="G1152" i="1"/>
  <c r="G1153" i="1"/>
  <c r="G1154" i="1"/>
  <c r="G1155" i="5" s="1"/>
  <c r="G1155" i="1"/>
  <c r="G1156" i="1"/>
  <c r="G1157" i="1"/>
  <c r="G1158" i="1"/>
  <c r="G1159" i="5" s="1"/>
  <c r="G1159" i="1"/>
  <c r="G1160" i="1"/>
  <c r="G1161" i="1"/>
  <c r="G1162" i="1"/>
  <c r="G1163" i="5" s="1"/>
  <c r="G1163" i="1"/>
  <c r="G1164" i="1"/>
  <c r="G1165" i="1"/>
  <c r="G1166" i="1"/>
  <c r="G1167" i="5" s="1"/>
  <c r="G1167" i="1"/>
  <c r="G1168" i="1"/>
  <c r="G1169" i="1"/>
  <c r="G1170" i="1"/>
  <c r="G1171" i="1"/>
  <c r="G1172" i="1"/>
  <c r="G1173" i="1"/>
  <c r="G1174" i="1"/>
  <c r="G1175" i="5" s="1"/>
  <c r="G1175" i="1"/>
  <c r="G1176" i="1"/>
  <c r="G1177" i="1"/>
  <c r="G1178" i="1"/>
  <c r="G1179" i="5" s="1"/>
  <c r="G1179" i="1"/>
  <c r="G1180" i="1"/>
  <c r="G1181" i="1"/>
  <c r="G1182" i="1"/>
  <c r="G1183" i="5" s="1"/>
  <c r="G1183" i="1"/>
  <c r="G1184" i="1"/>
  <c r="G1185" i="1"/>
  <c r="G1186" i="1"/>
  <c r="G1187" i="5" s="1"/>
  <c r="G1187" i="1"/>
  <c r="G1188" i="1"/>
  <c r="G1189" i="1"/>
  <c r="G1190" i="1"/>
  <c r="G1191" i="5" s="1"/>
  <c r="G1191" i="1"/>
  <c r="G1192" i="1"/>
  <c r="G1193" i="1"/>
  <c r="G1194" i="1"/>
  <c r="G1195" i="1"/>
  <c r="G1196" i="1"/>
  <c r="G1197" i="1"/>
  <c r="G1198" i="1"/>
  <c r="G1199" i="5" s="1"/>
  <c r="G1199" i="1"/>
  <c r="G1200" i="1"/>
  <c r="G1201" i="1"/>
  <c r="G1202" i="1"/>
  <c r="G1203" i="5" s="1"/>
  <c r="G1203" i="1"/>
  <c r="G1204" i="1"/>
  <c r="G1205" i="1"/>
  <c r="G1206" i="1"/>
  <c r="G1207" i="5" s="1"/>
  <c r="G1207" i="1"/>
  <c r="G1208" i="1"/>
  <c r="G1209" i="1"/>
  <c r="G1210" i="1"/>
  <c r="G1211" i="5" s="1"/>
  <c r="G1211" i="1"/>
  <c r="G1212" i="1"/>
  <c r="G1213" i="1"/>
  <c r="G1214" i="1"/>
  <c r="G1215" i="1"/>
  <c r="G1216" i="1"/>
  <c r="G1217" i="1"/>
  <c r="G1218" i="1"/>
  <c r="G1219" i="5" s="1"/>
  <c r="G1219" i="1"/>
  <c r="G1220" i="1"/>
  <c r="G1221" i="1"/>
  <c r="G1222" i="1"/>
  <c r="G1223" i="5" s="1"/>
  <c r="G1223" i="1"/>
  <c r="G1224" i="1"/>
  <c r="G1225" i="1"/>
  <c r="G1226" i="1"/>
  <c r="G1227" i="5" s="1"/>
  <c r="G1227" i="1"/>
  <c r="G1228" i="1"/>
  <c r="G1229" i="1"/>
  <c r="G1230" i="1"/>
  <c r="G1231" i="5" s="1"/>
  <c r="G1231" i="1"/>
  <c r="G1232" i="1"/>
  <c r="G1233" i="1"/>
  <c r="G1234" i="1"/>
  <c r="G1235" i="1"/>
  <c r="G1236" i="1"/>
  <c r="G1237" i="1"/>
  <c r="G1238" i="1"/>
  <c r="G1239" i="5" s="1"/>
  <c r="G1239" i="1"/>
  <c r="G1240" i="1"/>
  <c r="G1241" i="1"/>
  <c r="G1242" i="1"/>
  <c r="G1243" i="5" s="1"/>
  <c r="G1243" i="1"/>
  <c r="G1244" i="1"/>
  <c r="G1245" i="1"/>
  <c r="G1246" i="1"/>
  <c r="G1247" i="5" s="1"/>
  <c r="G1247" i="1"/>
  <c r="G1248" i="1"/>
  <c r="G1249" i="1"/>
  <c r="G1250" i="1"/>
  <c r="G1251" i="5" s="1"/>
  <c r="G1251" i="1"/>
  <c r="G1252" i="1"/>
  <c r="G1253" i="1"/>
  <c r="G1254" i="1"/>
  <c r="G1255" i="5" s="1"/>
  <c r="G1255" i="1"/>
  <c r="G1256" i="1"/>
  <c r="G1257" i="1"/>
  <c r="G1258" i="1"/>
  <c r="G1259" i="1"/>
  <c r="G1260" i="1"/>
  <c r="G1261" i="1"/>
  <c r="G1262" i="1"/>
  <c r="G1263" i="5" s="1"/>
  <c r="G1263" i="1"/>
  <c r="G1264" i="1"/>
  <c r="G1265" i="1"/>
  <c r="G1266" i="1"/>
  <c r="G1267" i="5" s="1"/>
  <c r="G1267" i="1"/>
  <c r="G1268" i="1"/>
  <c r="G1269" i="1"/>
  <c r="G1270" i="1"/>
  <c r="G1271" i="5" s="1"/>
  <c r="G1271" i="1"/>
  <c r="G1272" i="1"/>
  <c r="G1273" i="1"/>
  <c r="G1274" i="1"/>
  <c r="G1275" i="5" s="1"/>
  <c r="G1275" i="1"/>
  <c r="G1276" i="1"/>
  <c r="G1277" i="1"/>
  <c r="G1278" i="1"/>
  <c r="G1279" i="1"/>
  <c r="G1280" i="1"/>
  <c r="G1281" i="1"/>
  <c r="G1282" i="1"/>
  <c r="G1283" i="5" s="1"/>
  <c r="G1283" i="1"/>
  <c r="G1284" i="1"/>
  <c r="G1285" i="1"/>
  <c r="G1286" i="1"/>
  <c r="G1287" i="5" s="1"/>
  <c r="G1287" i="1"/>
  <c r="G1288" i="1"/>
  <c r="G1289" i="1"/>
  <c r="G1290" i="1"/>
  <c r="G1291" i="5" s="1"/>
  <c r="G1291" i="1"/>
  <c r="G1292" i="1"/>
  <c r="G1293" i="1"/>
  <c r="G1294" i="1"/>
  <c r="G1295" i="5" s="1"/>
  <c r="G1295" i="1"/>
  <c r="G1296" i="1"/>
  <c r="G1297" i="1"/>
  <c r="G1298" i="1"/>
  <c r="G1299" i="1"/>
  <c r="G1300" i="1"/>
  <c r="G1301" i="1"/>
  <c r="G1302" i="1"/>
  <c r="G1303" i="5" s="1"/>
  <c r="G1303" i="1"/>
  <c r="G1304" i="1"/>
  <c r="G1305" i="1"/>
  <c r="G1306" i="1"/>
  <c r="G1307" i="5" s="1"/>
  <c r="G1307" i="1"/>
  <c r="G1308" i="1"/>
  <c r="G1309" i="1"/>
  <c r="G1310" i="1"/>
  <c r="G1311" i="5" s="1"/>
  <c r="G1311" i="1"/>
  <c r="G1312" i="1"/>
  <c r="G1313" i="1"/>
  <c r="G1314" i="1"/>
  <c r="G1315" i="5" s="1"/>
  <c r="G1315" i="1"/>
  <c r="G1316" i="1"/>
  <c r="G1317" i="1"/>
  <c r="G1318" i="1"/>
  <c r="G1319" i="5" s="1"/>
  <c r="G1319" i="1"/>
  <c r="G1320" i="1"/>
  <c r="G1321" i="1"/>
  <c r="G1322" i="1"/>
  <c r="G1323" i="1"/>
  <c r="G1324" i="1"/>
  <c r="G1325" i="1"/>
  <c r="G1326" i="1"/>
  <c r="G1327" i="5" s="1"/>
  <c r="G1327" i="1"/>
  <c r="G1328" i="1"/>
  <c r="G1329" i="1"/>
  <c r="G1330" i="1"/>
  <c r="G1331" i="5" s="1"/>
  <c r="G1331" i="1"/>
  <c r="G1332" i="1"/>
  <c r="G1333" i="1"/>
  <c r="G1334" i="1"/>
  <c r="G1335" i="5" s="1"/>
  <c r="G1335" i="1"/>
  <c r="G1336" i="1"/>
  <c r="G1337" i="1"/>
  <c r="G1338" i="1"/>
  <c r="G1339" i="5" s="1"/>
  <c r="G1339" i="1"/>
  <c r="G1340" i="1"/>
  <c r="G1341" i="1"/>
  <c r="G1342" i="1"/>
  <c r="G1343" i="1"/>
  <c r="G1344" i="1"/>
  <c r="G1345" i="1"/>
  <c r="G1346" i="1"/>
  <c r="G1347" i="5" s="1"/>
  <c r="G1347" i="1"/>
  <c r="G1348" i="1"/>
  <c r="G1349" i="1"/>
  <c r="G1350" i="1"/>
  <c r="G1351" i="5" s="1"/>
  <c r="G1351" i="1"/>
  <c r="G1352" i="1"/>
  <c r="G1353" i="1"/>
  <c r="G1354" i="1"/>
  <c r="G1355" i="5" s="1"/>
  <c r="G1355" i="1"/>
  <c r="G1356" i="1"/>
  <c r="G1357" i="1"/>
  <c r="G1358" i="1"/>
  <c r="G1359" i="5" s="1"/>
  <c r="G1359" i="1"/>
  <c r="G1360" i="1"/>
  <c r="G1361" i="1"/>
  <c r="G1362" i="1"/>
  <c r="G1363" i="1"/>
  <c r="G1364" i="1"/>
  <c r="G1365" i="1"/>
  <c r="G1366" i="1"/>
  <c r="G1367" i="5" s="1"/>
  <c r="G1367" i="1"/>
  <c r="G1368" i="1"/>
  <c r="G1369" i="1"/>
  <c r="G1370" i="1"/>
  <c r="G1371" i="5" s="1"/>
  <c r="G1371" i="1"/>
  <c r="G1372" i="1"/>
  <c r="G1373" i="1"/>
  <c r="G1374" i="1"/>
  <c r="G1375" i="5" s="1"/>
  <c r="G1375" i="1"/>
  <c r="G1376" i="1"/>
  <c r="G1377" i="1"/>
  <c r="G1378" i="1"/>
  <c r="G1379" i="1"/>
  <c r="G1380" i="1"/>
  <c r="G1381" i="1"/>
  <c r="G1382" i="1"/>
  <c r="G1383" i="5" s="1"/>
  <c r="G1383" i="1"/>
  <c r="G1384" i="1"/>
  <c r="G1385" i="1"/>
  <c r="G1386" i="1"/>
  <c r="G1387" i="5" s="1"/>
  <c r="G1387" i="1"/>
  <c r="G1388" i="1"/>
  <c r="G1389" i="1"/>
  <c r="G1390" i="1"/>
  <c r="G1391" i="5" s="1"/>
  <c r="G1391" i="1"/>
  <c r="G1392" i="1"/>
  <c r="G1393" i="1"/>
  <c r="G1394" i="1"/>
  <c r="G1395" i="1"/>
  <c r="G1396" i="1"/>
  <c r="G1397" i="1"/>
  <c r="G1398" i="1"/>
  <c r="G1399" i="5" s="1"/>
  <c r="G1399" i="1"/>
  <c r="G1400" i="1"/>
  <c r="G1401" i="1"/>
  <c r="G1402" i="1"/>
  <c r="G1403" i="5" s="1"/>
  <c r="G1403" i="1"/>
  <c r="G1404" i="1"/>
  <c r="G1405" i="1"/>
  <c r="G1406" i="1"/>
  <c r="G1407" i="5" s="1"/>
  <c r="G1407" i="1"/>
  <c r="G1408" i="1"/>
  <c r="G1409" i="1"/>
  <c r="G1410" i="1"/>
  <c r="G1411" i="1"/>
  <c r="G1412" i="1"/>
  <c r="G1413" i="1"/>
  <c r="G1414" i="1"/>
  <c r="G1415" i="5" s="1"/>
  <c r="G1415" i="1"/>
  <c r="G1416" i="1"/>
  <c r="G1417" i="1"/>
  <c r="G1418" i="1"/>
  <c r="G1419" i="5" s="1"/>
  <c r="G1419" i="1"/>
  <c r="G1420" i="1"/>
  <c r="G1421" i="1"/>
  <c r="G1422" i="1"/>
  <c r="G1423" i="5" s="1"/>
  <c r="G1423" i="1"/>
  <c r="G1424" i="1"/>
  <c r="G1425" i="1"/>
  <c r="G1426" i="1"/>
  <c r="G1427" i="1"/>
  <c r="G1428" i="1"/>
  <c r="G1429" i="1"/>
  <c r="G1430" i="1"/>
  <c r="G1431" i="5" s="1"/>
  <c r="G1431" i="1"/>
  <c r="G1432" i="1"/>
  <c r="G1433" i="1"/>
  <c r="G1434" i="1"/>
  <c r="G1435" i="5" s="1"/>
  <c r="G1435" i="1"/>
  <c r="G1436" i="1"/>
  <c r="G1437" i="1"/>
  <c r="G1438" i="1"/>
  <c r="G1439" i="5" s="1"/>
  <c r="G1439" i="1"/>
  <c r="G1440" i="1"/>
  <c r="G1441" i="1"/>
  <c r="G1442" i="1"/>
  <c r="G1443" i="1"/>
  <c r="G1444" i="1"/>
  <c r="G1445" i="1"/>
  <c r="G1446" i="1"/>
  <c r="G1447" i="5" s="1"/>
  <c r="G1447" i="1"/>
  <c r="G1448" i="1"/>
  <c r="G1449" i="1"/>
  <c r="G1450" i="1"/>
  <c r="G1451" i="5" s="1"/>
  <c r="G1451" i="1"/>
  <c r="G1452" i="1"/>
  <c r="G1453" i="1"/>
  <c r="G1454" i="1"/>
  <c r="G1455" i="5" s="1"/>
  <c r="G1455" i="1"/>
  <c r="G1456" i="1"/>
  <c r="G1457" i="1"/>
  <c r="G1458" i="1"/>
  <c r="G1459" i="1"/>
  <c r="G1460" i="1"/>
  <c r="G1461" i="1"/>
  <c r="G1462" i="1"/>
  <c r="G1463" i="5" s="1"/>
  <c r="G1463" i="1"/>
  <c r="G1464" i="1"/>
  <c r="G1465" i="1"/>
  <c r="G1466" i="1"/>
  <c r="G1467" i="5" s="1"/>
  <c r="G1467" i="1"/>
  <c r="G1468" i="1"/>
  <c r="G1469" i="1"/>
  <c r="G1470" i="1"/>
  <c r="G1471" i="5" s="1"/>
  <c r="G1471" i="1"/>
  <c r="G1472" i="1"/>
  <c r="G1473" i="1"/>
  <c r="G1474" i="1"/>
  <c r="G1475" i="1"/>
  <c r="G1476" i="1"/>
  <c r="G1477" i="1"/>
  <c r="G1478" i="1"/>
  <c r="G1479" i="5" s="1"/>
  <c r="G1479" i="1"/>
  <c r="G1480" i="1"/>
  <c r="G1481" i="1"/>
  <c r="G1482" i="1"/>
  <c r="G1483" i="5" s="1"/>
  <c r="G1483" i="1"/>
  <c r="G1484" i="1"/>
  <c r="G1485" i="1"/>
  <c r="G1486" i="1"/>
  <c r="G1487" i="5" s="1"/>
  <c r="G1487" i="1"/>
  <c r="G1488" i="1"/>
  <c r="G1489" i="1"/>
  <c r="G1490" i="1"/>
  <c r="G1491" i="1"/>
  <c r="G149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5" s="1"/>
  <c r="F514" i="1"/>
  <c r="F515" i="1"/>
  <c r="F516" i="1"/>
  <c r="F517" i="1"/>
  <c r="F518" i="1"/>
  <c r="F519" i="1"/>
  <c r="F520" i="1"/>
  <c r="F521" i="1"/>
  <c r="F522" i="5" s="1"/>
  <c r="F522" i="1"/>
  <c r="F523" i="1"/>
  <c r="F524" i="1"/>
  <c r="F525" i="1"/>
  <c r="F526" i="1"/>
  <c r="F527" i="1"/>
  <c r="F528" i="1"/>
  <c r="F529" i="1"/>
  <c r="F530" i="5" s="1"/>
  <c r="F530" i="1"/>
  <c r="F531" i="1"/>
  <c r="F532" i="1"/>
  <c r="F533" i="1"/>
  <c r="F534" i="1"/>
  <c r="F535" i="1"/>
  <c r="F536" i="1"/>
  <c r="F537" i="1"/>
  <c r="F538" i="5" s="1"/>
  <c r="F538" i="1"/>
  <c r="F539" i="1"/>
  <c r="F540" i="1"/>
  <c r="F541" i="1"/>
  <c r="F542" i="1"/>
  <c r="F543" i="1"/>
  <c r="F544" i="1"/>
  <c r="F545" i="1"/>
  <c r="F546" i="5" s="1"/>
  <c r="F546" i="1"/>
  <c r="F547" i="1"/>
  <c r="F548" i="1"/>
  <c r="F549" i="1"/>
  <c r="F550" i="1"/>
  <c r="F551" i="1"/>
  <c r="F552" i="1"/>
  <c r="F553" i="1"/>
  <c r="F554" i="5" s="1"/>
  <c r="F554" i="1"/>
  <c r="F555" i="1"/>
  <c r="F556" i="1"/>
  <c r="F557" i="1"/>
  <c r="F558" i="5" s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5" s="1"/>
  <c r="F570" i="1"/>
  <c r="F571" i="1"/>
  <c r="F572" i="1"/>
  <c r="F573" i="1"/>
  <c r="F574" i="5" s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5" s="1"/>
  <c r="F586" i="1"/>
  <c r="F587" i="1"/>
  <c r="F588" i="1"/>
  <c r="F589" i="1"/>
  <c r="F590" i="5" s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5" s="1"/>
  <c r="F602" i="1"/>
  <c r="F603" i="1"/>
  <c r="F604" i="1"/>
  <c r="F605" i="1"/>
  <c r="F606" i="5" s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5" s="1"/>
  <c r="F618" i="1"/>
  <c r="F619" i="1"/>
  <c r="F620" i="1"/>
  <c r="F621" i="1"/>
  <c r="F622" i="5" s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5" s="1"/>
  <c r="F634" i="1"/>
  <c r="F635" i="1"/>
  <c r="F636" i="1"/>
  <c r="F637" i="1"/>
  <c r="F638" i="5" s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5" s="1"/>
  <c r="F650" i="1"/>
  <c r="F651" i="1"/>
  <c r="F652" i="1"/>
  <c r="F653" i="1"/>
  <c r="F654" i="5" s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5" s="1"/>
  <c r="F666" i="1"/>
  <c r="F667" i="1"/>
  <c r="F668" i="1"/>
  <c r="F669" i="1"/>
  <c r="F670" i="5" s="1"/>
  <c r="F670" i="1"/>
  <c r="F671" i="1"/>
  <c r="F672" i="1"/>
  <c r="F673" i="1"/>
  <c r="F674" i="1"/>
  <c r="F675" i="1"/>
  <c r="F676" i="1"/>
  <c r="F677" i="1"/>
  <c r="F678" i="5" s="1"/>
  <c r="F678" i="1"/>
  <c r="F679" i="1"/>
  <c r="F680" i="1"/>
  <c r="F681" i="1"/>
  <c r="F682" i="5" s="1"/>
  <c r="F682" i="1"/>
  <c r="F683" i="1"/>
  <c r="F684" i="1"/>
  <c r="F685" i="1"/>
  <c r="F686" i="5" s="1"/>
  <c r="F686" i="1"/>
  <c r="F687" i="1"/>
  <c r="F688" i="1"/>
  <c r="F689" i="1"/>
  <c r="F690" i="5" s="1"/>
  <c r="F690" i="1"/>
  <c r="F691" i="1"/>
  <c r="F692" i="1"/>
  <c r="F693" i="1"/>
  <c r="F694" i="1"/>
  <c r="F695" i="1"/>
  <c r="F696" i="1"/>
  <c r="F697" i="1"/>
  <c r="F698" i="5" s="1"/>
  <c r="F698" i="1"/>
  <c r="F699" i="1"/>
  <c r="F700" i="1"/>
  <c r="F701" i="1"/>
  <c r="F702" i="5" s="1"/>
  <c r="F702" i="1"/>
  <c r="F703" i="1"/>
  <c r="F704" i="1"/>
  <c r="F705" i="1"/>
  <c r="F706" i="1"/>
  <c r="F707" i="1"/>
  <c r="F708" i="1"/>
  <c r="F709" i="1"/>
  <c r="F710" i="5" s="1"/>
  <c r="F710" i="1"/>
  <c r="F711" i="1"/>
  <c r="F712" i="1"/>
  <c r="F713" i="1"/>
  <c r="F714" i="5" s="1"/>
  <c r="F714" i="1"/>
  <c r="F715" i="1"/>
  <c r="F716" i="1"/>
  <c r="F717" i="1"/>
  <c r="F718" i="5" s="1"/>
  <c r="F718" i="1"/>
  <c r="F719" i="1"/>
  <c r="F720" i="1"/>
  <c r="F721" i="1"/>
  <c r="F722" i="5" s="1"/>
  <c r="F722" i="1"/>
  <c r="F723" i="1"/>
  <c r="F724" i="1"/>
  <c r="F725" i="1"/>
  <c r="F726" i="1"/>
  <c r="F727" i="1"/>
  <c r="F728" i="1"/>
  <c r="F729" i="1"/>
  <c r="F730" i="5" s="1"/>
  <c r="F730" i="1"/>
  <c r="F731" i="1"/>
  <c r="F732" i="1"/>
  <c r="F733" i="1"/>
  <c r="F734" i="5" s="1"/>
  <c r="F734" i="1"/>
  <c r="F735" i="1"/>
  <c r="F736" i="1"/>
  <c r="F737" i="1"/>
  <c r="F738" i="1"/>
  <c r="F739" i="1"/>
  <c r="F740" i="1"/>
  <c r="F741" i="1"/>
  <c r="F742" i="5" s="1"/>
  <c r="F742" i="1"/>
  <c r="F743" i="1"/>
  <c r="F744" i="1"/>
  <c r="F745" i="1"/>
  <c r="F746" i="5" s="1"/>
  <c r="F746" i="1"/>
  <c r="F747" i="1"/>
  <c r="F748" i="1"/>
  <c r="F749" i="1"/>
  <c r="F750" i="5" s="1"/>
  <c r="F750" i="1"/>
  <c r="F751" i="1"/>
  <c r="F752" i="1"/>
  <c r="F753" i="1"/>
  <c r="F754" i="5" s="1"/>
  <c r="F754" i="1"/>
  <c r="F755" i="1"/>
  <c r="F756" i="1"/>
  <c r="F757" i="1"/>
  <c r="F758" i="1"/>
  <c r="F759" i="1"/>
  <c r="F760" i="1"/>
  <c r="F761" i="1"/>
  <c r="F762" i="5" s="1"/>
  <c r="F762" i="1"/>
  <c r="F763" i="1"/>
  <c r="F764" i="1"/>
  <c r="F765" i="1"/>
  <c r="F766" i="5" s="1"/>
  <c r="F766" i="1"/>
  <c r="F767" i="1"/>
  <c r="F768" i="1"/>
  <c r="F769" i="1"/>
  <c r="F770" i="1"/>
  <c r="F771" i="1"/>
  <c r="F772" i="1"/>
  <c r="F773" i="1"/>
  <c r="F774" i="5" s="1"/>
  <c r="F774" i="1"/>
  <c r="F775" i="1"/>
  <c r="F776" i="1"/>
  <c r="F777" i="1"/>
  <c r="F778" i="5" s="1"/>
  <c r="F778" i="1"/>
  <c r="F779" i="1"/>
  <c r="F780" i="1"/>
  <c r="F781" i="1"/>
  <c r="F782" i="5" s="1"/>
  <c r="F782" i="1"/>
  <c r="F783" i="1"/>
  <c r="F784" i="1"/>
  <c r="F785" i="1"/>
  <c r="F786" i="5" s="1"/>
  <c r="F786" i="1"/>
  <c r="F787" i="1"/>
  <c r="F788" i="1"/>
  <c r="F789" i="1"/>
  <c r="F790" i="1"/>
  <c r="F791" i="1"/>
  <c r="F792" i="1"/>
  <c r="F793" i="1"/>
  <c r="F794" i="5" s="1"/>
  <c r="F794" i="1"/>
  <c r="F795" i="1"/>
  <c r="F796" i="1"/>
  <c r="F797" i="1"/>
  <c r="F798" i="5" s="1"/>
  <c r="F798" i="1"/>
  <c r="F799" i="1"/>
  <c r="F800" i="1"/>
  <c r="F801" i="1"/>
  <c r="F802" i="1"/>
  <c r="F803" i="1"/>
  <c r="F804" i="1"/>
  <c r="F805" i="1"/>
  <c r="F806" i="5" s="1"/>
  <c r="F806" i="1"/>
  <c r="F807" i="1"/>
  <c r="F808" i="1"/>
  <c r="F809" i="1"/>
  <c r="F810" i="5" s="1"/>
  <c r="F810" i="1"/>
  <c r="F811" i="1"/>
  <c r="F812" i="1"/>
  <c r="F813" i="1"/>
  <c r="F814" i="5" s="1"/>
  <c r="F814" i="1"/>
  <c r="F815" i="1"/>
  <c r="F816" i="1"/>
  <c r="F817" i="1"/>
  <c r="F818" i="5" s="1"/>
  <c r="F818" i="1"/>
  <c r="F819" i="1"/>
  <c r="F820" i="1"/>
  <c r="F821" i="1"/>
  <c r="F822" i="1"/>
  <c r="F823" i="1"/>
  <c r="F824" i="1"/>
  <c r="F825" i="1"/>
  <c r="F826" i="5" s="1"/>
  <c r="F826" i="1"/>
  <c r="F827" i="1"/>
  <c r="F828" i="1"/>
  <c r="F829" i="1"/>
  <c r="F830" i="5" s="1"/>
  <c r="F830" i="1"/>
  <c r="F831" i="1"/>
  <c r="F832" i="1"/>
  <c r="F833" i="1"/>
  <c r="F834" i="1"/>
  <c r="F835" i="1"/>
  <c r="F836" i="1"/>
  <c r="F837" i="1"/>
  <c r="F838" i="5" s="1"/>
  <c r="F838" i="1"/>
  <c r="F839" i="1"/>
  <c r="F840" i="1"/>
  <c r="F841" i="1"/>
  <c r="F842" i="5" s="1"/>
  <c r="F842" i="1"/>
  <c r="F843" i="1"/>
  <c r="F844" i="1"/>
  <c r="F845" i="1"/>
  <c r="F846" i="5" s="1"/>
  <c r="F846" i="1"/>
  <c r="F847" i="1"/>
  <c r="F848" i="1"/>
  <c r="F849" i="1"/>
  <c r="F850" i="5" s="1"/>
  <c r="F850" i="1"/>
  <c r="F851" i="1"/>
  <c r="F852" i="1"/>
  <c r="F853" i="1"/>
  <c r="F854" i="1"/>
  <c r="F855" i="1"/>
  <c r="F856" i="1"/>
  <c r="F857" i="1"/>
  <c r="F858" i="5" s="1"/>
  <c r="F858" i="1"/>
  <c r="F859" i="1"/>
  <c r="F860" i="1"/>
  <c r="F861" i="1"/>
  <c r="F862" i="5" s="1"/>
  <c r="F862" i="1"/>
  <c r="F863" i="1"/>
  <c r="F864" i="1"/>
  <c r="F865" i="1"/>
  <c r="F866" i="1"/>
  <c r="F867" i="1"/>
  <c r="F868" i="1"/>
  <c r="F869" i="1"/>
  <c r="F870" i="5" s="1"/>
  <c r="F870" i="1"/>
  <c r="F871" i="1"/>
  <c r="F872" i="1"/>
  <c r="F873" i="1"/>
  <c r="F874" i="5" s="1"/>
  <c r="F874" i="1"/>
  <c r="F875" i="1"/>
  <c r="F876" i="1"/>
  <c r="F877" i="1"/>
  <c r="F878" i="5" s="1"/>
  <c r="F878" i="1"/>
  <c r="F879" i="1"/>
  <c r="F880" i="1"/>
  <c r="F881" i="1"/>
  <c r="F882" i="5" s="1"/>
  <c r="F882" i="1"/>
  <c r="F883" i="1"/>
  <c r="F884" i="1"/>
  <c r="F885" i="1"/>
  <c r="F886" i="1"/>
  <c r="F887" i="1"/>
  <c r="F888" i="1"/>
  <c r="F889" i="1"/>
  <c r="F890" i="5" s="1"/>
  <c r="F890" i="1"/>
  <c r="F891" i="1"/>
  <c r="F892" i="1"/>
  <c r="F893" i="1"/>
  <c r="F894" i="5" s="1"/>
  <c r="F894" i="1"/>
  <c r="F895" i="1"/>
  <c r="F896" i="1"/>
  <c r="F897" i="1"/>
  <c r="F898" i="1"/>
  <c r="F899" i="1"/>
  <c r="F900" i="1"/>
  <c r="F901" i="1"/>
  <c r="F902" i="5" s="1"/>
  <c r="F902" i="1"/>
  <c r="F903" i="1"/>
  <c r="F904" i="1"/>
  <c r="F905" i="1"/>
  <c r="F906" i="5" s="1"/>
  <c r="F906" i="1"/>
  <c r="F907" i="1"/>
  <c r="F908" i="1"/>
  <c r="F909" i="1"/>
  <c r="F910" i="5" s="1"/>
  <c r="F910" i="1"/>
  <c r="F911" i="1"/>
  <c r="F912" i="1"/>
  <c r="F913" i="1"/>
  <c r="F914" i="5" s="1"/>
  <c r="F914" i="1"/>
  <c r="F915" i="1"/>
  <c r="F916" i="1"/>
  <c r="F917" i="1"/>
  <c r="F918" i="1"/>
  <c r="F919" i="1"/>
  <c r="F920" i="1"/>
  <c r="F921" i="1"/>
  <c r="F922" i="5" s="1"/>
  <c r="F922" i="1"/>
  <c r="F923" i="1"/>
  <c r="F924" i="1"/>
  <c r="F925" i="1"/>
  <c r="F926" i="5" s="1"/>
  <c r="F926" i="1"/>
  <c r="F927" i="1"/>
  <c r="F928" i="1"/>
  <c r="F929" i="1"/>
  <c r="F930" i="1"/>
  <c r="F931" i="1"/>
  <c r="F932" i="1"/>
  <c r="F933" i="1"/>
  <c r="F934" i="5" s="1"/>
  <c r="F934" i="1"/>
  <c r="F935" i="1"/>
  <c r="F936" i="1"/>
  <c r="F937" i="1"/>
  <c r="F938" i="5" s="1"/>
  <c r="F938" i="1"/>
  <c r="F939" i="1"/>
  <c r="F940" i="1"/>
  <c r="F941" i="1"/>
  <c r="F942" i="5" s="1"/>
  <c r="F942" i="1"/>
  <c r="F943" i="1"/>
  <c r="F944" i="1"/>
  <c r="F945" i="1"/>
  <c r="F946" i="5" s="1"/>
  <c r="F946" i="1"/>
  <c r="F947" i="1"/>
  <c r="F948" i="1"/>
  <c r="F949" i="1"/>
  <c r="F950" i="1"/>
  <c r="F951" i="1"/>
  <c r="F952" i="1"/>
  <c r="F953" i="1"/>
  <c r="F954" i="5" s="1"/>
  <c r="F954" i="1"/>
  <c r="F955" i="1"/>
  <c r="F956" i="1"/>
  <c r="F957" i="1"/>
  <c r="F958" i="5" s="1"/>
  <c r="F958" i="1"/>
  <c r="F959" i="1"/>
  <c r="F960" i="1"/>
  <c r="F961" i="1"/>
  <c r="F962" i="1"/>
  <c r="F963" i="1"/>
  <c r="F964" i="1"/>
  <c r="F965" i="1"/>
  <c r="F966" i="5" s="1"/>
  <c r="F966" i="1"/>
  <c r="F967" i="1"/>
  <c r="F968" i="1"/>
  <c r="F969" i="1"/>
  <c r="F970" i="5" s="1"/>
  <c r="F970" i="1"/>
  <c r="F971" i="1"/>
  <c r="F972" i="1"/>
  <c r="F973" i="1"/>
  <c r="F974" i="5" s="1"/>
  <c r="F974" i="1"/>
  <c r="F975" i="1"/>
  <c r="F976" i="1"/>
  <c r="F977" i="1"/>
  <c r="F978" i="5" s="1"/>
  <c r="F978" i="1"/>
  <c r="F979" i="1"/>
  <c r="F980" i="1"/>
  <c r="F981" i="1"/>
  <c r="F982" i="1"/>
  <c r="F983" i="1"/>
  <c r="F984" i="1"/>
  <c r="F985" i="1"/>
  <c r="F986" i="5" s="1"/>
  <c r="F986" i="1"/>
  <c r="F987" i="1"/>
  <c r="F988" i="1"/>
  <c r="F989" i="1"/>
  <c r="F990" i="5" s="1"/>
  <c r="F990" i="1"/>
  <c r="F991" i="1"/>
  <c r="F992" i="1"/>
  <c r="F993" i="1"/>
  <c r="F994" i="1"/>
  <c r="F995" i="1"/>
  <c r="F996" i="1"/>
  <c r="F997" i="1"/>
  <c r="F998" i="5" s="1"/>
  <c r="F998" i="1"/>
  <c r="F999" i="1"/>
  <c r="F1000" i="1"/>
  <c r="F1001" i="1"/>
  <c r="F1002" i="5" s="1"/>
  <c r="F1002" i="1"/>
  <c r="F1003" i="1"/>
  <c r="F1004" i="1"/>
  <c r="F1005" i="1"/>
  <c r="F1006" i="5" s="1"/>
  <c r="F1006" i="1"/>
  <c r="F1007" i="1"/>
  <c r="F1008" i="1"/>
  <c r="F1009" i="1"/>
  <c r="F1010" i="5" s="1"/>
  <c r="F1010" i="1"/>
  <c r="F1011" i="1"/>
  <c r="F1012" i="1"/>
  <c r="F1013" i="1"/>
  <c r="F1014" i="1"/>
  <c r="F1015" i="1"/>
  <c r="F1016" i="1"/>
  <c r="F1017" i="1"/>
  <c r="F1018" i="5" s="1"/>
  <c r="F1018" i="1"/>
  <c r="F1019" i="1"/>
  <c r="F1020" i="1"/>
  <c r="F1021" i="1"/>
  <c r="F1022" i="5" s="1"/>
  <c r="F1022" i="1"/>
  <c r="F1023" i="1"/>
  <c r="F1024" i="1"/>
  <c r="F1025" i="1"/>
  <c r="F1026" i="1"/>
  <c r="F1027" i="1"/>
  <c r="F1028" i="1"/>
  <c r="F1029" i="1"/>
  <c r="F1030" i="5" s="1"/>
  <c r="F1030" i="1"/>
  <c r="F1031" i="1"/>
  <c r="F1032" i="1"/>
  <c r="F1033" i="1"/>
  <c r="F1034" i="5" s="1"/>
  <c r="F1034" i="1"/>
  <c r="F1035" i="1"/>
  <c r="F1036" i="1"/>
  <c r="F1037" i="1"/>
  <c r="F1038" i="5" s="1"/>
  <c r="F1038" i="1"/>
  <c r="F1039" i="1"/>
  <c r="F1040" i="1"/>
  <c r="F1041" i="1"/>
  <c r="F1042" i="5" s="1"/>
  <c r="F1042" i="1"/>
  <c r="F1043" i="1"/>
  <c r="F1044" i="1"/>
  <c r="F1045" i="1"/>
  <c r="F1046" i="1"/>
  <c r="F1047" i="1"/>
  <c r="F1048" i="1"/>
  <c r="F1049" i="1"/>
  <c r="F1050" i="5" s="1"/>
  <c r="F1050" i="1"/>
  <c r="F1051" i="1"/>
  <c r="F1052" i="1"/>
  <c r="F1053" i="1"/>
  <c r="F1054" i="5" s="1"/>
  <c r="F1054" i="1"/>
  <c r="F1055" i="1"/>
  <c r="F1056" i="1"/>
  <c r="F1057" i="1"/>
  <c r="F1058" i="1"/>
  <c r="F1059" i="1"/>
  <c r="F1060" i="1"/>
  <c r="F1061" i="1"/>
  <c r="F1062" i="5" s="1"/>
  <c r="F1062" i="1"/>
  <c r="F1063" i="1"/>
  <c r="F1064" i="1"/>
  <c r="F1065" i="1"/>
  <c r="F1066" i="5" s="1"/>
  <c r="F1066" i="1"/>
  <c r="F1067" i="1"/>
  <c r="F1068" i="1"/>
  <c r="F1069" i="1"/>
  <c r="F1070" i="5" s="1"/>
  <c r="F1070" i="1"/>
  <c r="F1071" i="1"/>
  <c r="F1072" i="1"/>
  <c r="F1073" i="1"/>
  <c r="F1074" i="5" s="1"/>
  <c r="F1074" i="1"/>
  <c r="F1075" i="1"/>
  <c r="F1076" i="1"/>
  <c r="F1077" i="1"/>
  <c r="F1078" i="1"/>
  <c r="F1079" i="1"/>
  <c r="F1080" i="1"/>
  <c r="F1081" i="1"/>
  <c r="F1082" i="5" s="1"/>
  <c r="F1082" i="1"/>
  <c r="F1083" i="1"/>
  <c r="F1084" i="1"/>
  <c r="F1085" i="1"/>
  <c r="F1086" i="5" s="1"/>
  <c r="F1086" i="1"/>
  <c r="F1087" i="1"/>
  <c r="F1088" i="1"/>
  <c r="F1089" i="1"/>
  <c r="F1090" i="1"/>
  <c r="F1091" i="1"/>
  <c r="F1092" i="1"/>
  <c r="F1093" i="1"/>
  <c r="F1094" i="5" s="1"/>
  <c r="F1094" i="1"/>
  <c r="F1095" i="1"/>
  <c r="F1096" i="1"/>
  <c r="F1097" i="1"/>
  <c r="F1098" i="5" s="1"/>
  <c r="F1098" i="1"/>
  <c r="F1099" i="1"/>
  <c r="F1100" i="1"/>
  <c r="F1101" i="1"/>
  <c r="F1102" i="5" s="1"/>
  <c r="F1102" i="1"/>
  <c r="F1103" i="1"/>
  <c r="F1104" i="1"/>
  <c r="F1105" i="1"/>
  <c r="F1106" i="5" s="1"/>
  <c r="F1106" i="1"/>
  <c r="F1107" i="1"/>
  <c r="F1108" i="1"/>
  <c r="F1109" i="1"/>
  <c r="F1110" i="1"/>
  <c r="F1111" i="1"/>
  <c r="F1112" i="1"/>
  <c r="F1113" i="1"/>
  <c r="F1114" i="5" s="1"/>
  <c r="F1114" i="1"/>
  <c r="F1115" i="1"/>
  <c r="F1116" i="1"/>
  <c r="F1117" i="1"/>
  <c r="F1118" i="5" s="1"/>
  <c r="F1118" i="1"/>
  <c r="F1119" i="1"/>
  <c r="F1120" i="1"/>
  <c r="F1121" i="1"/>
  <c r="F1122" i="1"/>
  <c r="F1123" i="1"/>
  <c r="F1124" i="1"/>
  <c r="F1125" i="1"/>
  <c r="F1126" i="5" s="1"/>
  <c r="F1126" i="1"/>
  <c r="F1127" i="1"/>
  <c r="F1128" i="1"/>
  <c r="F1129" i="1"/>
  <c r="F1130" i="1"/>
  <c r="F1130" i="5" s="1"/>
  <c r="F1131" i="1"/>
  <c r="F1132" i="1"/>
  <c r="F1133" i="1"/>
  <c r="F1134" i="1"/>
  <c r="F1134" i="5" s="1"/>
  <c r="F1135" i="1"/>
  <c r="F1136" i="1"/>
  <c r="F1137" i="1"/>
  <c r="F1138" i="1"/>
  <c r="F1139" i="5" s="1"/>
  <c r="F1139" i="1"/>
  <c r="F1140" i="1"/>
  <c r="F1141" i="1"/>
  <c r="F1142" i="5" s="1"/>
  <c r="F1142" i="1"/>
  <c r="F1143" i="1"/>
  <c r="F1144" i="1"/>
  <c r="F1145" i="1"/>
  <c r="F1146" i="1"/>
  <c r="F1146" i="5" s="1"/>
  <c r="F1147" i="1"/>
  <c r="F1148" i="1"/>
  <c r="F1149" i="1"/>
  <c r="F1150" i="1"/>
  <c r="F1150" i="5" s="1"/>
  <c r="F1151" i="1"/>
  <c r="F1152" i="1"/>
  <c r="F1153" i="1"/>
  <c r="F1154" i="1"/>
  <c r="F1155" i="5" s="1"/>
  <c r="F1155" i="1"/>
  <c r="F1156" i="1"/>
  <c r="F1157" i="1"/>
  <c r="F1158" i="5" s="1"/>
  <c r="F1158" i="1"/>
  <c r="F1159" i="1"/>
  <c r="F1160" i="1"/>
  <c r="F1161" i="1"/>
  <c r="F1162" i="1"/>
  <c r="F1162" i="5" s="1"/>
  <c r="F1163" i="1"/>
  <c r="F1164" i="1"/>
  <c r="F1165" i="1"/>
  <c r="F1166" i="1"/>
  <c r="F1166" i="5" s="1"/>
  <c r="F1167" i="1"/>
  <c r="F1168" i="1"/>
  <c r="F1169" i="1"/>
  <c r="F1170" i="1"/>
  <c r="F1171" i="5" s="1"/>
  <c r="F1171" i="1"/>
  <c r="F1172" i="1"/>
  <c r="F1173" i="1"/>
  <c r="F1174" i="5" s="1"/>
  <c r="F1174" i="1"/>
  <c r="F1175" i="1"/>
  <c r="F1176" i="1"/>
  <c r="F1177" i="1"/>
  <c r="F1178" i="1"/>
  <c r="F1178" i="5" s="1"/>
  <c r="F1179" i="1"/>
  <c r="F1180" i="1"/>
  <c r="F1181" i="1"/>
  <c r="F1182" i="1"/>
  <c r="F1183" i="1"/>
  <c r="F1184" i="1"/>
  <c r="F1185" i="1"/>
  <c r="F1186" i="1"/>
  <c r="F1187" i="5" s="1"/>
  <c r="F1187" i="1"/>
  <c r="F1188" i="1"/>
  <c r="F1189" i="1"/>
  <c r="F1190" i="1"/>
  <c r="F1190" i="5" s="1"/>
  <c r="F1191" i="1"/>
  <c r="F1192" i="1"/>
  <c r="F1193" i="1"/>
  <c r="F1194" i="1"/>
  <c r="F1194" i="5" s="1"/>
  <c r="F1195" i="1"/>
  <c r="F1196" i="1"/>
  <c r="F1197" i="1"/>
  <c r="F1198" i="1"/>
  <c r="F1199" i="1"/>
  <c r="F1200" i="1"/>
  <c r="F1201" i="1"/>
  <c r="F1202" i="1"/>
  <c r="F1203" i="5" s="1"/>
  <c r="F1203" i="1"/>
  <c r="F1204" i="1"/>
  <c r="F1205" i="1"/>
  <c r="F1206" i="1"/>
  <c r="F1207" i="5" s="1"/>
  <c r="F1207" i="1"/>
  <c r="F1208" i="1"/>
  <c r="F1209" i="1"/>
  <c r="F1210" i="1"/>
  <c r="F1210" i="5" s="1"/>
  <c r="F1211" i="1"/>
  <c r="F1212" i="1"/>
  <c r="F1213" i="1"/>
  <c r="F1214" i="1"/>
  <c r="F1215" i="1"/>
  <c r="F1216" i="1"/>
  <c r="F1217" i="1"/>
  <c r="F1218" i="1"/>
  <c r="F1219" i="5" s="1"/>
  <c r="F1219" i="1"/>
  <c r="F1220" i="1"/>
  <c r="F1221" i="1"/>
  <c r="F1222" i="1"/>
  <c r="F1222" i="5" s="1"/>
  <c r="F1223" i="1"/>
  <c r="F1224" i="1"/>
  <c r="F1225" i="1"/>
  <c r="F1226" i="1"/>
  <c r="F1226" i="5" s="1"/>
  <c r="F1227" i="1"/>
  <c r="F1228" i="1"/>
  <c r="F1229" i="1"/>
  <c r="F1230" i="1"/>
  <c r="F1231" i="1"/>
  <c r="F1232" i="1"/>
  <c r="F1233" i="1"/>
  <c r="F1234" i="1"/>
  <c r="F1235" i="5" s="1"/>
  <c r="F1235" i="1"/>
  <c r="F1236" i="1"/>
  <c r="F1237" i="1"/>
  <c r="F1238" i="1"/>
  <c r="F1239" i="5" s="1"/>
  <c r="F1239" i="1"/>
  <c r="F1240" i="1"/>
  <c r="F1241" i="1"/>
  <c r="F1242" i="1"/>
  <c r="F1242" i="5" s="1"/>
  <c r="F1243" i="1"/>
  <c r="F1244" i="1"/>
  <c r="F1245" i="1"/>
  <c r="F1246" i="1"/>
  <c r="F1247" i="1"/>
  <c r="F1248" i="1"/>
  <c r="F1249" i="1"/>
  <c r="F1250" i="1"/>
  <c r="F1251" i="5" s="1"/>
  <c r="F1251" i="1"/>
  <c r="F1252" i="1"/>
  <c r="F1253" i="1"/>
  <c r="F1254" i="1"/>
  <c r="F1255" i="5" s="1"/>
  <c r="F1255" i="1"/>
  <c r="F1256" i="1"/>
  <c r="F1257" i="1"/>
  <c r="F1258" i="1"/>
  <c r="F1258" i="5" s="1"/>
  <c r="F1259" i="1"/>
  <c r="F1260" i="1"/>
  <c r="F1261" i="1"/>
  <c r="F1262" i="1"/>
  <c r="F1263" i="1"/>
  <c r="F1264" i="1"/>
  <c r="F1265" i="1"/>
  <c r="F1266" i="1"/>
  <c r="F1267" i="5" s="1"/>
  <c r="F1267" i="1"/>
  <c r="F1268" i="1"/>
  <c r="F1269" i="1"/>
  <c r="F1270" i="1"/>
  <c r="F1271" i="5" s="1"/>
  <c r="F1271" i="1"/>
  <c r="F1272" i="1"/>
  <c r="F1273" i="1"/>
  <c r="F1274" i="1"/>
  <c r="F1274" i="5" s="1"/>
  <c r="F1275" i="1"/>
  <c r="F1276" i="1"/>
  <c r="F1277" i="1"/>
  <c r="F1278" i="1"/>
  <c r="F1279" i="1"/>
  <c r="F1280" i="1"/>
  <c r="F1281" i="1"/>
  <c r="F1282" i="1"/>
  <c r="F1283" i="5" s="1"/>
  <c r="F1283" i="1"/>
  <c r="F1284" i="1"/>
  <c r="F1285" i="1"/>
  <c r="F1286" i="1"/>
  <c r="F1286" i="5" s="1"/>
  <c r="F1287" i="1"/>
  <c r="F1288" i="1"/>
  <c r="F1289" i="1"/>
  <c r="F1290" i="1"/>
  <c r="F1290" i="5" s="1"/>
  <c r="F1291" i="1"/>
  <c r="F1292" i="1"/>
  <c r="F1293" i="1"/>
  <c r="F1294" i="1"/>
  <c r="F1295" i="1"/>
  <c r="F1296" i="1"/>
  <c r="F1297" i="1"/>
  <c r="F1298" i="1"/>
  <c r="F1299" i="5" s="1"/>
  <c r="F1299" i="1"/>
  <c r="F1300" i="1"/>
  <c r="F1301" i="1"/>
  <c r="F1302" i="1"/>
  <c r="F1302" i="5" s="1"/>
  <c r="F1303" i="1"/>
  <c r="F1304" i="1"/>
  <c r="F1305" i="1"/>
  <c r="F1306" i="1"/>
  <c r="F1306" i="5" s="1"/>
  <c r="F1307" i="1"/>
  <c r="F1308" i="1"/>
  <c r="F1309" i="1"/>
  <c r="F1310" i="1"/>
  <c r="F1311" i="1"/>
  <c r="F1312" i="1"/>
  <c r="F1313" i="1"/>
  <c r="F1314" i="1"/>
  <c r="F1315" i="5" s="1"/>
  <c r="F1315" i="1"/>
  <c r="F1316" i="1"/>
  <c r="F1317" i="1"/>
  <c r="F1318" i="1"/>
  <c r="F1318" i="5" s="1"/>
  <c r="F1319" i="1"/>
  <c r="F1320" i="1"/>
  <c r="F1321" i="1"/>
  <c r="F1322" i="1"/>
  <c r="F1322" i="5" s="1"/>
  <c r="F1323" i="1"/>
  <c r="F1324" i="1"/>
  <c r="F1325" i="1"/>
  <c r="F1326" i="1"/>
  <c r="F1327" i="1"/>
  <c r="F1328" i="1"/>
  <c r="F1329" i="1"/>
  <c r="F1330" i="1"/>
  <c r="F1331" i="5" s="1"/>
  <c r="F1331" i="1"/>
  <c r="F1332" i="1"/>
  <c r="F1333" i="1"/>
  <c r="F1334" i="1"/>
  <c r="F1335" i="5" s="1"/>
  <c r="F1335" i="1"/>
  <c r="F1336" i="1"/>
  <c r="F1337" i="1"/>
  <c r="F1338" i="1"/>
  <c r="F1338" i="5" s="1"/>
  <c r="F1339" i="1"/>
  <c r="F1340" i="1"/>
  <c r="F1341" i="1"/>
  <c r="F1342" i="1"/>
  <c r="F1343" i="1"/>
  <c r="F1344" i="1"/>
  <c r="F1345" i="1"/>
  <c r="F1346" i="1"/>
  <c r="F1347" i="5" s="1"/>
  <c r="F1347" i="1"/>
  <c r="F1348" i="1"/>
  <c r="F1349" i="1"/>
  <c r="F1350" i="1"/>
  <c r="F1351" i="5" s="1"/>
  <c r="F1351" i="1"/>
  <c r="F1352" i="1"/>
  <c r="F1353" i="1"/>
  <c r="F1354" i="1"/>
  <c r="F1354" i="5" s="1"/>
  <c r="F1355" i="1"/>
  <c r="F1356" i="1"/>
  <c r="F1357" i="1"/>
  <c r="F1358" i="1"/>
  <c r="F1359" i="1"/>
  <c r="F1360" i="1"/>
  <c r="F1361" i="1"/>
  <c r="F1362" i="1"/>
  <c r="F1363" i="5" s="1"/>
  <c r="F1363" i="1"/>
  <c r="F1364" i="1"/>
  <c r="F1365" i="1"/>
  <c r="F1366" i="1"/>
  <c r="F1367" i="5" s="1"/>
  <c r="F1367" i="1"/>
  <c r="F1368" i="1"/>
  <c r="F1369" i="1"/>
  <c r="F1370" i="1"/>
  <c r="F1370" i="5" s="1"/>
  <c r="F1371" i="1"/>
  <c r="F1372" i="1"/>
  <c r="F1373" i="1"/>
  <c r="F1374" i="1"/>
  <c r="F1375" i="1"/>
  <c r="F1376" i="1"/>
  <c r="F1377" i="1"/>
  <c r="F1378" i="1"/>
  <c r="F1379" i="5" s="1"/>
  <c r="F1379" i="1"/>
  <c r="F1380" i="1"/>
  <c r="F1381" i="1"/>
  <c r="F1382" i="1"/>
  <c r="F1383" i="5" s="1"/>
  <c r="F1383" i="1"/>
  <c r="F1384" i="1"/>
  <c r="F1385" i="1"/>
  <c r="F1386" i="1"/>
  <c r="F1386" i="5" s="1"/>
  <c r="F1387" i="1"/>
  <c r="F1388" i="1"/>
  <c r="F1389" i="1"/>
  <c r="F1390" i="1"/>
  <c r="F1391" i="1"/>
  <c r="F1392" i="1"/>
  <c r="F1393" i="1"/>
  <c r="F1394" i="1"/>
  <c r="F1395" i="5" s="1"/>
  <c r="F1395" i="1"/>
  <c r="F1396" i="1"/>
  <c r="F1397" i="1"/>
  <c r="F1398" i="1"/>
  <c r="F1398" i="5" s="1"/>
  <c r="F1399" i="1"/>
  <c r="F1400" i="1"/>
  <c r="F1401" i="1"/>
  <c r="F1402" i="1"/>
  <c r="F1402" i="5" s="1"/>
  <c r="F1403" i="1"/>
  <c r="F1404" i="1"/>
  <c r="F1405" i="1"/>
  <c r="F1406" i="1"/>
  <c r="F1407" i="1"/>
  <c r="F1408" i="1"/>
  <c r="F1409" i="1"/>
  <c r="F1410" i="1"/>
  <c r="F1411" i="5" s="1"/>
  <c r="F1411" i="1"/>
  <c r="F1412" i="1"/>
  <c r="F1413" i="1"/>
  <c r="F1414" i="1"/>
  <c r="F1414" i="5" s="1"/>
  <c r="F1415" i="1"/>
  <c r="F1416" i="1"/>
  <c r="F1417" i="1"/>
  <c r="F1418" i="1"/>
  <c r="F1418" i="5" s="1"/>
  <c r="F1419" i="1"/>
  <c r="F1420" i="1"/>
  <c r="F1421" i="1"/>
  <c r="F1422" i="1"/>
  <c r="F1423" i="1"/>
  <c r="F1424" i="1"/>
  <c r="F1425" i="1"/>
  <c r="F1426" i="1"/>
  <c r="F1427" i="5" s="1"/>
  <c r="F1427" i="1"/>
  <c r="F1428" i="1"/>
  <c r="F1429" i="1"/>
  <c r="F1430" i="1"/>
  <c r="F1430" i="5" s="1"/>
  <c r="F1431" i="1"/>
  <c r="F1432" i="1"/>
  <c r="F1433" i="1"/>
  <c r="F1434" i="1"/>
  <c r="F1434" i="5" s="1"/>
  <c r="F1435" i="1"/>
  <c r="F1436" i="1"/>
  <c r="F1437" i="1"/>
  <c r="F1438" i="1"/>
  <c r="F1439" i="1"/>
  <c r="F1440" i="1"/>
  <c r="F1441" i="1"/>
  <c r="F1442" i="1"/>
  <c r="F1443" i="5" s="1"/>
  <c r="F1443" i="1"/>
  <c r="F1444" i="1"/>
  <c r="F1445" i="1"/>
  <c r="F1446" i="1"/>
  <c r="F1446" i="5" s="1"/>
  <c r="F1447" i="1"/>
  <c r="F1448" i="1"/>
  <c r="F1449" i="1"/>
  <c r="F1450" i="1"/>
  <c r="F1450" i="5" s="1"/>
  <c r="F1451" i="1"/>
  <c r="F1452" i="1"/>
  <c r="F1453" i="1"/>
  <c r="F1454" i="1"/>
  <c r="F1455" i="1"/>
  <c r="F1456" i="1"/>
  <c r="F1457" i="1"/>
  <c r="F1458" i="1"/>
  <c r="F1459" i="5" s="1"/>
  <c r="F1459" i="1"/>
  <c r="F1460" i="1"/>
  <c r="F1461" i="1"/>
  <c r="F1462" i="1"/>
  <c r="F1462" i="5" s="1"/>
  <c r="F1463" i="1"/>
  <c r="F1464" i="1"/>
  <c r="F1465" i="1"/>
  <c r="F1466" i="1"/>
  <c r="F1466" i="5" s="1"/>
  <c r="F1467" i="1"/>
  <c r="F1468" i="1"/>
  <c r="F1469" i="1"/>
  <c r="F1470" i="1"/>
  <c r="F1471" i="1"/>
  <c r="F1472" i="1"/>
  <c r="F1473" i="1"/>
  <c r="F1474" i="1"/>
  <c r="F1475" i="5" s="1"/>
  <c r="F1475" i="1"/>
  <c r="F1476" i="1"/>
  <c r="F1477" i="1"/>
  <c r="F1478" i="1"/>
  <c r="F1478" i="5" s="1"/>
  <c r="F1479" i="1"/>
  <c r="F1480" i="1"/>
  <c r="F1481" i="1"/>
  <c r="F1482" i="1"/>
  <c r="F1482" i="5" s="1"/>
  <c r="F1483" i="1"/>
  <c r="F1484" i="1"/>
  <c r="F1485" i="1"/>
  <c r="F1486" i="1"/>
  <c r="F1486" i="5" s="1"/>
  <c r="F1487" i="1"/>
  <c r="F1488" i="1"/>
  <c r="F1489" i="1"/>
  <c r="F1490" i="1"/>
  <c r="F1490" i="5" s="1"/>
  <c r="F1491" i="1"/>
  <c r="F1492" i="1"/>
  <c r="F2" i="1"/>
  <c r="A8" i="7"/>
  <c r="A7" i="7"/>
  <c r="A6" i="7"/>
  <c r="A5" i="7"/>
  <c r="A4" i="7"/>
  <c r="A3" i="7"/>
  <c r="A2" i="7"/>
  <c r="G1" i="7"/>
  <c r="H1" i="7"/>
  <c r="C1" i="7"/>
  <c r="D1" i="7"/>
  <c r="E1" i="7"/>
  <c r="F1" i="7"/>
  <c r="B1" i="7"/>
  <c r="A8" i="6"/>
  <c r="A7" i="9" s="1"/>
  <c r="A7" i="6"/>
  <c r="A6" i="9" s="1"/>
  <c r="A6" i="6"/>
  <c r="A5" i="8" s="1"/>
  <c r="A5" i="6"/>
  <c r="A4" i="8" s="1"/>
  <c r="A4" i="6"/>
  <c r="A3" i="8" s="1"/>
  <c r="A3" i="6"/>
  <c r="A2" i="9" s="1"/>
  <c r="A2" i="6"/>
  <c r="E4" i="5"/>
  <c r="E5" i="5"/>
  <c r="E8" i="5"/>
  <c r="E9" i="5"/>
  <c r="E12" i="5"/>
  <c r="E13" i="5"/>
  <c r="E16" i="5"/>
  <c r="E17" i="5"/>
  <c r="E20" i="5"/>
  <c r="E21" i="5"/>
  <c r="E24" i="5"/>
  <c r="E25" i="5"/>
  <c r="E28" i="5"/>
  <c r="E29" i="5"/>
  <c r="E32" i="5"/>
  <c r="E33" i="5"/>
  <c r="E36" i="5"/>
  <c r="E37" i="5"/>
  <c r="E40" i="5"/>
  <c r="E41" i="5"/>
  <c r="E44" i="5"/>
  <c r="E45" i="5"/>
  <c r="E48" i="5"/>
  <c r="E49" i="5"/>
  <c r="E52" i="5"/>
  <c r="E53" i="5"/>
  <c r="E56" i="5"/>
  <c r="E57" i="5"/>
  <c r="E60" i="5"/>
  <c r="E61" i="5"/>
  <c r="E64" i="5"/>
  <c r="E65" i="5"/>
  <c r="E68" i="5"/>
  <c r="E69" i="5"/>
  <c r="E72" i="5"/>
  <c r="E73" i="5"/>
  <c r="E76" i="5"/>
  <c r="E77" i="5"/>
  <c r="E80" i="5"/>
  <c r="E81" i="5"/>
  <c r="E84" i="5"/>
  <c r="E85" i="5"/>
  <c r="E88" i="5"/>
  <c r="E89" i="5"/>
  <c r="E92" i="5"/>
  <c r="E93" i="5"/>
  <c r="E96" i="5"/>
  <c r="E97" i="5"/>
  <c r="E100" i="5"/>
  <c r="E101" i="5"/>
  <c r="E104" i="5"/>
  <c r="E105" i="5"/>
  <c r="E108" i="5"/>
  <c r="E109" i="5"/>
  <c r="E112" i="5"/>
  <c r="E113" i="5"/>
  <c r="E116" i="5"/>
  <c r="E117" i="5"/>
  <c r="E120" i="5"/>
  <c r="E121" i="5"/>
  <c r="E124" i="5"/>
  <c r="E125" i="5"/>
  <c r="E128" i="5"/>
  <c r="E129" i="5"/>
  <c r="E132" i="5"/>
  <c r="E133" i="5"/>
  <c r="E136" i="5"/>
  <c r="E137" i="5"/>
  <c r="E140" i="5"/>
  <c r="E141" i="5"/>
  <c r="E144" i="5"/>
  <c r="E145" i="5"/>
  <c r="E148" i="5"/>
  <c r="E149" i="5"/>
  <c r="E152" i="5"/>
  <c r="E153" i="5"/>
  <c r="E156" i="5"/>
  <c r="E157" i="5"/>
  <c r="E160" i="5"/>
  <c r="E161" i="5"/>
  <c r="E164" i="5"/>
  <c r="E165" i="5"/>
  <c r="E168" i="5"/>
  <c r="E169" i="5"/>
  <c r="E172" i="5"/>
  <c r="E173" i="5"/>
  <c r="E176" i="5"/>
  <c r="E177" i="5"/>
  <c r="E180" i="5"/>
  <c r="E181" i="5"/>
  <c r="E184" i="5"/>
  <c r="E185" i="5"/>
  <c r="E188" i="5"/>
  <c r="E189" i="5"/>
  <c r="E192" i="5"/>
  <c r="E193" i="5"/>
  <c r="E196" i="5"/>
  <c r="E197" i="5"/>
  <c r="E200" i="5"/>
  <c r="E201" i="5"/>
  <c r="E204" i="5"/>
  <c r="E205" i="5"/>
  <c r="E208" i="5"/>
  <c r="E209" i="5"/>
  <c r="E212" i="5"/>
  <c r="E213" i="5"/>
  <c r="E216" i="5"/>
  <c r="E217" i="5"/>
  <c r="E220" i="5"/>
  <c r="E221" i="5"/>
  <c r="E224" i="5"/>
  <c r="E225" i="5"/>
  <c r="E228" i="5"/>
  <c r="E229" i="5"/>
  <c r="E232" i="5"/>
  <c r="E233" i="5"/>
  <c r="E236" i="5"/>
  <c r="E237" i="5"/>
  <c r="E240" i="5"/>
  <c r="E241" i="5"/>
  <c r="E244" i="5"/>
  <c r="E245" i="5"/>
  <c r="E248" i="5"/>
  <c r="E249" i="5"/>
  <c r="E252" i="5"/>
  <c r="E253" i="5"/>
  <c r="E256" i="5"/>
  <c r="E257" i="5"/>
  <c r="E260" i="5"/>
  <c r="E261" i="5"/>
  <c r="E264" i="5"/>
  <c r="E265" i="5"/>
  <c r="E268" i="5"/>
  <c r="E269" i="5"/>
  <c r="E272" i="5"/>
  <c r="E273" i="5"/>
  <c r="E276" i="5"/>
  <c r="E277" i="5"/>
  <c r="E280" i="5"/>
  <c r="E281" i="5"/>
  <c r="E284" i="5"/>
  <c r="E285" i="5"/>
  <c r="E288" i="5"/>
  <c r="E289" i="5"/>
  <c r="E292" i="5"/>
  <c r="E293" i="5"/>
  <c r="E296" i="5"/>
  <c r="E297" i="5"/>
  <c r="E300" i="5"/>
  <c r="E301" i="5"/>
  <c r="E304" i="5"/>
  <c r="E305" i="5"/>
  <c r="E308" i="5"/>
  <c r="E309" i="5"/>
  <c r="E312" i="5"/>
  <c r="E313" i="5"/>
  <c r="E316" i="5"/>
  <c r="E317" i="5"/>
  <c r="E320" i="5"/>
  <c r="E321" i="5"/>
  <c r="E324" i="5"/>
  <c r="E325" i="5"/>
  <c r="E328" i="5"/>
  <c r="E329" i="5"/>
  <c r="E332" i="5"/>
  <c r="E333" i="5"/>
  <c r="E336" i="5"/>
  <c r="E337" i="5"/>
  <c r="E340" i="5"/>
  <c r="E341" i="5"/>
  <c r="E344" i="5"/>
  <c r="E345" i="5"/>
  <c r="E348" i="5"/>
  <c r="E349" i="5"/>
  <c r="E352" i="5"/>
  <c r="E353" i="5"/>
  <c r="E356" i="5"/>
  <c r="E357" i="5"/>
  <c r="E360" i="5"/>
  <c r="E361" i="5"/>
  <c r="E364" i="5"/>
  <c r="E365" i="5"/>
  <c r="E368" i="5"/>
  <c r="E369" i="5"/>
  <c r="E372" i="5"/>
  <c r="E373" i="5"/>
  <c r="E376" i="5"/>
  <c r="E377" i="5"/>
  <c r="E380" i="5"/>
  <c r="E381" i="5"/>
  <c r="E384" i="5"/>
  <c r="E385" i="5"/>
  <c r="E388" i="5"/>
  <c r="E389" i="5"/>
  <c r="E392" i="5"/>
  <c r="E393" i="5"/>
  <c r="E396" i="5"/>
  <c r="E397" i="5"/>
  <c r="E400" i="5"/>
  <c r="E401" i="5"/>
  <c r="E404" i="5"/>
  <c r="E405" i="5"/>
  <c r="E408" i="5"/>
  <c r="E409" i="5"/>
  <c r="E412" i="5"/>
  <c r="E413" i="5"/>
  <c r="E416" i="5"/>
  <c r="E417" i="5"/>
  <c r="E420" i="5"/>
  <c r="E421" i="5"/>
  <c r="E424" i="5"/>
  <c r="E425" i="5"/>
  <c r="E428" i="5"/>
  <c r="E429" i="5"/>
  <c r="E432" i="5"/>
  <c r="E433" i="5"/>
  <c r="E436" i="5"/>
  <c r="E437" i="5"/>
  <c r="E440" i="5"/>
  <c r="E441" i="5"/>
  <c r="E444" i="5"/>
  <c r="E445" i="5"/>
  <c r="E448" i="5"/>
  <c r="E449" i="5"/>
  <c r="E452" i="5"/>
  <c r="E453" i="5"/>
  <c r="E456" i="5"/>
  <c r="E457" i="5"/>
  <c r="E460" i="5"/>
  <c r="E461" i="5"/>
  <c r="E464" i="5"/>
  <c r="E465" i="5"/>
  <c r="E468" i="5"/>
  <c r="E469" i="5"/>
  <c r="E472" i="5"/>
  <c r="E473" i="5"/>
  <c r="E476" i="5"/>
  <c r="E477" i="5"/>
  <c r="E480" i="5"/>
  <c r="E481" i="5"/>
  <c r="E484" i="5"/>
  <c r="E485" i="5"/>
  <c r="E488" i="5"/>
  <c r="E489" i="5"/>
  <c r="E492" i="5"/>
  <c r="E493" i="5"/>
  <c r="E496" i="5"/>
  <c r="E497" i="5"/>
  <c r="E500" i="5"/>
  <c r="E501" i="5"/>
  <c r="E504" i="5"/>
  <c r="E505" i="5"/>
  <c r="E508" i="5"/>
  <c r="E509" i="5"/>
  <c r="E512" i="5"/>
  <c r="E513" i="5"/>
  <c r="E516" i="5"/>
  <c r="E517" i="5"/>
  <c r="E520" i="5"/>
  <c r="E521" i="5"/>
  <c r="E524" i="5"/>
  <c r="E525" i="5"/>
  <c r="E528" i="5"/>
  <c r="E529" i="5"/>
  <c r="E532" i="5"/>
  <c r="E533" i="5"/>
  <c r="E536" i="5"/>
  <c r="E537" i="5"/>
  <c r="E540" i="5"/>
  <c r="E541" i="5"/>
  <c r="E544" i="5"/>
  <c r="E545" i="5"/>
  <c r="E548" i="5"/>
  <c r="E549" i="5"/>
  <c r="E552" i="5"/>
  <c r="E553" i="5"/>
  <c r="E556" i="5"/>
  <c r="E557" i="5"/>
  <c r="E560" i="5"/>
  <c r="E561" i="5"/>
  <c r="E564" i="5"/>
  <c r="E565" i="5"/>
  <c r="E568" i="5"/>
  <c r="E569" i="5"/>
  <c r="E572" i="5"/>
  <c r="E573" i="5"/>
  <c r="E576" i="5"/>
  <c r="E577" i="5"/>
  <c r="E580" i="5"/>
  <c r="E581" i="5"/>
  <c r="E584" i="5"/>
  <c r="E585" i="5"/>
  <c r="E588" i="5"/>
  <c r="E589" i="5"/>
  <c r="E592" i="5"/>
  <c r="E593" i="5"/>
  <c r="E596" i="5"/>
  <c r="E597" i="5"/>
  <c r="E600" i="5"/>
  <c r="E601" i="5"/>
  <c r="E604" i="5"/>
  <c r="E605" i="5"/>
  <c r="E607" i="5"/>
  <c r="E608" i="5"/>
  <c r="E609" i="5"/>
  <c r="E612" i="5"/>
  <c r="E613" i="5"/>
  <c r="E616" i="5"/>
  <c r="E617" i="5"/>
  <c r="E620" i="5"/>
  <c r="E621" i="5"/>
  <c r="E624" i="5"/>
  <c r="E625" i="5"/>
  <c r="E628" i="5"/>
  <c r="E629" i="5"/>
  <c r="E632" i="5"/>
  <c r="E633" i="5"/>
  <c r="E636" i="5"/>
  <c r="E637" i="5"/>
  <c r="E640" i="5"/>
  <c r="E641" i="5"/>
  <c r="E644" i="5"/>
  <c r="E645" i="5"/>
  <c r="E648" i="5"/>
  <c r="E649" i="5"/>
  <c r="E652" i="5"/>
  <c r="E653" i="5"/>
  <c r="E656" i="5"/>
  <c r="E657" i="5"/>
  <c r="E660" i="5"/>
  <c r="E661" i="5"/>
  <c r="E664" i="5"/>
  <c r="E665" i="5"/>
  <c r="E668" i="5"/>
  <c r="E669" i="5"/>
  <c r="E672" i="5"/>
  <c r="E673" i="5"/>
  <c r="E676" i="5"/>
  <c r="E677" i="5"/>
  <c r="E680" i="5"/>
  <c r="E681" i="5"/>
  <c r="E684" i="5"/>
  <c r="E685" i="5"/>
  <c r="E688" i="5"/>
  <c r="E689" i="5"/>
  <c r="E692" i="5"/>
  <c r="E693" i="5"/>
  <c r="E696" i="5"/>
  <c r="E697" i="5"/>
  <c r="E700" i="5"/>
  <c r="E701" i="5"/>
  <c r="E704" i="5"/>
  <c r="E705" i="5"/>
  <c r="E708" i="5"/>
  <c r="E709" i="5"/>
  <c r="E712" i="5"/>
  <c r="E713" i="5"/>
  <c r="E716" i="5"/>
  <c r="E717" i="5"/>
  <c r="E720" i="5"/>
  <c r="E721" i="5"/>
  <c r="E724" i="5"/>
  <c r="E725" i="5"/>
  <c r="E728" i="5"/>
  <c r="E729" i="5"/>
  <c r="E732" i="5"/>
  <c r="E733" i="5"/>
  <c r="E736" i="5"/>
  <c r="E737" i="5"/>
  <c r="E740" i="5"/>
  <c r="E741" i="5"/>
  <c r="E744" i="5"/>
  <c r="E745" i="5"/>
  <c r="E748" i="5"/>
  <c r="E749" i="5"/>
  <c r="E752" i="5"/>
  <c r="E753" i="5"/>
  <c r="E756" i="5"/>
  <c r="E757" i="5"/>
  <c r="E760" i="5"/>
  <c r="E761" i="5"/>
  <c r="E764" i="5"/>
  <c r="E765" i="5"/>
  <c r="E768" i="5"/>
  <c r="E769" i="5"/>
  <c r="E772" i="5"/>
  <c r="E773" i="5"/>
  <c r="E776" i="5"/>
  <c r="E777" i="5"/>
  <c r="E780" i="5"/>
  <c r="E781" i="5"/>
  <c r="E784" i="5"/>
  <c r="E785" i="5"/>
  <c r="E788" i="5"/>
  <c r="E789" i="5"/>
  <c r="E792" i="5"/>
  <c r="E793" i="5"/>
  <c r="E796" i="5"/>
  <c r="E797" i="5"/>
  <c r="E800" i="5"/>
  <c r="E801" i="5"/>
  <c r="E804" i="5"/>
  <c r="E805" i="5"/>
  <c r="E808" i="5"/>
  <c r="E809" i="5"/>
  <c r="E812" i="5"/>
  <c r="E813" i="5"/>
  <c r="E816" i="5"/>
  <c r="E817" i="5"/>
  <c r="E820" i="5"/>
  <c r="E821" i="5"/>
  <c r="E824" i="5"/>
  <c r="E825" i="5"/>
  <c r="E828" i="5"/>
  <c r="E829" i="5"/>
  <c r="E832" i="5"/>
  <c r="E833" i="5"/>
  <c r="E836" i="5"/>
  <c r="E837" i="5"/>
  <c r="E840" i="5"/>
  <c r="E841" i="5"/>
  <c r="E844" i="5"/>
  <c r="E845" i="5"/>
  <c r="E848" i="5"/>
  <c r="E849" i="5"/>
  <c r="E852" i="5"/>
  <c r="E853" i="5"/>
  <c r="E856" i="5"/>
  <c r="E857" i="5"/>
  <c r="E860" i="5"/>
  <c r="E861" i="5"/>
  <c r="E863" i="5"/>
  <c r="E864" i="5"/>
  <c r="E865" i="5"/>
  <c r="E868" i="5"/>
  <c r="E869" i="5"/>
  <c r="E872" i="5"/>
  <c r="E873" i="5"/>
  <c r="E876" i="5"/>
  <c r="E877" i="5"/>
  <c r="E880" i="5"/>
  <c r="E881" i="5"/>
  <c r="E884" i="5"/>
  <c r="E885" i="5"/>
  <c r="E888" i="5"/>
  <c r="E889" i="5"/>
  <c r="E892" i="5"/>
  <c r="E893" i="5"/>
  <c r="E896" i="5"/>
  <c r="E897" i="5"/>
  <c r="E900" i="5"/>
  <c r="E901" i="5"/>
  <c r="E904" i="5"/>
  <c r="E905" i="5"/>
  <c r="E908" i="5"/>
  <c r="E909" i="5"/>
  <c r="E912" i="5"/>
  <c r="E913" i="5"/>
  <c r="E916" i="5"/>
  <c r="E917" i="5"/>
  <c r="E920" i="5"/>
  <c r="E921" i="5"/>
  <c r="E924" i="5"/>
  <c r="E925" i="5"/>
  <c r="E928" i="5"/>
  <c r="E929" i="5"/>
  <c r="E932" i="5"/>
  <c r="E933" i="5"/>
  <c r="E936" i="5"/>
  <c r="E937" i="5"/>
  <c r="E940" i="5"/>
  <c r="E941" i="5"/>
  <c r="E944" i="5"/>
  <c r="E945" i="5"/>
  <c r="E948" i="5"/>
  <c r="E949" i="5"/>
  <c r="E952" i="5"/>
  <c r="E953" i="5"/>
  <c r="E956" i="5"/>
  <c r="E957" i="5"/>
  <c r="E960" i="5"/>
  <c r="E961" i="5"/>
  <c r="E964" i="5"/>
  <c r="E965" i="5"/>
  <c r="E968" i="5"/>
  <c r="E969" i="5"/>
  <c r="E972" i="5"/>
  <c r="E973" i="5"/>
  <c r="E976" i="5"/>
  <c r="E977" i="5"/>
  <c r="E980" i="5"/>
  <c r="E981" i="5"/>
  <c r="E984" i="5"/>
  <c r="E985" i="5"/>
  <c r="E988" i="5"/>
  <c r="E989" i="5"/>
  <c r="E992" i="5"/>
  <c r="E993" i="5"/>
  <c r="E996" i="5"/>
  <c r="E997" i="5"/>
  <c r="E1000" i="5"/>
  <c r="E1001" i="5"/>
  <c r="E1004" i="5"/>
  <c r="E1005" i="5"/>
  <c r="E1008" i="5"/>
  <c r="E1009" i="5"/>
  <c r="E1012" i="5"/>
  <c r="E1013" i="5"/>
  <c r="E1016" i="5"/>
  <c r="E1017" i="5"/>
  <c r="E1020" i="5"/>
  <c r="E1021" i="5"/>
  <c r="E1024" i="5"/>
  <c r="E1025" i="5"/>
  <c r="E1028" i="5"/>
  <c r="E1029" i="5"/>
  <c r="E1032" i="5"/>
  <c r="E1033" i="5"/>
  <c r="E1036" i="5"/>
  <c r="E1037" i="5"/>
  <c r="E1040" i="5"/>
  <c r="E1041" i="5"/>
  <c r="E1044" i="5"/>
  <c r="E1045" i="5"/>
  <c r="E1048" i="5"/>
  <c r="E1049" i="5"/>
  <c r="E1052" i="5"/>
  <c r="E1053" i="5"/>
  <c r="E1056" i="5"/>
  <c r="E1057" i="5"/>
  <c r="E1060" i="5"/>
  <c r="E1061" i="5"/>
  <c r="E1064" i="5"/>
  <c r="E1065" i="5"/>
  <c r="E1068" i="5"/>
  <c r="E1069" i="5"/>
  <c r="E1072" i="5"/>
  <c r="E1073" i="5"/>
  <c r="E1076" i="5"/>
  <c r="E1077" i="5"/>
  <c r="E1080" i="5"/>
  <c r="E1081" i="5"/>
  <c r="E1084" i="5"/>
  <c r="E1085" i="5"/>
  <c r="E1088" i="5"/>
  <c r="E1089" i="5"/>
  <c r="E1092" i="5"/>
  <c r="E1093" i="5"/>
  <c r="E1096" i="5"/>
  <c r="E1097" i="5"/>
  <c r="E1100" i="5"/>
  <c r="E1101" i="5"/>
  <c r="E1104" i="5"/>
  <c r="E1105" i="5"/>
  <c r="E1108" i="5"/>
  <c r="E1109" i="5"/>
  <c r="E1112" i="5"/>
  <c r="E1113" i="5"/>
  <c r="E1116" i="5"/>
  <c r="E1117" i="5"/>
  <c r="E1119" i="5"/>
  <c r="E1120" i="5"/>
  <c r="E1121" i="5"/>
  <c r="E1124" i="5"/>
  <c r="E1125" i="5"/>
  <c r="E1128" i="5"/>
  <c r="E1129" i="5"/>
  <c r="E1132" i="5"/>
  <c r="E1133" i="5"/>
  <c r="E1136" i="5"/>
  <c r="E1137" i="5"/>
  <c r="E1140" i="5"/>
  <c r="E1141" i="5"/>
  <c r="E1144" i="5"/>
  <c r="E1145" i="5"/>
  <c r="E1148" i="5"/>
  <c r="E1149" i="5"/>
  <c r="E1152" i="5"/>
  <c r="E1153" i="5"/>
  <c r="E1156" i="5"/>
  <c r="E1157" i="5"/>
  <c r="E1160" i="5"/>
  <c r="E1161" i="5"/>
  <c r="E1164" i="5"/>
  <c r="E1165" i="5"/>
  <c r="E1168" i="5"/>
  <c r="E1169" i="5"/>
  <c r="E1172" i="5"/>
  <c r="E1173" i="5"/>
  <c r="E1176" i="5"/>
  <c r="E1177" i="5"/>
  <c r="E1180" i="5"/>
  <c r="E1181" i="5"/>
  <c r="E1184" i="5"/>
  <c r="E1185" i="5"/>
  <c r="E1188" i="5"/>
  <c r="E1189" i="5"/>
  <c r="E1192" i="5"/>
  <c r="E1193" i="5"/>
  <c r="E1196" i="5"/>
  <c r="E1197" i="5"/>
  <c r="E1200" i="5"/>
  <c r="E1201" i="5"/>
  <c r="E1204" i="5"/>
  <c r="E1205" i="5"/>
  <c r="E1208" i="5"/>
  <c r="E1209" i="5"/>
  <c r="E1212" i="5"/>
  <c r="E1213" i="5"/>
  <c r="E1216" i="5"/>
  <c r="E1217" i="5"/>
  <c r="E1220" i="5"/>
  <c r="E1221" i="5"/>
  <c r="E1224" i="5"/>
  <c r="E1225" i="5"/>
  <c r="E1228" i="5"/>
  <c r="E1229" i="5"/>
  <c r="E1232" i="5"/>
  <c r="E1233" i="5"/>
  <c r="E1236" i="5"/>
  <c r="E1237" i="5"/>
  <c r="E1240" i="5"/>
  <c r="E1241" i="5"/>
  <c r="E1244" i="5"/>
  <c r="E1245" i="5"/>
  <c r="E1248" i="5"/>
  <c r="E1249" i="5"/>
  <c r="E1252" i="5"/>
  <c r="E1253" i="5"/>
  <c r="E1256" i="5"/>
  <c r="E1257" i="5"/>
  <c r="E1260" i="5"/>
  <c r="E1261" i="5"/>
  <c r="E1264" i="5"/>
  <c r="E1265" i="5"/>
  <c r="E1268" i="5"/>
  <c r="E1269" i="5"/>
  <c r="E1272" i="5"/>
  <c r="E1273" i="5"/>
  <c r="E1276" i="5"/>
  <c r="E1277" i="5"/>
  <c r="E1280" i="5"/>
  <c r="E1281" i="5"/>
  <c r="E1284" i="5"/>
  <c r="E1285" i="5"/>
  <c r="E1288" i="5"/>
  <c r="E1289" i="5"/>
  <c r="E1292" i="5"/>
  <c r="E1293" i="5"/>
  <c r="E1296" i="5"/>
  <c r="E1297" i="5"/>
  <c r="E1300" i="5"/>
  <c r="E1301" i="5"/>
  <c r="E1304" i="5"/>
  <c r="E1305" i="5"/>
  <c r="E1308" i="5"/>
  <c r="E1309" i="5"/>
  <c r="E1312" i="5"/>
  <c r="E1313" i="5"/>
  <c r="E1316" i="5"/>
  <c r="E1317" i="5"/>
  <c r="E1320" i="5"/>
  <c r="E1321" i="5"/>
  <c r="E1324" i="5"/>
  <c r="E1325" i="5"/>
  <c r="E1328" i="5"/>
  <c r="E1329" i="5"/>
  <c r="E1332" i="5"/>
  <c r="E1333" i="5"/>
  <c r="E1336" i="5"/>
  <c r="E1337" i="5"/>
  <c r="E1340" i="5"/>
  <c r="E1341" i="5"/>
  <c r="E1344" i="5"/>
  <c r="E1345" i="5"/>
  <c r="E1348" i="5"/>
  <c r="E1349" i="5"/>
  <c r="E1352" i="5"/>
  <c r="E1356" i="5"/>
  <c r="E1357" i="5"/>
  <c r="E1360" i="5"/>
  <c r="E1364" i="5"/>
  <c r="E1365" i="5"/>
  <c r="E1368" i="5"/>
  <c r="E1372" i="5"/>
  <c r="E1373" i="5"/>
  <c r="E1376" i="5"/>
  <c r="E1380" i="5"/>
  <c r="E1381" i="5"/>
  <c r="E1384" i="5"/>
  <c r="E1388" i="5"/>
  <c r="E1389" i="5"/>
  <c r="E1392" i="5"/>
  <c r="E1396" i="5"/>
  <c r="E1397" i="5"/>
  <c r="E1400" i="5"/>
  <c r="E1404" i="5"/>
  <c r="E1405" i="5"/>
  <c r="E1409" i="5"/>
  <c r="E1412" i="5"/>
  <c r="E1413" i="5"/>
  <c r="E1417" i="5"/>
  <c r="E1419" i="5"/>
  <c r="E1420" i="5"/>
  <c r="E1424" i="5"/>
  <c r="E1425" i="5"/>
  <c r="E1428" i="5"/>
  <c r="E1432" i="5"/>
  <c r="E1436" i="5"/>
  <c r="E1440" i="5"/>
  <c r="E1448" i="5"/>
  <c r="E1452" i="5"/>
  <c r="E1456" i="5"/>
  <c r="E1464" i="5"/>
  <c r="E1468" i="5"/>
  <c r="E1472" i="5"/>
  <c r="E1480" i="5"/>
  <c r="E1484" i="5"/>
  <c r="E1488" i="5"/>
  <c r="E3" i="5"/>
  <c r="D4" i="5"/>
  <c r="D5" i="5"/>
  <c r="D8" i="5"/>
  <c r="D9" i="5"/>
  <c r="D12" i="5"/>
  <c r="D13" i="5"/>
  <c r="D16" i="5"/>
  <c r="D17" i="5"/>
  <c r="D20" i="5"/>
  <c r="D21" i="5"/>
  <c r="D24" i="5"/>
  <c r="D25" i="5"/>
  <c r="D28" i="5"/>
  <c r="D29" i="5"/>
  <c r="D32" i="5"/>
  <c r="D33" i="5"/>
  <c r="D36" i="5"/>
  <c r="D37" i="5"/>
  <c r="D40" i="5"/>
  <c r="D41" i="5"/>
  <c r="D44" i="5"/>
  <c r="D45" i="5"/>
  <c r="D48" i="5"/>
  <c r="D49" i="5"/>
  <c r="D52" i="5"/>
  <c r="D53" i="5"/>
  <c r="D56" i="5"/>
  <c r="D57" i="5"/>
  <c r="D60" i="5"/>
  <c r="D61" i="5"/>
  <c r="D64" i="5"/>
  <c r="D65" i="5"/>
  <c r="D68" i="5"/>
  <c r="D69" i="5"/>
  <c r="D72" i="5"/>
  <c r="D73" i="5"/>
  <c r="D76" i="5"/>
  <c r="D77" i="5"/>
  <c r="D80" i="5"/>
  <c r="D81" i="5"/>
  <c r="D84" i="5"/>
  <c r="D85" i="5"/>
  <c r="D88" i="5"/>
  <c r="D89" i="5"/>
  <c r="D92" i="5"/>
  <c r="D93" i="5"/>
  <c r="D96" i="5"/>
  <c r="D97" i="5"/>
  <c r="D100" i="5"/>
  <c r="D101" i="5"/>
  <c r="D104" i="5"/>
  <c r="D105" i="5"/>
  <c r="D108" i="5"/>
  <c r="D109" i="5"/>
  <c r="D112" i="5"/>
  <c r="D113" i="5"/>
  <c r="D116" i="5"/>
  <c r="D117" i="5"/>
  <c r="D120" i="5"/>
  <c r="D121" i="5"/>
  <c r="D124" i="5"/>
  <c r="D125" i="5"/>
  <c r="D128" i="5"/>
  <c r="D129" i="5"/>
  <c r="D132" i="5"/>
  <c r="D133" i="5"/>
  <c r="D136" i="5"/>
  <c r="D137" i="5"/>
  <c r="D140" i="5"/>
  <c r="D141" i="5"/>
  <c r="D144" i="5"/>
  <c r="D145" i="5"/>
  <c r="D148" i="5"/>
  <c r="D149" i="5"/>
  <c r="D152" i="5"/>
  <c r="D153" i="5"/>
  <c r="D156" i="5"/>
  <c r="D157" i="5"/>
  <c r="D160" i="5"/>
  <c r="D161" i="5"/>
  <c r="D164" i="5"/>
  <c r="D165" i="5"/>
  <c r="D168" i="5"/>
  <c r="D169" i="5"/>
  <c r="D172" i="5"/>
  <c r="D173" i="5"/>
  <c r="D176" i="5"/>
  <c r="D177" i="5"/>
  <c r="D180" i="5"/>
  <c r="D181" i="5"/>
  <c r="D184" i="5"/>
  <c r="D185" i="5"/>
  <c r="D188" i="5"/>
  <c r="D189" i="5"/>
  <c r="D192" i="5"/>
  <c r="D193" i="5"/>
  <c r="D196" i="5"/>
  <c r="D197" i="5"/>
  <c r="D200" i="5"/>
  <c r="D201" i="5"/>
  <c r="D204" i="5"/>
  <c r="D205" i="5"/>
  <c r="D208" i="5"/>
  <c r="D209" i="5"/>
  <c r="D212" i="5"/>
  <c r="D213" i="5"/>
  <c r="D216" i="5"/>
  <c r="D217" i="5"/>
  <c r="D220" i="5"/>
  <c r="D221" i="5"/>
  <c r="D224" i="5"/>
  <c r="D225" i="5"/>
  <c r="D228" i="5"/>
  <c r="D229" i="5"/>
  <c r="D232" i="5"/>
  <c r="D233" i="5"/>
  <c r="D236" i="5"/>
  <c r="D237" i="5"/>
  <c r="D240" i="5"/>
  <c r="D241" i="5"/>
  <c r="D244" i="5"/>
  <c r="D245" i="5"/>
  <c r="D248" i="5"/>
  <c r="D249" i="5"/>
  <c r="D252" i="5"/>
  <c r="D253" i="5"/>
  <c r="D256" i="5"/>
  <c r="D257" i="5"/>
  <c r="D260" i="5"/>
  <c r="D261" i="5"/>
  <c r="D264" i="5"/>
  <c r="D265" i="5"/>
  <c r="D268" i="5"/>
  <c r="D269" i="5"/>
  <c r="D272" i="5"/>
  <c r="D273" i="5"/>
  <c r="D276" i="5"/>
  <c r="D277" i="5"/>
  <c r="D280" i="5"/>
  <c r="D281" i="5"/>
  <c r="D284" i="5"/>
  <c r="D285" i="5"/>
  <c r="D288" i="5"/>
  <c r="D289" i="5"/>
  <c r="D292" i="5"/>
  <c r="D293" i="5"/>
  <c r="D296" i="5"/>
  <c r="D297" i="5"/>
  <c r="D300" i="5"/>
  <c r="D301" i="5"/>
  <c r="D304" i="5"/>
  <c r="D305" i="5"/>
  <c r="D308" i="5"/>
  <c r="D309" i="5"/>
  <c r="D312" i="5"/>
  <c r="D313" i="5"/>
  <c r="D316" i="5"/>
  <c r="D317" i="5"/>
  <c r="D320" i="5"/>
  <c r="D321" i="5"/>
  <c r="D324" i="5"/>
  <c r="D325" i="5"/>
  <c r="D328" i="5"/>
  <c r="D329" i="5"/>
  <c r="D332" i="5"/>
  <c r="D333" i="5"/>
  <c r="D336" i="5"/>
  <c r="D337" i="5"/>
  <c r="D340" i="5"/>
  <c r="D341" i="5"/>
  <c r="D344" i="5"/>
  <c r="D345" i="5"/>
  <c r="D348" i="5"/>
  <c r="D349" i="5"/>
  <c r="D352" i="5"/>
  <c r="D353" i="5"/>
  <c r="D356" i="5"/>
  <c r="D357" i="5"/>
  <c r="D360" i="5"/>
  <c r="D361" i="5"/>
  <c r="D364" i="5"/>
  <c r="D365" i="5"/>
  <c r="D368" i="5"/>
  <c r="D369" i="5"/>
  <c r="D372" i="5"/>
  <c r="D373" i="5"/>
  <c r="D376" i="5"/>
  <c r="D377" i="5"/>
  <c r="D380" i="5"/>
  <c r="D381" i="5"/>
  <c r="D384" i="5"/>
  <c r="D385" i="5"/>
  <c r="D388" i="5"/>
  <c r="D389" i="5"/>
  <c r="D392" i="5"/>
  <c r="D393" i="5"/>
  <c r="D396" i="5"/>
  <c r="D397" i="5"/>
  <c r="D400" i="5"/>
  <c r="D401" i="5"/>
  <c r="D404" i="5"/>
  <c r="D405" i="5"/>
  <c r="D408" i="5"/>
  <c r="D409" i="5"/>
  <c r="D412" i="5"/>
  <c r="D413" i="5"/>
  <c r="D416" i="5"/>
  <c r="D417" i="5"/>
  <c r="D420" i="5"/>
  <c r="D421" i="5"/>
  <c r="D424" i="5"/>
  <c r="D425" i="5"/>
  <c r="D428" i="5"/>
  <c r="D429" i="5"/>
  <c r="D432" i="5"/>
  <c r="D433" i="5"/>
  <c r="D436" i="5"/>
  <c r="D437" i="5"/>
  <c r="D440" i="5"/>
  <c r="D441" i="5"/>
  <c r="D444" i="5"/>
  <c r="D445" i="5"/>
  <c r="D448" i="5"/>
  <c r="D449" i="5"/>
  <c r="D452" i="5"/>
  <c r="D453" i="5"/>
  <c r="D456" i="5"/>
  <c r="D457" i="5"/>
  <c r="D460" i="5"/>
  <c r="D461" i="5"/>
  <c r="D464" i="5"/>
  <c r="D465" i="5"/>
  <c r="D468" i="5"/>
  <c r="D469" i="5"/>
  <c r="D472" i="5"/>
  <c r="D473" i="5"/>
  <c r="D476" i="5"/>
  <c r="D477" i="5"/>
  <c r="D480" i="5"/>
  <c r="D481" i="5"/>
  <c r="D484" i="5"/>
  <c r="D485" i="5"/>
  <c r="D488" i="5"/>
  <c r="D489" i="5"/>
  <c r="D492" i="5"/>
  <c r="D493" i="5"/>
  <c r="D496" i="5"/>
  <c r="D497" i="5"/>
  <c r="D499" i="5"/>
  <c r="D500" i="5"/>
  <c r="D501" i="5"/>
  <c r="D504" i="5"/>
  <c r="D505" i="5"/>
  <c r="D508" i="5"/>
  <c r="D509" i="5"/>
  <c r="D512" i="5"/>
  <c r="D513" i="5"/>
  <c r="D516" i="5"/>
  <c r="D517" i="5"/>
  <c r="D520" i="5"/>
  <c r="D521" i="5"/>
  <c r="D524" i="5"/>
  <c r="D525" i="5"/>
  <c r="D528" i="5"/>
  <c r="D529" i="5"/>
  <c r="D532" i="5"/>
  <c r="D533" i="5"/>
  <c r="D536" i="5"/>
  <c r="D537" i="5"/>
  <c r="D540" i="5"/>
  <c r="D541" i="5"/>
  <c r="D544" i="5"/>
  <c r="D545" i="5"/>
  <c r="D548" i="5"/>
  <c r="D549" i="5"/>
  <c r="D552" i="5"/>
  <c r="D553" i="5"/>
  <c r="D556" i="5"/>
  <c r="D557" i="5"/>
  <c r="D560" i="5"/>
  <c r="D561" i="5"/>
  <c r="D564" i="5"/>
  <c r="D565" i="5"/>
  <c r="D568" i="5"/>
  <c r="D569" i="5"/>
  <c r="D572" i="5"/>
  <c r="D573" i="5"/>
  <c r="D576" i="5"/>
  <c r="D577" i="5"/>
  <c r="D580" i="5"/>
  <c r="D581" i="5"/>
  <c r="D584" i="5"/>
  <c r="D585" i="5"/>
  <c r="D588" i="5"/>
  <c r="D589" i="5"/>
  <c r="D592" i="5"/>
  <c r="D593" i="5"/>
  <c r="D596" i="5"/>
  <c r="D597" i="5"/>
  <c r="D600" i="5"/>
  <c r="D601" i="5"/>
  <c r="D604" i="5"/>
  <c r="D605" i="5"/>
  <c r="D608" i="5"/>
  <c r="D609" i="5"/>
  <c r="D612" i="5"/>
  <c r="D613" i="5"/>
  <c r="D616" i="5"/>
  <c r="D617" i="5"/>
  <c r="D620" i="5"/>
  <c r="D621" i="5"/>
  <c r="D623" i="5"/>
  <c r="D624" i="5"/>
  <c r="D625" i="5"/>
  <c r="D628" i="5"/>
  <c r="D629" i="5"/>
  <c r="D632" i="5"/>
  <c r="D633" i="5"/>
  <c r="D636" i="5"/>
  <c r="D637" i="5"/>
  <c r="D640" i="5"/>
  <c r="D641" i="5"/>
  <c r="D644" i="5"/>
  <c r="D645" i="5"/>
  <c r="D648" i="5"/>
  <c r="D649" i="5"/>
  <c r="D652" i="5"/>
  <c r="D653" i="5"/>
  <c r="D656" i="5"/>
  <c r="D657" i="5"/>
  <c r="D660" i="5"/>
  <c r="D661" i="5"/>
  <c r="D664" i="5"/>
  <c r="D665" i="5"/>
  <c r="D668" i="5"/>
  <c r="D669" i="5"/>
  <c r="D672" i="5"/>
  <c r="D673" i="5"/>
  <c r="D676" i="5"/>
  <c r="D677" i="5"/>
  <c r="D680" i="5"/>
  <c r="D681" i="5"/>
  <c r="D684" i="5"/>
  <c r="D685" i="5"/>
  <c r="D688" i="5"/>
  <c r="D689" i="5"/>
  <c r="D692" i="5"/>
  <c r="D693" i="5"/>
  <c r="D696" i="5"/>
  <c r="D697" i="5"/>
  <c r="D700" i="5"/>
  <c r="D701" i="5"/>
  <c r="D703" i="5"/>
  <c r="D704" i="5"/>
  <c r="D705" i="5"/>
  <c r="D708" i="5"/>
  <c r="D709" i="5"/>
  <c r="D712" i="5"/>
  <c r="D713" i="5"/>
  <c r="D716" i="5"/>
  <c r="D717" i="5"/>
  <c r="D720" i="5"/>
  <c r="D721" i="5"/>
  <c r="D724" i="5"/>
  <c r="D725" i="5"/>
  <c r="D728" i="5"/>
  <c r="D729" i="5"/>
  <c r="D732" i="5"/>
  <c r="D733" i="5"/>
  <c r="D736" i="5"/>
  <c r="D737" i="5"/>
  <c r="D740" i="5"/>
  <c r="D741" i="5"/>
  <c r="D744" i="5"/>
  <c r="D745" i="5"/>
  <c r="D748" i="5"/>
  <c r="D749" i="5"/>
  <c r="D752" i="5"/>
  <c r="D753" i="5"/>
  <c r="D756" i="5"/>
  <c r="D757" i="5"/>
  <c r="D760" i="5"/>
  <c r="D761" i="5"/>
  <c r="D764" i="5"/>
  <c r="D765" i="5"/>
  <c r="D768" i="5"/>
  <c r="D769" i="5"/>
  <c r="D772" i="5"/>
  <c r="D773" i="5"/>
  <c r="D776" i="5"/>
  <c r="D777" i="5"/>
  <c r="D780" i="5"/>
  <c r="D781" i="5"/>
  <c r="D784" i="5"/>
  <c r="D785" i="5"/>
  <c r="D788" i="5"/>
  <c r="D789" i="5"/>
  <c r="D792" i="5"/>
  <c r="D793" i="5"/>
  <c r="D796" i="5"/>
  <c r="D797" i="5"/>
  <c r="D799" i="5"/>
  <c r="D800" i="5"/>
  <c r="D801" i="5"/>
  <c r="D804" i="5"/>
  <c r="D805" i="5"/>
  <c r="D808" i="5"/>
  <c r="D809" i="5"/>
  <c r="D812" i="5"/>
  <c r="D813" i="5"/>
  <c r="D816" i="5"/>
  <c r="D817" i="5"/>
  <c r="D820" i="5"/>
  <c r="D821" i="5"/>
  <c r="D824" i="5"/>
  <c r="D825" i="5"/>
  <c r="D828" i="5"/>
  <c r="D829" i="5"/>
  <c r="D832" i="5"/>
  <c r="D833" i="5"/>
  <c r="D836" i="5"/>
  <c r="D837" i="5"/>
  <c r="D840" i="5"/>
  <c r="D841" i="5"/>
  <c r="D844" i="5"/>
  <c r="D845" i="5"/>
  <c r="D848" i="5"/>
  <c r="D849" i="5"/>
  <c r="D852" i="5"/>
  <c r="D853" i="5"/>
  <c r="D856" i="5"/>
  <c r="D857" i="5"/>
  <c r="D860" i="5"/>
  <c r="D861" i="5"/>
  <c r="D864" i="5"/>
  <c r="D865" i="5"/>
  <c r="D868" i="5"/>
  <c r="D869" i="5"/>
  <c r="D872" i="5"/>
  <c r="D873" i="5"/>
  <c r="D876" i="5"/>
  <c r="D877" i="5"/>
  <c r="D879" i="5"/>
  <c r="D880" i="5"/>
  <c r="D881" i="5"/>
  <c r="D884" i="5"/>
  <c r="D885" i="5"/>
  <c r="D888" i="5"/>
  <c r="D889" i="5"/>
  <c r="D892" i="5"/>
  <c r="D893" i="5"/>
  <c r="D896" i="5"/>
  <c r="D897" i="5"/>
  <c r="D900" i="5"/>
  <c r="D901" i="5"/>
  <c r="D904" i="5"/>
  <c r="D905" i="5"/>
  <c r="D908" i="5"/>
  <c r="D909" i="5"/>
  <c r="D912" i="5"/>
  <c r="D913" i="5"/>
  <c r="D916" i="5"/>
  <c r="D917" i="5"/>
  <c r="D920" i="5"/>
  <c r="D921" i="5"/>
  <c r="D924" i="5"/>
  <c r="D925" i="5"/>
  <c r="D928" i="5"/>
  <c r="D929" i="5"/>
  <c r="D932" i="5"/>
  <c r="D933" i="5"/>
  <c r="D936" i="5"/>
  <c r="D937" i="5"/>
  <c r="D940" i="5"/>
  <c r="D941" i="5"/>
  <c r="D944" i="5"/>
  <c r="D945" i="5"/>
  <c r="D948" i="5"/>
  <c r="D949" i="5"/>
  <c r="D952" i="5"/>
  <c r="D953" i="5"/>
  <c r="D956" i="5"/>
  <c r="D957" i="5"/>
  <c r="D959" i="5"/>
  <c r="D960" i="5"/>
  <c r="D961" i="5"/>
  <c r="D964" i="5"/>
  <c r="D965" i="5"/>
  <c r="D968" i="5"/>
  <c r="D969" i="5"/>
  <c r="D972" i="5"/>
  <c r="D973" i="5"/>
  <c r="D976" i="5"/>
  <c r="D977" i="5"/>
  <c r="D980" i="5"/>
  <c r="D981" i="5"/>
  <c r="D984" i="5"/>
  <c r="D985" i="5"/>
  <c r="D988" i="5"/>
  <c r="D989" i="5"/>
  <c r="D992" i="5"/>
  <c r="D993" i="5"/>
  <c r="D996" i="5"/>
  <c r="D997" i="5"/>
  <c r="D1000" i="5"/>
  <c r="D1001" i="5"/>
  <c r="D1004" i="5"/>
  <c r="D1005" i="5"/>
  <c r="D1008" i="5"/>
  <c r="D1009" i="5"/>
  <c r="D1012" i="5"/>
  <c r="D1013" i="5"/>
  <c r="D1016" i="5"/>
  <c r="D1017" i="5"/>
  <c r="D1020" i="5"/>
  <c r="D1021" i="5"/>
  <c r="D1024" i="5"/>
  <c r="D1025" i="5"/>
  <c r="D1028" i="5"/>
  <c r="D1029" i="5"/>
  <c r="D1032" i="5"/>
  <c r="D1033" i="5"/>
  <c r="D1036" i="5"/>
  <c r="D1037" i="5"/>
  <c r="D1040" i="5"/>
  <c r="D1041" i="5"/>
  <c r="D1044" i="5"/>
  <c r="D1045" i="5"/>
  <c r="D1048" i="5"/>
  <c r="D1049" i="5"/>
  <c r="D1052" i="5"/>
  <c r="D1053" i="5"/>
  <c r="D1056" i="5"/>
  <c r="D1057" i="5"/>
  <c r="D1060" i="5"/>
  <c r="D1061" i="5"/>
  <c r="D1064" i="5"/>
  <c r="D1065" i="5"/>
  <c r="D1068" i="5"/>
  <c r="D1069" i="5"/>
  <c r="D1072" i="5"/>
  <c r="D1073" i="5"/>
  <c r="D1075" i="5"/>
  <c r="D1076" i="5"/>
  <c r="D1077" i="5"/>
  <c r="D1080" i="5"/>
  <c r="D1081" i="5"/>
  <c r="D1084" i="5"/>
  <c r="D1085" i="5"/>
  <c r="D1088" i="5"/>
  <c r="D1089" i="5"/>
  <c r="D1092" i="5"/>
  <c r="D1093" i="5"/>
  <c r="D1096" i="5"/>
  <c r="D1097" i="5"/>
  <c r="D1100" i="5"/>
  <c r="D1101" i="5"/>
  <c r="D1104" i="5"/>
  <c r="D1105" i="5"/>
  <c r="D1108" i="5"/>
  <c r="D1109" i="5"/>
  <c r="D1112" i="5"/>
  <c r="D1113" i="5"/>
  <c r="D1116" i="5"/>
  <c r="D1117" i="5"/>
  <c r="D1120" i="5"/>
  <c r="D1121" i="5"/>
  <c r="D1124" i="5"/>
  <c r="D1125" i="5"/>
  <c r="D1128" i="5"/>
  <c r="D1129" i="5"/>
  <c r="D1132" i="5"/>
  <c r="D1133" i="5"/>
  <c r="D1136" i="5"/>
  <c r="D1137" i="5"/>
  <c r="D1140" i="5"/>
  <c r="D1141" i="5"/>
  <c r="D1144" i="5"/>
  <c r="D1145" i="5"/>
  <c r="D1148" i="5"/>
  <c r="D1149" i="5"/>
  <c r="D1152" i="5"/>
  <c r="D1153" i="5"/>
  <c r="D1155" i="5"/>
  <c r="D1156" i="5"/>
  <c r="D1157" i="5"/>
  <c r="D1160" i="5"/>
  <c r="D1161" i="5"/>
  <c r="D1164" i="5"/>
  <c r="D1165" i="5"/>
  <c r="D1168" i="5"/>
  <c r="D1169" i="5"/>
  <c r="D1172" i="5"/>
  <c r="D1173" i="5"/>
  <c r="D1176" i="5"/>
  <c r="D1177" i="5"/>
  <c r="D1180" i="5"/>
  <c r="D1181" i="5"/>
  <c r="D1184" i="5"/>
  <c r="D1185" i="5"/>
  <c r="D1188" i="5"/>
  <c r="D1189" i="5"/>
  <c r="D1192" i="5"/>
  <c r="D1193" i="5"/>
  <c r="D1196" i="5"/>
  <c r="D1197" i="5"/>
  <c r="D1200" i="5"/>
  <c r="D1201" i="5"/>
  <c r="D1204" i="5"/>
  <c r="D1205" i="5"/>
  <c r="D1208" i="5"/>
  <c r="D1209" i="5"/>
  <c r="D1212" i="5"/>
  <c r="D1213" i="5"/>
  <c r="D1216" i="5"/>
  <c r="D1217" i="5"/>
  <c r="D1220" i="5"/>
  <c r="D1221" i="5"/>
  <c r="D1224" i="5"/>
  <c r="D1225" i="5"/>
  <c r="D1228" i="5"/>
  <c r="D1229" i="5"/>
  <c r="D1232" i="5"/>
  <c r="D1233" i="5"/>
  <c r="D1236" i="5"/>
  <c r="D1237" i="5"/>
  <c r="D1240" i="5"/>
  <c r="D1241" i="5"/>
  <c r="D1244" i="5"/>
  <c r="D1245" i="5"/>
  <c r="D1248" i="5"/>
  <c r="D1249" i="5"/>
  <c r="D1252" i="5"/>
  <c r="D1253" i="5"/>
  <c r="D1256" i="5"/>
  <c r="D1257" i="5"/>
  <c r="D1260" i="5"/>
  <c r="D1261" i="5"/>
  <c r="D1264" i="5"/>
  <c r="D1265" i="5"/>
  <c r="D1268" i="5"/>
  <c r="D1269" i="5"/>
  <c r="D1272" i="5"/>
  <c r="D1273" i="5"/>
  <c r="D1276" i="5"/>
  <c r="D1277" i="5"/>
  <c r="D1280" i="5"/>
  <c r="D1281" i="5"/>
  <c r="D1284" i="5"/>
  <c r="D1285" i="5"/>
  <c r="D1288" i="5"/>
  <c r="D1289" i="5"/>
  <c r="D1292" i="5"/>
  <c r="D1293" i="5"/>
  <c r="D1296" i="5"/>
  <c r="D1297" i="5"/>
  <c r="D1300" i="5"/>
  <c r="D1301" i="5"/>
  <c r="D1304" i="5"/>
  <c r="D1305" i="5"/>
  <c r="D1308" i="5"/>
  <c r="D1309" i="5"/>
  <c r="D1312" i="5"/>
  <c r="D1313" i="5"/>
  <c r="D1316" i="5"/>
  <c r="D1317" i="5"/>
  <c r="D1320" i="5"/>
  <c r="D1321" i="5"/>
  <c r="D1324" i="5"/>
  <c r="D1325" i="5"/>
  <c r="D1328" i="5"/>
  <c r="D1329" i="5"/>
  <c r="D1332" i="5"/>
  <c r="D1333" i="5"/>
  <c r="D1336" i="5"/>
  <c r="D1337" i="5"/>
  <c r="D1340" i="5"/>
  <c r="D1341" i="5"/>
  <c r="D1344" i="5"/>
  <c r="D1345" i="5"/>
  <c r="D1348" i="5"/>
  <c r="D1349" i="5"/>
  <c r="D1352" i="5"/>
  <c r="D1353" i="5"/>
  <c r="D1356" i="5"/>
  <c r="D1357" i="5"/>
  <c r="D1360" i="5"/>
  <c r="D1361" i="5"/>
  <c r="D1364" i="5"/>
  <c r="D1365" i="5"/>
  <c r="D1368" i="5"/>
  <c r="D1369" i="5"/>
  <c r="D1372" i="5"/>
  <c r="D1373" i="5"/>
  <c r="D1376" i="5"/>
  <c r="D1377" i="5"/>
  <c r="D1380" i="5"/>
  <c r="D1381" i="5"/>
  <c r="D1384" i="5"/>
  <c r="D1385" i="5"/>
  <c r="D1388" i="5"/>
  <c r="D1389" i="5"/>
  <c r="D1392" i="5"/>
  <c r="D1393" i="5"/>
  <c r="D1396" i="5"/>
  <c r="D1397" i="5"/>
  <c r="D1401" i="5"/>
  <c r="D1404" i="5"/>
  <c r="D1405" i="5"/>
  <c r="D1409" i="5"/>
  <c r="D1412" i="5"/>
  <c r="D1413" i="5"/>
  <c r="D1417" i="5"/>
  <c r="D1420" i="5"/>
  <c r="D1421" i="5"/>
  <c r="D1425" i="5"/>
  <c r="D1428" i="5"/>
  <c r="D1429" i="5"/>
  <c r="D1433" i="5"/>
  <c r="D1436" i="5"/>
  <c r="D1437" i="5"/>
  <c r="D1441" i="5"/>
  <c r="D1444" i="5"/>
  <c r="D1445" i="5"/>
  <c r="D1449" i="5"/>
  <c r="D1452" i="5"/>
  <c r="D1453" i="5"/>
  <c r="D1457" i="5"/>
  <c r="D1460" i="5"/>
  <c r="D1461" i="5"/>
  <c r="D1465" i="5"/>
  <c r="D1468" i="5"/>
  <c r="D1469" i="5"/>
  <c r="D1473" i="5"/>
  <c r="D1476" i="5"/>
  <c r="D1477" i="5"/>
  <c r="D1481" i="5"/>
  <c r="D1484" i="5"/>
  <c r="D1488" i="5"/>
  <c r="B4" i="5"/>
  <c r="B5" i="5"/>
  <c r="B8" i="5"/>
  <c r="B9" i="5"/>
  <c r="B12" i="5"/>
  <c r="B13" i="5"/>
  <c r="B16" i="5"/>
  <c r="B17" i="5"/>
  <c r="B20" i="5"/>
  <c r="B21" i="5"/>
  <c r="B24" i="5"/>
  <c r="B25" i="5"/>
  <c r="B28" i="5"/>
  <c r="B29" i="5"/>
  <c r="B32" i="5"/>
  <c r="B33" i="5"/>
  <c r="B36" i="5"/>
  <c r="B37" i="5"/>
  <c r="B40" i="5"/>
  <c r="B41" i="5"/>
  <c r="B44" i="5"/>
  <c r="B45" i="5"/>
  <c r="B48" i="5"/>
  <c r="B49" i="5"/>
  <c r="B52" i="5"/>
  <c r="B53" i="5"/>
  <c r="B56" i="5"/>
  <c r="B57" i="5"/>
  <c r="B60" i="5"/>
  <c r="B61" i="5"/>
  <c r="B64" i="5"/>
  <c r="B65" i="5"/>
  <c r="B68" i="5"/>
  <c r="B69" i="5"/>
  <c r="B72" i="5"/>
  <c r="B73" i="5"/>
  <c r="B76" i="5"/>
  <c r="B77" i="5"/>
  <c r="B80" i="5"/>
  <c r="B81" i="5"/>
  <c r="B84" i="5"/>
  <c r="B85" i="5"/>
  <c r="B88" i="5"/>
  <c r="B89" i="5"/>
  <c r="B92" i="5"/>
  <c r="B93" i="5"/>
  <c r="B96" i="5"/>
  <c r="B97" i="5"/>
  <c r="B100" i="5"/>
  <c r="B101" i="5"/>
  <c r="B104" i="5"/>
  <c r="B105" i="5"/>
  <c r="B108" i="5"/>
  <c r="B109" i="5"/>
  <c r="B112" i="5"/>
  <c r="B113" i="5"/>
  <c r="B116" i="5"/>
  <c r="B117" i="5"/>
  <c r="B120" i="5"/>
  <c r="B121" i="5"/>
  <c r="B124" i="5"/>
  <c r="B125" i="5"/>
  <c r="B128" i="5"/>
  <c r="B129" i="5"/>
  <c r="B132" i="5"/>
  <c r="B133" i="5"/>
  <c r="B136" i="5"/>
  <c r="B137" i="5"/>
  <c r="B140" i="5"/>
  <c r="B141" i="5"/>
  <c r="B144" i="5"/>
  <c r="B145" i="5"/>
  <c r="B148" i="5"/>
  <c r="B149" i="5"/>
  <c r="B152" i="5"/>
  <c r="B153" i="5"/>
  <c r="B156" i="5"/>
  <c r="B157" i="5"/>
  <c r="B160" i="5"/>
  <c r="B161" i="5"/>
  <c r="B164" i="5"/>
  <c r="B165" i="5"/>
  <c r="B168" i="5"/>
  <c r="B169" i="5"/>
  <c r="B172" i="5"/>
  <c r="B173" i="5"/>
  <c r="B176" i="5"/>
  <c r="B177" i="5"/>
  <c r="B180" i="5"/>
  <c r="B181" i="5"/>
  <c r="B184" i="5"/>
  <c r="B185" i="5"/>
  <c r="B188" i="5"/>
  <c r="B189" i="5"/>
  <c r="B192" i="5"/>
  <c r="B193" i="5"/>
  <c r="B196" i="5"/>
  <c r="B197" i="5"/>
  <c r="B200" i="5"/>
  <c r="B201" i="5"/>
  <c r="B204" i="5"/>
  <c r="B205" i="5"/>
  <c r="B208" i="5"/>
  <c r="B209" i="5"/>
  <c r="B212" i="5"/>
  <c r="B213" i="5"/>
  <c r="B216" i="5"/>
  <c r="B217" i="5"/>
  <c r="B220" i="5"/>
  <c r="B221" i="5"/>
  <c r="B224" i="5"/>
  <c r="B225" i="5"/>
  <c r="B228" i="5"/>
  <c r="B229" i="5"/>
  <c r="B232" i="5"/>
  <c r="B233" i="5"/>
  <c r="B236" i="5"/>
  <c r="B237" i="5"/>
  <c r="B240" i="5"/>
  <c r="B241" i="5"/>
  <c r="B244" i="5"/>
  <c r="B245" i="5"/>
  <c r="B248" i="5"/>
  <c r="B249" i="5"/>
  <c r="B252" i="5"/>
  <c r="B253" i="5"/>
  <c r="B256" i="5"/>
  <c r="B257" i="5"/>
  <c r="B258" i="5"/>
  <c r="B260" i="5"/>
  <c r="B261" i="5"/>
  <c r="B264" i="5"/>
  <c r="B265" i="5"/>
  <c r="B268" i="5"/>
  <c r="B269" i="5"/>
  <c r="B272" i="5"/>
  <c r="B273" i="5"/>
  <c r="B276" i="5"/>
  <c r="B277" i="5"/>
  <c r="B280" i="5"/>
  <c r="B281" i="5"/>
  <c r="B284" i="5"/>
  <c r="B285" i="5"/>
  <c r="B288" i="5"/>
  <c r="B289" i="5"/>
  <c r="B292" i="5"/>
  <c r="B293" i="5"/>
  <c r="B296" i="5"/>
  <c r="B297" i="5"/>
  <c r="B300" i="5"/>
  <c r="B301" i="5"/>
  <c r="B304" i="5"/>
  <c r="B305" i="5"/>
  <c r="B308" i="5"/>
  <c r="B309" i="5"/>
  <c r="B312" i="5"/>
  <c r="B313" i="5"/>
  <c r="B316" i="5"/>
  <c r="B317" i="5"/>
  <c r="B320" i="5"/>
  <c r="B321" i="5"/>
  <c r="B324" i="5"/>
  <c r="B325" i="5"/>
  <c r="B328" i="5"/>
  <c r="B329" i="5"/>
  <c r="B332" i="5"/>
  <c r="B333" i="5"/>
  <c r="B336" i="5"/>
  <c r="B337" i="5"/>
  <c r="B340" i="5"/>
  <c r="B341" i="5"/>
  <c r="B344" i="5"/>
  <c r="B345" i="5"/>
  <c r="B348" i="5"/>
  <c r="B349" i="5"/>
  <c r="B352" i="5"/>
  <c r="B353" i="5"/>
  <c r="B356" i="5"/>
  <c r="B357" i="5"/>
  <c r="B360" i="5"/>
  <c r="B361" i="5"/>
  <c r="B364" i="5"/>
  <c r="B365" i="5"/>
  <c r="B368" i="5"/>
  <c r="B369" i="5"/>
  <c r="B372" i="5"/>
  <c r="B373" i="5"/>
  <c r="B376" i="5"/>
  <c r="B377" i="5"/>
  <c r="B380" i="5"/>
  <c r="B381" i="5"/>
  <c r="B384" i="5"/>
  <c r="B385" i="5"/>
  <c r="B388" i="5"/>
  <c r="B389" i="5"/>
  <c r="B392" i="5"/>
  <c r="B393" i="5"/>
  <c r="B396" i="5"/>
  <c r="B397" i="5"/>
  <c r="B400" i="5"/>
  <c r="B401" i="5"/>
  <c r="B404" i="5"/>
  <c r="B405" i="5"/>
  <c r="B408" i="5"/>
  <c r="B409" i="5"/>
  <c r="B412" i="5"/>
  <c r="B413" i="5"/>
  <c r="B416" i="5"/>
  <c r="B417" i="5"/>
  <c r="B420" i="5"/>
  <c r="B421" i="5"/>
  <c r="B424" i="5"/>
  <c r="B425" i="5"/>
  <c r="B428" i="5"/>
  <c r="B429" i="5"/>
  <c r="B432" i="5"/>
  <c r="B433" i="5"/>
  <c r="B436" i="5"/>
  <c r="B437" i="5"/>
  <c r="B440" i="5"/>
  <c r="B441" i="5"/>
  <c r="B444" i="5"/>
  <c r="B445" i="5"/>
  <c r="B448" i="5"/>
  <c r="B449" i="5"/>
  <c r="B452" i="5"/>
  <c r="B453" i="5"/>
  <c r="B456" i="5"/>
  <c r="B457" i="5"/>
  <c r="B460" i="5"/>
  <c r="B461" i="5"/>
  <c r="B464" i="5"/>
  <c r="B465" i="5"/>
  <c r="B468" i="5"/>
  <c r="B469" i="5"/>
  <c r="B472" i="5"/>
  <c r="B473" i="5"/>
  <c r="B476" i="5"/>
  <c r="B477" i="5"/>
  <c r="B480" i="5"/>
  <c r="B481" i="5"/>
  <c r="B484" i="5"/>
  <c r="B485" i="5"/>
  <c r="B488" i="5"/>
  <c r="B489" i="5"/>
  <c r="B492" i="5"/>
  <c r="B493" i="5"/>
  <c r="B496" i="5"/>
  <c r="B497" i="5"/>
  <c r="B500" i="5"/>
  <c r="B501" i="5"/>
  <c r="B504" i="5"/>
  <c r="B505" i="5"/>
  <c r="B508" i="5"/>
  <c r="B509" i="5"/>
  <c r="B512" i="5"/>
  <c r="B513" i="5"/>
  <c r="B516" i="5"/>
  <c r="B517" i="5"/>
  <c r="B520" i="5"/>
  <c r="B521" i="5"/>
  <c r="B524" i="5"/>
  <c r="B525" i="5"/>
  <c r="B528" i="5"/>
  <c r="B529" i="5"/>
  <c r="B532" i="5"/>
  <c r="B533" i="5"/>
  <c r="B536" i="5"/>
  <c r="B537" i="5"/>
  <c r="B540" i="5"/>
  <c r="B541" i="5"/>
  <c r="B544" i="5"/>
  <c r="B545" i="5"/>
  <c r="B548" i="5"/>
  <c r="B549" i="5"/>
  <c r="B552" i="5"/>
  <c r="B553" i="5"/>
  <c r="B556" i="5"/>
  <c r="B557" i="5"/>
  <c r="B560" i="5"/>
  <c r="B561" i="5"/>
  <c r="B564" i="5"/>
  <c r="B565" i="5"/>
  <c r="B568" i="5"/>
  <c r="B569" i="5"/>
  <c r="B572" i="5"/>
  <c r="B573" i="5"/>
  <c r="B576" i="5"/>
  <c r="B577" i="5"/>
  <c r="B580" i="5"/>
  <c r="B581" i="5"/>
  <c r="B584" i="5"/>
  <c r="B585" i="5"/>
  <c r="B588" i="5"/>
  <c r="B589" i="5"/>
  <c r="B592" i="5"/>
  <c r="B593" i="5"/>
  <c r="B596" i="5"/>
  <c r="B597" i="5"/>
  <c r="B599" i="5"/>
  <c r="B600" i="5"/>
  <c r="B601" i="5"/>
  <c r="B604" i="5"/>
  <c r="B605" i="5"/>
  <c r="B608" i="5"/>
  <c r="B609" i="5"/>
  <c r="B612" i="5"/>
  <c r="B613" i="5"/>
  <c r="B615" i="5"/>
  <c r="B616" i="5"/>
  <c r="B617" i="5"/>
  <c r="B620" i="5"/>
  <c r="B621" i="5"/>
  <c r="B624" i="5"/>
  <c r="B625" i="5"/>
  <c r="B628" i="5"/>
  <c r="B629" i="5"/>
  <c r="B631" i="5"/>
  <c r="B632" i="5"/>
  <c r="B633" i="5"/>
  <c r="B636" i="5"/>
  <c r="B637" i="5"/>
  <c r="B640" i="5"/>
  <c r="B641" i="5"/>
  <c r="B644" i="5"/>
  <c r="B645" i="5"/>
  <c r="B647" i="5"/>
  <c r="B648" i="5"/>
  <c r="B649" i="5"/>
  <c r="B652" i="5"/>
  <c r="B653" i="5"/>
  <c r="B656" i="5"/>
  <c r="B657" i="5"/>
  <c r="B660" i="5"/>
  <c r="B661" i="5"/>
  <c r="B663" i="5"/>
  <c r="B664" i="5"/>
  <c r="B665" i="5"/>
  <c r="B668" i="5"/>
  <c r="B669" i="5"/>
  <c r="B672" i="5"/>
  <c r="B673" i="5"/>
  <c r="B676" i="5"/>
  <c r="B677" i="5"/>
  <c r="B679" i="5"/>
  <c r="B680" i="5"/>
  <c r="B681" i="5"/>
  <c r="B684" i="5"/>
  <c r="B685" i="5"/>
  <c r="B688" i="5"/>
  <c r="B689" i="5"/>
  <c r="B692" i="5"/>
  <c r="B693" i="5"/>
  <c r="B695" i="5"/>
  <c r="B696" i="5"/>
  <c r="B697" i="5"/>
  <c r="B700" i="5"/>
  <c r="B701" i="5"/>
  <c r="B704" i="5"/>
  <c r="B705" i="5"/>
  <c r="B708" i="5"/>
  <c r="B709" i="5"/>
  <c r="B711" i="5"/>
  <c r="B712" i="5"/>
  <c r="B713" i="5"/>
  <c r="B716" i="5"/>
  <c r="B717" i="5"/>
  <c r="B720" i="5"/>
  <c r="B721" i="5"/>
  <c r="B724" i="5"/>
  <c r="B725" i="5"/>
  <c r="B727" i="5"/>
  <c r="B728" i="5"/>
  <c r="B729" i="5"/>
  <c r="B732" i="5"/>
  <c r="B733" i="5"/>
  <c r="B736" i="5"/>
  <c r="B737" i="5"/>
  <c r="B740" i="5"/>
  <c r="B741" i="5"/>
  <c r="B743" i="5"/>
  <c r="B744" i="5"/>
  <c r="B745" i="5"/>
  <c r="B748" i="5"/>
  <c r="B749" i="5"/>
  <c r="B752" i="5"/>
  <c r="B753" i="5"/>
  <c r="B756" i="5"/>
  <c r="B757" i="5"/>
  <c r="B759" i="5"/>
  <c r="B760" i="5"/>
  <c r="B761" i="5"/>
  <c r="B764" i="5"/>
  <c r="B765" i="5"/>
  <c r="B768" i="5"/>
  <c r="B769" i="5"/>
  <c r="B772" i="5"/>
  <c r="B773" i="5"/>
  <c r="B775" i="5"/>
  <c r="B776" i="5"/>
  <c r="B777" i="5"/>
  <c r="B780" i="5"/>
  <c r="B781" i="5"/>
  <c r="B784" i="5"/>
  <c r="B785" i="5"/>
  <c r="B788" i="5"/>
  <c r="B789" i="5"/>
  <c r="B791" i="5"/>
  <c r="B792" i="5"/>
  <c r="B793" i="5"/>
  <c r="B796" i="5"/>
  <c r="B797" i="5"/>
  <c r="B800" i="5"/>
  <c r="B801" i="5"/>
  <c r="B804" i="5"/>
  <c r="B805" i="5"/>
  <c r="B807" i="5"/>
  <c r="B808" i="5"/>
  <c r="B809" i="5"/>
  <c r="B812" i="5"/>
  <c r="B813" i="5"/>
  <c r="B816" i="5"/>
  <c r="B817" i="5"/>
  <c r="B820" i="5"/>
  <c r="B821" i="5"/>
  <c r="B823" i="5"/>
  <c r="B824" i="5"/>
  <c r="B825" i="5"/>
  <c r="B828" i="5"/>
  <c r="B829" i="5"/>
  <c r="B832" i="5"/>
  <c r="B833" i="5"/>
  <c r="B836" i="5"/>
  <c r="B837" i="5"/>
  <c r="B839" i="5"/>
  <c r="B840" i="5"/>
  <c r="B841" i="5"/>
  <c r="B844" i="5"/>
  <c r="B845" i="5"/>
  <c r="B848" i="5"/>
  <c r="B849" i="5"/>
  <c r="B852" i="5"/>
  <c r="B853" i="5"/>
  <c r="B855" i="5"/>
  <c r="B856" i="5"/>
  <c r="B857" i="5"/>
  <c r="B860" i="5"/>
  <c r="B861" i="5"/>
  <c r="B864" i="5"/>
  <c r="B865" i="5"/>
  <c r="B868" i="5"/>
  <c r="B869" i="5"/>
  <c r="B871" i="5"/>
  <c r="B872" i="5"/>
  <c r="B873" i="5"/>
  <c r="B876" i="5"/>
  <c r="B877" i="5"/>
  <c r="B880" i="5"/>
  <c r="B881" i="5"/>
  <c r="B884" i="5"/>
  <c r="B885" i="5"/>
  <c r="B887" i="5"/>
  <c r="B888" i="5"/>
  <c r="B889" i="5"/>
  <c r="B892" i="5"/>
  <c r="B893" i="5"/>
  <c r="B896" i="5"/>
  <c r="B897" i="5"/>
  <c r="B900" i="5"/>
  <c r="B901" i="5"/>
  <c r="B903" i="5"/>
  <c r="B904" i="5"/>
  <c r="B905" i="5"/>
  <c r="B908" i="5"/>
  <c r="B909" i="5"/>
  <c r="B912" i="5"/>
  <c r="B913" i="5"/>
  <c r="B916" i="5"/>
  <c r="B917" i="5"/>
  <c r="B919" i="5"/>
  <c r="B920" i="5"/>
  <c r="B921" i="5"/>
  <c r="B924" i="5"/>
  <c r="B925" i="5"/>
  <c r="B928" i="5"/>
  <c r="B929" i="5"/>
  <c r="B932" i="5"/>
  <c r="B933" i="5"/>
  <c r="B935" i="5"/>
  <c r="B936" i="5"/>
  <c r="B937" i="5"/>
  <c r="B940" i="5"/>
  <c r="B941" i="5"/>
  <c r="B944" i="5"/>
  <c r="B945" i="5"/>
  <c r="B948" i="5"/>
  <c r="B949" i="5"/>
  <c r="B951" i="5"/>
  <c r="B952" i="5"/>
  <c r="B953" i="5"/>
  <c r="B956" i="5"/>
  <c r="B957" i="5"/>
  <c r="B960" i="5"/>
  <c r="B961" i="5"/>
  <c r="B964" i="5"/>
  <c r="B965" i="5"/>
  <c r="B967" i="5"/>
  <c r="B968" i="5"/>
  <c r="B969" i="5"/>
  <c r="B972" i="5"/>
  <c r="B973" i="5"/>
  <c r="B976" i="5"/>
  <c r="B977" i="5"/>
  <c r="B980" i="5"/>
  <c r="B981" i="5"/>
  <c r="B983" i="5"/>
  <c r="B984" i="5"/>
  <c r="B985" i="5"/>
  <c r="B988" i="5"/>
  <c r="B989" i="5"/>
  <c r="B992" i="5"/>
  <c r="B993" i="5"/>
  <c r="B996" i="5"/>
  <c r="B997" i="5"/>
  <c r="B999" i="5"/>
  <c r="B1000" i="5"/>
  <c r="B1001" i="5"/>
  <c r="B1004" i="5"/>
  <c r="B1005" i="5"/>
  <c r="B1008" i="5"/>
  <c r="B1009" i="5"/>
  <c r="B1012" i="5"/>
  <c r="B1013" i="5"/>
  <c r="B1015" i="5"/>
  <c r="B1016" i="5"/>
  <c r="B1017" i="5"/>
  <c r="B1020" i="5"/>
  <c r="B1021" i="5"/>
  <c r="B1024" i="5"/>
  <c r="B1025" i="5"/>
  <c r="B1028" i="5"/>
  <c r="B1029" i="5"/>
  <c r="B1031" i="5"/>
  <c r="B1032" i="5"/>
  <c r="B1033" i="5"/>
  <c r="B1036" i="5"/>
  <c r="B1037" i="5"/>
  <c r="B1040" i="5"/>
  <c r="B1041" i="5"/>
  <c r="B1044" i="5"/>
  <c r="B1045" i="5"/>
  <c r="B1047" i="5"/>
  <c r="B1048" i="5"/>
  <c r="B1049" i="5"/>
  <c r="B1052" i="5"/>
  <c r="B1053" i="5"/>
  <c r="B1056" i="5"/>
  <c r="B1057" i="5"/>
  <c r="B1060" i="5"/>
  <c r="B1061" i="5"/>
  <c r="B1063" i="5"/>
  <c r="B1064" i="5"/>
  <c r="B1065" i="5"/>
  <c r="B1068" i="5"/>
  <c r="B1069" i="5"/>
  <c r="B1072" i="5"/>
  <c r="B1073" i="5"/>
  <c r="B1076" i="5"/>
  <c r="B1077" i="5"/>
  <c r="B1079" i="5"/>
  <c r="B1080" i="5"/>
  <c r="B1081" i="5"/>
  <c r="B1084" i="5"/>
  <c r="B1085" i="5"/>
  <c r="B1088" i="5"/>
  <c r="B1089" i="5"/>
  <c r="B1092" i="5"/>
  <c r="B1093" i="5"/>
  <c r="B1095" i="5"/>
  <c r="B1096" i="5"/>
  <c r="B1097" i="5"/>
  <c r="B1100" i="5"/>
  <c r="B1101" i="5"/>
  <c r="B1104" i="5"/>
  <c r="B1105" i="5"/>
  <c r="B1108" i="5"/>
  <c r="B1109" i="5"/>
  <c r="B1111" i="5"/>
  <c r="B1112" i="5"/>
  <c r="B1113" i="5"/>
  <c r="B1116" i="5"/>
  <c r="B1117" i="5"/>
  <c r="B1120" i="5"/>
  <c r="B1121" i="5"/>
  <c r="B1124" i="5"/>
  <c r="B1125" i="5"/>
  <c r="B1127" i="5"/>
  <c r="B1128" i="5"/>
  <c r="B1129" i="5"/>
  <c r="B1132" i="5"/>
  <c r="B1133" i="5"/>
  <c r="B1136" i="5"/>
  <c r="B1137" i="5"/>
  <c r="B1140" i="5"/>
  <c r="B1141" i="5"/>
  <c r="B1143" i="5"/>
  <c r="B1144" i="5"/>
  <c r="B1145" i="5"/>
  <c r="B1148" i="5"/>
  <c r="B1149" i="5"/>
  <c r="B1152" i="5"/>
  <c r="B1153" i="5"/>
  <c r="B1156" i="5"/>
  <c r="B1157" i="5"/>
  <c r="B1159" i="5"/>
  <c r="B1160" i="5"/>
  <c r="B1161" i="5"/>
  <c r="B1164" i="5"/>
  <c r="B1165" i="5"/>
  <c r="B1168" i="5"/>
  <c r="B1169" i="5"/>
  <c r="B1172" i="5"/>
  <c r="B1173" i="5"/>
  <c r="B1175" i="5"/>
  <c r="B1176" i="5"/>
  <c r="B1177" i="5"/>
  <c r="B1180" i="5"/>
  <c r="B1181" i="5"/>
  <c r="B1184" i="5"/>
  <c r="B1185" i="5"/>
  <c r="B1188" i="5"/>
  <c r="B1189" i="5"/>
  <c r="B1191" i="5"/>
  <c r="B1192" i="5"/>
  <c r="B1193" i="5"/>
  <c r="B1196" i="5"/>
  <c r="B1197" i="5"/>
  <c r="B1200" i="5"/>
  <c r="B1201" i="5"/>
  <c r="B1204" i="5"/>
  <c r="B1205" i="5"/>
  <c r="B1207" i="5"/>
  <c r="B1208" i="5"/>
  <c r="B1209" i="5"/>
  <c r="B1212" i="5"/>
  <c r="B1213" i="5"/>
  <c r="B1216" i="5"/>
  <c r="B1217" i="5"/>
  <c r="B1220" i="5"/>
  <c r="B1221" i="5"/>
  <c r="B1223" i="5"/>
  <c r="B1224" i="5"/>
  <c r="B1225" i="5"/>
  <c r="B1228" i="5"/>
  <c r="B1229" i="5"/>
  <c r="B1232" i="5"/>
  <c r="B1233" i="5"/>
  <c r="B1236" i="5"/>
  <c r="B1237" i="5"/>
  <c r="B1239" i="5"/>
  <c r="B1240" i="5"/>
  <c r="B1241" i="5"/>
  <c r="B1244" i="5"/>
  <c r="B1245" i="5"/>
  <c r="B1248" i="5"/>
  <c r="B1249" i="5"/>
  <c r="B1252" i="5"/>
  <c r="B1253" i="5"/>
  <c r="B1255" i="5"/>
  <c r="B1256" i="5"/>
  <c r="B1257" i="5"/>
  <c r="B1260" i="5"/>
  <c r="B1261" i="5"/>
  <c r="B1264" i="5"/>
  <c r="B1265" i="5"/>
  <c r="B1268" i="5"/>
  <c r="B1269" i="5"/>
  <c r="B1272" i="5"/>
  <c r="B1273" i="5"/>
  <c r="B1276" i="5"/>
  <c r="B1277" i="5"/>
  <c r="B1280" i="5"/>
  <c r="B1281" i="5"/>
  <c r="B1284" i="5"/>
  <c r="B1285" i="5"/>
  <c r="B1288" i="5"/>
  <c r="B1289" i="5"/>
  <c r="B1292" i="5"/>
  <c r="B1293" i="5"/>
  <c r="B1296" i="5"/>
  <c r="B1297" i="5"/>
  <c r="B1300" i="5"/>
  <c r="B1301" i="5"/>
  <c r="B1304" i="5"/>
  <c r="B1305" i="5"/>
  <c r="B1308" i="5"/>
  <c r="B1309" i="5"/>
  <c r="B1312" i="5"/>
  <c r="B1313" i="5"/>
  <c r="B1316" i="5"/>
  <c r="B1317" i="5"/>
  <c r="B1320" i="5"/>
  <c r="B1321" i="5"/>
  <c r="B1324" i="5"/>
  <c r="B1325" i="5"/>
  <c r="B1328" i="5"/>
  <c r="B1329" i="5"/>
  <c r="B1332" i="5"/>
  <c r="B1333" i="5"/>
  <c r="B1336" i="5"/>
  <c r="B1337" i="5"/>
  <c r="B1340" i="5"/>
  <c r="B1341" i="5"/>
  <c r="B1344" i="5"/>
  <c r="B1345" i="5"/>
  <c r="B1348" i="5"/>
  <c r="B1349" i="5"/>
  <c r="B1352" i="5"/>
  <c r="B1353" i="5"/>
  <c r="B1356" i="5"/>
  <c r="B1357" i="5"/>
  <c r="B1360" i="5"/>
  <c r="B1361" i="5"/>
  <c r="B1364" i="5"/>
  <c r="B1365" i="5"/>
  <c r="B1368" i="5"/>
  <c r="B1369" i="5"/>
  <c r="B1372" i="5"/>
  <c r="B1373" i="5"/>
  <c r="B1376" i="5"/>
  <c r="B1377" i="5"/>
  <c r="B1380" i="5"/>
  <c r="B1381" i="5"/>
  <c r="B1384" i="5"/>
  <c r="B1385" i="5"/>
  <c r="B1388" i="5"/>
  <c r="B1389" i="5"/>
  <c r="B1392" i="5"/>
  <c r="B1393" i="5"/>
  <c r="B1396" i="5"/>
  <c r="B1397" i="5"/>
  <c r="B1400" i="5"/>
  <c r="B1401" i="5"/>
  <c r="B1404" i="5"/>
  <c r="B1405" i="5"/>
  <c r="B1408" i="5"/>
  <c r="B1409" i="5"/>
  <c r="B1412" i="5"/>
  <c r="B1413" i="5"/>
  <c r="B1416" i="5"/>
  <c r="B1417" i="5"/>
  <c r="B1420" i="5"/>
  <c r="B1421" i="5"/>
  <c r="B1424" i="5"/>
  <c r="B1425" i="5"/>
  <c r="B1428" i="5"/>
  <c r="B1429" i="5"/>
  <c r="B1432" i="5"/>
  <c r="B1433" i="5"/>
  <c r="B1436" i="5"/>
  <c r="B1437" i="5"/>
  <c r="B1440" i="5"/>
  <c r="B1441" i="5"/>
  <c r="B1444" i="5"/>
  <c r="B1445" i="5"/>
  <c r="B1448" i="5"/>
  <c r="B1449" i="5"/>
  <c r="B1452" i="5"/>
  <c r="B1453" i="5"/>
  <c r="B1456" i="5"/>
  <c r="B1457" i="5"/>
  <c r="B1460" i="5"/>
  <c r="B1461" i="5"/>
  <c r="B1464" i="5"/>
  <c r="B1465" i="5"/>
  <c r="B1468" i="5"/>
  <c r="B1469" i="5"/>
  <c r="B1472" i="5"/>
  <c r="B1473" i="5"/>
  <c r="B1476" i="5"/>
  <c r="B1477" i="5"/>
  <c r="B1480" i="5"/>
  <c r="B1481" i="5"/>
  <c r="B1484" i="5"/>
  <c r="B1485" i="5"/>
  <c r="B1488" i="5"/>
  <c r="B1489" i="5"/>
  <c r="B3" i="5"/>
  <c r="C3" i="5"/>
  <c r="D3" i="5"/>
  <c r="C81" i="5"/>
  <c r="C84" i="5"/>
  <c r="C85" i="5"/>
  <c r="C88" i="5"/>
  <c r="C89" i="5"/>
  <c r="C92" i="5"/>
  <c r="C93" i="5"/>
  <c r="C96" i="5"/>
  <c r="C97" i="5"/>
  <c r="C100" i="5"/>
  <c r="C101" i="5"/>
  <c r="C104" i="5"/>
  <c r="C105" i="5"/>
  <c r="C108" i="5"/>
  <c r="C109" i="5"/>
  <c r="C112" i="5"/>
  <c r="C113" i="5"/>
  <c r="C116" i="5"/>
  <c r="C117" i="5"/>
  <c r="C120" i="5"/>
  <c r="C121" i="5"/>
  <c r="C124" i="5"/>
  <c r="C125" i="5"/>
  <c r="C128" i="5"/>
  <c r="C129" i="5"/>
  <c r="C132" i="5"/>
  <c r="C133" i="5"/>
  <c r="C136" i="5"/>
  <c r="C137" i="5"/>
  <c r="C140" i="5"/>
  <c r="C141" i="5"/>
  <c r="C144" i="5"/>
  <c r="C145" i="5"/>
  <c r="C148" i="5"/>
  <c r="C149" i="5"/>
  <c r="C152" i="5"/>
  <c r="C153" i="5"/>
  <c r="C156" i="5"/>
  <c r="C157" i="5"/>
  <c r="C160" i="5"/>
  <c r="C161" i="5"/>
  <c r="C164" i="5"/>
  <c r="C165" i="5"/>
  <c r="C168" i="5"/>
  <c r="C169" i="5"/>
  <c r="C172" i="5"/>
  <c r="C173" i="5"/>
  <c r="C176" i="5"/>
  <c r="C177" i="5"/>
  <c r="C180" i="5"/>
  <c r="C181" i="5"/>
  <c r="C184" i="5"/>
  <c r="C185" i="5"/>
  <c r="C188" i="5"/>
  <c r="C189" i="5"/>
  <c r="C192" i="5"/>
  <c r="C193" i="5"/>
  <c r="C196" i="5"/>
  <c r="C197" i="5"/>
  <c r="C200" i="5"/>
  <c r="C201" i="5"/>
  <c r="C204" i="5"/>
  <c r="C205" i="5"/>
  <c r="C208" i="5"/>
  <c r="C209" i="5"/>
  <c r="C212" i="5"/>
  <c r="C213" i="5"/>
  <c r="C216" i="5"/>
  <c r="C217" i="5"/>
  <c r="C220" i="5"/>
  <c r="C221" i="5"/>
  <c r="C224" i="5"/>
  <c r="C225" i="5"/>
  <c r="C228" i="5"/>
  <c r="C229" i="5"/>
  <c r="C232" i="5"/>
  <c r="C233" i="5"/>
  <c r="C236" i="5"/>
  <c r="C237" i="5"/>
  <c r="C240" i="5"/>
  <c r="C241" i="5"/>
  <c r="C244" i="5"/>
  <c r="C245" i="5"/>
  <c r="C248" i="5"/>
  <c r="C249" i="5"/>
  <c r="C252" i="5"/>
  <c r="C253" i="5"/>
  <c r="C256" i="5"/>
  <c r="C257" i="5"/>
  <c r="C260" i="5"/>
  <c r="C261" i="5"/>
  <c r="C264" i="5"/>
  <c r="C265" i="5"/>
  <c r="C268" i="5"/>
  <c r="C269" i="5"/>
  <c r="C272" i="5"/>
  <c r="C273" i="5"/>
  <c r="C276" i="5"/>
  <c r="C277" i="5"/>
  <c r="C280" i="5"/>
  <c r="C281" i="5"/>
  <c r="C284" i="5"/>
  <c r="C285" i="5"/>
  <c r="C288" i="5"/>
  <c r="C289" i="5"/>
  <c r="C292" i="5"/>
  <c r="C293" i="5"/>
  <c r="C296" i="5"/>
  <c r="C297" i="5"/>
  <c r="C300" i="5"/>
  <c r="C301" i="5"/>
  <c r="C304" i="5"/>
  <c r="C305" i="5"/>
  <c r="C308" i="5"/>
  <c r="C309" i="5"/>
  <c r="C312" i="5"/>
  <c r="C313" i="5"/>
  <c r="C316" i="5"/>
  <c r="C317" i="5"/>
  <c r="C320" i="5"/>
  <c r="C321" i="5"/>
  <c r="C324" i="5"/>
  <c r="C325" i="5"/>
  <c r="C328" i="5"/>
  <c r="C329" i="5"/>
  <c r="C332" i="5"/>
  <c r="C333" i="5"/>
  <c r="C334" i="5"/>
  <c r="C336" i="5"/>
  <c r="C337" i="5"/>
  <c r="C340" i="5"/>
  <c r="C341" i="5"/>
  <c r="C344" i="5"/>
  <c r="C345" i="5"/>
  <c r="C348" i="5"/>
  <c r="C349" i="5"/>
  <c r="C352" i="5"/>
  <c r="C353" i="5"/>
  <c r="C356" i="5"/>
  <c r="C357" i="5"/>
  <c r="C360" i="5"/>
  <c r="C361" i="5"/>
  <c r="C364" i="5"/>
  <c r="C365" i="5"/>
  <c r="C368" i="5"/>
  <c r="C369" i="5"/>
  <c r="C372" i="5"/>
  <c r="C373" i="5"/>
  <c r="C376" i="5"/>
  <c r="C377" i="5"/>
  <c r="C380" i="5"/>
  <c r="C381" i="5"/>
  <c r="C384" i="5"/>
  <c r="C385" i="5"/>
  <c r="C388" i="5"/>
  <c r="C389" i="5"/>
  <c r="C392" i="5"/>
  <c r="C393" i="5"/>
  <c r="C396" i="5"/>
  <c r="C397" i="5"/>
  <c r="C400" i="5"/>
  <c r="C401" i="5"/>
  <c r="C404" i="5"/>
  <c r="C405" i="5"/>
  <c r="C408" i="5"/>
  <c r="C409" i="5"/>
  <c r="C412" i="5"/>
  <c r="C413" i="5"/>
  <c r="C416" i="5"/>
  <c r="C417" i="5"/>
  <c r="C419" i="5"/>
  <c r="C420" i="5"/>
  <c r="C421" i="5"/>
  <c r="C424" i="5"/>
  <c r="C425" i="5"/>
  <c r="C428" i="5"/>
  <c r="C429" i="5"/>
  <c r="C432" i="5"/>
  <c r="C433" i="5"/>
  <c r="C436" i="5"/>
  <c r="C437" i="5"/>
  <c r="C440" i="5"/>
  <c r="C441" i="5"/>
  <c r="C444" i="5"/>
  <c r="C445" i="5"/>
  <c r="C448" i="5"/>
  <c r="C449" i="5"/>
  <c r="C452" i="5"/>
  <c r="C453" i="5"/>
  <c r="C456" i="5"/>
  <c r="C457" i="5"/>
  <c r="C460" i="5"/>
  <c r="C461" i="5"/>
  <c r="C464" i="5"/>
  <c r="C465" i="5"/>
  <c r="C468" i="5"/>
  <c r="C469" i="5"/>
  <c r="C472" i="5"/>
  <c r="C473" i="5"/>
  <c r="C476" i="5"/>
  <c r="C477" i="5"/>
  <c r="C480" i="5"/>
  <c r="C481" i="5"/>
  <c r="C483" i="5"/>
  <c r="C484" i="5"/>
  <c r="C485" i="5"/>
  <c r="C488" i="5"/>
  <c r="C489" i="5"/>
  <c r="C492" i="5"/>
  <c r="C493" i="5"/>
  <c r="C496" i="5"/>
  <c r="C497" i="5"/>
  <c r="C500" i="5"/>
  <c r="C501" i="5"/>
  <c r="C504" i="5"/>
  <c r="C505" i="5"/>
  <c r="C508" i="5"/>
  <c r="C509" i="5"/>
  <c r="C512" i="5"/>
  <c r="C513" i="5"/>
  <c r="C516" i="5"/>
  <c r="C517" i="5"/>
  <c r="C520" i="5"/>
  <c r="C521" i="5"/>
  <c r="C524" i="5"/>
  <c r="C525" i="5"/>
  <c r="C528" i="5"/>
  <c r="C529" i="5"/>
  <c r="C532" i="5"/>
  <c r="C533" i="5"/>
  <c r="C536" i="5"/>
  <c r="C537" i="5"/>
  <c r="C540" i="5"/>
  <c r="C541" i="5"/>
  <c r="C544" i="5"/>
  <c r="C545" i="5"/>
  <c r="C547" i="5"/>
  <c r="C548" i="5"/>
  <c r="C549" i="5"/>
  <c r="C552" i="5"/>
  <c r="C553" i="5"/>
  <c r="C556" i="5"/>
  <c r="C557" i="5"/>
  <c r="C560" i="5"/>
  <c r="C561" i="5"/>
  <c r="C564" i="5"/>
  <c r="C565" i="5"/>
  <c r="C568" i="5"/>
  <c r="C569" i="5"/>
  <c r="C572" i="5"/>
  <c r="C573" i="5"/>
  <c r="C576" i="5"/>
  <c r="C577" i="5"/>
  <c r="C580" i="5"/>
  <c r="C581" i="5"/>
  <c r="C584" i="5"/>
  <c r="C585" i="5"/>
  <c r="C588" i="5"/>
  <c r="C589" i="5"/>
  <c r="C592" i="5"/>
  <c r="C593" i="5"/>
  <c r="C596" i="5"/>
  <c r="C597" i="5"/>
  <c r="C600" i="5"/>
  <c r="C601" i="5"/>
  <c r="C604" i="5"/>
  <c r="C605" i="5"/>
  <c r="C608" i="5"/>
  <c r="C609" i="5"/>
  <c r="C611" i="5"/>
  <c r="C612" i="5"/>
  <c r="C613" i="5"/>
  <c r="C616" i="5"/>
  <c r="C617" i="5"/>
  <c r="C620" i="5"/>
  <c r="C621" i="5"/>
  <c r="C624" i="5"/>
  <c r="C625" i="5"/>
  <c r="C628" i="5"/>
  <c r="C629" i="5"/>
  <c r="C632" i="5"/>
  <c r="C633" i="5"/>
  <c r="C636" i="5"/>
  <c r="C637" i="5"/>
  <c r="C640" i="5"/>
  <c r="C641" i="5"/>
  <c r="C644" i="5"/>
  <c r="C645" i="5"/>
  <c r="C648" i="5"/>
  <c r="C649" i="5"/>
  <c r="C652" i="5"/>
  <c r="C653" i="5"/>
  <c r="C656" i="5"/>
  <c r="C657" i="5"/>
  <c r="C660" i="5"/>
  <c r="C661" i="5"/>
  <c r="C664" i="5"/>
  <c r="C665" i="5"/>
  <c r="C668" i="5"/>
  <c r="C669" i="5"/>
  <c r="C672" i="5"/>
  <c r="C673" i="5"/>
  <c r="C674" i="5"/>
  <c r="C676" i="5"/>
  <c r="C677" i="5"/>
  <c r="C680" i="5"/>
  <c r="C681" i="5"/>
  <c r="C684" i="5"/>
  <c r="C685" i="5"/>
  <c r="C688" i="5"/>
  <c r="C689" i="5"/>
  <c r="C690" i="5"/>
  <c r="C692" i="5"/>
  <c r="C693" i="5"/>
  <c r="C696" i="5"/>
  <c r="C697" i="5"/>
  <c r="C700" i="5"/>
  <c r="C701" i="5"/>
  <c r="C704" i="5"/>
  <c r="C705" i="5"/>
  <c r="C706" i="5"/>
  <c r="C708" i="5"/>
  <c r="C709" i="5"/>
  <c r="C712" i="5"/>
  <c r="C713" i="5"/>
  <c r="C716" i="5"/>
  <c r="C717" i="5"/>
  <c r="C720" i="5"/>
  <c r="C721" i="5"/>
  <c r="C722" i="5"/>
  <c r="C724" i="5"/>
  <c r="C725" i="5"/>
  <c r="C728" i="5"/>
  <c r="C729" i="5"/>
  <c r="C732" i="5"/>
  <c r="C733" i="5"/>
  <c r="C736" i="5"/>
  <c r="C737" i="5"/>
  <c r="C738" i="5"/>
  <c r="C740" i="5"/>
  <c r="C741" i="5"/>
  <c r="C744" i="5"/>
  <c r="C745" i="5"/>
  <c r="C748" i="5"/>
  <c r="C749" i="5"/>
  <c r="C752" i="5"/>
  <c r="C753" i="5"/>
  <c r="C754" i="5"/>
  <c r="C756" i="5"/>
  <c r="C757" i="5"/>
  <c r="C760" i="5"/>
  <c r="C761" i="5"/>
  <c r="C764" i="5"/>
  <c r="C765" i="5"/>
  <c r="C768" i="5"/>
  <c r="C769" i="5"/>
  <c r="C770" i="5"/>
  <c r="C772" i="5"/>
  <c r="C773" i="5"/>
  <c r="C776" i="5"/>
  <c r="C777" i="5"/>
  <c r="C780" i="5"/>
  <c r="C781" i="5"/>
  <c r="C784" i="5"/>
  <c r="C785" i="5"/>
  <c r="C786" i="5"/>
  <c r="C788" i="5"/>
  <c r="C789" i="5"/>
  <c r="C792" i="5"/>
  <c r="C793" i="5"/>
  <c r="C796" i="5"/>
  <c r="C797" i="5"/>
  <c r="C800" i="5"/>
  <c r="C801" i="5"/>
  <c r="C802" i="5"/>
  <c r="C804" i="5"/>
  <c r="C805" i="5"/>
  <c r="C808" i="5"/>
  <c r="C809" i="5"/>
  <c r="C812" i="5"/>
  <c r="C813" i="5"/>
  <c r="C816" i="5"/>
  <c r="C817" i="5"/>
  <c r="C818" i="5"/>
  <c r="C820" i="5"/>
  <c r="C821" i="5"/>
  <c r="C824" i="5"/>
  <c r="C825" i="5"/>
  <c r="C828" i="5"/>
  <c r="C829" i="5"/>
  <c r="C832" i="5"/>
  <c r="C833" i="5"/>
  <c r="C834" i="5"/>
  <c r="C836" i="5"/>
  <c r="C837" i="5"/>
  <c r="C840" i="5"/>
  <c r="C841" i="5"/>
  <c r="C844" i="5"/>
  <c r="C845" i="5"/>
  <c r="C848" i="5"/>
  <c r="C849" i="5"/>
  <c r="C850" i="5"/>
  <c r="C852" i="5"/>
  <c r="C853" i="5"/>
  <c r="C856" i="5"/>
  <c r="C857" i="5"/>
  <c r="C860" i="5"/>
  <c r="C861" i="5"/>
  <c r="C864" i="5"/>
  <c r="C865" i="5"/>
  <c r="C866" i="5"/>
  <c r="C868" i="5"/>
  <c r="C869" i="5"/>
  <c r="C872" i="5"/>
  <c r="C873" i="5"/>
  <c r="C876" i="5"/>
  <c r="C877" i="5"/>
  <c r="C880" i="5"/>
  <c r="C881" i="5"/>
  <c r="C882" i="5"/>
  <c r="C884" i="5"/>
  <c r="C885" i="5"/>
  <c r="C888" i="5"/>
  <c r="C889" i="5"/>
  <c r="C892" i="5"/>
  <c r="C893" i="5"/>
  <c r="C896" i="5"/>
  <c r="C897" i="5"/>
  <c r="C898" i="5"/>
  <c r="C900" i="5"/>
  <c r="C901" i="5"/>
  <c r="C904" i="5"/>
  <c r="C905" i="5"/>
  <c r="C908" i="5"/>
  <c r="C909" i="5"/>
  <c r="C912" i="5"/>
  <c r="C913" i="5"/>
  <c r="C914" i="5"/>
  <c r="C916" i="5"/>
  <c r="C917" i="5"/>
  <c r="C920" i="5"/>
  <c r="C921" i="5"/>
  <c r="C924" i="5"/>
  <c r="C925" i="5"/>
  <c r="C928" i="5"/>
  <c r="C929" i="5"/>
  <c r="C930" i="5"/>
  <c r="C932" i="5"/>
  <c r="C933" i="5"/>
  <c r="C936" i="5"/>
  <c r="C937" i="5"/>
  <c r="C940" i="5"/>
  <c r="C941" i="5"/>
  <c r="C944" i="5"/>
  <c r="C945" i="5"/>
  <c r="C946" i="5"/>
  <c r="C948" i="5"/>
  <c r="C949" i="5"/>
  <c r="C952" i="5"/>
  <c r="C953" i="5"/>
  <c r="C956" i="5"/>
  <c r="C957" i="5"/>
  <c r="C960" i="5"/>
  <c r="C961" i="5"/>
  <c r="C962" i="5"/>
  <c r="C964" i="5"/>
  <c r="C965" i="5"/>
  <c r="C968" i="5"/>
  <c r="C969" i="5"/>
  <c r="C972" i="5"/>
  <c r="C973" i="5"/>
  <c r="C976" i="5"/>
  <c r="C977" i="5"/>
  <c r="C978" i="5"/>
  <c r="C980" i="5"/>
  <c r="C981" i="5"/>
  <c r="C984" i="5"/>
  <c r="C985" i="5"/>
  <c r="C988" i="5"/>
  <c r="C989" i="5"/>
  <c r="C992" i="5"/>
  <c r="C993" i="5"/>
  <c r="C994" i="5"/>
  <c r="C996" i="5"/>
  <c r="C997" i="5"/>
  <c r="C1000" i="5"/>
  <c r="C1001" i="5"/>
  <c r="C1004" i="5"/>
  <c r="C1005" i="5"/>
  <c r="C1008" i="5"/>
  <c r="C1009" i="5"/>
  <c r="C1010" i="5"/>
  <c r="C1012" i="5"/>
  <c r="C1013" i="5"/>
  <c r="C1016" i="5"/>
  <c r="C1017" i="5"/>
  <c r="C1020" i="5"/>
  <c r="C1021" i="5"/>
  <c r="C1024" i="5"/>
  <c r="C1025" i="5"/>
  <c r="C1026" i="5"/>
  <c r="C1028" i="5"/>
  <c r="C1029" i="5"/>
  <c r="C1032" i="5"/>
  <c r="C1033" i="5"/>
  <c r="C1036" i="5"/>
  <c r="C1037" i="5"/>
  <c r="C1040" i="5"/>
  <c r="C1041" i="5"/>
  <c r="C1042" i="5"/>
  <c r="C1044" i="5"/>
  <c r="C1045" i="5"/>
  <c r="C1048" i="5"/>
  <c r="C1049" i="5"/>
  <c r="C1052" i="5"/>
  <c r="C1053" i="5"/>
  <c r="C1056" i="5"/>
  <c r="C1057" i="5"/>
  <c r="C1058" i="5"/>
  <c r="C1060" i="5"/>
  <c r="C1061" i="5"/>
  <c r="C1064" i="5"/>
  <c r="C1065" i="5"/>
  <c r="C1068" i="5"/>
  <c r="C1069" i="5"/>
  <c r="C1072" i="5"/>
  <c r="C1073" i="5"/>
  <c r="C1074" i="5"/>
  <c r="C1076" i="5"/>
  <c r="C1077" i="5"/>
  <c r="C1080" i="5"/>
  <c r="C1081" i="5"/>
  <c r="C1084" i="5"/>
  <c r="C1085" i="5"/>
  <c r="C1088" i="5"/>
  <c r="C1089" i="5"/>
  <c r="C1090" i="5"/>
  <c r="C1092" i="5"/>
  <c r="C1093" i="5"/>
  <c r="C1096" i="5"/>
  <c r="C1097" i="5"/>
  <c r="C1100" i="5"/>
  <c r="C1101" i="5"/>
  <c r="C1104" i="5"/>
  <c r="C1105" i="5"/>
  <c r="C1106" i="5"/>
  <c r="C1108" i="5"/>
  <c r="C1109" i="5"/>
  <c r="C1112" i="5"/>
  <c r="C1113" i="5"/>
  <c r="C1116" i="5"/>
  <c r="C1117" i="5"/>
  <c r="C1120" i="5"/>
  <c r="C1121" i="5"/>
  <c r="C1122" i="5"/>
  <c r="C1124" i="5"/>
  <c r="C1125" i="5"/>
  <c r="C1128" i="5"/>
  <c r="C1129" i="5"/>
  <c r="C1132" i="5"/>
  <c r="C1133" i="5"/>
  <c r="C1136" i="5"/>
  <c r="C1137" i="5"/>
  <c r="C1138" i="5"/>
  <c r="C1140" i="5"/>
  <c r="C1141" i="5"/>
  <c r="C1144" i="5"/>
  <c r="C1145" i="5"/>
  <c r="C1148" i="5"/>
  <c r="C1149" i="5"/>
  <c r="C1152" i="5"/>
  <c r="C1153" i="5"/>
  <c r="C1154" i="5"/>
  <c r="C1156" i="5"/>
  <c r="C1157" i="5"/>
  <c r="C1160" i="5"/>
  <c r="C1161" i="5"/>
  <c r="C1164" i="5"/>
  <c r="C1165" i="5"/>
  <c r="C1168" i="5"/>
  <c r="C1169" i="5"/>
  <c r="C1170" i="5"/>
  <c r="C1172" i="5"/>
  <c r="C1173" i="5"/>
  <c r="C1176" i="5"/>
  <c r="C1177" i="5"/>
  <c r="C1180" i="5"/>
  <c r="C1181" i="5"/>
  <c r="C1184" i="5"/>
  <c r="C1185" i="5"/>
  <c r="C1186" i="5"/>
  <c r="C1188" i="5"/>
  <c r="C1189" i="5"/>
  <c r="C1192" i="5"/>
  <c r="C1193" i="5"/>
  <c r="C1196" i="5"/>
  <c r="C1197" i="5"/>
  <c r="C1200" i="5"/>
  <c r="C1201" i="5"/>
  <c r="C1202" i="5"/>
  <c r="C1204" i="5"/>
  <c r="C1205" i="5"/>
  <c r="C1208" i="5"/>
  <c r="C1209" i="5"/>
  <c r="C1212" i="5"/>
  <c r="C1213" i="5"/>
  <c r="C1216" i="5"/>
  <c r="C1217" i="5"/>
  <c r="C1218" i="5"/>
  <c r="C1220" i="5"/>
  <c r="C1221" i="5"/>
  <c r="C1224" i="5"/>
  <c r="C1225" i="5"/>
  <c r="C1228" i="5"/>
  <c r="C1229" i="5"/>
  <c r="C1232" i="5"/>
  <c r="C1233" i="5"/>
  <c r="C1234" i="5"/>
  <c r="C1236" i="5"/>
  <c r="C1237" i="5"/>
  <c r="C1240" i="5"/>
  <c r="C1241" i="5"/>
  <c r="C1244" i="5"/>
  <c r="C1245" i="5"/>
  <c r="C1248" i="5"/>
  <c r="C1249" i="5"/>
  <c r="C1250" i="5"/>
  <c r="C1252" i="5"/>
  <c r="C1253" i="5"/>
  <c r="C1256" i="5"/>
  <c r="C1257" i="5"/>
  <c r="C1260" i="5"/>
  <c r="C1261" i="5"/>
  <c r="C1264" i="5"/>
  <c r="C1265" i="5"/>
  <c r="C1266" i="5"/>
  <c r="C1268" i="5"/>
  <c r="C1269" i="5"/>
  <c r="C1270" i="5"/>
  <c r="C1272" i="5"/>
  <c r="C1273" i="5"/>
  <c r="C1274" i="5"/>
  <c r="C1276" i="5"/>
  <c r="C1277" i="5"/>
  <c r="C1278" i="5"/>
  <c r="C1280" i="5"/>
  <c r="C1281" i="5"/>
  <c r="C1282" i="5"/>
  <c r="C1284" i="5"/>
  <c r="C1285" i="5"/>
  <c r="C1286" i="5"/>
  <c r="C1288" i="5"/>
  <c r="C1289" i="5"/>
  <c r="C1290" i="5"/>
  <c r="C1292" i="5"/>
  <c r="C1293" i="5"/>
  <c r="C1294" i="5"/>
  <c r="C1296" i="5"/>
  <c r="C1297" i="5"/>
  <c r="C1298" i="5"/>
  <c r="C1300" i="5"/>
  <c r="C1301" i="5"/>
  <c r="C1302" i="5"/>
  <c r="C1304" i="5"/>
  <c r="C1305" i="5"/>
  <c r="C1306" i="5"/>
  <c r="C1308" i="5"/>
  <c r="C1309" i="5"/>
  <c r="C1310" i="5"/>
  <c r="C1312" i="5"/>
  <c r="C1313" i="5"/>
  <c r="C1314" i="5"/>
  <c r="C1316" i="5"/>
  <c r="C1317" i="5"/>
  <c r="C1318" i="5"/>
  <c r="C1320" i="5"/>
  <c r="C1321" i="5"/>
  <c r="C1322" i="5"/>
  <c r="C1324" i="5"/>
  <c r="C1325" i="5"/>
  <c r="C1326" i="5"/>
  <c r="C1328" i="5"/>
  <c r="C1329" i="5"/>
  <c r="C1330" i="5"/>
  <c r="C1332" i="5"/>
  <c r="C1333" i="5"/>
  <c r="C1334" i="5"/>
  <c r="C1336" i="5"/>
  <c r="C1337" i="5"/>
  <c r="C1338" i="5"/>
  <c r="C1340" i="5"/>
  <c r="C1341" i="5"/>
  <c r="C1342" i="5"/>
  <c r="C1344" i="5"/>
  <c r="C1345" i="5"/>
  <c r="C1346" i="5"/>
  <c r="C1348" i="5"/>
  <c r="C1349" i="5"/>
  <c r="C1350" i="5"/>
  <c r="C1352" i="5"/>
  <c r="C1353" i="5"/>
  <c r="C1354" i="5"/>
  <c r="C1356" i="5"/>
  <c r="C1357" i="5"/>
  <c r="C1358" i="5"/>
  <c r="C1360" i="5"/>
  <c r="C1361" i="5"/>
  <c r="C1362" i="5"/>
  <c r="C1364" i="5"/>
  <c r="C1365" i="5"/>
  <c r="C1366" i="5"/>
  <c r="C1368" i="5"/>
  <c r="C1369" i="5"/>
  <c r="C1370" i="5"/>
  <c r="C1372" i="5"/>
  <c r="C1373" i="5"/>
  <c r="C1374" i="5"/>
  <c r="C1376" i="5"/>
  <c r="C1377" i="5"/>
  <c r="C1378" i="5"/>
  <c r="C1380" i="5"/>
  <c r="C1381" i="5"/>
  <c r="C1382" i="5"/>
  <c r="C1384" i="5"/>
  <c r="C1385" i="5"/>
  <c r="C1386" i="5"/>
  <c r="C1388" i="5"/>
  <c r="C1389" i="5"/>
  <c r="C1390" i="5"/>
  <c r="C1392" i="5"/>
  <c r="C1393" i="5"/>
  <c r="C1394" i="5"/>
  <c r="C1396" i="5"/>
  <c r="C1397" i="5"/>
  <c r="C1398" i="5"/>
  <c r="C1400" i="5"/>
  <c r="C1401" i="5"/>
  <c r="C1402" i="5"/>
  <c r="C1404" i="5"/>
  <c r="C1405" i="5"/>
  <c r="C1406" i="5"/>
  <c r="C1408" i="5"/>
  <c r="C1409" i="5"/>
  <c r="C1410" i="5"/>
  <c r="C1412" i="5"/>
  <c r="C1413" i="5"/>
  <c r="C1414" i="5"/>
  <c r="C1416" i="5"/>
  <c r="C1417" i="5"/>
  <c r="C1418" i="5"/>
  <c r="C1420" i="5"/>
  <c r="C1421" i="5"/>
  <c r="C1422" i="5"/>
  <c r="C1424" i="5"/>
  <c r="C1425" i="5"/>
  <c r="C1426" i="5"/>
  <c r="C1428" i="5"/>
  <c r="C1429" i="5"/>
  <c r="C1430" i="5"/>
  <c r="C1432" i="5"/>
  <c r="C1433" i="5"/>
  <c r="C1434" i="5"/>
  <c r="C1436" i="5"/>
  <c r="C1437" i="5"/>
  <c r="C1438" i="5"/>
  <c r="C1440" i="5"/>
  <c r="C1441" i="5"/>
  <c r="C1442" i="5"/>
  <c r="C1444" i="5"/>
  <c r="C1445" i="5"/>
  <c r="C1446" i="5"/>
  <c r="C1448" i="5"/>
  <c r="C1449" i="5"/>
  <c r="C1450" i="5"/>
  <c r="C1452" i="5"/>
  <c r="C1453" i="5"/>
  <c r="C1454" i="5"/>
  <c r="C1456" i="5"/>
  <c r="C1457" i="5"/>
  <c r="C1458" i="5"/>
  <c r="C1461" i="5"/>
  <c r="C1463" i="5"/>
  <c r="C1465" i="5"/>
  <c r="C1469" i="5"/>
  <c r="C1470" i="5"/>
  <c r="C1473" i="5"/>
  <c r="C1477" i="5"/>
  <c r="C1481" i="5"/>
  <c r="C1483" i="5"/>
  <c r="C1485" i="5"/>
  <c r="C1489" i="5"/>
  <c r="C1490" i="5"/>
  <c r="C16" i="5"/>
  <c r="C17" i="5"/>
  <c r="C19" i="5"/>
  <c r="C20" i="5"/>
  <c r="C21" i="5"/>
  <c r="C24" i="5"/>
  <c r="C25" i="5"/>
  <c r="C28" i="5"/>
  <c r="C29" i="5"/>
  <c r="C32" i="5"/>
  <c r="C33" i="5"/>
  <c r="C36" i="5"/>
  <c r="C37" i="5"/>
  <c r="C40" i="5"/>
  <c r="C41" i="5"/>
  <c r="C44" i="5"/>
  <c r="C45" i="5"/>
  <c r="C48" i="5"/>
  <c r="C49" i="5"/>
  <c r="C52" i="5"/>
  <c r="C53" i="5"/>
  <c r="C56" i="5"/>
  <c r="C57" i="5"/>
  <c r="C59" i="5"/>
  <c r="C60" i="5"/>
  <c r="C61" i="5"/>
  <c r="C64" i="5"/>
  <c r="C65" i="5"/>
  <c r="C68" i="5"/>
  <c r="C69" i="5"/>
  <c r="C71" i="5"/>
  <c r="C72" i="5"/>
  <c r="C73" i="5"/>
  <c r="C76" i="5"/>
  <c r="C77" i="5"/>
  <c r="C80" i="5"/>
  <c r="C13" i="5"/>
  <c r="C12" i="5"/>
  <c r="C9" i="5"/>
  <c r="C8" i="5"/>
  <c r="C5" i="5"/>
  <c r="C4" i="5"/>
  <c r="H966" i="5"/>
  <c r="H982" i="5"/>
  <c r="H998" i="5"/>
  <c r="H1014" i="5"/>
  <c r="H1030" i="5"/>
  <c r="H1046" i="5"/>
  <c r="H1062" i="5"/>
  <c r="H1078" i="5"/>
  <c r="H1094" i="5"/>
  <c r="H1110" i="5"/>
  <c r="H1126" i="5"/>
  <c r="H1142" i="5"/>
  <c r="H1158" i="5"/>
  <c r="H1174" i="5"/>
  <c r="H1190" i="5"/>
  <c r="H1206" i="5"/>
  <c r="H1222" i="5"/>
  <c r="H1238" i="5"/>
  <c r="H1254" i="5"/>
  <c r="H1270" i="5"/>
  <c r="H1286" i="5"/>
  <c r="H1302" i="5"/>
  <c r="H1318" i="5"/>
  <c r="H1334" i="5"/>
  <c r="H1350" i="5"/>
  <c r="H1366" i="5"/>
  <c r="H1382" i="5"/>
  <c r="H1398" i="5"/>
  <c r="H1414" i="5"/>
  <c r="H1430" i="5"/>
  <c r="H1446" i="5"/>
  <c r="H1462" i="5"/>
  <c r="H1478" i="5"/>
  <c r="G19" i="5"/>
  <c r="G43" i="5"/>
  <c r="G63" i="5"/>
  <c r="G83" i="5"/>
  <c r="G107" i="5"/>
  <c r="G127" i="5"/>
  <c r="G147" i="5"/>
  <c r="G171" i="5"/>
  <c r="G191" i="5"/>
  <c r="G211" i="5"/>
  <c r="G235" i="5"/>
  <c r="G255" i="5"/>
  <c r="G275" i="5"/>
  <c r="G299" i="5"/>
  <c r="G319" i="5"/>
  <c r="G339" i="5"/>
  <c r="G363" i="5"/>
  <c r="G383" i="5"/>
  <c r="G403" i="5"/>
  <c r="G427" i="5"/>
  <c r="G447" i="5"/>
  <c r="G467" i="5"/>
  <c r="G491" i="5"/>
  <c r="G511" i="5"/>
  <c r="G531" i="5"/>
  <c r="G555" i="5"/>
  <c r="G575" i="5"/>
  <c r="G595" i="5"/>
  <c r="G619" i="5"/>
  <c r="G639" i="5"/>
  <c r="G659" i="5"/>
  <c r="G683" i="5"/>
  <c r="G703" i="5"/>
  <c r="G723" i="5"/>
  <c r="G747" i="5"/>
  <c r="G767" i="5"/>
  <c r="G787" i="5"/>
  <c r="G811" i="5"/>
  <c r="G831" i="5"/>
  <c r="G851" i="5"/>
  <c r="G875" i="5"/>
  <c r="G895" i="5"/>
  <c r="G915" i="5"/>
  <c r="G939" i="5"/>
  <c r="G959" i="5"/>
  <c r="G979" i="5"/>
  <c r="G1003" i="5"/>
  <c r="G1023" i="5"/>
  <c r="G1043" i="5"/>
  <c r="G1067" i="5"/>
  <c r="G1087" i="5"/>
  <c r="G1107" i="5"/>
  <c r="G1131" i="5"/>
  <c r="G1151" i="5"/>
  <c r="G1171" i="5"/>
  <c r="G1195" i="5"/>
  <c r="G1215" i="5"/>
  <c r="G1235" i="5"/>
  <c r="G1259" i="5"/>
  <c r="G1279" i="5"/>
  <c r="G1299" i="5"/>
  <c r="G1323" i="5"/>
  <c r="G1343" i="5"/>
  <c r="G1363" i="5"/>
  <c r="G1379" i="5"/>
  <c r="G1395" i="5"/>
  <c r="G1411" i="5"/>
  <c r="G1427" i="5"/>
  <c r="G1443" i="5"/>
  <c r="G1459" i="5"/>
  <c r="G1475" i="5"/>
  <c r="G1491" i="5"/>
  <c r="F4" i="5"/>
  <c r="F6" i="5"/>
  <c r="F8" i="5"/>
  <c r="F10" i="5"/>
  <c r="F12" i="5"/>
  <c r="F14" i="5"/>
  <c r="F16" i="5"/>
  <c r="F18" i="5"/>
  <c r="F20" i="5"/>
  <c r="F22" i="5"/>
  <c r="F24" i="5"/>
  <c r="F26" i="5"/>
  <c r="F28" i="5"/>
  <c r="F30" i="5"/>
  <c r="F32" i="5"/>
  <c r="F34" i="5"/>
  <c r="F36" i="5"/>
  <c r="F38" i="5"/>
  <c r="F40" i="5"/>
  <c r="F42" i="5"/>
  <c r="F44" i="5"/>
  <c r="F46" i="5"/>
  <c r="F48" i="5"/>
  <c r="F50" i="5"/>
  <c r="F52" i="5"/>
  <c r="F54" i="5"/>
  <c r="F56" i="5"/>
  <c r="F58" i="5"/>
  <c r="F60" i="5"/>
  <c r="F62" i="5"/>
  <c r="F64" i="5"/>
  <c r="F66" i="5"/>
  <c r="F68" i="5"/>
  <c r="F70" i="5"/>
  <c r="F72" i="5"/>
  <c r="F74" i="5"/>
  <c r="F76" i="5"/>
  <c r="F78" i="5"/>
  <c r="F80" i="5"/>
  <c r="F82" i="5"/>
  <c r="F84" i="5"/>
  <c r="F86" i="5"/>
  <c r="F88" i="5"/>
  <c r="F90" i="5"/>
  <c r="F92" i="5"/>
  <c r="F94" i="5"/>
  <c r="F96" i="5"/>
  <c r="F98" i="5"/>
  <c r="F99" i="5"/>
  <c r="F100" i="5"/>
  <c r="F102" i="5"/>
  <c r="F104" i="5"/>
  <c r="F106" i="5"/>
  <c r="F108" i="5"/>
  <c r="F110" i="5"/>
  <c r="F112" i="5"/>
  <c r="F114" i="5"/>
  <c r="F116" i="5"/>
  <c r="F118" i="5"/>
  <c r="F120" i="5"/>
  <c r="F122" i="5"/>
  <c r="F124" i="5"/>
  <c r="F126" i="5"/>
  <c r="F128" i="5"/>
  <c r="F130" i="5"/>
  <c r="F132" i="5"/>
  <c r="F134" i="5"/>
  <c r="F136" i="5"/>
  <c r="F138" i="5"/>
  <c r="F140" i="5"/>
  <c r="F142" i="5"/>
  <c r="F144" i="5"/>
  <c r="F146" i="5"/>
  <c r="F148" i="5"/>
  <c r="F150" i="5"/>
  <c r="F152" i="5"/>
  <c r="F154" i="5"/>
  <c r="F156" i="5"/>
  <c r="F158" i="5"/>
  <c r="F160" i="5"/>
  <c r="F162" i="5"/>
  <c r="F164" i="5"/>
  <c r="F166" i="5"/>
  <c r="F168" i="5"/>
  <c r="F170" i="5"/>
  <c r="F172" i="5"/>
  <c r="F174" i="5"/>
  <c r="F176" i="5"/>
  <c r="F178" i="5"/>
  <c r="F180" i="5"/>
  <c r="F182" i="5"/>
  <c r="F184" i="5"/>
  <c r="F186" i="5"/>
  <c r="F188" i="5"/>
  <c r="F190" i="5"/>
  <c r="F192" i="5"/>
  <c r="F194" i="5"/>
  <c r="F196" i="5"/>
  <c r="F198" i="5"/>
  <c r="F200" i="5"/>
  <c r="F202" i="5"/>
  <c r="F204" i="5"/>
  <c r="F206" i="5"/>
  <c r="F208" i="5"/>
  <c r="F210" i="5"/>
  <c r="F212" i="5"/>
  <c r="F214" i="5"/>
  <c r="F216" i="5"/>
  <c r="F218" i="5"/>
  <c r="F220" i="5"/>
  <c r="F222" i="5"/>
  <c r="F224" i="5"/>
  <c r="F226" i="5"/>
  <c r="F228" i="5"/>
  <c r="F230" i="5"/>
  <c r="F232" i="5"/>
  <c r="F234" i="5"/>
  <c r="F236" i="5"/>
  <c r="F238" i="5"/>
  <c r="F240" i="5"/>
  <c r="F242" i="5"/>
  <c r="F243" i="5"/>
  <c r="F244" i="5"/>
  <c r="F246" i="5"/>
  <c r="F248" i="5"/>
  <c r="F250" i="5"/>
  <c r="F252" i="5"/>
  <c r="F254" i="5"/>
  <c r="F256" i="5"/>
  <c r="F258" i="5"/>
  <c r="F260" i="5"/>
  <c r="F262" i="5"/>
  <c r="F264" i="5"/>
  <c r="F266" i="5"/>
  <c r="F268" i="5"/>
  <c r="F270" i="5"/>
  <c r="F271" i="5"/>
  <c r="F272" i="5"/>
  <c r="F274" i="5"/>
  <c r="F276" i="5"/>
  <c r="F278" i="5"/>
  <c r="F280" i="5"/>
  <c r="F282" i="5"/>
  <c r="F284" i="5"/>
  <c r="F286" i="5"/>
  <c r="F288" i="5"/>
  <c r="F290" i="5"/>
  <c r="F292" i="5"/>
  <c r="F294" i="5"/>
  <c r="F296" i="5"/>
  <c r="F298" i="5"/>
  <c r="F299" i="5"/>
  <c r="F300" i="5"/>
  <c r="F302" i="5"/>
  <c r="F304" i="5"/>
  <c r="F306" i="5"/>
  <c r="F308" i="5"/>
  <c r="F310" i="5"/>
  <c r="F312" i="5"/>
  <c r="F314" i="5"/>
  <c r="F316" i="5"/>
  <c r="F318" i="5"/>
  <c r="F320" i="5"/>
  <c r="F322" i="5"/>
  <c r="F324" i="5"/>
  <c r="F326" i="5"/>
  <c r="F328" i="5"/>
  <c r="F330" i="5"/>
  <c r="F332" i="5"/>
  <c r="F334" i="5"/>
  <c r="F336" i="5"/>
  <c r="F338" i="5"/>
  <c r="F340" i="5"/>
  <c r="F342" i="5"/>
  <c r="F344" i="5"/>
  <c r="F346" i="5"/>
  <c r="F348" i="5"/>
  <c r="F350" i="5"/>
  <c r="F352" i="5"/>
  <c r="F354" i="5"/>
  <c r="F356" i="5"/>
  <c r="F358" i="5"/>
  <c r="F360" i="5"/>
  <c r="F362" i="5"/>
  <c r="F364" i="5"/>
  <c r="F366" i="5"/>
  <c r="F368" i="5"/>
  <c r="F370" i="5"/>
  <c r="F372" i="5"/>
  <c r="F374" i="5"/>
  <c r="F376" i="5"/>
  <c r="F378" i="5"/>
  <c r="F380" i="5"/>
  <c r="F382" i="5"/>
  <c r="F384" i="5"/>
  <c r="F386" i="5"/>
  <c r="F388" i="5"/>
  <c r="F390" i="5"/>
  <c r="F392" i="5"/>
  <c r="F394" i="5"/>
  <c r="F396" i="5"/>
  <c r="F398" i="5"/>
  <c r="F400" i="5"/>
  <c r="F402" i="5"/>
  <c r="F404" i="5"/>
  <c r="F406" i="5"/>
  <c r="F408" i="5"/>
  <c r="F410" i="5"/>
  <c r="F412" i="5"/>
  <c r="F414" i="5"/>
  <c r="F416" i="5"/>
  <c r="F418" i="5"/>
  <c r="F420" i="5"/>
  <c r="F422" i="5"/>
  <c r="F424" i="5"/>
  <c r="F426" i="5"/>
  <c r="F428" i="5"/>
  <c r="F430" i="5"/>
  <c r="F432" i="5"/>
  <c r="F434" i="5"/>
  <c r="F436" i="5"/>
  <c r="F438" i="5"/>
  <c r="F440" i="5"/>
  <c r="F442" i="5"/>
  <c r="F444" i="5"/>
  <c r="F446" i="5"/>
  <c r="F448" i="5"/>
  <c r="F450" i="5"/>
  <c r="F452" i="5"/>
  <c r="F454" i="5"/>
  <c r="F456" i="5"/>
  <c r="F458" i="5"/>
  <c r="F460" i="5"/>
  <c r="F462" i="5"/>
  <c r="F464" i="5"/>
  <c r="F466" i="5"/>
  <c r="F468" i="5"/>
  <c r="F470" i="5"/>
  <c r="F472" i="5"/>
  <c r="F474" i="5"/>
  <c r="F476" i="5"/>
  <c r="F478" i="5"/>
  <c r="F480" i="5"/>
  <c r="F482" i="5"/>
  <c r="F484" i="5"/>
  <c r="F486" i="5"/>
  <c r="F488" i="5"/>
  <c r="F490" i="5"/>
  <c r="F492" i="5"/>
  <c r="F494" i="5"/>
  <c r="F496" i="5"/>
  <c r="F498" i="5"/>
  <c r="F500" i="5"/>
  <c r="F502" i="5"/>
  <c r="F504" i="5"/>
  <c r="F506" i="5"/>
  <c r="F508" i="5"/>
  <c r="F510" i="5"/>
  <c r="F512" i="5"/>
  <c r="F516" i="5"/>
  <c r="F518" i="5"/>
  <c r="F520" i="5"/>
  <c r="F524" i="5"/>
  <c r="F526" i="5"/>
  <c r="F528" i="5"/>
  <c r="F532" i="5"/>
  <c r="F534" i="5"/>
  <c r="F536" i="5"/>
  <c r="F540" i="5"/>
  <c r="F542" i="5"/>
  <c r="F544" i="5"/>
  <c r="F548" i="5"/>
  <c r="F550" i="5"/>
  <c r="F551" i="5"/>
  <c r="F552" i="5"/>
  <c r="F555" i="5"/>
  <c r="F556" i="5"/>
  <c r="F559" i="5"/>
  <c r="F560" i="5"/>
  <c r="F562" i="5"/>
  <c r="F563" i="5"/>
  <c r="F564" i="5"/>
  <c r="F566" i="5"/>
  <c r="F567" i="5"/>
  <c r="F568" i="5"/>
  <c r="F571" i="5"/>
  <c r="F572" i="5"/>
  <c r="F575" i="5"/>
  <c r="F576" i="5"/>
  <c r="F578" i="5"/>
  <c r="F579" i="5"/>
  <c r="F580" i="5"/>
  <c r="F582" i="5"/>
  <c r="F583" i="5"/>
  <c r="F584" i="5"/>
  <c r="F587" i="5"/>
  <c r="F588" i="5"/>
  <c r="F591" i="5"/>
  <c r="F592" i="5"/>
  <c r="F594" i="5"/>
  <c r="F595" i="5"/>
  <c r="F596" i="5"/>
  <c r="F598" i="5"/>
  <c r="F599" i="5"/>
  <c r="F600" i="5"/>
  <c r="F603" i="5"/>
  <c r="F604" i="5"/>
  <c r="F607" i="5"/>
  <c r="F608" i="5"/>
  <c r="F610" i="5"/>
  <c r="F611" i="5"/>
  <c r="F612" i="5"/>
  <c r="F614" i="5"/>
  <c r="F615" i="5"/>
  <c r="F616" i="5"/>
  <c r="F619" i="5"/>
  <c r="F620" i="5"/>
  <c r="F623" i="5"/>
  <c r="F624" i="5"/>
  <c r="F626" i="5"/>
  <c r="F627" i="5"/>
  <c r="F628" i="5"/>
  <c r="F630" i="5"/>
  <c r="F631" i="5"/>
  <c r="F632" i="5"/>
  <c r="F635" i="5"/>
  <c r="F636" i="5"/>
  <c r="F639" i="5"/>
  <c r="F640" i="5"/>
  <c r="F642" i="5"/>
  <c r="F643" i="5"/>
  <c r="F644" i="5"/>
  <c r="F646" i="5"/>
  <c r="F647" i="5"/>
  <c r="F648" i="5"/>
  <c r="F651" i="5"/>
  <c r="F652" i="5"/>
  <c r="F655" i="5"/>
  <c r="F656" i="5"/>
  <c r="F658" i="5"/>
  <c r="F659" i="5"/>
  <c r="F660" i="5"/>
  <c r="F662" i="5"/>
  <c r="F663" i="5"/>
  <c r="F664" i="5"/>
  <c r="F667" i="5"/>
  <c r="F668" i="5"/>
  <c r="F671" i="5"/>
  <c r="F672" i="5"/>
  <c r="F674" i="5"/>
  <c r="F675" i="5"/>
  <c r="F676" i="5"/>
  <c r="F679" i="5"/>
  <c r="F680" i="5"/>
  <c r="F683" i="5"/>
  <c r="F684" i="5"/>
  <c r="F687" i="5"/>
  <c r="F688" i="5"/>
  <c r="F691" i="5"/>
  <c r="F692" i="5"/>
  <c r="F694" i="5"/>
  <c r="F695" i="5"/>
  <c r="F696" i="5"/>
  <c r="F699" i="5"/>
  <c r="F700" i="5"/>
  <c r="F703" i="5"/>
  <c r="F704" i="5"/>
  <c r="F706" i="5"/>
  <c r="F707" i="5"/>
  <c r="F708" i="5"/>
  <c r="F711" i="5"/>
  <c r="F712" i="5"/>
  <c r="F715" i="5"/>
  <c r="F716" i="5"/>
  <c r="F719" i="5"/>
  <c r="F720" i="5"/>
  <c r="F723" i="5"/>
  <c r="F724" i="5"/>
  <c r="F726" i="5"/>
  <c r="F727" i="5"/>
  <c r="F728" i="5"/>
  <c r="F731" i="5"/>
  <c r="F732" i="5"/>
  <c r="F735" i="5"/>
  <c r="F736" i="5"/>
  <c r="F738" i="5"/>
  <c r="F739" i="5"/>
  <c r="F740" i="5"/>
  <c r="F743" i="5"/>
  <c r="F744" i="5"/>
  <c r="F747" i="5"/>
  <c r="F748" i="5"/>
  <c r="F751" i="5"/>
  <c r="F752" i="5"/>
  <c r="F755" i="5"/>
  <c r="F756" i="5"/>
  <c r="F758" i="5"/>
  <c r="F759" i="5"/>
  <c r="F760" i="5"/>
  <c r="F763" i="5"/>
  <c r="F764" i="5"/>
  <c r="F767" i="5"/>
  <c r="F768" i="5"/>
  <c r="F770" i="5"/>
  <c r="F771" i="5"/>
  <c r="F772" i="5"/>
  <c r="F775" i="5"/>
  <c r="F776" i="5"/>
  <c r="F779" i="5"/>
  <c r="F780" i="5"/>
  <c r="F783" i="5"/>
  <c r="F784" i="5"/>
  <c r="F787" i="5"/>
  <c r="F788" i="5"/>
  <c r="F790" i="5"/>
  <c r="F791" i="5"/>
  <c r="F792" i="5"/>
  <c r="F795" i="5"/>
  <c r="F796" i="5"/>
  <c r="F799" i="5"/>
  <c r="F800" i="5"/>
  <c r="F802" i="5"/>
  <c r="F803" i="5"/>
  <c r="F804" i="5"/>
  <c r="F807" i="5"/>
  <c r="F808" i="5"/>
  <c r="F811" i="5"/>
  <c r="F812" i="5"/>
  <c r="F815" i="5"/>
  <c r="F816" i="5"/>
  <c r="F819" i="5"/>
  <c r="F820" i="5"/>
  <c r="F822" i="5"/>
  <c r="F823" i="5"/>
  <c r="F824" i="5"/>
  <c r="F827" i="5"/>
  <c r="F828" i="5"/>
  <c r="F831" i="5"/>
  <c r="F832" i="5"/>
  <c r="F834" i="5"/>
  <c r="F835" i="5"/>
  <c r="F836" i="5"/>
  <c r="F839" i="5"/>
  <c r="F840" i="5"/>
  <c r="F843" i="5"/>
  <c r="F844" i="5"/>
  <c r="F847" i="5"/>
  <c r="F848" i="5"/>
  <c r="F851" i="5"/>
  <c r="F852" i="5"/>
  <c r="F854" i="5"/>
  <c r="F855" i="5"/>
  <c r="F856" i="5"/>
  <c r="F859" i="5"/>
  <c r="F860" i="5"/>
  <c r="F863" i="5"/>
  <c r="F864" i="5"/>
  <c r="F866" i="5"/>
  <c r="F867" i="5"/>
  <c r="F868" i="5"/>
  <c r="F871" i="5"/>
  <c r="F872" i="5"/>
  <c r="F875" i="5"/>
  <c r="F876" i="5"/>
  <c r="F879" i="5"/>
  <c r="F880" i="5"/>
  <c r="F883" i="5"/>
  <c r="F884" i="5"/>
  <c r="F886" i="5"/>
  <c r="F887" i="5"/>
  <c r="F888" i="5"/>
  <c r="F891" i="5"/>
  <c r="F892" i="5"/>
  <c r="F895" i="5"/>
  <c r="F896" i="5"/>
  <c r="F898" i="5"/>
  <c r="F899" i="5"/>
  <c r="F900" i="5"/>
  <c r="F903" i="5"/>
  <c r="F904" i="5"/>
  <c r="F907" i="5"/>
  <c r="F908" i="5"/>
  <c r="F911" i="5"/>
  <c r="F912" i="5"/>
  <c r="F915" i="5"/>
  <c r="F916" i="5"/>
  <c r="F918" i="5"/>
  <c r="F919" i="5"/>
  <c r="F920" i="5"/>
  <c r="F923" i="5"/>
  <c r="F924" i="5"/>
  <c r="F927" i="5"/>
  <c r="F928" i="5"/>
  <c r="F930" i="5"/>
  <c r="F931" i="5"/>
  <c r="F932" i="5"/>
  <c r="F935" i="5"/>
  <c r="F936" i="5"/>
  <c r="F939" i="5"/>
  <c r="F940" i="5"/>
  <c r="F943" i="5"/>
  <c r="F944" i="5"/>
  <c r="F947" i="5"/>
  <c r="F948" i="5"/>
  <c r="F950" i="5"/>
  <c r="F951" i="5"/>
  <c r="F952" i="5"/>
  <c r="F955" i="5"/>
  <c r="F956" i="5"/>
  <c r="F959" i="5"/>
  <c r="F960" i="5"/>
  <c r="F962" i="5"/>
  <c r="F963" i="5"/>
  <c r="F964" i="5"/>
  <c r="F967" i="5"/>
  <c r="F968" i="5"/>
  <c r="F971" i="5"/>
  <c r="F972" i="5"/>
  <c r="F975" i="5"/>
  <c r="F976" i="5"/>
  <c r="F979" i="5"/>
  <c r="F980" i="5"/>
  <c r="F982" i="5"/>
  <c r="F983" i="5"/>
  <c r="F984" i="5"/>
  <c r="F987" i="5"/>
  <c r="F988" i="5"/>
  <c r="F991" i="5"/>
  <c r="F992" i="5"/>
  <c r="F994" i="5"/>
  <c r="F995" i="5"/>
  <c r="F996" i="5"/>
  <c r="F999" i="5"/>
  <c r="F1000" i="5"/>
  <c r="F1003" i="5"/>
  <c r="F1004" i="5"/>
  <c r="F1007" i="5"/>
  <c r="F1008" i="5"/>
  <c r="F1011" i="5"/>
  <c r="F1012" i="5"/>
  <c r="F1014" i="5"/>
  <c r="F1015" i="5"/>
  <c r="F1016" i="5"/>
  <c r="F1019" i="5"/>
  <c r="F1020" i="5"/>
  <c r="F1023" i="5"/>
  <c r="F1024" i="5"/>
  <c r="F1026" i="5"/>
  <c r="F1027" i="5"/>
  <c r="F1028" i="5"/>
  <c r="F1031" i="5"/>
  <c r="F1032" i="5"/>
  <c r="F1035" i="5"/>
  <c r="F1036" i="5"/>
  <c r="F1039" i="5"/>
  <c r="F1040" i="5"/>
  <c r="F1043" i="5"/>
  <c r="F1044" i="5"/>
  <c r="F1046" i="5"/>
  <c r="F1047" i="5"/>
  <c r="F1048" i="5"/>
  <c r="F1051" i="5"/>
  <c r="F1052" i="5"/>
  <c r="F1055" i="5"/>
  <c r="F1056" i="5"/>
  <c r="F1058" i="5"/>
  <c r="F1059" i="5"/>
  <c r="F1060" i="5"/>
  <c r="F1063" i="5"/>
  <c r="F1064" i="5"/>
  <c r="F1067" i="5"/>
  <c r="F1068" i="5"/>
  <c r="F1071" i="5"/>
  <c r="F1072" i="5"/>
  <c r="F1075" i="5"/>
  <c r="F1076" i="5"/>
  <c r="F1078" i="5"/>
  <c r="F1079" i="5"/>
  <c r="F1080" i="5"/>
  <c r="F1083" i="5"/>
  <c r="F1084" i="5"/>
  <c r="F1087" i="5"/>
  <c r="F1088" i="5"/>
  <c r="F1090" i="5"/>
  <c r="F1091" i="5"/>
  <c r="F1092" i="5"/>
  <c r="F1095" i="5"/>
  <c r="F1096" i="5"/>
  <c r="F1099" i="5"/>
  <c r="F1100" i="5"/>
  <c r="F1103" i="5"/>
  <c r="F1104" i="5"/>
  <c r="F1107" i="5"/>
  <c r="F1108" i="5"/>
  <c r="F1110" i="5"/>
  <c r="F1111" i="5"/>
  <c r="F1112" i="5"/>
  <c r="F1115" i="5"/>
  <c r="F1116" i="5"/>
  <c r="F1119" i="5"/>
  <c r="F1120" i="5"/>
  <c r="F1122" i="5"/>
  <c r="F1123" i="5"/>
  <c r="F1124" i="5"/>
  <c r="F1127" i="5"/>
  <c r="F1128" i="5"/>
  <c r="F1131" i="5"/>
  <c r="F1132" i="5"/>
  <c r="F1136" i="5"/>
  <c r="F1138" i="5"/>
  <c r="F1140" i="5"/>
  <c r="F1143" i="5"/>
  <c r="F1144" i="5"/>
  <c r="F1147" i="5"/>
  <c r="F1148" i="5"/>
  <c r="F1152" i="5"/>
  <c r="F1154" i="5"/>
  <c r="F1156" i="5"/>
  <c r="F1159" i="5"/>
  <c r="F1160" i="5"/>
  <c r="F1163" i="5"/>
  <c r="F1164" i="5"/>
  <c r="F1168" i="5"/>
  <c r="F1170" i="5"/>
  <c r="F1172" i="5"/>
  <c r="F1175" i="5"/>
  <c r="F1176" i="5"/>
  <c r="F1179" i="5"/>
  <c r="F1180" i="5"/>
  <c r="F1184" i="5"/>
  <c r="F1186" i="5"/>
  <c r="F1188" i="5"/>
  <c r="F1192" i="5"/>
  <c r="F1196" i="5"/>
  <c r="F1200" i="5"/>
  <c r="F1202" i="5"/>
  <c r="F1204" i="5"/>
  <c r="F1208" i="5"/>
  <c r="F1212" i="5"/>
  <c r="F1216" i="5"/>
  <c r="F1218" i="5"/>
  <c r="F1220" i="5"/>
  <c r="F1224" i="5"/>
  <c r="F1228" i="5"/>
  <c r="F1232" i="5"/>
  <c r="F1234" i="5"/>
  <c r="F1236" i="5"/>
  <c r="F1240" i="5"/>
  <c r="F1244" i="5"/>
  <c r="F1248" i="5"/>
  <c r="F1250" i="5"/>
  <c r="F1252" i="5"/>
  <c r="F1256" i="5"/>
  <c r="F1260" i="5"/>
  <c r="F1264" i="5"/>
  <c r="F1266" i="5"/>
  <c r="F1268" i="5"/>
  <c r="F1272" i="5"/>
  <c r="F1276" i="5"/>
  <c r="F1280" i="5"/>
  <c r="F1282" i="5"/>
  <c r="F1284" i="5"/>
  <c r="F1288" i="5"/>
  <c r="F1292" i="5"/>
  <c r="F1296" i="5"/>
  <c r="F1298" i="5"/>
  <c r="F1300" i="5"/>
  <c r="F1304" i="5"/>
  <c r="F1308" i="5"/>
  <c r="F1312" i="5"/>
  <c r="F1314" i="5"/>
  <c r="F1316" i="5"/>
  <c r="F1320" i="5"/>
  <c r="F1324" i="5"/>
  <c r="F1328" i="5"/>
  <c r="F1330" i="5"/>
  <c r="F1332" i="5"/>
  <c r="F1336" i="5"/>
  <c r="F1340" i="5"/>
  <c r="F1344" i="5"/>
  <c r="F1346" i="5"/>
  <c r="F1348" i="5"/>
  <c r="F1352" i="5"/>
  <c r="F1356" i="5"/>
  <c r="F1360" i="5"/>
  <c r="F1362" i="5"/>
  <c r="F1364" i="5"/>
  <c r="F1368" i="5"/>
  <c r="F1372" i="5"/>
  <c r="F1376" i="5"/>
  <c r="F1378" i="5"/>
  <c r="F1380" i="5"/>
  <c r="F1384" i="5"/>
  <c r="F1388" i="5"/>
  <c r="F1392" i="5"/>
  <c r="F1394" i="5"/>
  <c r="F1396" i="5"/>
  <c r="F1400" i="5"/>
  <c r="F1404" i="5"/>
  <c r="F1408" i="5"/>
  <c r="F1410" i="5"/>
  <c r="F1412" i="5"/>
  <c r="F1416" i="5"/>
  <c r="F1420" i="5"/>
  <c r="F1424" i="5"/>
  <c r="F1426" i="5"/>
  <c r="F1428" i="5"/>
  <c r="F1432" i="5"/>
  <c r="F1436" i="5"/>
  <c r="F1440" i="5"/>
  <c r="F1442" i="5"/>
  <c r="F1444" i="5"/>
  <c r="F1448" i="5"/>
  <c r="F1452" i="5"/>
  <c r="F1456" i="5"/>
  <c r="F1458" i="5"/>
  <c r="F1460" i="5"/>
  <c r="F1464" i="5"/>
  <c r="F1468" i="5"/>
  <c r="F1472" i="5"/>
  <c r="F1474" i="5"/>
  <c r="F1476" i="5"/>
  <c r="F1480" i="5"/>
  <c r="F1484" i="5"/>
  <c r="F1487" i="5"/>
  <c r="F1488" i="5"/>
  <c r="F1492" i="5"/>
  <c r="B586" i="5" l="1"/>
  <c r="B587" i="5"/>
  <c r="B574" i="5"/>
  <c r="B575" i="5"/>
  <c r="B558" i="5"/>
  <c r="B559" i="5"/>
  <c r="B546" i="5"/>
  <c r="B547" i="5"/>
  <c r="B534" i="5"/>
  <c r="B535" i="5"/>
  <c r="B522" i="5"/>
  <c r="B523" i="5"/>
  <c r="B510" i="5"/>
  <c r="B511" i="5"/>
  <c r="B498" i="5"/>
  <c r="B499" i="5"/>
  <c r="B486" i="5"/>
  <c r="B487" i="5"/>
  <c r="B474" i="5"/>
  <c r="B475" i="5"/>
  <c r="B462" i="5"/>
  <c r="B463" i="5"/>
  <c r="B450" i="5"/>
  <c r="B451" i="5"/>
  <c r="B438" i="5"/>
  <c r="B439" i="5"/>
  <c r="B426" i="5"/>
  <c r="B427" i="5"/>
  <c r="B414" i="5"/>
  <c r="B415" i="5"/>
  <c r="B402" i="5"/>
  <c r="B403" i="5"/>
  <c r="B386" i="5"/>
  <c r="B387" i="5"/>
  <c r="B374" i="5"/>
  <c r="B375" i="5"/>
  <c r="B362" i="5"/>
  <c r="B363" i="5"/>
  <c r="B350" i="5"/>
  <c r="B351" i="5"/>
  <c r="B335" i="5"/>
  <c r="B334" i="5"/>
  <c r="B311" i="5"/>
  <c r="B310" i="5"/>
  <c r="B299" i="5"/>
  <c r="B298" i="5"/>
  <c r="B291" i="5"/>
  <c r="B290" i="5"/>
  <c r="B275" i="5"/>
  <c r="B274" i="5"/>
  <c r="B267" i="5"/>
  <c r="B266" i="5"/>
  <c r="B255" i="5"/>
  <c r="B254" i="5"/>
  <c r="B243" i="5"/>
  <c r="B242" i="5"/>
  <c r="B223" i="5"/>
  <c r="B222" i="5"/>
  <c r="B211" i="5"/>
  <c r="B210" i="5"/>
  <c r="B203" i="5"/>
  <c r="B202" i="5"/>
  <c r="B191" i="5"/>
  <c r="B190" i="5"/>
  <c r="B183" i="5"/>
  <c r="B182" i="5"/>
  <c r="B171" i="5"/>
  <c r="B170" i="5"/>
  <c r="B159" i="5"/>
  <c r="B158" i="5"/>
  <c r="B151" i="5"/>
  <c r="B150" i="5"/>
  <c r="B139" i="5"/>
  <c r="B138" i="5"/>
  <c r="B127" i="5"/>
  <c r="B126" i="5"/>
  <c r="B111" i="5"/>
  <c r="B110" i="5"/>
  <c r="B99" i="5"/>
  <c r="B98" i="5"/>
  <c r="B87" i="5"/>
  <c r="B86" i="5"/>
  <c r="B59" i="5"/>
  <c r="B58" i="5"/>
  <c r="B51" i="5"/>
  <c r="B50" i="5"/>
  <c r="B43" i="5"/>
  <c r="B42" i="5"/>
  <c r="B35" i="5"/>
  <c r="B34" i="5"/>
  <c r="B31" i="5"/>
  <c r="B30" i="5"/>
  <c r="B19" i="5"/>
  <c r="B18" i="5"/>
  <c r="B11" i="5"/>
  <c r="B10" i="5"/>
  <c r="B1491" i="5"/>
  <c r="B1487" i="5"/>
  <c r="B1483" i="5"/>
  <c r="B1479" i="5"/>
  <c r="B1475" i="5"/>
  <c r="B1471" i="5"/>
  <c r="B1467" i="5"/>
  <c r="B1463" i="5"/>
  <c r="B1459" i="5"/>
  <c r="B1455" i="5"/>
  <c r="B1451" i="5"/>
  <c r="B1447" i="5"/>
  <c r="B1443" i="5"/>
  <c r="B1439" i="5"/>
  <c r="B1435" i="5"/>
  <c r="B1431" i="5"/>
  <c r="B1427" i="5"/>
  <c r="B1423" i="5"/>
  <c r="B1419" i="5"/>
  <c r="B1415" i="5"/>
  <c r="B1411" i="5"/>
  <c r="B1407" i="5"/>
  <c r="B1403" i="5"/>
  <c r="B1399" i="5"/>
  <c r="B1395" i="5"/>
  <c r="B1391" i="5"/>
  <c r="B1387" i="5"/>
  <c r="B1383" i="5"/>
  <c r="B1379" i="5"/>
  <c r="B1375" i="5"/>
  <c r="B1371" i="5"/>
  <c r="B1367" i="5"/>
  <c r="B1363" i="5"/>
  <c r="B1359" i="5"/>
  <c r="B1355" i="5"/>
  <c r="B1351" i="5"/>
  <c r="B1347" i="5"/>
  <c r="B1343" i="5"/>
  <c r="B1339" i="5"/>
  <c r="B1335" i="5"/>
  <c r="B1331" i="5"/>
  <c r="B1327" i="5"/>
  <c r="B1323" i="5"/>
  <c r="B1319" i="5"/>
  <c r="B1315" i="5"/>
  <c r="B1311" i="5"/>
  <c r="B1307" i="5"/>
  <c r="B1303" i="5"/>
  <c r="B1299" i="5"/>
  <c r="B1295" i="5"/>
  <c r="B1291" i="5"/>
  <c r="B1287" i="5"/>
  <c r="B1283" i="5"/>
  <c r="B1279" i="5"/>
  <c r="B1275" i="5"/>
  <c r="B1271" i="5"/>
  <c r="B1267" i="5"/>
  <c r="B1263" i="5"/>
  <c r="B1259" i="5"/>
  <c r="B1243" i="5"/>
  <c r="B1227" i="5"/>
  <c r="B1211" i="5"/>
  <c r="B1195" i="5"/>
  <c r="B1179" i="5"/>
  <c r="B1163" i="5"/>
  <c r="B1147" i="5"/>
  <c r="B1131" i="5"/>
  <c r="B1115" i="5"/>
  <c r="B1099" i="5"/>
  <c r="B1083" i="5"/>
  <c r="B1067" i="5"/>
  <c r="B1051" i="5"/>
  <c r="B1035" i="5"/>
  <c r="B1019" i="5"/>
  <c r="B1003" i="5"/>
  <c r="B987" i="5"/>
  <c r="B971" i="5"/>
  <c r="B955" i="5"/>
  <c r="B939" i="5"/>
  <c r="B923" i="5"/>
  <c r="B907" i="5"/>
  <c r="B891" i="5"/>
  <c r="B875" i="5"/>
  <c r="B859" i="5"/>
  <c r="B843" i="5"/>
  <c r="B827" i="5"/>
  <c r="B811" i="5"/>
  <c r="B795" i="5"/>
  <c r="B779" i="5"/>
  <c r="B763" i="5"/>
  <c r="B747" i="5"/>
  <c r="B731" i="5"/>
  <c r="B715" i="5"/>
  <c r="B699" i="5"/>
  <c r="B683" i="5"/>
  <c r="B667" i="5"/>
  <c r="B651" i="5"/>
  <c r="B635" i="5"/>
  <c r="B619" i="5"/>
  <c r="B603" i="5"/>
  <c r="B194" i="5"/>
  <c r="B590" i="5"/>
  <c r="B591" i="5"/>
  <c r="B578" i="5"/>
  <c r="B579" i="5"/>
  <c r="B566" i="5"/>
  <c r="B567" i="5"/>
  <c r="B554" i="5"/>
  <c r="B555" i="5"/>
  <c r="B542" i="5"/>
  <c r="B543" i="5"/>
  <c r="B530" i="5"/>
  <c r="B531" i="5"/>
  <c r="B518" i="5"/>
  <c r="B519" i="5"/>
  <c r="B506" i="5"/>
  <c r="B507" i="5"/>
  <c r="B494" i="5"/>
  <c r="B495" i="5"/>
  <c r="B482" i="5"/>
  <c r="B483" i="5"/>
  <c r="B470" i="5"/>
  <c r="B471" i="5"/>
  <c r="B458" i="5"/>
  <c r="B459" i="5"/>
  <c r="B446" i="5"/>
  <c r="B447" i="5"/>
  <c r="B434" i="5"/>
  <c r="B435" i="5"/>
  <c r="B422" i="5"/>
  <c r="B423" i="5"/>
  <c r="B410" i="5"/>
  <c r="B411" i="5"/>
  <c r="B398" i="5"/>
  <c r="B399" i="5"/>
  <c r="B394" i="5"/>
  <c r="B395" i="5"/>
  <c r="B382" i="5"/>
  <c r="B383" i="5"/>
  <c r="B366" i="5"/>
  <c r="B367" i="5"/>
  <c r="B354" i="5"/>
  <c r="B355" i="5"/>
  <c r="B343" i="5"/>
  <c r="B342" i="5"/>
  <c r="B327" i="5"/>
  <c r="B326" i="5"/>
  <c r="B319" i="5"/>
  <c r="B318" i="5"/>
  <c r="B307" i="5"/>
  <c r="B306" i="5"/>
  <c r="B295" i="5"/>
  <c r="B294" i="5"/>
  <c r="B283" i="5"/>
  <c r="B282" i="5"/>
  <c r="B247" i="5"/>
  <c r="B246" i="5"/>
  <c r="B235" i="5"/>
  <c r="B234" i="5"/>
  <c r="B227" i="5"/>
  <c r="B226" i="5"/>
  <c r="B215" i="5"/>
  <c r="B214" i="5"/>
  <c r="B179" i="5"/>
  <c r="B178" i="5"/>
  <c r="B163" i="5"/>
  <c r="B162" i="5"/>
  <c r="B147" i="5"/>
  <c r="B146" i="5"/>
  <c r="B119" i="5"/>
  <c r="B118" i="5"/>
  <c r="B107" i="5"/>
  <c r="B106" i="5"/>
  <c r="B95" i="5"/>
  <c r="B94" i="5"/>
  <c r="B79" i="5"/>
  <c r="B78" i="5"/>
  <c r="B75" i="5"/>
  <c r="B74" i="5"/>
  <c r="B63" i="5"/>
  <c r="B62" i="5"/>
  <c r="B55" i="5"/>
  <c r="B54" i="5"/>
  <c r="B47" i="5"/>
  <c r="B46" i="5"/>
  <c r="B39" i="5"/>
  <c r="B38" i="5"/>
  <c r="B27" i="5"/>
  <c r="B26" i="5"/>
  <c r="B23" i="5"/>
  <c r="B22" i="5"/>
  <c r="B7" i="5"/>
  <c r="B2" i="6" s="1"/>
  <c r="C2" i="6" s="1"/>
  <c r="D11" i="8" s="1"/>
  <c r="B6" i="5"/>
  <c r="B1247" i="5"/>
  <c r="B1231" i="5"/>
  <c r="B1215" i="5"/>
  <c r="B1199" i="5"/>
  <c r="B1183" i="5"/>
  <c r="B1167" i="5"/>
  <c r="B1151" i="5"/>
  <c r="B1135" i="5"/>
  <c r="B1119" i="5"/>
  <c r="B1103" i="5"/>
  <c r="B1087" i="5"/>
  <c r="B1071" i="5"/>
  <c r="B1055" i="5"/>
  <c r="B1039" i="5"/>
  <c r="B1023" i="5"/>
  <c r="B1007" i="5"/>
  <c r="B991" i="5"/>
  <c r="B975" i="5"/>
  <c r="B959" i="5"/>
  <c r="B943" i="5"/>
  <c r="B927" i="5"/>
  <c r="B911" i="5"/>
  <c r="B895" i="5"/>
  <c r="B879" i="5"/>
  <c r="B863" i="5"/>
  <c r="B847" i="5"/>
  <c r="B831" i="5"/>
  <c r="B815" i="5"/>
  <c r="B799" i="5"/>
  <c r="B783" i="5"/>
  <c r="B767" i="5"/>
  <c r="B751" i="5"/>
  <c r="B735" i="5"/>
  <c r="B719" i="5"/>
  <c r="B703" i="5"/>
  <c r="B687" i="5"/>
  <c r="B671" i="5"/>
  <c r="B655" i="5"/>
  <c r="B639" i="5"/>
  <c r="B623" i="5"/>
  <c r="B607" i="5"/>
  <c r="B130" i="5"/>
  <c r="B594" i="5"/>
  <c r="B595" i="5"/>
  <c r="B582" i="5"/>
  <c r="B583" i="5"/>
  <c r="B570" i="5"/>
  <c r="B571" i="5"/>
  <c r="B562" i="5"/>
  <c r="B563" i="5"/>
  <c r="B550" i="5"/>
  <c r="B551" i="5"/>
  <c r="B538" i="5"/>
  <c r="B539" i="5"/>
  <c r="B526" i="5"/>
  <c r="B527" i="5"/>
  <c r="B514" i="5"/>
  <c r="B515" i="5"/>
  <c r="B502" i="5"/>
  <c r="B503" i="5"/>
  <c r="B490" i="5"/>
  <c r="B491" i="5"/>
  <c r="B478" i="5"/>
  <c r="B479" i="5"/>
  <c r="B466" i="5"/>
  <c r="B467" i="5"/>
  <c r="B454" i="5"/>
  <c r="B455" i="5"/>
  <c r="B442" i="5"/>
  <c r="B443" i="5"/>
  <c r="B430" i="5"/>
  <c r="B431" i="5"/>
  <c r="B418" i="5"/>
  <c r="B419" i="5"/>
  <c r="B406" i="5"/>
  <c r="B407" i="5"/>
  <c r="B390" i="5"/>
  <c r="B391" i="5"/>
  <c r="B378" i="5"/>
  <c r="B379" i="5"/>
  <c r="B370" i="5"/>
  <c r="B371" i="5"/>
  <c r="B358" i="5"/>
  <c r="B359" i="5"/>
  <c r="B346" i="5"/>
  <c r="B347" i="5"/>
  <c r="B339" i="5"/>
  <c r="B338" i="5"/>
  <c r="B331" i="5"/>
  <c r="B330" i="5"/>
  <c r="B315" i="5"/>
  <c r="B314" i="5"/>
  <c r="B303" i="5"/>
  <c r="B302" i="5"/>
  <c r="B287" i="5"/>
  <c r="B286" i="5"/>
  <c r="B279" i="5"/>
  <c r="B278" i="5"/>
  <c r="B271" i="5"/>
  <c r="B270" i="5"/>
  <c r="B263" i="5"/>
  <c r="B262" i="5"/>
  <c r="B251" i="5"/>
  <c r="B250" i="5"/>
  <c r="B239" i="5"/>
  <c r="B238" i="5"/>
  <c r="B231" i="5"/>
  <c r="B230" i="5"/>
  <c r="B219" i="5"/>
  <c r="B218" i="5"/>
  <c r="B207" i="5"/>
  <c r="B206" i="5"/>
  <c r="B199" i="5"/>
  <c r="B198" i="5"/>
  <c r="B187" i="5"/>
  <c r="B186" i="5"/>
  <c r="B175" i="5"/>
  <c r="B174" i="5"/>
  <c r="B167" i="5"/>
  <c r="B166" i="5"/>
  <c r="B155" i="5"/>
  <c r="B154" i="5"/>
  <c r="B143" i="5"/>
  <c r="B142" i="5"/>
  <c r="B135" i="5"/>
  <c r="B134" i="5"/>
  <c r="B123" i="5"/>
  <c r="B122" i="5"/>
  <c r="B115" i="5"/>
  <c r="B114" i="5"/>
  <c r="B103" i="5"/>
  <c r="B102" i="5"/>
  <c r="B91" i="5"/>
  <c r="B90" i="5"/>
  <c r="B83" i="5"/>
  <c r="B82" i="5"/>
  <c r="B71" i="5"/>
  <c r="B70" i="5"/>
  <c r="B15" i="5"/>
  <c r="B14" i="5"/>
  <c r="B1251" i="5"/>
  <c r="B1235" i="5"/>
  <c r="B1219" i="5"/>
  <c r="B1203" i="5"/>
  <c r="B1187" i="5"/>
  <c r="B1171" i="5"/>
  <c r="B1155" i="5"/>
  <c r="B1139" i="5"/>
  <c r="B1123" i="5"/>
  <c r="B1107" i="5"/>
  <c r="B1091" i="5"/>
  <c r="B1075" i="5"/>
  <c r="B1059" i="5"/>
  <c r="B1043" i="5"/>
  <c r="B1027" i="5"/>
  <c r="B1011" i="5"/>
  <c r="B995" i="5"/>
  <c r="B979" i="5"/>
  <c r="B963" i="5"/>
  <c r="B947" i="5"/>
  <c r="B931" i="5"/>
  <c r="B915" i="5"/>
  <c r="B899" i="5"/>
  <c r="B883" i="5"/>
  <c r="B867" i="5"/>
  <c r="B851" i="5"/>
  <c r="B835" i="5"/>
  <c r="B819" i="5"/>
  <c r="B803" i="5"/>
  <c r="B787" i="5"/>
  <c r="B771" i="5"/>
  <c r="B755" i="5"/>
  <c r="B739" i="5"/>
  <c r="B723" i="5"/>
  <c r="B707" i="5"/>
  <c r="B691" i="5"/>
  <c r="B675" i="5"/>
  <c r="B659" i="5"/>
  <c r="B643" i="5"/>
  <c r="B627" i="5"/>
  <c r="B611" i="5"/>
  <c r="B322" i="5"/>
  <c r="B66" i="5"/>
  <c r="C646" i="5"/>
  <c r="C647" i="5"/>
  <c r="C634" i="5"/>
  <c r="C635" i="5"/>
  <c r="C622" i="5"/>
  <c r="C623" i="5"/>
  <c r="C602" i="5"/>
  <c r="C603" i="5"/>
  <c r="C590" i="5"/>
  <c r="C591" i="5"/>
  <c r="C582" i="5"/>
  <c r="C583" i="5"/>
  <c r="C570" i="5"/>
  <c r="C571" i="5"/>
  <c r="C506" i="5"/>
  <c r="C507" i="5"/>
  <c r="C494" i="5"/>
  <c r="C495" i="5"/>
  <c r="C486" i="5"/>
  <c r="C487" i="5"/>
  <c r="C474" i="5"/>
  <c r="C475" i="5"/>
  <c r="C462" i="5"/>
  <c r="C463" i="5"/>
  <c r="C458" i="5"/>
  <c r="C459" i="5"/>
  <c r="C446" i="5"/>
  <c r="C447" i="5"/>
  <c r="C430" i="5"/>
  <c r="C431" i="5"/>
  <c r="C422" i="5"/>
  <c r="C423" i="5"/>
  <c r="C411" i="5"/>
  <c r="C410" i="5"/>
  <c r="C403" i="5"/>
  <c r="C402" i="5"/>
  <c r="C395" i="5"/>
  <c r="C394" i="5"/>
  <c r="C383" i="5"/>
  <c r="C382" i="5"/>
  <c r="C371" i="5"/>
  <c r="C370" i="5"/>
  <c r="C355" i="5"/>
  <c r="C354" i="5"/>
  <c r="C339" i="5"/>
  <c r="C338" i="5"/>
  <c r="C327" i="5"/>
  <c r="C326" i="5"/>
  <c r="C315" i="5"/>
  <c r="C314" i="5"/>
  <c r="C303" i="5"/>
  <c r="C302" i="5"/>
  <c r="C291" i="5"/>
  <c r="C290" i="5"/>
  <c r="C283" i="5"/>
  <c r="C282" i="5"/>
  <c r="C275" i="5"/>
  <c r="C274" i="5"/>
  <c r="C263" i="5"/>
  <c r="C262" i="5"/>
  <c r="C251" i="5"/>
  <c r="C250" i="5"/>
  <c r="C239" i="5"/>
  <c r="C238" i="5"/>
  <c r="C219" i="5"/>
  <c r="C218" i="5"/>
  <c r="C195" i="5"/>
  <c r="C194" i="5"/>
  <c r="C183" i="5"/>
  <c r="C182" i="5"/>
  <c r="C171" i="5"/>
  <c r="C170" i="5"/>
  <c r="C163" i="5"/>
  <c r="C162" i="5"/>
  <c r="C151" i="5"/>
  <c r="C150" i="5"/>
  <c r="C139" i="5"/>
  <c r="C138" i="5"/>
  <c r="C127" i="5"/>
  <c r="C126" i="5"/>
  <c r="C115" i="5"/>
  <c r="C114" i="5"/>
  <c r="C99" i="5"/>
  <c r="C98" i="5"/>
  <c r="C87" i="5"/>
  <c r="C86" i="5"/>
  <c r="C46" i="5"/>
  <c r="C47" i="5"/>
  <c r="C30" i="5"/>
  <c r="C31" i="5"/>
  <c r="C6" i="5"/>
  <c r="C14" i="5"/>
  <c r="D3" i="6" s="1"/>
  <c r="E3" i="6" s="1"/>
  <c r="C75" i="5"/>
  <c r="C23" i="5"/>
  <c r="C1475" i="5"/>
  <c r="C1254" i="5"/>
  <c r="C1238" i="5"/>
  <c r="C1222" i="5"/>
  <c r="C1206" i="5"/>
  <c r="C1190" i="5"/>
  <c r="C1174" i="5"/>
  <c r="C1158" i="5"/>
  <c r="C1142" i="5"/>
  <c r="C1126" i="5"/>
  <c r="C1110" i="5"/>
  <c r="C1094" i="5"/>
  <c r="C1078" i="5"/>
  <c r="C1062" i="5"/>
  <c r="C1046" i="5"/>
  <c r="C1030" i="5"/>
  <c r="C1014" i="5"/>
  <c r="C998" i="5"/>
  <c r="C982" i="5"/>
  <c r="C966" i="5"/>
  <c r="C950" i="5"/>
  <c r="C934" i="5"/>
  <c r="C918" i="5"/>
  <c r="C902" i="5"/>
  <c r="C886" i="5"/>
  <c r="C870" i="5"/>
  <c r="C854" i="5"/>
  <c r="C838" i="5"/>
  <c r="C822" i="5"/>
  <c r="C806" i="5"/>
  <c r="C790" i="5"/>
  <c r="C774" i="5"/>
  <c r="C758" i="5"/>
  <c r="C742" i="5"/>
  <c r="C726" i="5"/>
  <c r="C710" i="5"/>
  <c r="C694" i="5"/>
  <c r="C678" i="5"/>
  <c r="C659" i="5"/>
  <c r="C595" i="5"/>
  <c r="C531" i="5"/>
  <c r="C467" i="5"/>
  <c r="C270" i="5"/>
  <c r="C666" i="5"/>
  <c r="C667" i="5"/>
  <c r="C654" i="5"/>
  <c r="C655" i="5"/>
  <c r="C630" i="5"/>
  <c r="C631" i="5"/>
  <c r="C618" i="5"/>
  <c r="C619" i="5"/>
  <c r="C598" i="5"/>
  <c r="C599" i="5"/>
  <c r="C554" i="5"/>
  <c r="C555" i="5"/>
  <c r="C542" i="5"/>
  <c r="C543" i="5"/>
  <c r="C534" i="5"/>
  <c r="C535" i="5"/>
  <c r="C522" i="5"/>
  <c r="C523" i="5"/>
  <c r="C510" i="5"/>
  <c r="C511" i="5"/>
  <c r="C502" i="5"/>
  <c r="C503" i="5"/>
  <c r="C490" i="5"/>
  <c r="C491" i="5"/>
  <c r="C478" i="5"/>
  <c r="C479" i="5"/>
  <c r="C470" i="5"/>
  <c r="C471" i="5"/>
  <c r="C454" i="5"/>
  <c r="C455" i="5"/>
  <c r="C407" i="5"/>
  <c r="C406" i="5"/>
  <c r="C391" i="5"/>
  <c r="C390" i="5"/>
  <c r="C379" i="5"/>
  <c r="C378" i="5"/>
  <c r="C367" i="5"/>
  <c r="C366" i="5"/>
  <c r="C351" i="5"/>
  <c r="C350" i="5"/>
  <c r="C323" i="5"/>
  <c r="C322" i="5"/>
  <c r="C311" i="5"/>
  <c r="C310" i="5"/>
  <c r="C295" i="5"/>
  <c r="C294" i="5"/>
  <c r="C259" i="5"/>
  <c r="C258" i="5"/>
  <c r="C247" i="5"/>
  <c r="C246" i="5"/>
  <c r="C235" i="5"/>
  <c r="C234" i="5"/>
  <c r="C227" i="5"/>
  <c r="C226" i="5"/>
  <c r="C215" i="5"/>
  <c r="C214" i="5"/>
  <c r="C203" i="5"/>
  <c r="C202" i="5"/>
  <c r="C191" i="5"/>
  <c r="C190" i="5"/>
  <c r="C175" i="5"/>
  <c r="C174" i="5"/>
  <c r="C159" i="5"/>
  <c r="C158" i="5"/>
  <c r="C147" i="5"/>
  <c r="C146" i="5"/>
  <c r="C135" i="5"/>
  <c r="C134" i="5"/>
  <c r="C123" i="5"/>
  <c r="C122" i="5"/>
  <c r="C111" i="5"/>
  <c r="C110" i="5"/>
  <c r="C103" i="5"/>
  <c r="C102" i="5"/>
  <c r="C91" i="5"/>
  <c r="C90" i="5"/>
  <c r="C78" i="5"/>
  <c r="C79" i="5"/>
  <c r="C62" i="5"/>
  <c r="C63" i="5"/>
  <c r="C10" i="5"/>
  <c r="C35" i="5"/>
  <c r="C51" i="5"/>
  <c r="C39" i="5"/>
  <c r="C27" i="5"/>
  <c r="C1486" i="5"/>
  <c r="C1479" i="5"/>
  <c r="C1467" i="5"/>
  <c r="C1258" i="5"/>
  <c r="C1242" i="5"/>
  <c r="C1226" i="5"/>
  <c r="C1210" i="5"/>
  <c r="C1194" i="5"/>
  <c r="C1178" i="5"/>
  <c r="C1162" i="5"/>
  <c r="C1146" i="5"/>
  <c r="C1130" i="5"/>
  <c r="C1114" i="5"/>
  <c r="C1098" i="5"/>
  <c r="C1082" i="5"/>
  <c r="C1066" i="5"/>
  <c r="C1050" i="5"/>
  <c r="C1034" i="5"/>
  <c r="C1018" i="5"/>
  <c r="C1002" i="5"/>
  <c r="C986" i="5"/>
  <c r="C970" i="5"/>
  <c r="C954" i="5"/>
  <c r="C938" i="5"/>
  <c r="C922" i="5"/>
  <c r="C906" i="5"/>
  <c r="C890" i="5"/>
  <c r="C874" i="5"/>
  <c r="C858" i="5"/>
  <c r="C842" i="5"/>
  <c r="C826" i="5"/>
  <c r="C810" i="5"/>
  <c r="C794" i="5"/>
  <c r="C778" i="5"/>
  <c r="C762" i="5"/>
  <c r="C746" i="5"/>
  <c r="C730" i="5"/>
  <c r="C714" i="5"/>
  <c r="C698" i="5"/>
  <c r="C682" i="5"/>
  <c r="C643" i="5"/>
  <c r="C579" i="5"/>
  <c r="C515" i="5"/>
  <c r="C451" i="5"/>
  <c r="C206" i="5"/>
  <c r="C670" i="5"/>
  <c r="C671" i="5"/>
  <c r="C662" i="5"/>
  <c r="C663" i="5"/>
  <c r="C650" i="5"/>
  <c r="C651" i="5"/>
  <c r="C638" i="5"/>
  <c r="C639" i="5"/>
  <c r="C614" i="5"/>
  <c r="C615" i="5"/>
  <c r="C606" i="5"/>
  <c r="C607" i="5"/>
  <c r="C586" i="5"/>
  <c r="C587" i="5"/>
  <c r="C574" i="5"/>
  <c r="C575" i="5"/>
  <c r="C566" i="5"/>
  <c r="C567" i="5"/>
  <c r="C558" i="5"/>
  <c r="C559" i="5"/>
  <c r="C550" i="5"/>
  <c r="C551" i="5"/>
  <c r="C538" i="5"/>
  <c r="C539" i="5"/>
  <c r="C526" i="5"/>
  <c r="C527" i="5"/>
  <c r="C518" i="5"/>
  <c r="C519" i="5"/>
  <c r="C442" i="5"/>
  <c r="C443" i="5"/>
  <c r="C438" i="5"/>
  <c r="C439" i="5"/>
  <c r="C426" i="5"/>
  <c r="C427" i="5"/>
  <c r="C415" i="5"/>
  <c r="C414" i="5"/>
  <c r="C387" i="5"/>
  <c r="C386" i="5"/>
  <c r="C375" i="5"/>
  <c r="C374" i="5"/>
  <c r="C363" i="5"/>
  <c r="C362" i="5"/>
  <c r="C359" i="5"/>
  <c r="C358" i="5"/>
  <c r="C347" i="5"/>
  <c r="C346" i="5"/>
  <c r="C343" i="5"/>
  <c r="C342" i="5"/>
  <c r="C331" i="5"/>
  <c r="C330" i="5"/>
  <c r="C319" i="5"/>
  <c r="C318" i="5"/>
  <c r="C307" i="5"/>
  <c r="C306" i="5"/>
  <c r="C299" i="5"/>
  <c r="C298" i="5"/>
  <c r="C287" i="5"/>
  <c r="C286" i="5"/>
  <c r="C279" i="5"/>
  <c r="C278" i="5"/>
  <c r="C267" i="5"/>
  <c r="C266" i="5"/>
  <c r="C255" i="5"/>
  <c r="C254" i="5"/>
  <c r="C243" i="5"/>
  <c r="C242" i="5"/>
  <c r="C231" i="5"/>
  <c r="C230" i="5"/>
  <c r="C223" i="5"/>
  <c r="C222" i="5"/>
  <c r="C211" i="5"/>
  <c r="C210" i="5"/>
  <c r="C199" i="5"/>
  <c r="C198" i="5"/>
  <c r="C187" i="5"/>
  <c r="C186" i="5"/>
  <c r="C179" i="5"/>
  <c r="C178" i="5"/>
  <c r="C167" i="5"/>
  <c r="C166" i="5"/>
  <c r="C155" i="5"/>
  <c r="C154" i="5"/>
  <c r="C131" i="5"/>
  <c r="C130" i="5"/>
  <c r="C119" i="5"/>
  <c r="C118" i="5"/>
  <c r="C107" i="5"/>
  <c r="C106" i="5"/>
  <c r="C95" i="5"/>
  <c r="C94" i="5"/>
  <c r="C83" i="5"/>
  <c r="C82" i="5"/>
  <c r="C67" i="5"/>
  <c r="C55" i="5"/>
  <c r="C43" i="5"/>
  <c r="C1262" i="5"/>
  <c r="C1246" i="5"/>
  <c r="C1230" i="5"/>
  <c r="C1214" i="5"/>
  <c r="C1198" i="5"/>
  <c r="C1182" i="5"/>
  <c r="C1166" i="5"/>
  <c r="C1150" i="5"/>
  <c r="C1134" i="5"/>
  <c r="C1118" i="5"/>
  <c r="C1102" i="5"/>
  <c r="C1086" i="5"/>
  <c r="C1070" i="5"/>
  <c r="C1054" i="5"/>
  <c r="C1038" i="5"/>
  <c r="C1022" i="5"/>
  <c r="C1006" i="5"/>
  <c r="C990" i="5"/>
  <c r="C974" i="5"/>
  <c r="C958" i="5"/>
  <c r="C942" i="5"/>
  <c r="C926" i="5"/>
  <c r="C910" i="5"/>
  <c r="C894" i="5"/>
  <c r="C878" i="5"/>
  <c r="C862" i="5"/>
  <c r="C846" i="5"/>
  <c r="C830" i="5"/>
  <c r="C814" i="5"/>
  <c r="C798" i="5"/>
  <c r="C782" i="5"/>
  <c r="C766" i="5"/>
  <c r="C750" i="5"/>
  <c r="C734" i="5"/>
  <c r="C718" i="5"/>
  <c r="C702" i="5"/>
  <c r="C686" i="5"/>
  <c r="C627" i="5"/>
  <c r="C563" i="5"/>
  <c r="C499" i="5"/>
  <c r="C435" i="5"/>
  <c r="C398" i="5"/>
  <c r="C142" i="5"/>
  <c r="B3" i="6"/>
  <c r="C2" i="8" s="1"/>
  <c r="D2" i="8" s="1"/>
  <c r="D1186" i="5"/>
  <c r="D1187" i="5"/>
  <c r="D434" i="5"/>
  <c r="D435" i="5"/>
  <c r="D370" i="5"/>
  <c r="D371" i="5"/>
  <c r="D1139" i="5"/>
  <c r="D1043" i="5"/>
  <c r="D1023" i="5"/>
  <c r="D943" i="5"/>
  <c r="D767" i="5"/>
  <c r="D687" i="5"/>
  <c r="D259" i="5"/>
  <c r="D974" i="5"/>
  <c r="D910" i="5"/>
  <c r="D846" i="5"/>
  <c r="D782" i="5"/>
  <c r="D718" i="5"/>
  <c r="D654" i="5"/>
  <c r="D1203" i="5"/>
  <c r="D1107" i="5"/>
  <c r="D1027" i="5"/>
  <c r="D1007" i="5"/>
  <c r="D831" i="5"/>
  <c r="D751" i="5"/>
  <c r="D894" i="5"/>
  <c r="D638" i="5"/>
  <c r="D1122" i="5"/>
  <c r="D1123" i="5"/>
  <c r="D1058" i="5"/>
  <c r="D1059" i="5"/>
  <c r="D1171" i="5"/>
  <c r="D1091" i="5"/>
  <c r="D815" i="5"/>
  <c r="D563" i="5"/>
  <c r="D1491" i="5"/>
  <c r="D1492" i="5"/>
  <c r="E799" i="5"/>
  <c r="E1402" i="5"/>
  <c r="E1055" i="5"/>
  <c r="E494" i="5"/>
  <c r="E991" i="5"/>
  <c r="E735" i="5"/>
  <c r="E366" i="5"/>
  <c r="E927" i="5"/>
  <c r="E671" i="5"/>
  <c r="E134" i="5"/>
  <c r="D602" i="5"/>
  <c r="D603" i="5"/>
  <c r="D570" i="5"/>
  <c r="D571" i="5"/>
  <c r="D558" i="5"/>
  <c r="D559" i="5"/>
  <c r="D550" i="5"/>
  <c r="D551" i="5"/>
  <c r="D538" i="5"/>
  <c r="D539" i="5"/>
  <c r="D526" i="5"/>
  <c r="D527" i="5"/>
  <c r="D518" i="5"/>
  <c r="D519" i="5"/>
  <c r="D506" i="5"/>
  <c r="D507" i="5"/>
  <c r="D494" i="5"/>
  <c r="D495" i="5"/>
  <c r="D458" i="5"/>
  <c r="D459" i="5"/>
  <c r="D442" i="5"/>
  <c r="D443" i="5"/>
  <c r="D426" i="5"/>
  <c r="D427" i="5"/>
  <c r="D394" i="5"/>
  <c r="D395" i="5"/>
  <c r="D390" i="5"/>
  <c r="D391" i="5"/>
  <c r="D378" i="5"/>
  <c r="D379" i="5"/>
  <c r="D366" i="5"/>
  <c r="D367" i="5"/>
  <c r="D358" i="5"/>
  <c r="D359" i="5"/>
  <c r="D346" i="5"/>
  <c r="D347" i="5"/>
  <c r="D334" i="5"/>
  <c r="D335" i="5"/>
  <c r="D326" i="5"/>
  <c r="D327" i="5"/>
  <c r="D314" i="5"/>
  <c r="D315" i="5"/>
  <c r="D302" i="5"/>
  <c r="D303" i="5"/>
  <c r="D290" i="5"/>
  <c r="D291" i="5"/>
  <c r="D274" i="5"/>
  <c r="D275" i="5"/>
  <c r="D246" i="5"/>
  <c r="D247" i="5"/>
  <c r="D238" i="5"/>
  <c r="D239" i="5"/>
  <c r="D226" i="5"/>
  <c r="D227" i="5"/>
  <c r="D206" i="5"/>
  <c r="D207" i="5"/>
  <c r="D198" i="5"/>
  <c r="D199" i="5"/>
  <c r="D186" i="5"/>
  <c r="D187" i="5"/>
  <c r="D174" i="5"/>
  <c r="D175" i="5"/>
  <c r="D162" i="5"/>
  <c r="D163" i="5"/>
  <c r="D150" i="5"/>
  <c r="D151" i="5"/>
  <c r="D118" i="5"/>
  <c r="D119" i="5"/>
  <c r="D106" i="5"/>
  <c r="D107" i="5"/>
  <c r="D94" i="5"/>
  <c r="D95" i="5"/>
  <c r="D82" i="5"/>
  <c r="D83" i="5"/>
  <c r="D78" i="5"/>
  <c r="D79" i="5"/>
  <c r="D70" i="5"/>
  <c r="D71" i="5"/>
  <c r="D58" i="5"/>
  <c r="D59" i="5"/>
  <c r="D50" i="5"/>
  <c r="D51" i="5"/>
  <c r="D42" i="5"/>
  <c r="D43" i="5"/>
  <c r="D38" i="5"/>
  <c r="D39" i="5"/>
  <c r="D30" i="5"/>
  <c r="D31" i="5"/>
  <c r="D18" i="5"/>
  <c r="D19" i="5"/>
  <c r="D6" i="5"/>
  <c r="D7" i="5"/>
  <c r="D1483" i="5"/>
  <c r="D1479" i="5"/>
  <c r="D1475" i="5"/>
  <c r="D1471" i="5"/>
  <c r="D1467" i="5"/>
  <c r="D1463" i="5"/>
  <c r="D1459" i="5"/>
  <c r="D1455" i="5"/>
  <c r="D1451" i="5"/>
  <c r="D1447" i="5"/>
  <c r="D1443" i="5"/>
  <c r="D1439" i="5"/>
  <c r="D1435" i="5"/>
  <c r="D1431" i="5"/>
  <c r="D1427" i="5"/>
  <c r="D1423" i="5"/>
  <c r="D1419" i="5"/>
  <c r="D1415" i="5"/>
  <c r="D1411" i="5"/>
  <c r="D1407" i="5"/>
  <c r="D1403" i="5"/>
  <c r="D1399" i="5"/>
  <c r="D1395" i="5"/>
  <c r="D1391" i="5"/>
  <c r="D1387" i="5"/>
  <c r="D1383" i="5"/>
  <c r="D1379" i="5"/>
  <c r="D1375" i="5"/>
  <c r="D1371" i="5"/>
  <c r="D1367" i="5"/>
  <c r="D1363" i="5"/>
  <c r="D1359" i="5"/>
  <c r="D1355" i="5"/>
  <c r="D1351" i="5"/>
  <c r="D1347" i="5"/>
  <c r="D1343" i="5"/>
  <c r="D1339" i="5"/>
  <c r="D1335" i="5"/>
  <c r="D1331" i="5"/>
  <c r="D1327" i="5"/>
  <c r="D1323" i="5"/>
  <c r="D1319" i="5"/>
  <c r="D1315" i="5"/>
  <c r="D1311" i="5"/>
  <c r="D1307" i="5"/>
  <c r="D1303" i="5"/>
  <c r="D1299" i="5"/>
  <c r="D1295" i="5"/>
  <c r="D1291" i="5"/>
  <c r="D1287" i="5"/>
  <c r="D1283" i="5"/>
  <c r="D1279" i="5"/>
  <c r="D1275" i="5"/>
  <c r="D1271" i="5"/>
  <c r="D1267" i="5"/>
  <c r="D1263" i="5"/>
  <c r="D1259" i="5"/>
  <c r="D1255" i="5"/>
  <c r="D1251" i="5"/>
  <c r="D1247" i="5"/>
  <c r="D1243" i="5"/>
  <c r="D1239" i="5"/>
  <c r="D1235" i="5"/>
  <c r="D1231" i="5"/>
  <c r="D1227" i="5"/>
  <c r="D1223" i="5"/>
  <c r="D1219" i="5"/>
  <c r="D1215" i="5"/>
  <c r="D1211" i="5"/>
  <c r="D1207" i="5"/>
  <c r="D1191" i="5"/>
  <c r="D1175" i="5"/>
  <c r="D1159" i="5"/>
  <c r="D1143" i="5"/>
  <c r="D1127" i="5"/>
  <c r="D1111" i="5"/>
  <c r="D1095" i="5"/>
  <c r="D1079" i="5"/>
  <c r="D1063" i="5"/>
  <c r="D1047" i="5"/>
  <c r="D1031" i="5"/>
  <c r="D1011" i="5"/>
  <c r="D995" i="5"/>
  <c r="D979" i="5"/>
  <c r="D963" i="5"/>
  <c r="D947" i="5"/>
  <c r="D931" i="5"/>
  <c r="D915" i="5"/>
  <c r="D899" i="5"/>
  <c r="D883" i="5"/>
  <c r="D867" i="5"/>
  <c r="D851" i="5"/>
  <c r="D835" i="5"/>
  <c r="D819" i="5"/>
  <c r="D803" i="5"/>
  <c r="D787" i="5"/>
  <c r="D771" i="5"/>
  <c r="D755" i="5"/>
  <c r="D739" i="5"/>
  <c r="D723" i="5"/>
  <c r="D707" i="5"/>
  <c r="D691" i="5"/>
  <c r="D675" i="5"/>
  <c r="D659" i="5"/>
  <c r="D643" i="5"/>
  <c r="D627" i="5"/>
  <c r="D610" i="5"/>
  <c r="D547" i="5"/>
  <c r="D483" i="5"/>
  <c r="D419" i="5"/>
  <c r="D355" i="5"/>
  <c r="D195" i="5"/>
  <c r="D606" i="5"/>
  <c r="D607" i="5"/>
  <c r="D598" i="5"/>
  <c r="D599" i="5"/>
  <c r="D590" i="5"/>
  <c r="D591" i="5"/>
  <c r="D582" i="5"/>
  <c r="D583" i="5"/>
  <c r="D522" i="5"/>
  <c r="D523" i="5"/>
  <c r="D510" i="5"/>
  <c r="D511" i="5"/>
  <c r="D502" i="5"/>
  <c r="D503" i="5"/>
  <c r="D486" i="5"/>
  <c r="D487" i="5"/>
  <c r="D478" i="5"/>
  <c r="D479" i="5"/>
  <c r="D470" i="5"/>
  <c r="D471" i="5"/>
  <c r="D462" i="5"/>
  <c r="D463" i="5"/>
  <c r="D438" i="5"/>
  <c r="D439" i="5"/>
  <c r="D430" i="5"/>
  <c r="D431" i="5"/>
  <c r="D406" i="5"/>
  <c r="D407" i="5"/>
  <c r="D310" i="5"/>
  <c r="D311" i="5"/>
  <c r="D306" i="5"/>
  <c r="D307" i="5"/>
  <c r="D294" i="5"/>
  <c r="D295" i="5"/>
  <c r="D282" i="5"/>
  <c r="D283" i="5"/>
  <c r="D270" i="5"/>
  <c r="D271" i="5"/>
  <c r="D262" i="5"/>
  <c r="D263" i="5"/>
  <c r="D254" i="5"/>
  <c r="D255" i="5"/>
  <c r="D242" i="5"/>
  <c r="D243" i="5"/>
  <c r="D230" i="5"/>
  <c r="D231" i="5"/>
  <c r="D218" i="5"/>
  <c r="D219" i="5"/>
  <c r="D210" i="5"/>
  <c r="D211" i="5"/>
  <c r="D202" i="5"/>
  <c r="D203" i="5"/>
  <c r="D190" i="5"/>
  <c r="D191" i="5"/>
  <c r="D182" i="5"/>
  <c r="D183" i="5"/>
  <c r="D170" i="5"/>
  <c r="D171" i="5"/>
  <c r="D158" i="5"/>
  <c r="D159" i="5"/>
  <c r="D146" i="5"/>
  <c r="D147" i="5"/>
  <c r="D138" i="5"/>
  <c r="D139" i="5"/>
  <c r="D126" i="5"/>
  <c r="D127" i="5"/>
  <c r="D114" i="5"/>
  <c r="D115" i="5"/>
  <c r="D102" i="5"/>
  <c r="D103" i="5"/>
  <c r="D90" i="5"/>
  <c r="D91" i="5"/>
  <c r="D14" i="5"/>
  <c r="D15" i="5"/>
  <c r="D1490" i="5"/>
  <c r="D1195" i="5"/>
  <c r="D1179" i="5"/>
  <c r="D1163" i="5"/>
  <c r="D1147" i="5"/>
  <c r="D1131" i="5"/>
  <c r="D1115" i="5"/>
  <c r="D1099" i="5"/>
  <c r="D1083" i="5"/>
  <c r="D1067" i="5"/>
  <c r="D1051" i="5"/>
  <c r="D1035" i="5"/>
  <c r="D1015" i="5"/>
  <c r="D999" i="5"/>
  <c r="D983" i="5"/>
  <c r="D967" i="5"/>
  <c r="D951" i="5"/>
  <c r="D935" i="5"/>
  <c r="D919" i="5"/>
  <c r="D903" i="5"/>
  <c r="D887" i="5"/>
  <c r="D871" i="5"/>
  <c r="D855" i="5"/>
  <c r="D839" i="5"/>
  <c r="D823" i="5"/>
  <c r="D807" i="5"/>
  <c r="D791" i="5"/>
  <c r="D775" i="5"/>
  <c r="D759" i="5"/>
  <c r="D743" i="5"/>
  <c r="D727" i="5"/>
  <c r="D711" i="5"/>
  <c r="D695" i="5"/>
  <c r="D679" i="5"/>
  <c r="D663" i="5"/>
  <c r="D647" i="5"/>
  <c r="D631" i="5"/>
  <c r="D615" i="5"/>
  <c r="D595" i="5"/>
  <c r="D531" i="5"/>
  <c r="D467" i="5"/>
  <c r="D403" i="5"/>
  <c r="D339" i="5"/>
  <c r="D131" i="5"/>
  <c r="D1486" i="5"/>
  <c r="D1487" i="5"/>
  <c r="D586" i="5"/>
  <c r="D587" i="5"/>
  <c r="D574" i="5"/>
  <c r="D575" i="5"/>
  <c r="D566" i="5"/>
  <c r="D567" i="5"/>
  <c r="D554" i="5"/>
  <c r="D555" i="5"/>
  <c r="D542" i="5"/>
  <c r="D543" i="5"/>
  <c r="D534" i="5"/>
  <c r="D535" i="5"/>
  <c r="D490" i="5"/>
  <c r="D491" i="5"/>
  <c r="D474" i="5"/>
  <c r="D475" i="5"/>
  <c r="D454" i="5"/>
  <c r="D455" i="5"/>
  <c r="D446" i="5"/>
  <c r="D447" i="5"/>
  <c r="D422" i="5"/>
  <c r="D423" i="5"/>
  <c r="D414" i="5"/>
  <c r="D415" i="5"/>
  <c r="D410" i="5"/>
  <c r="D411" i="5"/>
  <c r="D398" i="5"/>
  <c r="D399" i="5"/>
  <c r="D382" i="5"/>
  <c r="D383" i="5"/>
  <c r="D374" i="5"/>
  <c r="D375" i="5"/>
  <c r="D362" i="5"/>
  <c r="D363" i="5"/>
  <c r="D350" i="5"/>
  <c r="D351" i="5"/>
  <c r="D342" i="5"/>
  <c r="D343" i="5"/>
  <c r="D330" i="5"/>
  <c r="D331" i="5"/>
  <c r="D318" i="5"/>
  <c r="D319" i="5"/>
  <c r="D298" i="5"/>
  <c r="D299" i="5"/>
  <c r="D286" i="5"/>
  <c r="D287" i="5"/>
  <c r="D278" i="5"/>
  <c r="D279" i="5"/>
  <c r="D266" i="5"/>
  <c r="D267" i="5"/>
  <c r="D250" i="5"/>
  <c r="D251" i="5"/>
  <c r="D234" i="5"/>
  <c r="D235" i="5"/>
  <c r="D222" i="5"/>
  <c r="D223" i="5"/>
  <c r="D214" i="5"/>
  <c r="D215" i="5"/>
  <c r="D178" i="5"/>
  <c r="D179" i="5"/>
  <c r="D166" i="5"/>
  <c r="D167" i="5"/>
  <c r="D154" i="5"/>
  <c r="D155" i="5"/>
  <c r="D142" i="5"/>
  <c r="D143" i="5"/>
  <c r="D134" i="5"/>
  <c r="D135" i="5"/>
  <c r="D122" i="5"/>
  <c r="D123" i="5"/>
  <c r="D110" i="5"/>
  <c r="D111" i="5"/>
  <c r="D98" i="5"/>
  <c r="D99" i="5"/>
  <c r="D86" i="5"/>
  <c r="D87" i="5"/>
  <c r="D74" i="5"/>
  <c r="D75" i="5"/>
  <c r="D62" i="5"/>
  <c r="D63" i="5"/>
  <c r="D54" i="5"/>
  <c r="D55" i="5"/>
  <c r="D46" i="5"/>
  <c r="D47" i="5"/>
  <c r="D34" i="5"/>
  <c r="D35" i="5"/>
  <c r="D26" i="5"/>
  <c r="D27" i="5"/>
  <c r="D22" i="5"/>
  <c r="D23" i="5"/>
  <c r="D10" i="5"/>
  <c r="D11" i="5"/>
  <c r="D1199" i="5"/>
  <c r="D1183" i="5"/>
  <c r="D1167" i="5"/>
  <c r="D1151" i="5"/>
  <c r="D1135" i="5"/>
  <c r="D1119" i="5"/>
  <c r="D1103" i="5"/>
  <c r="D1087" i="5"/>
  <c r="D1071" i="5"/>
  <c r="D1055" i="5"/>
  <c r="D1039" i="5"/>
  <c r="D1019" i="5"/>
  <c r="D1003" i="5"/>
  <c r="D987" i="5"/>
  <c r="D971" i="5"/>
  <c r="D955" i="5"/>
  <c r="D939" i="5"/>
  <c r="D923" i="5"/>
  <c r="D907" i="5"/>
  <c r="D891" i="5"/>
  <c r="D875" i="5"/>
  <c r="D859" i="5"/>
  <c r="D843" i="5"/>
  <c r="D827" i="5"/>
  <c r="D811" i="5"/>
  <c r="D795" i="5"/>
  <c r="D779" i="5"/>
  <c r="D763" i="5"/>
  <c r="D747" i="5"/>
  <c r="D731" i="5"/>
  <c r="D715" i="5"/>
  <c r="D699" i="5"/>
  <c r="D683" i="5"/>
  <c r="D667" i="5"/>
  <c r="D651" i="5"/>
  <c r="D635" i="5"/>
  <c r="D619" i="5"/>
  <c r="D579" i="5"/>
  <c r="D515" i="5"/>
  <c r="D451" i="5"/>
  <c r="D387" i="5"/>
  <c r="D323" i="5"/>
  <c r="D67" i="5"/>
  <c r="E1387" i="5"/>
  <c r="E1386" i="5"/>
  <c r="E1379" i="5"/>
  <c r="E1378" i="5"/>
  <c r="E1371" i="5"/>
  <c r="E1370" i="5"/>
  <c r="E1363" i="5"/>
  <c r="E1362" i="5"/>
  <c r="E1355" i="5"/>
  <c r="E1354" i="5"/>
  <c r="E1347" i="5"/>
  <c r="E1346" i="5"/>
  <c r="E1335" i="5"/>
  <c r="E1334" i="5"/>
  <c r="E1327" i="5"/>
  <c r="E1326" i="5"/>
  <c r="E1319" i="5"/>
  <c r="E1318" i="5"/>
  <c r="E1315" i="5"/>
  <c r="E1314" i="5"/>
  <c r="E1307" i="5"/>
  <c r="E1306" i="5"/>
  <c r="E1299" i="5"/>
  <c r="E1298" i="5"/>
  <c r="E1291" i="5"/>
  <c r="E1290" i="5"/>
  <c r="E1283" i="5"/>
  <c r="E1282" i="5"/>
  <c r="E1275" i="5"/>
  <c r="E1274" i="5"/>
  <c r="E1267" i="5"/>
  <c r="E1266" i="5"/>
  <c r="E1259" i="5"/>
  <c r="E1258" i="5"/>
  <c r="E1251" i="5"/>
  <c r="E1250" i="5"/>
  <c r="E1243" i="5"/>
  <c r="E1242" i="5"/>
  <c r="E1235" i="5"/>
  <c r="E1234" i="5"/>
  <c r="E1227" i="5"/>
  <c r="E1226" i="5"/>
  <c r="E1219" i="5"/>
  <c r="E1218" i="5"/>
  <c r="E1211" i="5"/>
  <c r="E1210" i="5"/>
  <c r="E1203" i="5"/>
  <c r="E1202" i="5"/>
  <c r="E1195" i="5"/>
  <c r="E1194" i="5"/>
  <c r="E1187" i="5"/>
  <c r="E1186" i="5"/>
  <c r="E1179" i="5"/>
  <c r="E1178" i="5"/>
  <c r="E1170" i="5"/>
  <c r="E1171" i="5"/>
  <c r="E1158" i="5"/>
  <c r="E1159" i="5"/>
  <c r="E1050" i="5"/>
  <c r="E1051" i="5"/>
  <c r="E1046" i="5"/>
  <c r="E1047" i="5"/>
  <c r="E1042" i="5"/>
  <c r="E1043" i="5"/>
  <c r="E1034" i="5"/>
  <c r="E1035" i="5"/>
  <c r="E1026" i="5"/>
  <c r="E1027" i="5"/>
  <c r="E1018" i="5"/>
  <c r="E1019" i="5"/>
  <c r="E954" i="5"/>
  <c r="E955" i="5"/>
  <c r="E946" i="5"/>
  <c r="E947" i="5"/>
  <c r="E938" i="5"/>
  <c r="E939" i="5"/>
  <c r="E930" i="5"/>
  <c r="E931" i="5"/>
  <c r="E922" i="5"/>
  <c r="E923" i="5"/>
  <c r="E746" i="5"/>
  <c r="E747" i="5"/>
  <c r="E738" i="5"/>
  <c r="E739" i="5"/>
  <c r="E730" i="5"/>
  <c r="E731" i="5"/>
  <c r="E722" i="5"/>
  <c r="E723" i="5"/>
  <c r="E714" i="5"/>
  <c r="E715" i="5"/>
  <c r="E694" i="5"/>
  <c r="E695" i="5"/>
  <c r="E678" i="5"/>
  <c r="E679" i="5"/>
  <c r="E674" i="5"/>
  <c r="E675" i="5"/>
  <c r="E666" i="5"/>
  <c r="E667" i="5"/>
  <c r="E658" i="5"/>
  <c r="E659" i="5"/>
  <c r="E650" i="5"/>
  <c r="E651" i="5"/>
  <c r="E630" i="5"/>
  <c r="E631" i="5"/>
  <c r="E626" i="5"/>
  <c r="E627" i="5"/>
  <c r="E618" i="5"/>
  <c r="E619" i="5"/>
  <c r="E610" i="5"/>
  <c r="E611" i="5"/>
  <c r="E602" i="5"/>
  <c r="E603" i="5"/>
  <c r="E595" i="5"/>
  <c r="E594" i="5"/>
  <c r="E587" i="5"/>
  <c r="E586" i="5"/>
  <c r="E579" i="5"/>
  <c r="E578" i="5"/>
  <c r="E571" i="5"/>
  <c r="E570" i="5"/>
  <c r="E563" i="5"/>
  <c r="E562" i="5"/>
  <c r="E555" i="5"/>
  <c r="E554" i="5"/>
  <c r="E547" i="5"/>
  <c r="E546" i="5"/>
  <c r="E539" i="5"/>
  <c r="E538" i="5"/>
  <c r="E519" i="5"/>
  <c r="E518" i="5"/>
  <c r="E511" i="5"/>
  <c r="E510" i="5"/>
  <c r="E503" i="5"/>
  <c r="E502" i="5"/>
  <c r="E499" i="5"/>
  <c r="E498" i="5"/>
  <c r="E491" i="5"/>
  <c r="E490" i="5"/>
  <c r="E483" i="5"/>
  <c r="E482" i="5"/>
  <c r="E475" i="5"/>
  <c r="E474" i="5"/>
  <c r="E467" i="5"/>
  <c r="E466" i="5"/>
  <c r="E459" i="5"/>
  <c r="E458" i="5"/>
  <c r="E451" i="5"/>
  <c r="E450" i="5"/>
  <c r="E439" i="5"/>
  <c r="E438" i="5"/>
  <c r="E435" i="5"/>
  <c r="E434" i="5"/>
  <c r="E427" i="5"/>
  <c r="E426" i="5"/>
  <c r="E415" i="5"/>
  <c r="E414" i="5"/>
  <c r="E407" i="5"/>
  <c r="E406" i="5"/>
  <c r="E403" i="5"/>
  <c r="E402" i="5"/>
  <c r="E395" i="5"/>
  <c r="E394" i="5"/>
  <c r="E387" i="5"/>
  <c r="E386" i="5"/>
  <c r="E379" i="5"/>
  <c r="E378" i="5"/>
  <c r="E371" i="5"/>
  <c r="E370" i="5"/>
  <c r="E363" i="5"/>
  <c r="E362" i="5"/>
  <c r="E351" i="5"/>
  <c r="E350" i="5"/>
  <c r="E339" i="5"/>
  <c r="E338" i="5"/>
  <c r="E319" i="5"/>
  <c r="E318" i="5"/>
  <c r="E311" i="5"/>
  <c r="E310" i="5"/>
  <c r="E299" i="5"/>
  <c r="E298" i="5"/>
  <c r="E291" i="5"/>
  <c r="E290" i="5"/>
  <c r="E279" i="5"/>
  <c r="E278" i="5"/>
  <c r="E83" i="5"/>
  <c r="E82" i="5"/>
  <c r="E1491" i="5"/>
  <c r="E1467" i="5"/>
  <c r="E1451" i="5"/>
  <c r="E590" i="5"/>
  <c r="E1427" i="5"/>
  <c r="E1411" i="5"/>
  <c r="E1395" i="5"/>
  <c r="E1151" i="5"/>
  <c r="E1087" i="5"/>
  <c r="E1023" i="5"/>
  <c r="E959" i="5"/>
  <c r="E895" i="5"/>
  <c r="E831" i="5"/>
  <c r="E767" i="5"/>
  <c r="E703" i="5"/>
  <c r="E639" i="5"/>
  <c r="E558" i="5"/>
  <c r="E430" i="5"/>
  <c r="E262" i="5"/>
  <c r="E6" i="5"/>
  <c r="D5" i="6" s="1"/>
  <c r="E5" i="6" s="1"/>
  <c r="E1391" i="5"/>
  <c r="E1390" i="5"/>
  <c r="E1383" i="5"/>
  <c r="E1382" i="5"/>
  <c r="E1375" i="5"/>
  <c r="E1374" i="5"/>
  <c r="E1367" i="5"/>
  <c r="E1366" i="5"/>
  <c r="E1359" i="5"/>
  <c r="E1358" i="5"/>
  <c r="E1351" i="5"/>
  <c r="E1350" i="5"/>
  <c r="E1343" i="5"/>
  <c r="E1342" i="5"/>
  <c r="E1339" i="5"/>
  <c r="E1338" i="5"/>
  <c r="E1331" i="5"/>
  <c r="E1330" i="5"/>
  <c r="E1323" i="5"/>
  <c r="E1322" i="5"/>
  <c r="E1311" i="5"/>
  <c r="E1310" i="5"/>
  <c r="E1303" i="5"/>
  <c r="E1302" i="5"/>
  <c r="E1295" i="5"/>
  <c r="E1294" i="5"/>
  <c r="E1287" i="5"/>
  <c r="E1286" i="5"/>
  <c r="E1279" i="5"/>
  <c r="E1278" i="5"/>
  <c r="E1271" i="5"/>
  <c r="E1270" i="5"/>
  <c r="E1263" i="5"/>
  <c r="E1262" i="5"/>
  <c r="E1255" i="5"/>
  <c r="E1254" i="5"/>
  <c r="E1247" i="5"/>
  <c r="E1246" i="5"/>
  <c r="E1239" i="5"/>
  <c r="E1238" i="5"/>
  <c r="E1231" i="5"/>
  <c r="E1230" i="5"/>
  <c r="E1223" i="5"/>
  <c r="E1222" i="5"/>
  <c r="E1215" i="5"/>
  <c r="E1214" i="5"/>
  <c r="E1207" i="5"/>
  <c r="E1206" i="5"/>
  <c r="E1199" i="5"/>
  <c r="E1198" i="5"/>
  <c r="E1191" i="5"/>
  <c r="E1190" i="5"/>
  <c r="E1183" i="5"/>
  <c r="E1182" i="5"/>
  <c r="E1175" i="5"/>
  <c r="E1174" i="5"/>
  <c r="E1162" i="5"/>
  <c r="E1163" i="5"/>
  <c r="E1154" i="5"/>
  <c r="E1155" i="5"/>
  <c r="E1146" i="5"/>
  <c r="E1147" i="5"/>
  <c r="E1142" i="5"/>
  <c r="E1143" i="5"/>
  <c r="E1138" i="5"/>
  <c r="E1139" i="5"/>
  <c r="E1130" i="5"/>
  <c r="E1131" i="5"/>
  <c r="E1126" i="5"/>
  <c r="E1127" i="5"/>
  <c r="E1122" i="5"/>
  <c r="E1123" i="5"/>
  <c r="E1114" i="5"/>
  <c r="E1115" i="5"/>
  <c r="E1110" i="5"/>
  <c r="E1111" i="5"/>
  <c r="E1106" i="5"/>
  <c r="E1107" i="5"/>
  <c r="E1098" i="5"/>
  <c r="E1099" i="5"/>
  <c r="E1094" i="5"/>
  <c r="E1095" i="5"/>
  <c r="E1090" i="5"/>
  <c r="E1091" i="5"/>
  <c r="E1082" i="5"/>
  <c r="E1083" i="5"/>
  <c r="E1078" i="5"/>
  <c r="E1079" i="5"/>
  <c r="E1074" i="5"/>
  <c r="E1075" i="5"/>
  <c r="E1066" i="5"/>
  <c r="E1067" i="5"/>
  <c r="E1062" i="5"/>
  <c r="E1063" i="5"/>
  <c r="E1058" i="5"/>
  <c r="E1059" i="5"/>
  <c r="E1030" i="5"/>
  <c r="E1031" i="5"/>
  <c r="E1014" i="5"/>
  <c r="E1015" i="5"/>
  <c r="E1010" i="5"/>
  <c r="E1011" i="5"/>
  <c r="E1002" i="5"/>
  <c r="E1003" i="5"/>
  <c r="E998" i="5"/>
  <c r="E999" i="5"/>
  <c r="E994" i="5"/>
  <c r="E995" i="5"/>
  <c r="E986" i="5"/>
  <c r="E987" i="5"/>
  <c r="E982" i="5"/>
  <c r="E983" i="5"/>
  <c r="E978" i="5"/>
  <c r="E979" i="5"/>
  <c r="E970" i="5"/>
  <c r="E971" i="5"/>
  <c r="E966" i="5"/>
  <c r="E967" i="5"/>
  <c r="E962" i="5"/>
  <c r="E963" i="5"/>
  <c r="E950" i="5"/>
  <c r="E951" i="5"/>
  <c r="E934" i="5"/>
  <c r="E935" i="5"/>
  <c r="E918" i="5"/>
  <c r="E919" i="5"/>
  <c r="E914" i="5"/>
  <c r="E915" i="5"/>
  <c r="E906" i="5"/>
  <c r="E907" i="5"/>
  <c r="E902" i="5"/>
  <c r="E903" i="5"/>
  <c r="E898" i="5"/>
  <c r="E899" i="5"/>
  <c r="E890" i="5"/>
  <c r="E891" i="5"/>
  <c r="E886" i="5"/>
  <c r="E887" i="5"/>
  <c r="E882" i="5"/>
  <c r="E883" i="5"/>
  <c r="E874" i="5"/>
  <c r="E875" i="5"/>
  <c r="E870" i="5"/>
  <c r="E871" i="5"/>
  <c r="E866" i="5"/>
  <c r="E867" i="5"/>
  <c r="E858" i="5"/>
  <c r="E859" i="5"/>
  <c r="E854" i="5"/>
  <c r="E855" i="5"/>
  <c r="E850" i="5"/>
  <c r="E851" i="5"/>
  <c r="E842" i="5"/>
  <c r="E843" i="5"/>
  <c r="E838" i="5"/>
  <c r="E839" i="5"/>
  <c r="E834" i="5"/>
  <c r="E835" i="5"/>
  <c r="E826" i="5"/>
  <c r="E827" i="5"/>
  <c r="E822" i="5"/>
  <c r="E823" i="5"/>
  <c r="E818" i="5"/>
  <c r="E819" i="5"/>
  <c r="E810" i="5"/>
  <c r="E811" i="5"/>
  <c r="E806" i="5"/>
  <c r="E807" i="5"/>
  <c r="E802" i="5"/>
  <c r="E803" i="5"/>
  <c r="E794" i="5"/>
  <c r="E795" i="5"/>
  <c r="E790" i="5"/>
  <c r="E791" i="5"/>
  <c r="E786" i="5"/>
  <c r="E787" i="5"/>
  <c r="E778" i="5"/>
  <c r="E779" i="5"/>
  <c r="E774" i="5"/>
  <c r="E775" i="5"/>
  <c r="E770" i="5"/>
  <c r="E771" i="5"/>
  <c r="E762" i="5"/>
  <c r="E763" i="5"/>
  <c r="E758" i="5"/>
  <c r="E759" i="5"/>
  <c r="E754" i="5"/>
  <c r="E755" i="5"/>
  <c r="E742" i="5"/>
  <c r="E743" i="5"/>
  <c r="E726" i="5"/>
  <c r="E727" i="5"/>
  <c r="E710" i="5"/>
  <c r="E711" i="5"/>
  <c r="E706" i="5"/>
  <c r="E707" i="5"/>
  <c r="E698" i="5"/>
  <c r="E699" i="5"/>
  <c r="E690" i="5"/>
  <c r="E691" i="5"/>
  <c r="E682" i="5"/>
  <c r="E683" i="5"/>
  <c r="E662" i="5"/>
  <c r="E663" i="5"/>
  <c r="E646" i="5"/>
  <c r="E647" i="5"/>
  <c r="E642" i="5"/>
  <c r="E643" i="5"/>
  <c r="E634" i="5"/>
  <c r="E635" i="5"/>
  <c r="E614" i="5"/>
  <c r="E615" i="5"/>
  <c r="E598" i="5"/>
  <c r="E599" i="5"/>
  <c r="E583" i="5"/>
  <c r="E582" i="5"/>
  <c r="E575" i="5"/>
  <c r="E574" i="5"/>
  <c r="E567" i="5"/>
  <c r="E566" i="5"/>
  <c r="E551" i="5"/>
  <c r="E550" i="5"/>
  <c r="E543" i="5"/>
  <c r="E542" i="5"/>
  <c r="E535" i="5"/>
  <c r="E534" i="5"/>
  <c r="E531" i="5"/>
  <c r="E530" i="5"/>
  <c r="E523" i="5"/>
  <c r="E522" i="5"/>
  <c r="E515" i="5"/>
  <c r="E514" i="5"/>
  <c r="E507" i="5"/>
  <c r="E506" i="5"/>
  <c r="E487" i="5"/>
  <c r="E486" i="5"/>
  <c r="E479" i="5"/>
  <c r="E478" i="5"/>
  <c r="E471" i="5"/>
  <c r="E470" i="5"/>
  <c r="E455" i="5"/>
  <c r="E454" i="5"/>
  <c r="E447" i="5"/>
  <c r="E446" i="5"/>
  <c r="E443" i="5"/>
  <c r="E442" i="5"/>
  <c r="E423" i="5"/>
  <c r="E422" i="5"/>
  <c r="E419" i="5"/>
  <c r="E418" i="5"/>
  <c r="E411" i="5"/>
  <c r="E410" i="5"/>
  <c r="E391" i="5"/>
  <c r="E390" i="5"/>
  <c r="E383" i="5"/>
  <c r="E382" i="5"/>
  <c r="E375" i="5"/>
  <c r="E374" i="5"/>
  <c r="E359" i="5"/>
  <c r="E358" i="5"/>
  <c r="E355" i="5"/>
  <c r="E354" i="5"/>
  <c r="E347" i="5"/>
  <c r="E346" i="5"/>
  <c r="E343" i="5"/>
  <c r="E342" i="5"/>
  <c r="E335" i="5"/>
  <c r="E334" i="5"/>
  <c r="E331" i="5"/>
  <c r="E330" i="5"/>
  <c r="E323" i="5"/>
  <c r="E322" i="5"/>
  <c r="E315" i="5"/>
  <c r="E314" i="5"/>
  <c r="E307" i="5"/>
  <c r="E306" i="5"/>
  <c r="E303" i="5"/>
  <c r="E302" i="5"/>
  <c r="E295" i="5"/>
  <c r="E294" i="5"/>
  <c r="E287" i="5"/>
  <c r="E286" i="5"/>
  <c r="E283" i="5"/>
  <c r="E282" i="5"/>
  <c r="E275" i="5"/>
  <c r="E274" i="5"/>
  <c r="E271" i="5"/>
  <c r="E270" i="5"/>
  <c r="E267" i="5"/>
  <c r="E266" i="5"/>
  <c r="E259" i="5"/>
  <c r="E258" i="5"/>
  <c r="E255" i="5"/>
  <c r="E254" i="5"/>
  <c r="E251" i="5"/>
  <c r="E250" i="5"/>
  <c r="E247" i="5"/>
  <c r="E246" i="5"/>
  <c r="E243" i="5"/>
  <c r="E242" i="5"/>
  <c r="E239" i="5"/>
  <c r="E238" i="5"/>
  <c r="E235" i="5"/>
  <c r="E234" i="5"/>
  <c r="E231" i="5"/>
  <c r="E230" i="5"/>
  <c r="E227" i="5"/>
  <c r="E226" i="5"/>
  <c r="E223" i="5"/>
  <c r="E222" i="5"/>
  <c r="E219" i="5"/>
  <c r="E218" i="5"/>
  <c r="E215" i="5"/>
  <c r="E214" i="5"/>
  <c r="E211" i="5"/>
  <c r="E210" i="5"/>
  <c r="E207" i="5"/>
  <c r="E206" i="5"/>
  <c r="E203" i="5"/>
  <c r="E202" i="5"/>
  <c r="E195" i="5"/>
  <c r="E194" i="5"/>
  <c r="E191" i="5"/>
  <c r="E190" i="5"/>
  <c r="E187" i="5"/>
  <c r="E186" i="5"/>
  <c r="E183" i="5"/>
  <c r="E182" i="5"/>
  <c r="E179" i="5"/>
  <c r="E178" i="5"/>
  <c r="E175" i="5"/>
  <c r="E174" i="5"/>
  <c r="E171" i="5"/>
  <c r="E170" i="5"/>
  <c r="E167" i="5"/>
  <c r="E166" i="5"/>
  <c r="E163" i="5"/>
  <c r="E162" i="5"/>
  <c r="E159" i="5"/>
  <c r="E158" i="5"/>
  <c r="E155" i="5"/>
  <c r="E154" i="5"/>
  <c r="E151" i="5"/>
  <c r="E150" i="5"/>
  <c r="E147" i="5"/>
  <c r="E146" i="5"/>
  <c r="E143" i="5"/>
  <c r="E142" i="5"/>
  <c r="E139" i="5"/>
  <c r="E138" i="5"/>
  <c r="E131" i="5"/>
  <c r="E130" i="5"/>
  <c r="E127" i="5"/>
  <c r="E126" i="5"/>
  <c r="E123" i="5"/>
  <c r="E122" i="5"/>
  <c r="E119" i="5"/>
  <c r="E118" i="5"/>
  <c r="E115" i="5"/>
  <c r="E114" i="5"/>
  <c r="E111" i="5"/>
  <c r="E110" i="5"/>
  <c r="E107" i="5"/>
  <c r="E106" i="5"/>
  <c r="E103" i="5"/>
  <c r="E102" i="5"/>
  <c r="E99" i="5"/>
  <c r="E98" i="5"/>
  <c r="E95" i="5"/>
  <c r="E94" i="5"/>
  <c r="E91" i="5"/>
  <c r="E90" i="5"/>
  <c r="E87" i="5"/>
  <c r="E86" i="5"/>
  <c r="E79" i="5"/>
  <c r="E78" i="5"/>
  <c r="E75" i="5"/>
  <c r="E74" i="5"/>
  <c r="E67" i="5"/>
  <c r="E66" i="5"/>
  <c r="E63" i="5"/>
  <c r="E62" i="5"/>
  <c r="E59" i="5"/>
  <c r="E58" i="5"/>
  <c r="E55" i="5"/>
  <c r="E54" i="5"/>
  <c r="E51" i="5"/>
  <c r="E50" i="5"/>
  <c r="E47" i="5"/>
  <c r="E46" i="5"/>
  <c r="E43" i="5"/>
  <c r="E42" i="5"/>
  <c r="E39" i="5"/>
  <c r="E38" i="5"/>
  <c r="E35" i="5"/>
  <c r="E34" i="5"/>
  <c r="E31" i="5"/>
  <c r="E30" i="5"/>
  <c r="E27" i="5"/>
  <c r="E26" i="5"/>
  <c r="E23" i="5"/>
  <c r="E22" i="5"/>
  <c r="E19" i="5"/>
  <c r="E18" i="5"/>
  <c r="E15" i="5"/>
  <c r="E14" i="5"/>
  <c r="E11" i="5"/>
  <c r="E10" i="5"/>
  <c r="E1483" i="5"/>
  <c r="E1475" i="5"/>
  <c r="E1459" i="5"/>
  <c r="E1443" i="5"/>
  <c r="E1435" i="5"/>
  <c r="E1423" i="5"/>
  <c r="E1407" i="5"/>
  <c r="E1167" i="5"/>
  <c r="E1103" i="5"/>
  <c r="E1039" i="5"/>
  <c r="E975" i="5"/>
  <c r="E911" i="5"/>
  <c r="E847" i="5"/>
  <c r="E783" i="5"/>
  <c r="E719" i="5"/>
  <c r="E655" i="5"/>
  <c r="E462" i="5"/>
  <c r="E326" i="5"/>
  <c r="E70" i="5"/>
  <c r="E1487" i="5"/>
  <c r="E1479" i="5"/>
  <c r="E1471" i="5"/>
  <c r="E1463" i="5"/>
  <c r="E1455" i="5"/>
  <c r="E1447" i="5"/>
  <c r="E1439" i="5"/>
  <c r="E1431" i="5"/>
  <c r="E1415" i="5"/>
  <c r="E1399" i="5"/>
  <c r="E1135" i="5"/>
  <c r="E1071" i="5"/>
  <c r="E1007" i="5"/>
  <c r="E943" i="5"/>
  <c r="E879" i="5"/>
  <c r="E815" i="5"/>
  <c r="E751" i="5"/>
  <c r="E687" i="5"/>
  <c r="E623" i="5"/>
  <c r="E526" i="5"/>
  <c r="E398" i="5"/>
  <c r="E198" i="5"/>
  <c r="G1489" i="5"/>
  <c r="G1485" i="5"/>
  <c r="G1481" i="5"/>
  <c r="G1477" i="5"/>
  <c r="G1473" i="5"/>
  <c r="G1469" i="5"/>
  <c r="G1465" i="5"/>
  <c r="G1461" i="5"/>
  <c r="G1457" i="5"/>
  <c r="G1453" i="5"/>
  <c r="G1449" i="5"/>
  <c r="G1445" i="5"/>
  <c r="G1441" i="5"/>
  <c r="G1437" i="5"/>
  <c r="G1433" i="5"/>
  <c r="G1429" i="5"/>
  <c r="G1425" i="5"/>
  <c r="G1421" i="5"/>
  <c r="G1417" i="5"/>
  <c r="G1413" i="5"/>
  <c r="G1409" i="5"/>
  <c r="G1405" i="5"/>
  <c r="G1401" i="5"/>
  <c r="G1397" i="5"/>
  <c r="G1393" i="5"/>
  <c r="G1389" i="5"/>
  <c r="G1385" i="5"/>
  <c r="G1381" i="5"/>
  <c r="G1377" i="5"/>
  <c r="G1373" i="5"/>
  <c r="G1369" i="5"/>
  <c r="G1365" i="5"/>
  <c r="G1361" i="5"/>
  <c r="G1357" i="5"/>
  <c r="G1353" i="5"/>
  <c r="G1349" i="5"/>
  <c r="G1345" i="5"/>
  <c r="G1341" i="5"/>
  <c r="G1337" i="5"/>
  <c r="G1333" i="5"/>
  <c r="G1329" i="5"/>
  <c r="G1325" i="5"/>
  <c r="G1321" i="5"/>
  <c r="G1317" i="5"/>
  <c r="G1313" i="5"/>
  <c r="G1309" i="5"/>
  <c r="G1305" i="5"/>
  <c r="G1301" i="5"/>
  <c r="G1297" i="5"/>
  <c r="G1293" i="5"/>
  <c r="G1289" i="5"/>
  <c r="G1285" i="5"/>
  <c r="G1281" i="5"/>
  <c r="G1277" i="5"/>
  <c r="G1273" i="5"/>
  <c r="G1269" i="5"/>
  <c r="G1265" i="5"/>
  <c r="G1261" i="5"/>
  <c r="G1257" i="5"/>
  <c r="G1253" i="5"/>
  <c r="G1249" i="5"/>
  <c r="G1245" i="5"/>
  <c r="G1241" i="5"/>
  <c r="G1237" i="5"/>
  <c r="G1233" i="5"/>
  <c r="G1229" i="5"/>
  <c r="G1225" i="5"/>
  <c r="G1221" i="5"/>
  <c r="G1217" i="5"/>
  <c r="G1213" i="5"/>
  <c r="G1209" i="5"/>
  <c r="G1205" i="5"/>
  <c r="G1201" i="5"/>
  <c r="G1197" i="5"/>
  <c r="G1193" i="5"/>
  <c r="G1189" i="5"/>
  <c r="G1185" i="5"/>
  <c r="G1181" i="5"/>
  <c r="G1177" i="5"/>
  <c r="G1173" i="5"/>
  <c r="G1169" i="5"/>
  <c r="G1165" i="5"/>
  <c r="G1161" i="5"/>
  <c r="G1157" i="5"/>
  <c r="G1153" i="5"/>
  <c r="G1149" i="5"/>
  <c r="G1145" i="5"/>
  <c r="G1141" i="5"/>
  <c r="G1137" i="5"/>
  <c r="G1133" i="5"/>
  <c r="G1129" i="5"/>
  <c r="G1125" i="5"/>
  <c r="G1121" i="5"/>
  <c r="G1117" i="5"/>
  <c r="G1113" i="5"/>
  <c r="G1109" i="5"/>
  <c r="G1105" i="5"/>
  <c r="G1101" i="5"/>
  <c r="G1097" i="5"/>
  <c r="G1093" i="5"/>
  <c r="G1089" i="5"/>
  <c r="G1085" i="5"/>
  <c r="G1081" i="5"/>
  <c r="G1077" i="5"/>
  <c r="G1073" i="5"/>
  <c r="G1069" i="5"/>
  <c r="G1065" i="5"/>
  <c r="G1061" i="5"/>
  <c r="G1057" i="5"/>
  <c r="G1053" i="5"/>
  <c r="G1049" i="5"/>
  <c r="G1045" i="5"/>
  <c r="G1041" i="5"/>
  <c r="G1037" i="5"/>
  <c r="G1033" i="5"/>
  <c r="G1029" i="5"/>
  <c r="G1025" i="5"/>
  <c r="G1021" i="5"/>
  <c r="G1017" i="5"/>
  <c r="G1013" i="5"/>
  <c r="G1009" i="5"/>
  <c r="G1005" i="5"/>
  <c r="G1001" i="5"/>
  <c r="G997" i="5"/>
  <c r="G993" i="5"/>
  <c r="G989" i="5"/>
  <c r="G985" i="5"/>
  <c r="G981" i="5"/>
  <c r="G977" i="5"/>
  <c r="G973" i="5"/>
  <c r="G969" i="5"/>
  <c r="G965" i="5"/>
  <c r="G961" i="5"/>
  <c r="G957" i="5"/>
  <c r="G953" i="5"/>
  <c r="G949" i="5"/>
  <c r="G945" i="5"/>
  <c r="G941" i="5"/>
  <c r="G937" i="5"/>
  <c r="G933" i="5"/>
  <c r="G929" i="5"/>
  <c r="G925" i="5"/>
  <c r="G921" i="5"/>
  <c r="G917" i="5"/>
  <c r="G913" i="5"/>
  <c r="G909" i="5"/>
  <c r="G905" i="5"/>
  <c r="G901" i="5"/>
  <c r="G897" i="5"/>
  <c r="G893" i="5"/>
  <c r="G889" i="5"/>
  <c r="G885" i="5"/>
  <c r="G881" i="5"/>
  <c r="G877" i="5"/>
  <c r="G873" i="5"/>
  <c r="G869" i="5"/>
  <c r="G865" i="5"/>
  <c r="G861" i="5"/>
  <c r="G857" i="5"/>
  <c r="G853" i="5"/>
  <c r="G849" i="5"/>
  <c r="G845" i="5"/>
  <c r="G841" i="5"/>
  <c r="G837" i="5"/>
  <c r="G833" i="5"/>
  <c r="G829" i="5"/>
  <c r="G825" i="5"/>
  <c r="G821" i="5"/>
  <c r="G817" i="5"/>
  <c r="G813" i="5"/>
  <c r="G809" i="5"/>
  <c r="G805" i="5"/>
  <c r="G801" i="5"/>
  <c r="G797" i="5"/>
  <c r="G793" i="5"/>
  <c r="G789" i="5"/>
  <c r="G785" i="5"/>
  <c r="G781" i="5"/>
  <c r="G777" i="5"/>
  <c r="G773" i="5"/>
  <c r="G769" i="5"/>
  <c r="G765" i="5"/>
  <c r="G761" i="5"/>
  <c r="G757" i="5"/>
  <c r="G753" i="5"/>
  <c r="G749" i="5"/>
  <c r="G745" i="5"/>
  <c r="G741" i="5"/>
  <c r="G737" i="5"/>
  <c r="G733" i="5"/>
  <c r="G729" i="5"/>
  <c r="G725" i="5"/>
  <c r="G721" i="5"/>
  <c r="G717" i="5"/>
  <c r="G713" i="5"/>
  <c r="G709" i="5"/>
  <c r="G705" i="5"/>
  <c r="G701" i="5"/>
  <c r="G697" i="5"/>
  <c r="G693" i="5"/>
  <c r="G689" i="5"/>
  <c r="G685" i="5"/>
  <c r="G681" i="5"/>
  <c r="G677" i="5"/>
  <c r="G673" i="5"/>
  <c r="G669" i="5"/>
  <c r="G665" i="5"/>
  <c r="G661" i="5"/>
  <c r="G657" i="5"/>
  <c r="G653" i="5"/>
  <c r="G649" i="5"/>
  <c r="G645" i="5"/>
  <c r="G641" i="5"/>
  <c r="G637" i="5"/>
  <c r="G633" i="5"/>
  <c r="G629" i="5"/>
  <c r="G625" i="5"/>
  <c r="G621" i="5"/>
  <c r="G617" i="5"/>
  <c r="G613" i="5"/>
  <c r="G609" i="5"/>
  <c r="G605" i="5"/>
  <c r="G601" i="5"/>
  <c r="G597" i="5"/>
  <c r="G593" i="5"/>
  <c r="G589" i="5"/>
  <c r="G585" i="5"/>
  <c r="G581" i="5"/>
  <c r="G577" i="5"/>
  <c r="G573" i="5"/>
  <c r="G569" i="5"/>
  <c r="G565" i="5"/>
  <c r="G561" i="5"/>
  <c r="G557" i="5"/>
  <c r="G553" i="5"/>
  <c r="G549" i="5"/>
  <c r="G545" i="5"/>
  <c r="G541" i="5"/>
  <c r="G537" i="5"/>
  <c r="G533" i="5"/>
  <c r="G529" i="5"/>
  <c r="G525" i="5"/>
  <c r="G521" i="5"/>
  <c r="G517" i="5"/>
  <c r="G513" i="5"/>
  <c r="G509" i="5"/>
  <c r="G505" i="5"/>
  <c r="G501" i="5"/>
  <c r="G497" i="5"/>
  <c r="G493" i="5"/>
  <c r="G489" i="5"/>
  <c r="G485" i="5"/>
  <c r="G481" i="5"/>
  <c r="G477" i="5"/>
  <c r="G473" i="5"/>
  <c r="G469" i="5"/>
  <c r="G465" i="5"/>
  <c r="G461" i="5"/>
  <c r="G457" i="5"/>
  <c r="G453" i="5"/>
  <c r="G449" i="5"/>
  <c r="G445" i="5"/>
  <c r="G441" i="5"/>
  <c r="G437" i="5"/>
  <c r="G433" i="5"/>
  <c r="G429" i="5"/>
  <c r="G425" i="5"/>
  <c r="G421" i="5"/>
  <c r="G417" i="5"/>
  <c r="G413" i="5"/>
  <c r="G409" i="5"/>
  <c r="G405" i="5"/>
  <c r="G401" i="5"/>
  <c r="G397" i="5"/>
  <c r="G393" i="5"/>
  <c r="G389" i="5"/>
  <c r="G385" i="5"/>
  <c r="G381" i="5"/>
  <c r="G377" i="5"/>
  <c r="G373" i="5"/>
  <c r="G369" i="5"/>
  <c r="G365" i="5"/>
  <c r="G361" i="5"/>
  <c r="G357" i="5"/>
  <c r="G353" i="5"/>
  <c r="G349" i="5"/>
  <c r="G345" i="5"/>
  <c r="G341" i="5"/>
  <c r="G337" i="5"/>
  <c r="G333" i="5"/>
  <c r="G329" i="5"/>
  <c r="G325" i="5"/>
  <c r="G321" i="5"/>
  <c r="G317" i="5"/>
  <c r="G313" i="5"/>
  <c r="G309" i="5"/>
  <c r="G305" i="5"/>
  <c r="G301" i="5"/>
  <c r="G297" i="5"/>
  <c r="G293" i="5"/>
  <c r="G289" i="5"/>
  <c r="G285" i="5"/>
  <c r="G281" i="5"/>
  <c r="G277" i="5"/>
  <c r="G273" i="5"/>
  <c r="G269" i="5"/>
  <c r="G265" i="5"/>
  <c r="G261" i="5"/>
  <c r="G257" i="5"/>
  <c r="G253" i="5"/>
  <c r="G249" i="5"/>
  <c r="G245" i="5"/>
  <c r="G241" i="5"/>
  <c r="G237" i="5"/>
  <c r="G233" i="5"/>
  <c r="G229" i="5"/>
  <c r="G225" i="5"/>
  <c r="G221" i="5"/>
  <c r="G217" i="5"/>
  <c r="G213" i="5"/>
  <c r="G209" i="5"/>
  <c r="G205" i="5"/>
  <c r="G201" i="5"/>
  <c r="G197" i="5"/>
  <c r="G193" i="5"/>
  <c r="G189" i="5"/>
  <c r="G185" i="5"/>
  <c r="G3" i="5"/>
  <c r="G181" i="5"/>
  <c r="G177" i="5"/>
  <c r="G173" i="5"/>
  <c r="G169" i="5"/>
  <c r="G165" i="5"/>
  <c r="G161" i="5"/>
  <c r="G157" i="5"/>
  <c r="G153" i="5"/>
  <c r="G149" i="5"/>
  <c r="G145" i="5"/>
  <c r="G141" i="5"/>
  <c r="G137" i="5"/>
  <c r="G133" i="5"/>
  <c r="G129" i="5"/>
  <c r="G125" i="5"/>
  <c r="G121" i="5"/>
  <c r="G117" i="5"/>
  <c r="G113" i="5"/>
  <c r="G109" i="5"/>
  <c r="G105" i="5"/>
  <c r="G101" i="5"/>
  <c r="G97" i="5"/>
  <c r="G93" i="5"/>
  <c r="G89" i="5"/>
  <c r="G85" i="5"/>
  <c r="G81" i="5"/>
  <c r="G77" i="5"/>
  <c r="G73" i="5"/>
  <c r="G69" i="5"/>
  <c r="G65" i="5"/>
  <c r="G61" i="5"/>
  <c r="G57" i="5"/>
  <c r="G53" i="5"/>
  <c r="G49" i="5"/>
  <c r="G45" i="5"/>
  <c r="G41" i="5"/>
  <c r="G37" i="5"/>
  <c r="G33" i="5"/>
  <c r="G29" i="5"/>
  <c r="G25" i="5"/>
  <c r="G21" i="5"/>
  <c r="G17" i="5"/>
  <c r="G13" i="5"/>
  <c r="G9" i="5"/>
  <c r="G5" i="5"/>
  <c r="H1492" i="5"/>
  <c r="H1488" i="5"/>
  <c r="H1484" i="5"/>
  <c r="H1480" i="5"/>
  <c r="H1476" i="5"/>
  <c r="H1472" i="5"/>
  <c r="H1468" i="5"/>
  <c r="H1464" i="5"/>
  <c r="H1460" i="5"/>
  <c r="H1456" i="5"/>
  <c r="H1452" i="5"/>
  <c r="H1448" i="5"/>
  <c r="H1444" i="5"/>
  <c r="H1440" i="5"/>
  <c r="H1436" i="5"/>
  <c r="H1432" i="5"/>
  <c r="H1428" i="5"/>
  <c r="H1424" i="5"/>
  <c r="H1420" i="5"/>
  <c r="H1416" i="5"/>
  <c r="H1412" i="5"/>
  <c r="H1408" i="5"/>
  <c r="H1404" i="5"/>
  <c r="H1400" i="5"/>
  <c r="H1396" i="5"/>
  <c r="H1392" i="5"/>
  <c r="H1388" i="5"/>
  <c r="H1384" i="5"/>
  <c r="H1380" i="5"/>
  <c r="H1376" i="5"/>
  <c r="H1372" i="5"/>
  <c r="H1368" i="5"/>
  <c r="H1364" i="5"/>
  <c r="H1360" i="5"/>
  <c r="H1356" i="5"/>
  <c r="H1352" i="5"/>
  <c r="H1348" i="5"/>
  <c r="H1344" i="5"/>
  <c r="H1340" i="5"/>
  <c r="H1336" i="5"/>
  <c r="H1332" i="5"/>
  <c r="H1328" i="5"/>
  <c r="H1324" i="5"/>
  <c r="H1320" i="5"/>
  <c r="H1316" i="5"/>
  <c r="H1312" i="5"/>
  <c r="H1308" i="5"/>
  <c r="H1304" i="5"/>
  <c r="H1300" i="5"/>
  <c r="H1296" i="5"/>
  <c r="H1292" i="5"/>
  <c r="H1288" i="5"/>
  <c r="H1284" i="5"/>
  <c r="H1280" i="5"/>
  <c r="H1276" i="5"/>
  <c r="H1272" i="5"/>
  <c r="H1268" i="5"/>
  <c r="H1264" i="5"/>
  <c r="H1260" i="5"/>
  <c r="H1256" i="5"/>
  <c r="H1252" i="5"/>
  <c r="H1248" i="5"/>
  <c r="H1244" i="5"/>
  <c r="H1240" i="5"/>
  <c r="H1236" i="5"/>
  <c r="H1232" i="5"/>
  <c r="H1228" i="5"/>
  <c r="H1224" i="5"/>
  <c r="H1220" i="5"/>
  <c r="H1216" i="5"/>
  <c r="H1212" i="5"/>
  <c r="H1208" i="5"/>
  <c r="H1204" i="5"/>
  <c r="H1200" i="5"/>
  <c r="H1196" i="5"/>
  <c r="H1192" i="5"/>
  <c r="H1188" i="5"/>
  <c r="H1184" i="5"/>
  <c r="H1180" i="5"/>
  <c r="H1176" i="5"/>
  <c r="H1172" i="5"/>
  <c r="H1168" i="5"/>
  <c r="H1164" i="5"/>
  <c r="H1160" i="5"/>
  <c r="H1156" i="5"/>
  <c r="H1152" i="5"/>
  <c r="H1148" i="5"/>
  <c r="H1144" i="5"/>
  <c r="H1140" i="5"/>
  <c r="H1136" i="5"/>
  <c r="H1132" i="5"/>
  <c r="H1128" i="5"/>
  <c r="H1124" i="5"/>
  <c r="H1120" i="5"/>
  <c r="H1116" i="5"/>
  <c r="H1112" i="5"/>
  <c r="H1108" i="5"/>
  <c r="H1104" i="5"/>
  <c r="H1100" i="5"/>
  <c r="H1096" i="5"/>
  <c r="H1092" i="5"/>
  <c r="H1088" i="5"/>
  <c r="H1084" i="5"/>
  <c r="H1080" i="5"/>
  <c r="H1076" i="5"/>
  <c r="H1072" i="5"/>
  <c r="H1068" i="5"/>
  <c r="H1064" i="5"/>
  <c r="H1060" i="5"/>
  <c r="H1056" i="5"/>
  <c r="H1052" i="5"/>
  <c r="H1048" i="5"/>
  <c r="H1044" i="5"/>
  <c r="H1040" i="5"/>
  <c r="H1036" i="5"/>
  <c r="H1032" i="5"/>
  <c r="H1028" i="5"/>
  <c r="H1024" i="5"/>
  <c r="H1020" i="5"/>
  <c r="H1016" i="5"/>
  <c r="H1012" i="5"/>
  <c r="H1008" i="5"/>
  <c r="H1004" i="5"/>
  <c r="H1000" i="5"/>
  <c r="H996" i="5"/>
  <c r="H992" i="5"/>
  <c r="H988" i="5"/>
  <c r="H984" i="5"/>
  <c r="H980" i="5"/>
  <c r="H976" i="5"/>
  <c r="H972" i="5"/>
  <c r="H968" i="5"/>
  <c r="H964" i="5"/>
  <c r="H960" i="5"/>
  <c r="H956" i="5"/>
  <c r="H952" i="5"/>
  <c r="H948" i="5"/>
  <c r="H944" i="5"/>
  <c r="H940" i="5"/>
  <c r="H928" i="5"/>
  <c r="H924" i="5"/>
  <c r="H912" i="5"/>
  <c r="H908" i="5"/>
  <c r="H896" i="5"/>
  <c r="H892" i="5"/>
  <c r="H880" i="5"/>
  <c r="H876" i="5"/>
  <c r="H864" i="5"/>
  <c r="H860" i="5"/>
  <c r="H848" i="5"/>
  <c r="H844" i="5"/>
  <c r="H832" i="5"/>
  <c r="H828" i="5"/>
  <c r="H816" i="5"/>
  <c r="H812" i="5"/>
  <c r="H800" i="5"/>
  <c r="H796" i="5"/>
  <c r="H784" i="5"/>
  <c r="H780" i="5"/>
  <c r="H764" i="5"/>
  <c r="H748" i="5"/>
  <c r="H728" i="5"/>
  <c r="H720" i="5"/>
  <c r="H692" i="5"/>
  <c r="H664" i="5"/>
  <c r="H656" i="5"/>
  <c r="H628" i="5"/>
  <c r="H600" i="5"/>
  <c r="H592" i="5"/>
  <c r="H564" i="5"/>
  <c r="H536" i="5"/>
  <c r="H528" i="5"/>
  <c r="H456" i="5"/>
  <c r="H428" i="5"/>
  <c r="H400" i="5"/>
  <c r="H380" i="5"/>
  <c r="H360" i="5"/>
  <c r="H352" i="5"/>
  <c r="H332" i="5"/>
  <c r="H328" i="5"/>
  <c r="H324" i="5"/>
  <c r="H320" i="5"/>
  <c r="H316" i="5"/>
  <c r="H312" i="5"/>
  <c r="H308" i="5"/>
  <c r="H304" i="5"/>
  <c r="H300" i="5"/>
  <c r="H296" i="5"/>
  <c r="H292" i="5"/>
  <c r="H288" i="5"/>
  <c r="H284" i="5"/>
  <c r="H280" i="5"/>
  <c r="H268" i="5"/>
  <c r="H264" i="5"/>
  <c r="H260" i="5"/>
  <c r="H256" i="5"/>
  <c r="H252" i="5"/>
  <c r="H248" i="5"/>
  <c r="H244" i="5"/>
  <c r="H240" i="5"/>
  <c r="H236" i="5"/>
  <c r="H232" i="5"/>
  <c r="H228" i="5"/>
  <c r="H224" i="5"/>
  <c r="H220" i="5"/>
  <c r="H216" i="5"/>
  <c r="H212" i="5"/>
  <c r="H208" i="5"/>
  <c r="H204" i="5"/>
  <c r="H200" i="5"/>
  <c r="F1470" i="5"/>
  <c r="F1471" i="5"/>
  <c r="F1454" i="5"/>
  <c r="F1455" i="5"/>
  <c r="F1422" i="5"/>
  <c r="F1423" i="5"/>
  <c r="F1406" i="5"/>
  <c r="F1407" i="5"/>
  <c r="F1438" i="5"/>
  <c r="F1439" i="5"/>
  <c r="F1390" i="5"/>
  <c r="F1391" i="5"/>
  <c r="F1374" i="5"/>
  <c r="F1375" i="5"/>
  <c r="F1310" i="5"/>
  <c r="F1311" i="5"/>
  <c r="F1278" i="5"/>
  <c r="F1279" i="5"/>
  <c r="F1246" i="5"/>
  <c r="F1247" i="5"/>
  <c r="F1214" i="5"/>
  <c r="F1215" i="5"/>
  <c r="F1198" i="5"/>
  <c r="F1199" i="5"/>
  <c r="F1182" i="5"/>
  <c r="F1183" i="5"/>
  <c r="F1491" i="5"/>
  <c r="F1479" i="5"/>
  <c r="F1463" i="5"/>
  <c r="F1447" i="5"/>
  <c r="F1431" i="5"/>
  <c r="F1415" i="5"/>
  <c r="F1319" i="5"/>
  <c r="F1303" i="5"/>
  <c r="F1287" i="5"/>
  <c r="F1223" i="5"/>
  <c r="F1191" i="5"/>
  <c r="F1382" i="5"/>
  <c r="F1366" i="5"/>
  <c r="F1350" i="5"/>
  <c r="F1334" i="5"/>
  <c r="F1270" i="5"/>
  <c r="F1254" i="5"/>
  <c r="F1238" i="5"/>
  <c r="F1206" i="5"/>
  <c r="F1358" i="5"/>
  <c r="F1359" i="5"/>
  <c r="F1342" i="5"/>
  <c r="F1343" i="5"/>
  <c r="F1326" i="5"/>
  <c r="F1327" i="5"/>
  <c r="F1294" i="5"/>
  <c r="F1295" i="5"/>
  <c r="F1262" i="5"/>
  <c r="F1263" i="5"/>
  <c r="F1230" i="5"/>
  <c r="F1231" i="5"/>
  <c r="F1399" i="5"/>
  <c r="F1483" i="5"/>
  <c r="F1467" i="5"/>
  <c r="F1451" i="5"/>
  <c r="F1435" i="5"/>
  <c r="F1419" i="5"/>
  <c r="F1403" i="5"/>
  <c r="F1387" i="5"/>
  <c r="F1371" i="5"/>
  <c r="F1355" i="5"/>
  <c r="F1339" i="5"/>
  <c r="F1323" i="5"/>
  <c r="F1307" i="5"/>
  <c r="F1291" i="5"/>
  <c r="F1275" i="5"/>
  <c r="F1259" i="5"/>
  <c r="F1243" i="5"/>
  <c r="F1227" i="5"/>
  <c r="F1211" i="5"/>
  <c r="F1195" i="5"/>
  <c r="F1167" i="5"/>
  <c r="F1151" i="5"/>
  <c r="F1135" i="5"/>
  <c r="F1405" i="5"/>
  <c r="F1377" i="5"/>
  <c r="F1349" i="5"/>
  <c r="F1265" i="5"/>
  <c r="F1009" i="5"/>
  <c r="F881" i="5"/>
  <c r="F1469" i="5"/>
  <c r="F1137" i="5"/>
  <c r="F213" i="5"/>
  <c r="F1489" i="5"/>
  <c r="F1485" i="5"/>
  <c r="F1481" i="5"/>
  <c r="F1477" i="5"/>
  <c r="F1473" i="5"/>
  <c r="F1465" i="5"/>
  <c r="F1461" i="5"/>
  <c r="F1457" i="5"/>
  <c r="F1453" i="5"/>
  <c r="F1449" i="5"/>
  <c r="F1445" i="5"/>
  <c r="F1441" i="5"/>
  <c r="F1437" i="5"/>
  <c r="F1433" i="5"/>
  <c r="F1429" i="5"/>
  <c r="F1425" i="5"/>
  <c r="F1421" i="5"/>
  <c r="F1417" i="5"/>
  <c r="F1413" i="5"/>
  <c r="F1409" i="5"/>
  <c r="F1401" i="5"/>
  <c r="F1397" i="5"/>
  <c r="F1393" i="5"/>
  <c r="F1389" i="5"/>
  <c r="F1385" i="5"/>
  <c r="F1381" i="5"/>
  <c r="F1373" i="5"/>
  <c r="F1369" i="5"/>
  <c r="F1365" i="5"/>
  <c r="F1361" i="5"/>
  <c r="F1357" i="5"/>
  <c r="F1353" i="5"/>
  <c r="F1345" i="5"/>
  <c r="F1341" i="5"/>
  <c r="F1337" i="5"/>
  <c r="F1333" i="5"/>
  <c r="F1329" i="5"/>
  <c r="F1325" i="5"/>
  <c r="F1321" i="5"/>
  <c r="F1317" i="5"/>
  <c r="F1313" i="5"/>
  <c r="F1309" i="5"/>
  <c r="F1305" i="5"/>
  <c r="F1301" i="5"/>
  <c r="F1297" i="5"/>
  <c r="F1293" i="5"/>
  <c r="F1289" i="5"/>
  <c r="F1285" i="5"/>
  <c r="F1281" i="5"/>
  <c r="F1277" i="5"/>
  <c r="F1273" i="5"/>
  <c r="F1269" i="5"/>
  <c r="F1261" i="5"/>
  <c r="F1257" i="5"/>
  <c r="F1253" i="5"/>
  <c r="F1249" i="5"/>
  <c r="F1245" i="5"/>
  <c r="F1241" i="5"/>
  <c r="F1237" i="5"/>
  <c r="F1233" i="5"/>
  <c r="F1229" i="5"/>
  <c r="F1225" i="5"/>
  <c r="F1221" i="5"/>
  <c r="F1217" i="5"/>
  <c r="F1213" i="5"/>
  <c r="F1209" i="5"/>
  <c r="F1205" i="5"/>
  <c r="F1201" i="5"/>
  <c r="F1197" i="5"/>
  <c r="F1193" i="5"/>
  <c r="F1189" i="5"/>
  <c r="F1185" i="5"/>
  <c r="F1181" i="5"/>
  <c r="F1177" i="5"/>
  <c r="F1173" i="5"/>
  <c r="F1169" i="5"/>
  <c r="F1165" i="5"/>
  <c r="F1161" i="5"/>
  <c r="F1157" i="5"/>
  <c r="F1153" i="5"/>
  <c r="F1149" i="5"/>
  <c r="F1145" i="5"/>
  <c r="F1141" i="5"/>
  <c r="F1133" i="5"/>
  <c r="F1129" i="5"/>
  <c r="F1125" i="5"/>
  <c r="F1121" i="5"/>
  <c r="F1117" i="5"/>
  <c r="F1113" i="5"/>
  <c r="F1109" i="5"/>
  <c r="F1105" i="5"/>
  <c r="F1101" i="5"/>
  <c r="F1097" i="5"/>
  <c r="F1093" i="5"/>
  <c r="F1089" i="5"/>
  <c r="F1085" i="5"/>
  <c r="F1081" i="5"/>
  <c r="F1077" i="5"/>
  <c r="F1073" i="5"/>
  <c r="F1069" i="5"/>
  <c r="F1065" i="5"/>
  <c r="F1061" i="5"/>
  <c r="F1057" i="5"/>
  <c r="F1053" i="5"/>
  <c r="F1049" i="5"/>
  <c r="F1045" i="5"/>
  <c r="F1041" i="5"/>
  <c r="F1037" i="5"/>
  <c r="F1033" i="5"/>
  <c r="F1029" i="5"/>
  <c r="F1025" i="5"/>
  <c r="F1021" i="5"/>
  <c r="F1017" i="5"/>
  <c r="F1013" i="5"/>
  <c r="F1005" i="5"/>
  <c r="F1001" i="5"/>
  <c r="F997" i="5"/>
  <c r="F993" i="5"/>
  <c r="F989" i="5"/>
  <c r="F985" i="5"/>
  <c r="F981" i="5"/>
  <c r="F977" i="5"/>
  <c r="F973" i="5"/>
  <c r="F969" i="5"/>
  <c r="F965" i="5"/>
  <c r="F961" i="5"/>
  <c r="F957" i="5"/>
  <c r="F953" i="5"/>
  <c r="F949" i="5"/>
  <c r="F945" i="5"/>
  <c r="F941" i="5"/>
  <c r="F937" i="5"/>
  <c r="F933" i="5"/>
  <c r="F929" i="5"/>
  <c r="F925" i="5"/>
  <c r="F921" i="5"/>
  <c r="F917" i="5"/>
  <c r="F913" i="5"/>
  <c r="F909" i="5"/>
  <c r="F905" i="5"/>
  <c r="F901" i="5"/>
  <c r="F897" i="5"/>
  <c r="F893" i="5"/>
  <c r="F889" i="5"/>
  <c r="F885" i="5"/>
  <c r="F877" i="5"/>
  <c r="F873" i="5"/>
  <c r="F869" i="5"/>
  <c r="F865" i="5"/>
  <c r="F861" i="5"/>
  <c r="F857" i="5"/>
  <c r="F853" i="5"/>
  <c r="F849" i="5"/>
  <c r="F845" i="5"/>
  <c r="F841" i="5"/>
  <c r="F837" i="5"/>
  <c r="F833" i="5"/>
  <c r="F829" i="5"/>
  <c r="F825" i="5"/>
  <c r="F821" i="5"/>
  <c r="F817" i="5"/>
  <c r="F813" i="5"/>
  <c r="F809" i="5"/>
  <c r="F805" i="5"/>
  <c r="F801" i="5"/>
  <c r="F797" i="5"/>
  <c r="F793" i="5"/>
  <c r="F789" i="5"/>
  <c r="F785" i="5"/>
  <c r="F781" i="5"/>
  <c r="F777" i="5"/>
  <c r="F773" i="5"/>
  <c r="F769" i="5"/>
  <c r="F765" i="5"/>
  <c r="F761" i="5"/>
  <c r="F757" i="5"/>
  <c r="F753" i="5"/>
  <c r="F749" i="5"/>
  <c r="F745" i="5"/>
  <c r="F741" i="5"/>
  <c r="F737" i="5"/>
  <c r="F733" i="5"/>
  <c r="F729" i="5"/>
  <c r="F725" i="5"/>
  <c r="F721" i="5"/>
  <c r="F717" i="5"/>
  <c r="F713" i="5"/>
  <c r="F709" i="5"/>
  <c r="F705" i="5"/>
  <c r="F701" i="5"/>
  <c r="F697" i="5"/>
  <c r="F665" i="5"/>
  <c r="F609" i="5"/>
  <c r="F541" i="5"/>
  <c r="F477" i="5"/>
  <c r="F349" i="5"/>
  <c r="F141" i="5"/>
  <c r="F13" i="5"/>
  <c r="F413" i="5"/>
  <c r="F637" i="5"/>
  <c r="F547" i="5"/>
  <c r="F543" i="5"/>
  <c r="F539" i="5"/>
  <c r="F535" i="5"/>
  <c r="F531" i="5"/>
  <c r="F527" i="5"/>
  <c r="F523" i="5"/>
  <c r="F519" i="5"/>
  <c r="F515" i="5"/>
  <c r="F511" i="5"/>
  <c r="F507" i="5"/>
  <c r="F503" i="5"/>
  <c r="F499" i="5"/>
  <c r="F495" i="5"/>
  <c r="F491" i="5"/>
  <c r="F487" i="5"/>
  <c r="F483" i="5"/>
  <c r="F479" i="5"/>
  <c r="F475" i="5"/>
  <c r="F471" i="5"/>
  <c r="F467" i="5"/>
  <c r="F463" i="5"/>
  <c r="F459" i="5"/>
  <c r="F455" i="5"/>
  <c r="F451" i="5"/>
  <c r="F447" i="5"/>
  <c r="F443" i="5"/>
  <c r="F439" i="5"/>
  <c r="F435" i="5"/>
  <c r="F431" i="5"/>
  <c r="F427" i="5"/>
  <c r="F423" i="5"/>
  <c r="F419" i="5"/>
  <c r="F415" i="5"/>
  <c r="F411" i="5"/>
  <c r="F407" i="5"/>
  <c r="F403" i="5"/>
  <c r="F399" i="5"/>
  <c r="F395" i="5"/>
  <c r="F391" i="5"/>
  <c r="F387" i="5"/>
  <c r="F383" i="5"/>
  <c r="F379" i="5"/>
  <c r="F375" i="5"/>
  <c r="F371" i="5"/>
  <c r="F367" i="5"/>
  <c r="F363" i="5"/>
  <c r="F359" i="5"/>
  <c r="F355" i="5"/>
  <c r="F351" i="5"/>
  <c r="F347" i="5"/>
  <c r="F343" i="5"/>
  <c r="F339" i="5"/>
  <c r="F335" i="5"/>
  <c r="F331" i="5"/>
  <c r="F327" i="5"/>
  <c r="F323" i="5"/>
  <c r="F319" i="5"/>
  <c r="F315" i="5"/>
  <c r="F311" i="5"/>
  <c r="F307" i="5"/>
  <c r="F303" i="5"/>
  <c r="F295" i="5"/>
  <c r="F291" i="5"/>
  <c r="F287" i="5"/>
  <c r="F283" i="5"/>
  <c r="F279" i="5"/>
  <c r="F275" i="5"/>
  <c r="F267" i="5"/>
  <c r="F263" i="5"/>
  <c r="F259" i="5"/>
  <c r="F255" i="5"/>
  <c r="F251" i="5"/>
  <c r="F247" i="5"/>
  <c r="F239" i="5"/>
  <c r="F235" i="5"/>
  <c r="F231" i="5"/>
  <c r="F227" i="5"/>
  <c r="F223" i="5"/>
  <c r="F219" i="5"/>
  <c r="F215" i="5"/>
  <c r="F211" i="5"/>
  <c r="F207" i="5"/>
  <c r="F203" i="5"/>
  <c r="F199" i="5"/>
  <c r="F195" i="5"/>
  <c r="F191" i="5"/>
  <c r="F187" i="5"/>
  <c r="F183" i="5"/>
  <c r="F179" i="5"/>
  <c r="F175" i="5"/>
  <c r="F171" i="5"/>
  <c r="F167" i="5"/>
  <c r="F163" i="5"/>
  <c r="F159" i="5"/>
  <c r="F155" i="5"/>
  <c r="F151" i="5"/>
  <c r="F147" i="5"/>
  <c r="F143" i="5"/>
  <c r="F139" i="5"/>
  <c r="F135" i="5"/>
  <c r="F131" i="5"/>
  <c r="F127" i="5"/>
  <c r="F123" i="5"/>
  <c r="F119" i="5"/>
  <c r="F115" i="5"/>
  <c r="F111" i="5"/>
  <c r="F107" i="5"/>
  <c r="F103" i="5"/>
  <c r="F95" i="5"/>
  <c r="F91" i="5"/>
  <c r="F87" i="5"/>
  <c r="F83" i="5"/>
  <c r="F79" i="5"/>
  <c r="F75" i="5"/>
  <c r="F71" i="5"/>
  <c r="F67" i="5"/>
  <c r="F63" i="5"/>
  <c r="F59" i="5"/>
  <c r="F55" i="5"/>
  <c r="F51" i="5"/>
  <c r="F47" i="5"/>
  <c r="F43" i="5"/>
  <c r="F39" i="5"/>
  <c r="F35" i="5"/>
  <c r="F31" i="5"/>
  <c r="F27" i="5"/>
  <c r="F23" i="5"/>
  <c r="F19" i="5"/>
  <c r="F15" i="5"/>
  <c r="F11" i="5"/>
  <c r="F7" i="5"/>
  <c r="F3" i="5"/>
  <c r="G1046" i="5"/>
  <c r="F693" i="5"/>
  <c r="F689" i="5"/>
  <c r="F685" i="5"/>
  <c r="F681" i="5"/>
  <c r="F677" i="5"/>
  <c r="F673" i="5"/>
  <c r="F669" i="5"/>
  <c r="F661" i="5"/>
  <c r="F657" i="5"/>
  <c r="F653" i="5"/>
  <c r="F649" i="5"/>
  <c r="F645" i="5"/>
  <c r="F641" i="5"/>
  <c r="F633" i="5"/>
  <c r="F629" i="5"/>
  <c r="F625" i="5"/>
  <c r="F621" i="5"/>
  <c r="F617" i="5"/>
  <c r="F613" i="5"/>
  <c r="F605" i="5"/>
  <c r="F601" i="5"/>
  <c r="F597" i="5"/>
  <c r="F593" i="5"/>
  <c r="F589" i="5"/>
  <c r="F585" i="5"/>
  <c r="F581" i="5"/>
  <c r="F577" i="5"/>
  <c r="F573" i="5"/>
  <c r="F569" i="5"/>
  <c r="F565" i="5"/>
  <c r="F561" i="5"/>
  <c r="F557" i="5"/>
  <c r="F553" i="5"/>
  <c r="F549" i="5"/>
  <c r="F545" i="5"/>
  <c r="F537" i="5"/>
  <c r="F533" i="5"/>
  <c r="F529" i="5"/>
  <c r="F525" i="5"/>
  <c r="F521" i="5"/>
  <c r="F517" i="5"/>
  <c r="F513" i="5"/>
  <c r="F509" i="5"/>
  <c r="F505" i="5"/>
  <c r="F501" i="5"/>
  <c r="F497" i="5"/>
  <c r="F493" i="5"/>
  <c r="F489" i="5"/>
  <c r="F485" i="5"/>
  <c r="F481" i="5"/>
  <c r="F473" i="5"/>
  <c r="F469" i="5"/>
  <c r="F465" i="5"/>
  <c r="F461" i="5"/>
  <c r="F457" i="5"/>
  <c r="F453" i="5"/>
  <c r="F449" i="5"/>
  <c r="F445" i="5"/>
  <c r="F441" i="5"/>
  <c r="F437" i="5"/>
  <c r="F433" i="5"/>
  <c r="F429" i="5"/>
  <c r="F425" i="5"/>
  <c r="F421" i="5"/>
  <c r="F417" i="5"/>
  <c r="F409" i="5"/>
  <c r="F405" i="5"/>
  <c r="F401" i="5"/>
  <c r="F397" i="5"/>
  <c r="F393" i="5"/>
  <c r="F389" i="5"/>
  <c r="F385" i="5"/>
  <c r="F381" i="5"/>
  <c r="F377" i="5"/>
  <c r="F373" i="5"/>
  <c r="F369" i="5"/>
  <c r="F365" i="5"/>
  <c r="F361" i="5"/>
  <c r="F357" i="5"/>
  <c r="F353" i="5"/>
  <c r="F345" i="5"/>
  <c r="F341" i="5"/>
  <c r="F337" i="5"/>
  <c r="F333" i="5"/>
  <c r="F329" i="5"/>
  <c r="F325" i="5"/>
  <c r="F321" i="5"/>
  <c r="F317" i="5"/>
  <c r="F313" i="5"/>
  <c r="F309" i="5"/>
  <c r="F305" i="5"/>
  <c r="F301" i="5"/>
  <c r="F297" i="5"/>
  <c r="F293" i="5"/>
  <c r="F289" i="5"/>
  <c r="F285" i="5"/>
  <c r="F281" i="5"/>
  <c r="F277" i="5"/>
  <c r="F273" i="5"/>
  <c r="F269" i="5"/>
  <c r="F265" i="5"/>
  <c r="F261" i="5"/>
  <c r="F257" i="5"/>
  <c r="F253" i="5"/>
  <c r="F249" i="5"/>
  <c r="F245" i="5"/>
  <c r="F241" i="5"/>
  <c r="F237" i="5"/>
  <c r="F233" i="5"/>
  <c r="F229" i="5"/>
  <c r="F225" i="5"/>
  <c r="F221" i="5"/>
  <c r="F217" i="5"/>
  <c r="F209" i="5"/>
  <c r="F205" i="5"/>
  <c r="F201" i="5"/>
  <c r="F197" i="5"/>
  <c r="F193" i="5"/>
  <c r="F189" i="5"/>
  <c r="F185" i="5"/>
  <c r="F181" i="5"/>
  <c r="F177" i="5"/>
  <c r="F173" i="5"/>
  <c r="F169" i="5"/>
  <c r="F165" i="5"/>
  <c r="F161" i="5"/>
  <c r="F157" i="5"/>
  <c r="F153" i="5"/>
  <c r="F149" i="5"/>
  <c r="F145" i="5"/>
  <c r="F137" i="5"/>
  <c r="F133" i="5"/>
  <c r="F129" i="5"/>
  <c r="F125" i="5"/>
  <c r="F121" i="5"/>
  <c r="F117" i="5"/>
  <c r="F113" i="5"/>
  <c r="F109" i="5"/>
  <c r="F105" i="5"/>
  <c r="F101" i="5"/>
  <c r="F97" i="5"/>
  <c r="F93" i="5"/>
  <c r="F89" i="5"/>
  <c r="F85" i="5"/>
  <c r="F81" i="5"/>
  <c r="F77" i="5"/>
  <c r="F73" i="5"/>
  <c r="F69" i="5"/>
  <c r="F65" i="5"/>
  <c r="F61" i="5"/>
  <c r="F57" i="5"/>
  <c r="F53" i="5"/>
  <c r="F49" i="5"/>
  <c r="F45" i="5"/>
  <c r="F41" i="5"/>
  <c r="F37" i="5"/>
  <c r="F33" i="5"/>
  <c r="F29" i="5"/>
  <c r="F25" i="5"/>
  <c r="F21" i="5"/>
  <c r="F17" i="5"/>
  <c r="F9" i="5"/>
  <c r="F5" i="5"/>
  <c r="G1476" i="5"/>
  <c r="G1444" i="5"/>
  <c r="G1412" i="5"/>
  <c r="G1348" i="5"/>
  <c r="G1316" i="5"/>
  <c r="G1284" i="5"/>
  <c r="G1220" i="5"/>
  <c r="G1188" i="5"/>
  <c r="G1156" i="5"/>
  <c r="H196" i="5"/>
  <c r="H192" i="5"/>
  <c r="H188" i="5"/>
  <c r="H184" i="5"/>
  <c r="H180" i="5"/>
  <c r="H176" i="5"/>
  <c r="H172" i="5"/>
  <c r="H168" i="5"/>
  <c r="H164" i="5"/>
  <c r="H160" i="5"/>
  <c r="H156" i="5"/>
  <c r="H152" i="5"/>
  <c r="H148" i="5"/>
  <c r="H144" i="5"/>
  <c r="H140" i="5"/>
  <c r="H136" i="5"/>
  <c r="H132" i="5"/>
  <c r="H128" i="5"/>
  <c r="H124" i="5"/>
  <c r="H120" i="5"/>
  <c r="H116" i="5"/>
  <c r="H112" i="5"/>
  <c r="H108" i="5"/>
  <c r="H104" i="5"/>
  <c r="H100" i="5"/>
  <c r="H96" i="5"/>
  <c r="H92" i="5"/>
  <c r="H88" i="5"/>
  <c r="H84" i="5"/>
  <c r="H80" i="5"/>
  <c r="H76" i="5"/>
  <c r="H72" i="5"/>
  <c r="H68" i="5"/>
  <c r="H64" i="5"/>
  <c r="H60" i="5"/>
  <c r="H56" i="5"/>
  <c r="H52" i="5"/>
  <c r="H48" i="5"/>
  <c r="H44" i="5"/>
  <c r="H40" i="5"/>
  <c r="H36" i="5"/>
  <c r="G1380" i="5"/>
  <c r="G1252" i="5"/>
  <c r="G1124" i="5"/>
  <c r="G924" i="5"/>
  <c r="G1490" i="5"/>
  <c r="G1486" i="5"/>
  <c r="G1482" i="5"/>
  <c r="G1478" i="5"/>
  <c r="G1474" i="5"/>
  <c r="G1470" i="5"/>
  <c r="G1466" i="5"/>
  <c r="G1462" i="5"/>
  <c r="G1458" i="5"/>
  <c r="G1454" i="5"/>
  <c r="G1450" i="5"/>
  <c r="G1446" i="5"/>
  <c r="G1442" i="5"/>
  <c r="G1438" i="5"/>
  <c r="G1434" i="5"/>
  <c r="G1430" i="5"/>
  <c r="G1426" i="5"/>
  <c r="G1422" i="5"/>
  <c r="G1418" i="5"/>
  <c r="G1414" i="5"/>
  <c r="G1410" i="5"/>
  <c r="G1406" i="5"/>
  <c r="G1402" i="5"/>
  <c r="G1398" i="5"/>
  <c r="G1394" i="5"/>
  <c r="G1390" i="5"/>
  <c r="G1386" i="5"/>
  <c r="G1382" i="5"/>
  <c r="G1378" i="5"/>
  <c r="G1374" i="5"/>
  <c r="G1370" i="5"/>
  <c r="G1366" i="5"/>
  <c r="G1362" i="5"/>
  <c r="G1358" i="5"/>
  <c r="G1354" i="5"/>
  <c r="G1350" i="5"/>
  <c r="G1346" i="5"/>
  <c r="G1342" i="5"/>
  <c r="G1338" i="5"/>
  <c r="G1334" i="5"/>
  <c r="G1330" i="5"/>
  <c r="G1326" i="5"/>
  <c r="G1322" i="5"/>
  <c r="G1318" i="5"/>
  <c r="G1314" i="5"/>
  <c r="G1310" i="5"/>
  <c r="G1306" i="5"/>
  <c r="G1302" i="5"/>
  <c r="G1298" i="5"/>
  <c r="G1294" i="5"/>
  <c r="G1290" i="5"/>
  <c r="G1286" i="5"/>
  <c r="G1282" i="5"/>
  <c r="G1278" i="5"/>
  <c r="G1274" i="5"/>
  <c r="G1270" i="5"/>
  <c r="G1266" i="5"/>
  <c r="G1262" i="5"/>
  <c r="G1258" i="5"/>
  <c r="G1254" i="5"/>
  <c r="G1250" i="5"/>
  <c r="G1246" i="5"/>
  <c r="G1242" i="5"/>
  <c r="G1238" i="5"/>
  <c r="G1234" i="5"/>
  <c r="G1230" i="5"/>
  <c r="G1226" i="5"/>
  <c r="G1222" i="5"/>
  <c r="G1218" i="5"/>
  <c r="G1214" i="5"/>
  <c r="G1210" i="5"/>
  <c r="G1206" i="5"/>
  <c r="G1202" i="5"/>
  <c r="G1198" i="5"/>
  <c r="G1194" i="5"/>
  <c r="G1190" i="5"/>
  <c r="G1186" i="5"/>
  <c r="G1182" i="5"/>
  <c r="G1178" i="5"/>
  <c r="G1174" i="5"/>
  <c r="G1170" i="5"/>
  <c r="G1166" i="5"/>
  <c r="G1162" i="5"/>
  <c r="G1158" i="5"/>
  <c r="G1154" i="5"/>
  <c r="G1150" i="5"/>
  <c r="G1146" i="5"/>
  <c r="G1142" i="5"/>
  <c r="G1138" i="5"/>
  <c r="G1134" i="5"/>
  <c r="G1130" i="5"/>
  <c r="G1126" i="5"/>
  <c r="G1122" i="5"/>
  <c r="G1118" i="5"/>
  <c r="G1114" i="5"/>
  <c r="G1110" i="5"/>
  <c r="G1106" i="5"/>
  <c r="G1102" i="5"/>
  <c r="G1098" i="5"/>
  <c r="G1094" i="5"/>
  <c r="G1090" i="5"/>
  <c r="G1086" i="5"/>
  <c r="G1082" i="5"/>
  <c r="G1078" i="5"/>
  <c r="G1074" i="5"/>
  <c r="G1070" i="5"/>
  <c r="G1066" i="5"/>
  <c r="G1062" i="5"/>
  <c r="G1058" i="5"/>
  <c r="G1054" i="5"/>
  <c r="G1050" i="5"/>
  <c r="G1042" i="5"/>
  <c r="G1038" i="5"/>
  <c r="G1034" i="5"/>
  <c r="G1030" i="5"/>
  <c r="G1026" i="5"/>
  <c r="G1022" i="5"/>
  <c r="G1018" i="5"/>
  <c r="G1014" i="5"/>
  <c r="G1010" i="5"/>
  <c r="G1006" i="5"/>
  <c r="G1002" i="5"/>
  <c r="G998" i="5"/>
  <c r="G994" i="5"/>
  <c r="G990" i="5"/>
  <c r="G986" i="5"/>
  <c r="G982" i="5"/>
  <c r="G978" i="5"/>
  <c r="G974" i="5"/>
  <c r="G970" i="5"/>
  <c r="G966" i="5"/>
  <c r="G962" i="5"/>
  <c r="G958" i="5"/>
  <c r="G954" i="5"/>
  <c r="G950" i="5"/>
  <c r="G946" i="5"/>
  <c r="G942" i="5"/>
  <c r="G938" i="5"/>
  <c r="G934" i="5"/>
  <c r="G930" i="5"/>
  <c r="G926" i="5"/>
  <c r="G922" i="5"/>
  <c r="G918" i="5"/>
  <c r="G914" i="5"/>
  <c r="G910" i="5"/>
  <c r="G906" i="5"/>
  <c r="G902" i="5"/>
  <c r="G898" i="5"/>
  <c r="G894" i="5"/>
  <c r="G890" i="5"/>
  <c r="G886" i="5"/>
  <c r="G882" i="5"/>
  <c r="G878" i="5"/>
  <c r="G802" i="5"/>
  <c r="G738" i="5"/>
  <c r="G674" i="5"/>
  <c r="G578" i="5"/>
  <c r="G550" i="5"/>
  <c r="G522" i="5"/>
  <c r="G860" i="5"/>
  <c r="G492" i="5"/>
  <c r="G780" i="5"/>
  <c r="G368" i="5"/>
  <c r="G1492" i="5"/>
  <c r="G1488" i="5"/>
  <c r="G1484" i="5"/>
  <c r="G1480" i="5"/>
  <c r="G1472" i="5"/>
  <c r="G1468" i="5"/>
  <c r="G1464" i="5"/>
  <c r="G1460" i="5"/>
  <c r="G1456" i="5"/>
  <c r="G1452" i="5"/>
  <c r="G1448" i="5"/>
  <c r="G1440" i="5"/>
  <c r="G1436" i="5"/>
  <c r="G1432" i="5"/>
  <c r="G1428" i="5"/>
  <c r="G1424" i="5"/>
  <c r="G1420" i="5"/>
  <c r="G1416" i="5"/>
  <c r="G1408" i="5"/>
  <c r="G1404" i="5"/>
  <c r="G1400" i="5"/>
  <c r="G1396" i="5"/>
  <c r="G1392" i="5"/>
  <c r="G1388" i="5"/>
  <c r="G1384" i="5"/>
  <c r="G1376" i="5"/>
  <c r="G1372" i="5"/>
  <c r="G1368" i="5"/>
  <c r="G1364" i="5"/>
  <c r="G1360" i="5"/>
  <c r="G1356" i="5"/>
  <c r="G1352" i="5"/>
  <c r="G1344" i="5"/>
  <c r="G1340" i="5"/>
  <c r="G1336" i="5"/>
  <c r="G1332" i="5"/>
  <c r="G1328" i="5"/>
  <c r="G1324" i="5"/>
  <c r="G1320" i="5"/>
  <c r="G1312" i="5"/>
  <c r="G1308" i="5"/>
  <c r="G1304" i="5"/>
  <c r="G1300" i="5"/>
  <c r="G1296" i="5"/>
  <c r="G1292" i="5"/>
  <c r="G1288" i="5"/>
  <c r="G1280" i="5"/>
  <c r="G1276" i="5"/>
  <c r="G1272" i="5"/>
  <c r="G1268" i="5"/>
  <c r="G1264" i="5"/>
  <c r="G1260" i="5"/>
  <c r="G1256" i="5"/>
  <c r="G1248" i="5"/>
  <c r="G1244" i="5"/>
  <c r="G1240" i="5"/>
  <c r="G1236" i="5"/>
  <c r="G1232" i="5"/>
  <c r="G1228" i="5"/>
  <c r="G1224" i="5"/>
  <c r="G1216" i="5"/>
  <c r="G1212" i="5"/>
  <c r="G1208" i="5"/>
  <c r="G1204" i="5"/>
  <c r="G1200" i="5"/>
  <c r="G1196" i="5"/>
  <c r="G1192" i="5"/>
  <c r="G1184" i="5"/>
  <c r="G1180" i="5"/>
  <c r="G1176" i="5"/>
  <c r="G1172" i="5"/>
  <c r="G1168" i="5"/>
  <c r="G1164" i="5"/>
  <c r="G1160" i="5"/>
  <c r="G1152" i="5"/>
  <c r="G1148" i="5"/>
  <c r="G1144" i="5"/>
  <c r="G1140" i="5"/>
  <c r="G1136" i="5"/>
  <c r="G1132" i="5"/>
  <c r="G1128" i="5"/>
  <c r="G1120" i="5"/>
  <c r="G1116" i="5"/>
  <c r="G1112" i="5"/>
  <c r="G1108" i="5"/>
  <c r="G1104" i="5"/>
  <c r="G1100" i="5"/>
  <c r="G1068" i="5"/>
  <c r="G1036" i="5"/>
  <c r="G1020" i="5"/>
  <c r="G1004" i="5"/>
  <c r="G972" i="5"/>
  <c r="G956" i="5"/>
  <c r="G940" i="5"/>
  <c r="G908" i="5"/>
  <c r="G892" i="5"/>
  <c r="G876" i="5"/>
  <c r="G844" i="5"/>
  <c r="G716" i="5"/>
  <c r="G652" i="5"/>
  <c r="G464" i="5"/>
  <c r="G436" i="5"/>
  <c r="G280" i="5"/>
  <c r="G28" i="5"/>
  <c r="G988" i="5"/>
  <c r="G180" i="5"/>
  <c r="G874" i="5"/>
  <c r="G870" i="5"/>
  <c r="G866" i="5"/>
  <c r="G862" i="5"/>
  <c r="G858" i="5"/>
  <c r="G854" i="5"/>
  <c r="G850" i="5"/>
  <c r="G846" i="5"/>
  <c r="G842" i="5"/>
  <c r="G838" i="5"/>
  <c r="G834" i="5"/>
  <c r="G830" i="5"/>
  <c r="G826" i="5"/>
  <c r="G822" i="5"/>
  <c r="G818" i="5"/>
  <c r="G814" i="5"/>
  <c r="G810" i="5"/>
  <c r="G806" i="5"/>
  <c r="G798" i="5"/>
  <c r="G794" i="5"/>
  <c r="G790" i="5"/>
  <c r="G786" i="5"/>
  <c r="G782" i="5"/>
  <c r="G778" i="5"/>
  <c r="G774" i="5"/>
  <c r="G770" i="5"/>
  <c r="G766" i="5"/>
  <c r="G762" i="5"/>
  <c r="G758" i="5"/>
  <c r="G754" i="5"/>
  <c r="G750" i="5"/>
  <c r="G746" i="5"/>
  <c r="G742" i="5"/>
  <c r="G734" i="5"/>
  <c r="G730" i="5"/>
  <c r="G726" i="5"/>
  <c r="G722" i="5"/>
  <c r="G718" i="5"/>
  <c r="G714" i="5"/>
  <c r="G710" i="5"/>
  <c r="G706" i="5"/>
  <c r="G702" i="5"/>
  <c r="G698" i="5"/>
  <c r="G694" i="5"/>
  <c r="G690" i="5"/>
  <c r="G686" i="5"/>
  <c r="G682" i="5"/>
  <c r="G678" i="5"/>
  <c r="G670" i="5"/>
  <c r="G666" i="5"/>
  <c r="G662" i="5"/>
  <c r="G658" i="5"/>
  <c r="G654" i="5"/>
  <c r="G650" i="5"/>
  <c r="G646" i="5"/>
  <c r="G642" i="5"/>
  <c r="G638" i="5"/>
  <c r="G634" i="5"/>
  <c r="G630" i="5"/>
  <c r="G626" i="5"/>
  <c r="G622" i="5"/>
  <c r="G618" i="5"/>
  <c r="G614" i="5"/>
  <c r="G610" i="5"/>
  <c r="G606" i="5"/>
  <c r="G602" i="5"/>
  <c r="G598" i="5"/>
  <c r="G594" i="5"/>
  <c r="G590" i="5"/>
  <c r="G586" i="5"/>
  <c r="G582" i="5"/>
  <c r="G574" i="5"/>
  <c r="G570" i="5"/>
  <c r="G566" i="5"/>
  <c r="G562" i="5"/>
  <c r="G558" i="5"/>
  <c r="G554" i="5"/>
  <c r="G546" i="5"/>
  <c r="G542" i="5"/>
  <c r="G538" i="5"/>
  <c r="G534" i="5"/>
  <c r="G530" i="5"/>
  <c r="G526" i="5"/>
  <c r="G518" i="5"/>
  <c r="G514" i="5"/>
  <c r="G510" i="5"/>
  <c r="G506" i="5"/>
  <c r="G502" i="5"/>
  <c r="G498" i="5"/>
  <c r="G494" i="5"/>
  <c r="G490" i="5"/>
  <c r="G486" i="5"/>
  <c r="G482" i="5"/>
  <c r="G478" i="5"/>
  <c r="G474" i="5"/>
  <c r="G470" i="5"/>
  <c r="G466" i="5"/>
  <c r="G462" i="5"/>
  <c r="G458" i="5"/>
  <c r="G454" i="5"/>
  <c r="G450" i="5"/>
  <c r="G446" i="5"/>
  <c r="G442" i="5"/>
  <c r="G438" i="5"/>
  <c r="G434" i="5"/>
  <c r="G430" i="5"/>
  <c r="G426" i="5"/>
  <c r="G422" i="5"/>
  <c r="G418" i="5"/>
  <c r="G414" i="5"/>
  <c r="G410" i="5"/>
  <c r="G406" i="5"/>
  <c r="G402" i="5"/>
  <c r="G398" i="5"/>
  <c r="G394" i="5"/>
  <c r="G390" i="5"/>
  <c r="G386" i="5"/>
  <c r="G382" i="5"/>
  <c r="G378" i="5"/>
  <c r="G374" i="5"/>
  <c r="G370" i="5"/>
  <c r="G366" i="5"/>
  <c r="G362" i="5"/>
  <c r="G358" i="5"/>
  <c r="G354" i="5"/>
  <c r="G350" i="5"/>
  <c r="G346" i="5"/>
  <c r="G342" i="5"/>
  <c r="G338" i="5"/>
  <c r="G334" i="5"/>
  <c r="G330" i="5"/>
  <c r="G326" i="5"/>
  <c r="G322" i="5"/>
  <c r="G318" i="5"/>
  <c r="G314" i="5"/>
  <c r="G310" i="5"/>
  <c r="G306" i="5"/>
  <c r="G302" i="5"/>
  <c r="G298" i="5"/>
  <c r="G294" i="5"/>
  <c r="G290" i="5"/>
  <c r="G286" i="5"/>
  <c r="G282" i="5"/>
  <c r="G278" i="5"/>
  <c r="G274" i="5"/>
  <c r="G270" i="5"/>
  <c r="G266" i="5"/>
  <c r="G262" i="5"/>
  <c r="G258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6" i="5"/>
  <c r="G182" i="5"/>
  <c r="G178" i="5"/>
  <c r="G174" i="5"/>
  <c r="G170" i="5"/>
  <c r="G166" i="5"/>
  <c r="G162" i="5"/>
  <c r="G158" i="5"/>
  <c r="G154" i="5"/>
  <c r="G150" i="5"/>
  <c r="G146" i="5"/>
  <c r="G142" i="5"/>
  <c r="G138" i="5"/>
  <c r="G134" i="5"/>
  <c r="G130" i="5"/>
  <c r="G126" i="5"/>
  <c r="G122" i="5"/>
  <c r="G118" i="5"/>
  <c r="G114" i="5"/>
  <c r="G110" i="5"/>
  <c r="G106" i="5"/>
  <c r="G102" i="5"/>
  <c r="G98" i="5"/>
  <c r="G94" i="5"/>
  <c r="G90" i="5"/>
  <c r="G86" i="5"/>
  <c r="G82" i="5"/>
  <c r="G78" i="5"/>
  <c r="G74" i="5"/>
  <c r="G70" i="5"/>
  <c r="G66" i="5"/>
  <c r="G62" i="5"/>
  <c r="G58" i="5"/>
  <c r="G54" i="5"/>
  <c r="G50" i="5"/>
  <c r="G46" i="5"/>
  <c r="G42" i="5"/>
  <c r="G38" i="5"/>
  <c r="G34" i="5"/>
  <c r="G30" i="5"/>
  <c r="G26" i="5"/>
  <c r="G22" i="5"/>
  <c r="G18" i="5"/>
  <c r="G14" i="5"/>
  <c r="G10" i="5"/>
  <c r="G6" i="5"/>
  <c r="H1481" i="5"/>
  <c r="H1473" i="5"/>
  <c r="H1449" i="5"/>
  <c r="H1441" i="5"/>
  <c r="H1417" i="5"/>
  <c r="H1409" i="5"/>
  <c r="H1385" i="5"/>
  <c r="H1377" i="5"/>
  <c r="H949" i="5"/>
  <c r="H945" i="5"/>
  <c r="H941" i="5"/>
  <c r="H937" i="5"/>
  <c r="H933" i="5"/>
  <c r="H929" i="5"/>
  <c r="H925" i="5"/>
  <c r="H921" i="5"/>
  <c r="H917" i="5"/>
  <c r="H913" i="5"/>
  <c r="H909" i="5"/>
  <c r="H905" i="5"/>
  <c r="H901" i="5"/>
  <c r="H897" i="5"/>
  <c r="H893" i="5"/>
  <c r="H889" i="5"/>
  <c r="H885" i="5"/>
  <c r="H881" i="5"/>
  <c r="H877" i="5"/>
  <c r="H873" i="5"/>
  <c r="H869" i="5"/>
  <c r="H865" i="5"/>
  <c r="H861" i="5"/>
  <c r="H857" i="5"/>
  <c r="H853" i="5"/>
  <c r="H849" i="5"/>
  <c r="H845" i="5"/>
  <c r="H841" i="5"/>
  <c r="H837" i="5"/>
  <c r="H833" i="5"/>
  <c r="H829" i="5"/>
  <c r="H825" i="5"/>
  <c r="H821" i="5"/>
  <c r="H817" i="5"/>
  <c r="H813" i="5"/>
  <c r="H809" i="5"/>
  <c r="H805" i="5"/>
  <c r="H801" i="5"/>
  <c r="H797" i="5"/>
  <c r="H793" i="5"/>
  <c r="H789" i="5"/>
  <c r="H785" i="5"/>
  <c r="H781" i="5"/>
  <c r="H777" i="5"/>
  <c r="H773" i="5"/>
  <c r="H769" i="5"/>
  <c r="H765" i="5"/>
  <c r="H761" i="5"/>
  <c r="H757" i="5"/>
  <c r="H753" i="5"/>
  <c r="H749" i="5"/>
  <c r="H745" i="5"/>
  <c r="H741" i="5"/>
  <c r="H737" i="5"/>
  <c r="H733" i="5"/>
  <c r="H729" i="5"/>
  <c r="H725" i="5"/>
  <c r="H721" i="5"/>
  <c r="H717" i="5"/>
  <c r="H713" i="5"/>
  <c r="H709" i="5"/>
  <c r="H705" i="5"/>
  <c r="H701" i="5"/>
  <c r="H697" i="5"/>
  <c r="H693" i="5"/>
  <c r="H689" i="5"/>
  <c r="H685" i="5"/>
  <c r="H681" i="5"/>
  <c r="H677" i="5"/>
  <c r="H673" i="5"/>
  <c r="H669" i="5"/>
  <c r="H665" i="5"/>
  <c r="H661" i="5"/>
  <c r="H657" i="5"/>
  <c r="H653" i="5"/>
  <c r="H649" i="5"/>
  <c r="H645" i="5"/>
  <c r="H641" i="5"/>
  <c r="H637" i="5"/>
  <c r="H633" i="5"/>
  <c r="H629" i="5"/>
  <c r="H625" i="5"/>
  <c r="H621" i="5"/>
  <c r="H617" i="5"/>
  <c r="H613" i="5"/>
  <c r="H609" i="5"/>
  <c r="H605" i="5"/>
  <c r="H601" i="5"/>
  <c r="H597" i="5"/>
  <c r="H593" i="5"/>
  <c r="H589" i="5"/>
  <c r="H585" i="5"/>
  <c r="H581" i="5"/>
  <c r="H577" i="5"/>
  <c r="H573" i="5"/>
  <c r="H569" i="5"/>
  <c r="H565" i="5"/>
  <c r="H561" i="5"/>
  <c r="G1096" i="5"/>
  <c r="G1092" i="5"/>
  <c r="G1088" i="5"/>
  <c r="G1084" i="5"/>
  <c r="G1080" i="5"/>
  <c r="G1076" i="5"/>
  <c r="G1072" i="5"/>
  <c r="G1064" i="5"/>
  <c r="G1060" i="5"/>
  <c r="G1056" i="5"/>
  <c r="G1052" i="5"/>
  <c r="G1048" i="5"/>
  <c r="G1044" i="5"/>
  <c r="G1040" i="5"/>
  <c r="G1032" i="5"/>
  <c r="G1028" i="5"/>
  <c r="G1024" i="5"/>
  <c r="G1016" i="5"/>
  <c r="G1012" i="5"/>
  <c r="G1008" i="5"/>
  <c r="G1000" i="5"/>
  <c r="G996" i="5"/>
  <c r="G992" i="5"/>
  <c r="G984" i="5"/>
  <c r="G980" i="5"/>
  <c r="G976" i="5"/>
  <c r="G968" i="5"/>
  <c r="G964" i="5"/>
  <c r="G960" i="5"/>
  <c r="G952" i="5"/>
  <c r="G948" i="5"/>
  <c r="G944" i="5"/>
  <c r="G936" i="5"/>
  <c r="G932" i="5"/>
  <c r="G928" i="5"/>
  <c r="G920" i="5"/>
  <c r="G916" i="5"/>
  <c r="G912" i="5"/>
  <c r="G904" i="5"/>
  <c r="G900" i="5"/>
  <c r="G896" i="5"/>
  <c r="G888" i="5"/>
  <c r="G884" i="5"/>
  <c r="G880" i="5"/>
  <c r="G872" i="5"/>
  <c r="G868" i="5"/>
  <c r="G864" i="5"/>
  <c r="G856" i="5"/>
  <c r="G852" i="5"/>
  <c r="G848" i="5"/>
  <c r="G840" i="5"/>
  <c r="G836" i="5"/>
  <c r="G832" i="5"/>
  <c r="G828" i="5"/>
  <c r="G824" i="5"/>
  <c r="G820" i="5"/>
  <c r="G816" i="5"/>
  <c r="G812" i="5"/>
  <c r="G808" i="5"/>
  <c r="G804" i="5"/>
  <c r="G800" i="5"/>
  <c r="G796" i="5"/>
  <c r="G792" i="5"/>
  <c r="G788" i="5"/>
  <c r="G784" i="5"/>
  <c r="G776" i="5"/>
  <c r="G772" i="5"/>
  <c r="G768" i="5"/>
  <c r="G764" i="5"/>
  <c r="G760" i="5"/>
  <c r="G756" i="5"/>
  <c r="G752" i="5"/>
  <c r="G748" i="5"/>
  <c r="G744" i="5"/>
  <c r="G740" i="5"/>
  <c r="G736" i="5"/>
  <c r="G732" i="5"/>
  <c r="G728" i="5"/>
  <c r="G724" i="5"/>
  <c r="G720" i="5"/>
  <c r="G712" i="5"/>
  <c r="G708" i="5"/>
  <c r="G704" i="5"/>
  <c r="G700" i="5"/>
  <c r="G696" i="5"/>
  <c r="G692" i="5"/>
  <c r="G688" i="5"/>
  <c r="G684" i="5"/>
  <c r="G680" i="5"/>
  <c r="G676" i="5"/>
  <c r="G672" i="5"/>
  <c r="G668" i="5"/>
  <c r="G664" i="5"/>
  <c r="G660" i="5"/>
  <c r="G656" i="5"/>
  <c r="G648" i="5"/>
  <c r="G644" i="5"/>
  <c r="G640" i="5"/>
  <c r="G636" i="5"/>
  <c r="G632" i="5"/>
  <c r="G628" i="5"/>
  <c r="G624" i="5"/>
  <c r="G620" i="5"/>
  <c r="G616" i="5"/>
  <c r="G612" i="5"/>
  <c r="G608" i="5"/>
  <c r="G604" i="5"/>
  <c r="G600" i="5"/>
  <c r="G596" i="5"/>
  <c r="G592" i="5"/>
  <c r="G588" i="5"/>
  <c r="G584" i="5"/>
  <c r="G580" i="5"/>
  <c r="G576" i="5"/>
  <c r="G572" i="5"/>
  <c r="G568" i="5"/>
  <c r="G564" i="5"/>
  <c r="G560" i="5"/>
  <c r="G556" i="5"/>
  <c r="G552" i="5"/>
  <c r="G548" i="5"/>
  <c r="G544" i="5"/>
  <c r="G540" i="5"/>
  <c r="G536" i="5"/>
  <c r="G532" i="5"/>
  <c r="G528" i="5"/>
  <c r="G524" i="5"/>
  <c r="G520" i="5"/>
  <c r="G516" i="5"/>
  <c r="G512" i="5"/>
  <c r="G508" i="5"/>
  <c r="G504" i="5"/>
  <c r="G500" i="5"/>
  <c r="G496" i="5"/>
  <c r="G488" i="5"/>
  <c r="G484" i="5"/>
  <c r="G480" i="5"/>
  <c r="G476" i="5"/>
  <c r="G472" i="5"/>
  <c r="G468" i="5"/>
  <c r="G460" i="5"/>
  <c r="G456" i="5"/>
  <c r="G452" i="5"/>
  <c r="G448" i="5"/>
  <c r="G444" i="5"/>
  <c r="G440" i="5"/>
  <c r="G432" i="5"/>
  <c r="G428" i="5"/>
  <c r="G424" i="5"/>
  <c r="G420" i="5"/>
  <c r="G416" i="5"/>
  <c r="G412" i="5"/>
  <c r="G408" i="5"/>
  <c r="G404" i="5"/>
  <c r="G400" i="5"/>
  <c r="G396" i="5"/>
  <c r="G392" i="5"/>
  <c r="G388" i="5"/>
  <c r="G384" i="5"/>
  <c r="G380" i="5"/>
  <c r="G376" i="5"/>
  <c r="G372" i="5"/>
  <c r="G364" i="5"/>
  <c r="G360" i="5"/>
  <c r="G356" i="5"/>
  <c r="G352" i="5"/>
  <c r="G348" i="5"/>
  <c r="G344" i="5"/>
  <c r="G340" i="5"/>
  <c r="G336" i="5"/>
  <c r="G332" i="5"/>
  <c r="G328" i="5"/>
  <c r="G324" i="5"/>
  <c r="G320" i="5"/>
  <c r="G316" i="5"/>
  <c r="G312" i="5"/>
  <c r="G308" i="5"/>
  <c r="G304" i="5"/>
  <c r="G300" i="5"/>
  <c r="G296" i="5"/>
  <c r="G292" i="5"/>
  <c r="G288" i="5"/>
  <c r="G284" i="5"/>
  <c r="G276" i="5"/>
  <c r="G272" i="5"/>
  <c r="G268" i="5"/>
  <c r="G264" i="5"/>
  <c r="G260" i="5"/>
  <c r="G256" i="5"/>
  <c r="G252" i="5"/>
  <c r="G248" i="5"/>
  <c r="G244" i="5"/>
  <c r="G240" i="5"/>
  <c r="G236" i="5"/>
  <c r="G232" i="5"/>
  <c r="G228" i="5"/>
  <c r="G224" i="5"/>
  <c r="G220" i="5"/>
  <c r="G216" i="5"/>
  <c r="G212" i="5"/>
  <c r="G208" i="5"/>
  <c r="G204" i="5"/>
  <c r="G200" i="5"/>
  <c r="G196" i="5"/>
  <c r="G192" i="5"/>
  <c r="G188" i="5"/>
  <c r="G184" i="5"/>
  <c r="G176" i="5"/>
  <c r="G172" i="5"/>
  <c r="G168" i="5"/>
  <c r="G164" i="5"/>
  <c r="G160" i="5"/>
  <c r="G156" i="5"/>
  <c r="G152" i="5"/>
  <c r="G148" i="5"/>
  <c r="G144" i="5"/>
  <c r="G140" i="5"/>
  <c r="G136" i="5"/>
  <c r="G132" i="5"/>
  <c r="G128" i="5"/>
  <c r="G124" i="5"/>
  <c r="G120" i="5"/>
  <c r="G116" i="5"/>
  <c r="G112" i="5"/>
  <c r="G108" i="5"/>
  <c r="G104" i="5"/>
  <c r="G100" i="5"/>
  <c r="G96" i="5"/>
  <c r="G92" i="5"/>
  <c r="G88" i="5"/>
  <c r="G84" i="5"/>
  <c r="G80" i="5"/>
  <c r="G76" i="5"/>
  <c r="G72" i="5"/>
  <c r="G68" i="5"/>
  <c r="G64" i="5"/>
  <c r="G60" i="5"/>
  <c r="G56" i="5"/>
  <c r="G52" i="5"/>
  <c r="G48" i="5"/>
  <c r="G44" i="5"/>
  <c r="G40" i="5"/>
  <c r="G36" i="5"/>
  <c r="G32" i="5"/>
  <c r="G24" i="5"/>
  <c r="G20" i="5"/>
  <c r="G16" i="5"/>
  <c r="G12" i="5"/>
  <c r="G8" i="5"/>
  <c r="G4" i="5"/>
  <c r="H1491" i="5"/>
  <c r="H1487" i="5"/>
  <c r="H1483" i="5"/>
  <c r="H1479" i="5"/>
  <c r="H1475" i="5"/>
  <c r="H1471" i="5"/>
  <c r="H1467" i="5"/>
  <c r="H1463" i="5"/>
  <c r="H1459" i="5"/>
  <c r="H1455" i="5"/>
  <c r="H1451" i="5"/>
  <c r="H1447" i="5"/>
  <c r="H1443" i="5"/>
  <c r="H1439" i="5"/>
  <c r="H1435" i="5"/>
  <c r="H1431" i="5"/>
  <c r="H1427" i="5"/>
  <c r="H1423" i="5"/>
  <c r="H1419" i="5"/>
  <c r="H1415" i="5"/>
  <c r="H1411" i="5"/>
  <c r="H1407" i="5"/>
  <c r="H1403" i="5"/>
  <c r="H1399" i="5"/>
  <c r="H1395" i="5"/>
  <c r="H1391" i="5"/>
  <c r="H1387" i="5"/>
  <c r="H1383" i="5"/>
  <c r="H1379" i="5"/>
  <c r="H1375" i="5"/>
  <c r="H1371" i="5"/>
  <c r="H1367" i="5"/>
  <c r="H1363" i="5"/>
  <c r="H1359" i="5"/>
  <c r="H1355" i="5"/>
  <c r="H1351" i="5"/>
  <c r="H1347" i="5"/>
  <c r="H1343" i="5"/>
  <c r="H1339" i="5"/>
  <c r="H1335" i="5"/>
  <c r="H1331" i="5"/>
  <c r="H1327" i="5"/>
  <c r="H1323" i="5"/>
  <c r="H1319" i="5"/>
  <c r="H1315" i="5"/>
  <c r="H1311" i="5"/>
  <c r="H1307" i="5"/>
  <c r="H1303" i="5"/>
  <c r="H1299" i="5"/>
  <c r="H1295" i="5"/>
  <c r="H1291" i="5"/>
  <c r="H1287" i="5"/>
  <c r="H1283" i="5"/>
  <c r="H1279" i="5"/>
  <c r="H1275" i="5"/>
  <c r="H1271" i="5"/>
  <c r="H1267" i="5"/>
  <c r="H1263" i="5"/>
  <c r="H1259" i="5"/>
  <c r="H1255" i="5"/>
  <c r="H1251" i="5"/>
  <c r="H1247" i="5"/>
  <c r="H1243" i="5"/>
  <c r="H1239" i="5"/>
  <c r="H1235" i="5"/>
  <c r="H1231" i="5"/>
  <c r="H1227" i="5"/>
  <c r="H1223" i="5"/>
  <c r="H1219" i="5"/>
  <c r="H1215" i="5"/>
  <c r="H1211" i="5"/>
  <c r="H1207" i="5"/>
  <c r="H1203" i="5"/>
  <c r="H1199" i="5"/>
  <c r="H1195" i="5"/>
  <c r="H1191" i="5"/>
  <c r="H1187" i="5"/>
  <c r="H1183" i="5"/>
  <c r="H1179" i="5"/>
  <c r="H1175" i="5"/>
  <c r="H1171" i="5"/>
  <c r="H1167" i="5"/>
  <c r="H1163" i="5"/>
  <c r="H1159" i="5"/>
  <c r="H1155" i="5"/>
  <c r="H1151" i="5"/>
  <c r="H1147" i="5"/>
  <c r="H1143" i="5"/>
  <c r="H1139" i="5"/>
  <c r="H1135" i="5"/>
  <c r="H1131" i="5"/>
  <c r="H1127" i="5"/>
  <c r="H1123" i="5"/>
  <c r="H1119" i="5"/>
  <c r="H1115" i="5"/>
  <c r="H1111" i="5"/>
  <c r="H1107" i="5"/>
  <c r="H1103" i="5"/>
  <c r="H1099" i="5"/>
  <c r="H1095" i="5"/>
  <c r="H1091" i="5"/>
  <c r="H1087" i="5"/>
  <c r="H1083" i="5"/>
  <c r="H1079" i="5"/>
  <c r="H1075" i="5"/>
  <c r="H1071" i="5"/>
  <c r="H1067" i="5"/>
  <c r="H1063" i="5"/>
  <c r="H1059" i="5"/>
  <c r="H1055" i="5"/>
  <c r="H1051" i="5"/>
  <c r="H1047" i="5"/>
  <c r="H1043" i="5"/>
  <c r="H1039" i="5"/>
  <c r="H1035" i="5"/>
  <c r="H1031" i="5"/>
  <c r="H1027" i="5"/>
  <c r="H1023" i="5"/>
  <c r="H1019" i="5"/>
  <c r="H1015" i="5"/>
  <c r="H1011" i="5"/>
  <c r="H1007" i="5"/>
  <c r="H1003" i="5"/>
  <c r="H999" i="5"/>
  <c r="H995" i="5"/>
  <c r="H991" i="5"/>
  <c r="H987" i="5"/>
  <c r="H983" i="5"/>
  <c r="H979" i="5"/>
  <c r="H975" i="5"/>
  <c r="H971" i="5"/>
  <c r="H967" i="5"/>
  <c r="H963" i="5"/>
  <c r="H959" i="5"/>
  <c r="H955" i="5"/>
  <c r="H951" i="5"/>
  <c r="H947" i="5"/>
  <c r="H943" i="5"/>
  <c r="H939" i="5"/>
  <c r="H935" i="5"/>
  <c r="H931" i="5"/>
  <c r="H954" i="5"/>
  <c r="H950" i="5"/>
  <c r="H946" i="5"/>
  <c r="H942" i="5"/>
  <c r="H938" i="5"/>
  <c r="H934" i="5"/>
  <c r="H930" i="5"/>
  <c r="H926" i="5"/>
  <c r="H922" i="5"/>
  <c r="H918" i="5"/>
  <c r="H914" i="5"/>
  <c r="H910" i="5"/>
  <c r="H906" i="5"/>
  <c r="H902" i="5"/>
  <c r="H898" i="5"/>
  <c r="H894" i="5"/>
  <c r="H890" i="5"/>
  <c r="H886" i="5"/>
  <c r="H882" i="5"/>
  <c r="H878" i="5"/>
  <c r="H874" i="5"/>
  <c r="H870" i="5"/>
  <c r="H866" i="5"/>
  <c r="H862" i="5"/>
  <c r="H858" i="5"/>
  <c r="H854" i="5"/>
  <c r="H850" i="5"/>
  <c r="H846" i="5"/>
  <c r="H842" i="5"/>
  <c r="H838" i="5"/>
  <c r="H834" i="5"/>
  <c r="H830" i="5"/>
  <c r="H826" i="5"/>
  <c r="H822" i="5"/>
  <c r="H818" i="5"/>
  <c r="H814" i="5"/>
  <c r="H810" i="5"/>
  <c r="H806" i="5"/>
  <c r="H802" i="5"/>
  <c r="H798" i="5"/>
  <c r="H794" i="5"/>
  <c r="H790" i="5"/>
  <c r="H786" i="5"/>
  <c r="H782" i="5"/>
  <c r="H778" i="5"/>
  <c r="H774" i="5"/>
  <c r="H770" i="5"/>
  <c r="H766" i="5"/>
  <c r="H762" i="5"/>
  <c r="H758" i="5"/>
  <c r="H754" i="5"/>
  <c r="H750" i="5"/>
  <c r="H746" i="5"/>
  <c r="H742" i="5"/>
  <c r="H738" i="5"/>
  <c r="H734" i="5"/>
  <c r="H730" i="5"/>
  <c r="H726" i="5"/>
  <c r="H722" i="5"/>
  <c r="H718" i="5"/>
  <c r="H714" i="5"/>
  <c r="H710" i="5"/>
  <c r="H706" i="5"/>
  <c r="H702" i="5"/>
  <c r="H698" i="5"/>
  <c r="H694" i="5"/>
  <c r="H690" i="5"/>
  <c r="H686" i="5"/>
  <c r="H682" i="5"/>
  <c r="H678" i="5"/>
  <c r="H674" i="5"/>
  <c r="H670" i="5"/>
  <c r="H666" i="5"/>
  <c r="H662" i="5"/>
  <c r="H658" i="5"/>
  <c r="H654" i="5"/>
  <c r="H650" i="5"/>
  <c r="H646" i="5"/>
  <c r="H642" i="5"/>
  <c r="H638" i="5"/>
  <c r="H634" i="5"/>
  <c r="H630" i="5"/>
  <c r="H626" i="5"/>
  <c r="H622" i="5"/>
  <c r="H618" i="5"/>
  <c r="H614" i="5"/>
  <c r="H610" i="5"/>
  <c r="H606" i="5"/>
  <c r="H602" i="5"/>
  <c r="H598" i="5"/>
  <c r="H594" i="5"/>
  <c r="H590" i="5"/>
  <c r="H586" i="5"/>
  <c r="H582" i="5"/>
  <c r="H578" i="5"/>
  <c r="H574" i="5"/>
  <c r="H570" i="5"/>
  <c r="H566" i="5"/>
  <c r="H562" i="5"/>
  <c r="H558" i="5"/>
  <c r="H554" i="5"/>
  <c r="H550" i="5"/>
  <c r="H546" i="5"/>
  <c r="H542" i="5"/>
  <c r="H538" i="5"/>
  <c r="H534" i="5"/>
  <c r="H530" i="5"/>
  <c r="H526" i="5"/>
  <c r="H522" i="5"/>
  <c r="H518" i="5"/>
  <c r="H514" i="5"/>
  <c r="H510" i="5"/>
  <c r="H506" i="5"/>
  <c r="H502" i="5"/>
  <c r="H498" i="5"/>
  <c r="H494" i="5"/>
  <c r="H490" i="5"/>
  <c r="H486" i="5"/>
  <c r="H482" i="5"/>
  <c r="H478" i="5"/>
  <c r="H557" i="5"/>
  <c r="H553" i="5"/>
  <c r="H549" i="5"/>
  <c r="H545" i="5"/>
  <c r="H541" i="5"/>
  <c r="H537" i="5"/>
  <c r="H533" i="5"/>
  <c r="H529" i="5"/>
  <c r="H525" i="5"/>
  <c r="H521" i="5"/>
  <c r="H517" i="5"/>
  <c r="H513" i="5"/>
  <c r="H509" i="5"/>
  <c r="H505" i="5"/>
  <c r="H501" i="5"/>
  <c r="H497" i="5"/>
  <c r="H493" i="5"/>
  <c r="H489" i="5"/>
  <c r="H485" i="5"/>
  <c r="H481" i="5"/>
  <c r="H477" i="5"/>
  <c r="H473" i="5"/>
  <c r="H469" i="5"/>
  <c r="H465" i="5"/>
  <c r="H461" i="5"/>
  <c r="H457" i="5"/>
  <c r="H453" i="5"/>
  <c r="H449" i="5"/>
  <c r="H445" i="5"/>
  <c r="H441" i="5"/>
  <c r="H437" i="5"/>
  <c r="H433" i="5"/>
  <c r="H429" i="5"/>
  <c r="H425" i="5"/>
  <c r="H421" i="5"/>
  <c r="H417" i="5"/>
  <c r="H413" i="5"/>
  <c r="H409" i="5"/>
  <c r="H405" i="5"/>
  <c r="H401" i="5"/>
  <c r="H397" i="5"/>
  <c r="H393" i="5"/>
  <c r="H389" i="5"/>
  <c r="H385" i="5"/>
  <c r="H381" i="5"/>
  <c r="H377" i="5"/>
  <c r="H373" i="5"/>
  <c r="H369" i="5"/>
  <c r="H365" i="5"/>
  <c r="H361" i="5"/>
  <c r="H357" i="5"/>
  <c r="H353" i="5"/>
  <c r="H349" i="5"/>
  <c r="H345" i="5"/>
  <c r="H341" i="5"/>
  <c r="H337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7" i="5"/>
  <c r="H253" i="5"/>
  <c r="H249" i="5"/>
  <c r="H245" i="5"/>
  <c r="H241" i="5"/>
  <c r="H237" i="5"/>
  <c r="H233" i="5"/>
  <c r="H229" i="5"/>
  <c r="H225" i="5"/>
  <c r="H221" i="5"/>
  <c r="H217" i="5"/>
  <c r="H213" i="5"/>
  <c r="H209" i="5"/>
  <c r="H205" i="5"/>
  <c r="H201" i="5"/>
  <c r="H197" i="5"/>
  <c r="H193" i="5"/>
  <c r="H189" i="5"/>
  <c r="H185" i="5"/>
  <c r="H181" i="5"/>
  <c r="H177" i="5"/>
  <c r="H173" i="5"/>
  <c r="H169" i="5"/>
  <c r="H165" i="5"/>
  <c r="H161" i="5"/>
  <c r="H157" i="5"/>
  <c r="H153" i="5"/>
  <c r="H149" i="5"/>
  <c r="H145" i="5"/>
  <c r="H141" i="5"/>
  <c r="H137" i="5"/>
  <c r="H133" i="5"/>
  <c r="H129" i="5"/>
  <c r="H125" i="5"/>
  <c r="H121" i="5"/>
  <c r="H117" i="5"/>
  <c r="H113" i="5"/>
  <c r="H109" i="5"/>
  <c r="H105" i="5"/>
  <c r="H101" i="5"/>
  <c r="H97" i="5"/>
  <c r="H93" i="5"/>
  <c r="H89" i="5"/>
  <c r="H85" i="5"/>
  <c r="H81" i="5"/>
  <c r="H77" i="5"/>
  <c r="H73" i="5"/>
  <c r="H69" i="5"/>
  <c r="H65" i="5"/>
  <c r="H61" i="5"/>
  <c r="H57" i="5"/>
  <c r="H53" i="5"/>
  <c r="H49" i="5"/>
  <c r="H45" i="5"/>
  <c r="H41" i="5"/>
  <c r="H37" i="5"/>
  <c r="H33" i="5"/>
  <c r="H29" i="5"/>
  <c r="H25" i="5"/>
  <c r="H21" i="5"/>
  <c r="H17" i="5"/>
  <c r="H13" i="5"/>
  <c r="H9" i="5"/>
  <c r="H5" i="5"/>
  <c r="H927" i="5"/>
  <c r="H923" i="5"/>
  <c r="H919" i="5"/>
  <c r="H915" i="5"/>
  <c r="H911" i="5"/>
  <c r="H907" i="5"/>
  <c r="H903" i="5"/>
  <c r="H899" i="5"/>
  <c r="H895" i="5"/>
  <c r="H891" i="5"/>
  <c r="H887" i="5"/>
  <c r="H883" i="5"/>
  <c r="H879" i="5"/>
  <c r="H875" i="5"/>
  <c r="H871" i="5"/>
  <c r="H867" i="5"/>
  <c r="H863" i="5"/>
  <c r="H859" i="5"/>
  <c r="H855" i="5"/>
  <c r="H851" i="5"/>
  <c r="H847" i="5"/>
  <c r="H843" i="5"/>
  <c r="H839" i="5"/>
  <c r="H835" i="5"/>
  <c r="H831" i="5"/>
  <c r="H827" i="5"/>
  <c r="H823" i="5"/>
  <c r="H819" i="5"/>
  <c r="H815" i="5"/>
  <c r="H811" i="5"/>
  <c r="H807" i="5"/>
  <c r="H803" i="5"/>
  <c r="H799" i="5"/>
  <c r="H795" i="5"/>
  <c r="H791" i="5"/>
  <c r="H787" i="5"/>
  <c r="H783" i="5"/>
  <c r="H779" i="5"/>
  <c r="H775" i="5"/>
  <c r="H771" i="5"/>
  <c r="H767" i="5"/>
  <c r="H763" i="5"/>
  <c r="H759" i="5"/>
  <c r="H755" i="5"/>
  <c r="H751" i="5"/>
  <c r="H747" i="5"/>
  <c r="H743" i="5"/>
  <c r="H739" i="5"/>
  <c r="H735" i="5"/>
  <c r="H731" i="5"/>
  <c r="H727" i="5"/>
  <c r="H723" i="5"/>
  <c r="H719" i="5"/>
  <c r="H715" i="5"/>
  <c r="H711" i="5"/>
  <c r="H707" i="5"/>
  <c r="H703" i="5"/>
  <c r="H699" i="5"/>
  <c r="H695" i="5"/>
  <c r="H691" i="5"/>
  <c r="H687" i="5"/>
  <c r="H683" i="5"/>
  <c r="H679" i="5"/>
  <c r="H675" i="5"/>
  <c r="H671" i="5"/>
  <c r="H667" i="5"/>
  <c r="H663" i="5"/>
  <c r="H659" i="5"/>
  <c r="H655" i="5"/>
  <c r="H651" i="5"/>
  <c r="H647" i="5"/>
  <c r="H643" i="5"/>
  <c r="H639" i="5"/>
  <c r="H635" i="5"/>
  <c r="H631" i="5"/>
  <c r="H627" i="5"/>
  <c r="H623" i="5"/>
  <c r="H619" i="5"/>
  <c r="H615" i="5"/>
  <c r="H611" i="5"/>
  <c r="H607" i="5"/>
  <c r="H603" i="5"/>
  <c r="H599" i="5"/>
  <c r="H595" i="5"/>
  <c r="H591" i="5"/>
  <c r="H587" i="5"/>
  <c r="H583" i="5"/>
  <c r="H579" i="5"/>
  <c r="H575" i="5"/>
  <c r="H571" i="5"/>
  <c r="H567" i="5"/>
  <c r="H563" i="5"/>
  <c r="H559" i="5"/>
  <c r="H555" i="5"/>
  <c r="H551" i="5"/>
  <c r="H547" i="5"/>
  <c r="H543" i="5"/>
  <c r="H539" i="5"/>
  <c r="H535" i="5"/>
  <c r="H531" i="5"/>
  <c r="H527" i="5"/>
  <c r="H523" i="5"/>
  <c r="H519" i="5"/>
  <c r="H515" i="5"/>
  <c r="H511" i="5"/>
  <c r="H507" i="5"/>
  <c r="H503" i="5"/>
  <c r="H499" i="5"/>
  <c r="H495" i="5"/>
  <c r="H491" i="5"/>
  <c r="H487" i="5"/>
  <c r="H483" i="5"/>
  <c r="H479" i="5"/>
  <c r="H475" i="5"/>
  <c r="H471" i="5"/>
  <c r="H467" i="5"/>
  <c r="H463" i="5"/>
  <c r="H459" i="5"/>
  <c r="H455" i="5"/>
  <c r="H451" i="5"/>
  <c r="H447" i="5"/>
  <c r="H443" i="5"/>
  <c r="H439" i="5"/>
  <c r="H435" i="5"/>
  <c r="H431" i="5"/>
  <c r="H427" i="5"/>
  <c r="H423" i="5"/>
  <c r="H419" i="5"/>
  <c r="H415" i="5"/>
  <c r="H411" i="5"/>
  <c r="H403" i="5"/>
  <c r="H399" i="5"/>
  <c r="H395" i="5"/>
  <c r="H391" i="5"/>
  <c r="H387" i="5"/>
  <c r="H383" i="5"/>
  <c r="H379" i="5"/>
  <c r="H375" i="5"/>
  <c r="H371" i="5"/>
  <c r="H367" i="5"/>
  <c r="H363" i="5"/>
  <c r="H359" i="5"/>
  <c r="H355" i="5"/>
  <c r="H351" i="5"/>
  <c r="H347" i="5"/>
  <c r="H343" i="5"/>
  <c r="H339" i="5"/>
  <c r="H335" i="5"/>
  <c r="H323" i="5"/>
  <c r="H259" i="5"/>
  <c r="H171" i="5"/>
  <c r="H159" i="5"/>
  <c r="H107" i="5"/>
  <c r="H95" i="5"/>
  <c r="H474" i="5"/>
  <c r="H470" i="5"/>
  <c r="H466" i="5"/>
  <c r="H462" i="5"/>
  <c r="H458" i="5"/>
  <c r="H454" i="5"/>
  <c r="H450" i="5"/>
  <c r="H446" i="5"/>
  <c r="H442" i="5"/>
  <c r="H438" i="5"/>
  <c r="H434" i="5"/>
  <c r="H430" i="5"/>
  <c r="H426" i="5"/>
  <c r="H422" i="5"/>
  <c r="H418" i="5"/>
  <c r="H414" i="5"/>
  <c r="H410" i="5"/>
  <c r="H406" i="5"/>
  <c r="H402" i="5"/>
  <c r="H398" i="5"/>
  <c r="H394" i="5"/>
  <c r="H390" i="5"/>
  <c r="H386" i="5"/>
  <c r="H382" i="5"/>
  <c r="H378" i="5"/>
  <c r="H374" i="5"/>
  <c r="H370" i="5"/>
  <c r="H366" i="5"/>
  <c r="H362" i="5"/>
  <c r="H358" i="5"/>
  <c r="H354" i="5"/>
  <c r="H350" i="5"/>
  <c r="H346" i="5"/>
  <c r="H342" i="5"/>
  <c r="H338" i="5"/>
  <c r="H334" i="5"/>
  <c r="H330" i="5"/>
  <c r="H326" i="5"/>
  <c r="H322" i="5"/>
  <c r="H318" i="5"/>
  <c r="H314" i="5"/>
  <c r="H310" i="5"/>
  <c r="H306" i="5"/>
  <c r="H302" i="5"/>
  <c r="H298" i="5"/>
  <c r="H294" i="5"/>
  <c r="H290" i="5"/>
  <c r="H286" i="5"/>
  <c r="H282" i="5"/>
  <c r="H278" i="5"/>
  <c r="H274" i="5"/>
  <c r="H270" i="5"/>
  <c r="H266" i="5"/>
  <c r="H262" i="5"/>
  <c r="H258" i="5"/>
  <c r="H254" i="5"/>
  <c r="H250" i="5"/>
  <c r="H246" i="5"/>
  <c r="H242" i="5"/>
  <c r="H238" i="5"/>
  <c r="H230" i="5"/>
  <c r="H226" i="5"/>
  <c r="H222" i="5"/>
  <c r="H218" i="5"/>
  <c r="H214" i="5"/>
  <c r="H210" i="5"/>
  <c r="H206" i="5"/>
  <c r="H202" i="5"/>
  <c r="H198" i="5"/>
  <c r="H194" i="5"/>
  <c r="H190" i="5"/>
  <c r="H186" i="5"/>
  <c r="H182" i="5"/>
  <c r="H178" i="5"/>
  <c r="H174" i="5"/>
  <c r="H170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26" i="5"/>
  <c r="H22" i="5"/>
  <c r="H18" i="5"/>
  <c r="H14" i="5"/>
  <c r="H10" i="5"/>
  <c r="H6" i="5"/>
  <c r="H407" i="5"/>
  <c r="H408" i="5"/>
  <c r="H1457" i="5"/>
  <c r="H1393" i="5"/>
  <c r="H234" i="5"/>
  <c r="H235" i="5"/>
  <c r="H30" i="5"/>
  <c r="H31" i="5"/>
  <c r="H1465" i="5"/>
  <c r="H1433" i="5"/>
  <c r="H1401" i="5"/>
  <c r="H1489" i="5"/>
  <c r="H1425" i="5"/>
  <c r="H1485" i="5"/>
  <c r="H1477" i="5"/>
  <c r="H1469" i="5"/>
  <c r="H1461" i="5"/>
  <c r="H1453" i="5"/>
  <c r="H1445" i="5"/>
  <c r="H1437" i="5"/>
  <c r="H1429" i="5"/>
  <c r="H1421" i="5"/>
  <c r="H1413" i="5"/>
  <c r="H1405" i="5"/>
  <c r="H1397" i="5"/>
  <c r="H1389" i="5"/>
  <c r="H1381" i="5"/>
  <c r="H1373" i="5"/>
  <c r="H1369" i="5"/>
  <c r="H1365" i="5"/>
  <c r="H1361" i="5"/>
  <c r="H1357" i="5"/>
  <c r="H1353" i="5"/>
  <c r="H1349" i="5"/>
  <c r="H1345" i="5"/>
  <c r="H1341" i="5"/>
  <c r="H1337" i="5"/>
  <c r="H1333" i="5"/>
  <c r="H1329" i="5"/>
  <c r="H1325" i="5"/>
  <c r="H1321" i="5"/>
  <c r="H1317" i="5"/>
  <c r="H1313" i="5"/>
  <c r="H1309" i="5"/>
  <c r="H1305" i="5"/>
  <c r="H1301" i="5"/>
  <c r="H1297" i="5"/>
  <c r="H1293" i="5"/>
  <c r="H1289" i="5"/>
  <c r="H1285" i="5"/>
  <c r="H1281" i="5"/>
  <c r="H1277" i="5"/>
  <c r="H1273" i="5"/>
  <c r="H1269" i="5"/>
  <c r="H1265" i="5"/>
  <c r="H1261" i="5"/>
  <c r="H1257" i="5"/>
  <c r="H1253" i="5"/>
  <c r="H1249" i="5"/>
  <c r="H1245" i="5"/>
  <c r="H1241" i="5"/>
  <c r="H1237" i="5"/>
  <c r="H1233" i="5"/>
  <c r="H1229" i="5"/>
  <c r="H1225" i="5"/>
  <c r="H1221" i="5"/>
  <c r="H1217" i="5"/>
  <c r="H1213" i="5"/>
  <c r="H1209" i="5"/>
  <c r="H1205" i="5"/>
  <c r="H1201" i="5"/>
  <c r="H1197" i="5"/>
  <c r="H1193" i="5"/>
  <c r="H1189" i="5"/>
  <c r="H1185" i="5"/>
  <c r="H1181" i="5"/>
  <c r="H1177" i="5"/>
  <c r="H1173" i="5"/>
  <c r="H1169" i="5"/>
  <c r="H1165" i="5"/>
  <c r="H1161" i="5"/>
  <c r="H1157" i="5"/>
  <c r="H1153" i="5"/>
  <c r="H1149" i="5"/>
  <c r="H1145" i="5"/>
  <c r="H1141" i="5"/>
  <c r="H1137" i="5"/>
  <c r="H1133" i="5"/>
  <c r="H1129" i="5"/>
  <c r="H1125" i="5"/>
  <c r="H1121" i="5"/>
  <c r="H1117" i="5"/>
  <c r="H1113" i="5"/>
  <c r="H1109" i="5"/>
  <c r="H1105" i="5"/>
  <c r="H1101" i="5"/>
  <c r="H1097" i="5"/>
  <c r="H1093" i="5"/>
  <c r="H1089" i="5"/>
  <c r="H1085" i="5"/>
  <c r="H1081" i="5"/>
  <c r="H1077" i="5"/>
  <c r="H1073" i="5"/>
  <c r="H1069" i="5"/>
  <c r="H1065" i="5"/>
  <c r="H1061" i="5"/>
  <c r="H1057" i="5"/>
  <c r="H1053" i="5"/>
  <c r="H1049" i="5"/>
  <c r="H1045" i="5"/>
  <c r="H1041" i="5"/>
  <c r="H1037" i="5"/>
  <c r="H1033" i="5"/>
  <c r="H1029" i="5"/>
  <c r="H1025" i="5"/>
  <c r="H1021" i="5"/>
  <c r="H1017" i="5"/>
  <c r="H1013" i="5"/>
  <c r="H1009" i="5"/>
  <c r="H1005" i="5"/>
  <c r="H1001" i="5"/>
  <c r="H997" i="5"/>
  <c r="H993" i="5"/>
  <c r="H989" i="5"/>
  <c r="H985" i="5"/>
  <c r="H981" i="5"/>
  <c r="H977" i="5"/>
  <c r="H973" i="5"/>
  <c r="H969" i="5"/>
  <c r="H965" i="5"/>
  <c r="H961" i="5"/>
  <c r="H957" i="5"/>
  <c r="H953" i="5"/>
  <c r="H936" i="5"/>
  <c r="H932" i="5"/>
  <c r="H920" i="5"/>
  <c r="H916" i="5"/>
  <c r="H904" i="5"/>
  <c r="H900" i="5"/>
  <c r="H888" i="5"/>
  <c r="H884" i="5"/>
  <c r="H872" i="5"/>
  <c r="H868" i="5"/>
  <c r="H856" i="5"/>
  <c r="H852" i="5"/>
  <c r="H840" i="5"/>
  <c r="H836" i="5"/>
  <c r="H824" i="5"/>
  <c r="H820" i="5"/>
  <c r="H808" i="5"/>
  <c r="H804" i="5"/>
  <c r="H792" i="5"/>
  <c r="H788" i="5"/>
  <c r="H776" i="5"/>
  <c r="H772" i="5"/>
  <c r="H768" i="5"/>
  <c r="H760" i="5"/>
  <c r="H756" i="5"/>
  <c r="H752" i="5"/>
  <c r="H744" i="5"/>
  <c r="H740" i="5"/>
  <c r="H736" i="5"/>
  <c r="H732" i="5"/>
  <c r="H724" i="5"/>
  <c r="H716" i="5"/>
  <c r="H712" i="5"/>
  <c r="H708" i="5"/>
  <c r="H704" i="5"/>
  <c r="H700" i="5"/>
  <c r="H696" i="5"/>
  <c r="H688" i="5"/>
  <c r="H684" i="5"/>
  <c r="H680" i="5"/>
  <c r="H676" i="5"/>
  <c r="H672" i="5"/>
  <c r="H668" i="5"/>
  <c r="H660" i="5"/>
  <c r="H652" i="5"/>
  <c r="H648" i="5"/>
  <c r="H644" i="5"/>
  <c r="H640" i="5"/>
  <c r="H636" i="5"/>
  <c r="H632" i="5"/>
  <c r="H624" i="5"/>
  <c r="H620" i="5"/>
  <c r="H616" i="5"/>
  <c r="H612" i="5"/>
  <c r="H608" i="5"/>
  <c r="H604" i="5"/>
  <c r="H596" i="5"/>
  <c r="H588" i="5"/>
  <c r="H584" i="5"/>
  <c r="H580" i="5"/>
  <c r="H576" i="5"/>
  <c r="H572" i="5"/>
  <c r="H568" i="5"/>
  <c r="H560" i="5"/>
  <c r="H556" i="5"/>
  <c r="H552" i="5"/>
  <c r="H548" i="5"/>
  <c r="H544" i="5"/>
  <c r="H540" i="5"/>
  <c r="H532" i="5"/>
  <c r="H524" i="5"/>
  <c r="H520" i="5"/>
  <c r="H516" i="5"/>
  <c r="H512" i="5"/>
  <c r="H508" i="5"/>
  <c r="H504" i="5"/>
  <c r="H500" i="5"/>
  <c r="H496" i="5"/>
  <c r="H492" i="5"/>
  <c r="H488" i="5"/>
  <c r="H484" i="5"/>
  <c r="H480" i="5"/>
  <c r="H476" i="5"/>
  <c r="H472" i="5"/>
  <c r="H468" i="5"/>
  <c r="H464" i="5"/>
  <c r="H460" i="5"/>
  <c r="H452" i="5"/>
  <c r="H448" i="5"/>
  <c r="H444" i="5"/>
  <c r="H440" i="5"/>
  <c r="H436" i="5"/>
  <c r="H432" i="5"/>
  <c r="H424" i="5"/>
  <c r="H420" i="5"/>
  <c r="H416" i="5"/>
  <c r="H412" i="5"/>
  <c r="H404" i="5"/>
  <c r="H396" i="5"/>
  <c r="H392" i="5"/>
  <c r="H388" i="5"/>
  <c r="H384" i="5"/>
  <c r="H376" i="5"/>
  <c r="H372" i="5"/>
  <c r="H368" i="5"/>
  <c r="H364" i="5"/>
  <c r="H356" i="5"/>
  <c r="H348" i="5"/>
  <c r="H344" i="5"/>
  <c r="H340" i="5"/>
  <c r="H336" i="5"/>
  <c r="H276" i="5"/>
  <c r="H272" i="5"/>
  <c r="H32" i="5"/>
  <c r="H28" i="5"/>
  <c r="H24" i="5"/>
  <c r="H20" i="5"/>
  <c r="H16" i="5"/>
  <c r="H12" i="5"/>
  <c r="H8" i="5"/>
  <c r="H4" i="5"/>
  <c r="H331" i="5"/>
  <c r="H327" i="5"/>
  <c r="H319" i="5"/>
  <c r="H315" i="5"/>
  <c r="H311" i="5"/>
  <c r="H307" i="5"/>
  <c r="H303" i="5"/>
  <c r="H299" i="5"/>
  <c r="H295" i="5"/>
  <c r="H291" i="5"/>
  <c r="H287" i="5"/>
  <c r="H283" i="5"/>
  <c r="H279" i="5"/>
  <c r="H275" i="5"/>
  <c r="H271" i="5"/>
  <c r="H267" i="5"/>
  <c r="H263" i="5"/>
  <c r="H255" i="5"/>
  <c r="H251" i="5"/>
  <c r="H247" i="5"/>
  <c r="H243" i="5"/>
  <c r="H239" i="5"/>
  <c r="H231" i="5"/>
  <c r="H227" i="5"/>
  <c r="H223" i="5"/>
  <c r="H219" i="5"/>
  <c r="H215" i="5"/>
  <c r="H211" i="5"/>
  <c r="H207" i="5"/>
  <c r="H203" i="5"/>
  <c r="H199" i="5"/>
  <c r="H195" i="5"/>
  <c r="H191" i="5"/>
  <c r="H187" i="5"/>
  <c r="H183" i="5"/>
  <c r="H179" i="5"/>
  <c r="H175" i="5"/>
  <c r="H167" i="5"/>
  <c r="H163" i="5"/>
  <c r="H155" i="5"/>
  <c r="H151" i="5"/>
  <c r="H147" i="5"/>
  <c r="H143" i="5"/>
  <c r="H139" i="5"/>
  <c r="H135" i="5"/>
  <c r="H131" i="5"/>
  <c r="H127" i="5"/>
  <c r="H123" i="5"/>
  <c r="H119" i="5"/>
  <c r="H115" i="5"/>
  <c r="H111" i="5"/>
  <c r="H103" i="5"/>
  <c r="H99" i="5"/>
  <c r="H91" i="5"/>
  <c r="H87" i="5"/>
  <c r="H83" i="5"/>
  <c r="H79" i="5"/>
  <c r="H75" i="5"/>
  <c r="H71" i="5"/>
  <c r="H67" i="5"/>
  <c r="H63" i="5"/>
  <c r="H59" i="5"/>
  <c r="H55" i="5"/>
  <c r="H51" i="5"/>
  <c r="H47" i="5"/>
  <c r="H43" i="5"/>
  <c r="H39" i="5"/>
  <c r="H35" i="5"/>
  <c r="H27" i="5"/>
  <c r="H23" i="5"/>
  <c r="H19" i="5"/>
  <c r="H15" i="5"/>
  <c r="H11" i="5"/>
  <c r="H7" i="5"/>
  <c r="H3" i="5"/>
  <c r="C3" i="6"/>
  <c r="A6" i="8"/>
  <c r="A5" i="9"/>
  <c r="A4" i="9"/>
  <c r="A2" i="8"/>
  <c r="A3" i="9"/>
  <c r="A7" i="8"/>
  <c r="D2" i="6" l="1"/>
  <c r="E2" i="6" s="1"/>
  <c r="C13" i="9" s="1"/>
  <c r="C5" i="10" s="1"/>
  <c r="C2" i="7"/>
  <c r="B2" i="7"/>
  <c r="D2" i="7"/>
  <c r="C3" i="7"/>
  <c r="B2" i="9"/>
  <c r="B3" i="7"/>
  <c r="C2" i="9"/>
  <c r="D3" i="7"/>
  <c r="B4" i="6"/>
  <c r="D2" i="9"/>
  <c r="E7" i="7"/>
  <c r="E3" i="7"/>
  <c r="E2" i="7"/>
  <c r="C4" i="6"/>
  <c r="C3" i="8"/>
  <c r="D3" i="8" s="1"/>
  <c r="D5" i="7"/>
  <c r="D4" i="6"/>
  <c r="E4" i="6" s="1"/>
  <c r="D3" i="9"/>
  <c r="C4" i="7"/>
  <c r="B4" i="7"/>
  <c r="C3" i="9"/>
  <c r="B3" i="9"/>
  <c r="D4" i="7"/>
  <c r="B5" i="6"/>
  <c r="C4" i="8" s="1"/>
  <c r="D4" i="8" s="1"/>
  <c r="C5" i="7"/>
  <c r="B5" i="7"/>
  <c r="C4" i="9"/>
  <c r="D4" i="9"/>
  <c r="B4" i="9"/>
  <c r="E5" i="7"/>
  <c r="E4" i="7"/>
  <c r="C5" i="6"/>
  <c r="G5" i="7"/>
  <c r="D7" i="6"/>
  <c r="E7" i="6" s="1"/>
  <c r="F2" i="9"/>
  <c r="G3" i="7"/>
  <c r="F3" i="9"/>
  <c r="C7" i="7"/>
  <c r="C6" i="9"/>
  <c r="G4" i="7"/>
  <c r="E6" i="9"/>
  <c r="F6" i="9"/>
  <c r="B7" i="7"/>
  <c r="B7" i="6"/>
  <c r="C6" i="8" s="1"/>
  <c r="D6" i="8" s="1"/>
  <c r="D6" i="9"/>
  <c r="G2" i="7"/>
  <c r="D7" i="7"/>
  <c r="G7" i="7"/>
  <c r="F4" i="9"/>
  <c r="B6" i="9"/>
  <c r="E5" i="9"/>
  <c r="D5" i="9"/>
  <c r="C5" i="9"/>
  <c r="B5" i="9"/>
  <c r="E4" i="9"/>
  <c r="F3" i="7"/>
  <c r="C6" i="7"/>
  <c r="D6" i="6"/>
  <c r="E6" i="6" s="1"/>
  <c r="E3" i="9"/>
  <c r="F6" i="7"/>
  <c r="F2" i="7"/>
  <c r="B6" i="7"/>
  <c r="E2" i="9"/>
  <c r="F5" i="7"/>
  <c r="F4" i="7"/>
  <c r="D6" i="7"/>
  <c r="B6" i="6"/>
  <c r="E6" i="7"/>
  <c r="F5" i="9"/>
  <c r="F7" i="7"/>
  <c r="G6" i="7"/>
  <c r="G4" i="9"/>
  <c r="H7" i="7"/>
  <c r="H3" i="7"/>
  <c r="E8" i="7"/>
  <c r="G7" i="9"/>
  <c r="G3" i="9"/>
  <c r="E7" i="9"/>
  <c r="C7" i="9"/>
  <c r="G6" i="9"/>
  <c r="G2" i="9"/>
  <c r="H5" i="7"/>
  <c r="G8" i="7"/>
  <c r="C8" i="7"/>
  <c r="G5" i="9"/>
  <c r="D7" i="9"/>
  <c r="H6" i="7"/>
  <c r="D8" i="6"/>
  <c r="E8" i="6" s="1"/>
  <c r="B8" i="6"/>
  <c r="F7" i="9"/>
  <c r="B7" i="9"/>
  <c r="H8" i="7"/>
  <c r="H4" i="7"/>
  <c r="B8" i="7"/>
  <c r="F8" i="7"/>
  <c r="D8" i="7"/>
  <c r="H2" i="7"/>
  <c r="C10" i="9" l="1"/>
  <c r="C12" i="9" s="1"/>
  <c r="C7" i="6"/>
  <c r="C14" i="9"/>
  <c r="C5" i="8"/>
  <c r="D5" i="8" s="1"/>
  <c r="C6" i="6"/>
  <c r="C8" i="6"/>
  <c r="C7" i="8"/>
  <c r="D7" i="8" s="1"/>
  <c r="D8" i="8" l="1"/>
  <c r="D10" i="8" s="1"/>
  <c r="C4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<sst xmlns="http://schemas.openxmlformats.org/spreadsheetml/2006/main" count="108" uniqueCount="79">
  <si>
    <t>Date</t>
  </si>
  <si>
    <t>Nifty 50</t>
  </si>
  <si>
    <t>Reliance</t>
  </si>
  <si>
    <t>HDFC Bank</t>
  </si>
  <si>
    <t>ITC</t>
  </si>
  <si>
    <t>Price</t>
  </si>
  <si>
    <t>TCS</t>
  </si>
  <si>
    <t>Infosys</t>
  </si>
  <si>
    <t>L&amp;T</t>
  </si>
  <si>
    <t>Stock</t>
  </si>
  <si>
    <t>Avg Daily Return</t>
  </si>
  <si>
    <t>Annual Return</t>
  </si>
  <si>
    <t>Daily Risk</t>
  </si>
  <si>
    <t>Annual Risk</t>
  </si>
  <si>
    <t>Weight</t>
  </si>
  <si>
    <t>Daily Avg Return</t>
  </si>
  <si>
    <t>Weighted  Return</t>
  </si>
  <si>
    <t>Portfolio Variance</t>
  </si>
  <si>
    <t>Daily Portfolio Risk</t>
  </si>
  <si>
    <r>
      <t xml:space="preserve">Total </t>
    </r>
    <r>
      <rPr>
        <b/>
        <sz val="11"/>
        <color theme="1"/>
        <rFont val="Calibri"/>
        <family val="2"/>
        <scheme val="minor"/>
      </rPr>
      <t>Portfolio</t>
    </r>
    <r>
      <rPr>
        <sz val="11"/>
        <color theme="1"/>
        <rFont val="Calibri"/>
        <family val="2"/>
        <scheme val="minor"/>
      </rPr>
      <t xml:space="preserve"> Return</t>
    </r>
  </si>
  <si>
    <r>
      <rPr>
        <b/>
        <sz val="11"/>
        <color theme="1"/>
        <rFont val="Calibri"/>
        <family val="2"/>
        <scheme val="minor"/>
      </rPr>
      <t>NIFTY 50</t>
    </r>
    <r>
      <rPr>
        <sz val="11"/>
        <color theme="1"/>
        <rFont val="Calibri"/>
        <family val="2"/>
        <scheme val="minor"/>
      </rPr>
      <t xml:space="preserve"> Return</t>
    </r>
  </si>
  <si>
    <r>
      <rPr>
        <b/>
        <sz val="11"/>
        <color theme="1"/>
        <rFont val="Calibri"/>
        <family val="2"/>
        <scheme val="minor"/>
      </rPr>
      <t>Portfolio</t>
    </r>
    <r>
      <rPr>
        <sz val="11"/>
        <color theme="1"/>
        <rFont val="Calibri"/>
        <family val="2"/>
        <scheme val="minor"/>
      </rPr>
      <t xml:space="preserve"> ANNUAL RISK</t>
    </r>
  </si>
  <si>
    <r>
      <rPr>
        <b/>
        <sz val="11"/>
        <color theme="1"/>
        <rFont val="Calibri"/>
        <family val="2"/>
        <scheme val="minor"/>
      </rPr>
      <t>NIFTY 50</t>
    </r>
    <r>
      <rPr>
        <sz val="11"/>
        <color theme="1"/>
        <rFont val="Calibri"/>
        <family val="2"/>
        <scheme val="minor"/>
      </rPr>
      <t xml:space="preserve"> Annual Risk</t>
    </r>
  </si>
  <si>
    <t xml:space="preserve">Risk-Free Rate </t>
  </si>
  <si>
    <r>
      <rPr>
        <b/>
        <sz val="11"/>
        <color theme="1"/>
        <rFont val="Calibri"/>
        <family val="2"/>
        <scheme val="minor"/>
      </rPr>
      <t>Portfolio</t>
    </r>
    <r>
      <rPr>
        <sz val="11"/>
        <color theme="1"/>
        <rFont val="Calibri"/>
        <family val="2"/>
        <scheme val="minor"/>
      </rPr>
      <t xml:space="preserve"> Sharpe Ratio</t>
    </r>
  </si>
  <si>
    <r>
      <rPr>
        <b/>
        <sz val="11"/>
        <color theme="1"/>
        <rFont val="Calibri"/>
        <family val="2"/>
        <scheme val="minor"/>
      </rPr>
      <t>NIFTY 50</t>
    </r>
    <r>
      <rPr>
        <sz val="11"/>
        <color theme="1"/>
        <rFont val="Calibri"/>
        <family val="2"/>
        <scheme val="minor"/>
      </rPr>
      <t xml:space="preserve"> Sharpe Ratio</t>
    </r>
  </si>
  <si>
    <t xml:space="preserve">A risk-adjusted performance evaluation was conducted using the Sharpe Ratio. </t>
  </si>
  <si>
    <r>
      <t xml:space="preserve">Stocks such as </t>
    </r>
    <r>
      <rPr>
        <b/>
        <sz val="11"/>
        <color theme="1"/>
        <rFont val="Calibri"/>
        <family val="2"/>
        <scheme val="minor"/>
      </rPr>
      <t>L&amp;T and Reliance generated higher annual returns</t>
    </r>
    <r>
      <rPr>
        <sz val="11"/>
        <color theme="1"/>
        <rFont val="Calibri"/>
        <family val="2"/>
        <scheme val="minor"/>
      </rPr>
      <t>, but this was</t>
    </r>
  </si>
  <si>
    <t>accompanied by significantly higher volatility, indicating greater risk exposure.</t>
  </si>
  <si>
    <r>
      <t>TCS exhibited comparatively lower volatility among individual stocks</t>
    </r>
    <r>
      <rPr>
        <sz val="11"/>
        <color theme="1"/>
        <rFont val="Calibri"/>
        <family val="2"/>
        <scheme val="minor"/>
      </rPr>
      <t xml:space="preserve">, though </t>
    </r>
  </si>
  <si>
    <t xml:space="preserve">with lower returns, reflecting more stable performance. ITC delivered moderate </t>
  </si>
  <si>
    <t>returns with moderate risk, rather than being the lowest-risk stock.</t>
  </si>
  <si>
    <r>
      <t xml:space="preserve">The </t>
    </r>
    <r>
      <rPr>
        <b/>
        <sz val="11"/>
        <color theme="1"/>
        <rFont val="Calibri"/>
        <family val="2"/>
        <scheme val="minor"/>
      </rPr>
      <t>NIFTY 50 showed lower volatility and moderate returns</t>
    </r>
    <r>
      <rPr>
        <sz val="11"/>
        <color theme="1"/>
        <rFont val="Calibri"/>
        <family val="2"/>
        <scheme val="minor"/>
      </rPr>
      <t xml:space="preserve">, serving as a </t>
    </r>
  </si>
  <si>
    <t>balanced benchmark for comparing portfolio performance.</t>
  </si>
  <si>
    <t xml:space="preserve">Conditional formatting was applied to the correlation matrix to visually highlight </t>
  </si>
  <si>
    <t xml:space="preserve">relationships between stocks. </t>
  </si>
  <si>
    <t>Lower correlations were represented in green, indicating better diversification,</t>
  </si>
  <si>
    <t>while higher correlations were highlighted in red.</t>
  </si>
  <si>
    <t xml:space="preserve">The relatively high correlation between individual stocks and the NIFTY 50 is expected, </t>
  </si>
  <si>
    <t>as the index represents overall market movements. This reinforces its suitability as a</t>
  </si>
  <si>
    <t>benchmark rather than a diversification asset within the portfolio.</t>
  </si>
  <si>
    <r>
      <t xml:space="preserve">The portfolio outperformed the benchmark by approximately </t>
    </r>
    <r>
      <rPr>
        <b/>
        <sz val="11"/>
        <color theme="1"/>
        <rFont val="Calibri"/>
        <family val="2"/>
        <scheme val="minor"/>
      </rPr>
      <t>1.1%</t>
    </r>
    <r>
      <rPr>
        <sz val="11"/>
        <color theme="1"/>
        <rFont val="Calibri"/>
        <family val="2"/>
        <scheme val="minor"/>
      </rPr>
      <t xml:space="preserve">, </t>
    </r>
  </si>
  <si>
    <t>reflecting effective stock selection and weight allocation.</t>
  </si>
  <si>
    <t xml:space="preserve">Portfolio risk was calculated using the covariance matrix and weight vector, accounting </t>
  </si>
  <si>
    <t>for inter-asset relationships.</t>
  </si>
  <si>
    <r>
      <rPr>
        <b/>
        <sz val="11"/>
        <color theme="1"/>
        <rFont val="Calibri"/>
        <family val="2"/>
        <scheme val="minor"/>
      </rPr>
      <t>Diversification</t>
    </r>
    <r>
      <rPr>
        <sz val="11"/>
        <color theme="1"/>
        <rFont val="Calibri"/>
        <family val="2"/>
        <scheme val="minor"/>
      </rPr>
      <t xml:space="preserve"> helped reduce portfolio volatility significantly compared to individual stocks.</t>
    </r>
  </si>
  <si>
    <r>
      <rPr>
        <b/>
        <sz val="10.5"/>
        <color theme="1"/>
        <rFont val="Calibri"/>
        <family val="2"/>
        <scheme val="minor"/>
      </rPr>
      <t>Other Stocks</t>
    </r>
    <r>
      <rPr>
        <sz val="11"/>
        <color theme="1"/>
        <rFont val="Calibri"/>
        <family val="2"/>
        <scheme val="minor"/>
      </rPr>
      <t xml:space="preserve"> Average Risk</t>
    </r>
  </si>
  <si>
    <t>This project analyzed the risk and return characteristics of selected Indian equities using historical daily</t>
  </si>
  <si>
    <t>Correlation analysis indicated moderate to high correlation between individual stocks and the NIFTY 50,</t>
  </si>
  <si>
    <t>reflecting overall market movements, while lower inter-stock correlations supported diversification benefits.</t>
  </si>
  <si>
    <r>
      <t xml:space="preserve">A diversified portfolio was constructed using selected stocks, resulting in an </t>
    </r>
    <r>
      <rPr>
        <b/>
        <sz val="11"/>
        <color theme="1"/>
        <rFont val="Calibri"/>
        <family val="2"/>
        <scheme val="minor"/>
      </rPr>
      <t xml:space="preserve">annual portfolio return of </t>
    </r>
  </si>
  <si>
    <r>
      <rPr>
        <b/>
        <sz val="11"/>
        <color theme="1"/>
        <rFont val="Calibri"/>
        <family val="2"/>
        <scheme val="minor"/>
      </rPr>
      <t>15.66%</t>
    </r>
    <r>
      <rPr>
        <sz val="11"/>
        <color theme="1"/>
        <rFont val="Calibri"/>
        <family val="2"/>
        <scheme val="minor"/>
      </rPr>
      <t xml:space="preserve">, which outperformed the </t>
    </r>
    <r>
      <rPr>
        <b/>
        <sz val="11"/>
        <color theme="1"/>
        <rFont val="Calibri"/>
        <family val="2"/>
        <scheme val="minor"/>
      </rPr>
      <t>NIFTY 50 return of 14.56%</t>
    </r>
    <r>
      <rPr>
        <sz val="11"/>
        <color theme="1"/>
        <rFont val="Calibri"/>
        <family val="2"/>
        <scheme val="minor"/>
      </rPr>
      <t>.</t>
    </r>
  </si>
  <si>
    <r>
      <t xml:space="preserve">price data. Individual stock analysis showed that stocks such as </t>
    </r>
    <r>
      <rPr>
        <b/>
        <sz val="11"/>
        <color theme="1"/>
        <rFont val="Calibri"/>
        <family val="2"/>
        <scheme val="minor"/>
      </rPr>
      <t>L&amp;T and Reliance delivered higher</t>
    </r>
  </si>
  <si>
    <r>
      <rPr>
        <b/>
        <sz val="11"/>
        <color theme="1"/>
        <rFont val="Calibri"/>
        <family val="2"/>
        <scheme val="minor"/>
      </rPr>
      <t>returns but with higher volatility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TCS exhibited relatively lower volatility</t>
    </r>
    <r>
      <rPr>
        <sz val="11"/>
        <color theme="1"/>
        <rFont val="Calibri"/>
        <family val="2"/>
        <scheme val="minor"/>
      </rPr>
      <t xml:space="preserve"> among individual stocks. </t>
    </r>
  </si>
  <si>
    <r>
      <t xml:space="preserve">The </t>
    </r>
    <r>
      <rPr>
        <b/>
        <sz val="11"/>
        <color theme="1"/>
        <rFont val="Calibri"/>
        <family val="2"/>
        <scheme val="minor"/>
      </rPr>
      <t>NIFTY 50 demonstrated lower overall risk and moderate returns</t>
    </r>
    <r>
      <rPr>
        <sz val="11"/>
        <color theme="1"/>
        <rFont val="Calibri"/>
        <family val="2"/>
        <scheme val="minor"/>
      </rPr>
      <t>, serving as an appropriate benchmark.</t>
    </r>
  </si>
  <si>
    <r>
      <t xml:space="preserve">Portfolio risk, calculated using the covariance matrix, was approximately </t>
    </r>
    <r>
      <rPr>
        <b/>
        <sz val="11"/>
        <color theme="1"/>
        <rFont val="Calibri"/>
        <family val="2"/>
        <scheme val="minor"/>
      </rPr>
      <t>18.3%</t>
    </r>
    <r>
      <rPr>
        <sz val="11"/>
        <color theme="1"/>
        <rFont val="Calibri"/>
        <family val="2"/>
        <scheme val="minor"/>
      </rPr>
      <t>, which was significantly</t>
    </r>
  </si>
  <si>
    <t xml:space="preserve">lower than the risk of most individual stocks. Risk-adjusted performance evaluation using the Sharpe Ratio </t>
  </si>
  <si>
    <r>
      <t xml:space="preserve">showed that the portfolio </t>
    </r>
    <r>
      <rPr>
        <b/>
        <sz val="11"/>
        <color theme="1"/>
        <rFont val="Calibri"/>
        <family val="2"/>
        <scheme val="minor"/>
      </rPr>
      <t>0.47</t>
    </r>
    <r>
      <rPr>
        <sz val="11"/>
        <color theme="1"/>
        <rFont val="Calibri"/>
        <family val="2"/>
        <scheme val="minor"/>
      </rPr>
      <t xml:space="preserve"> outperformed the benchmark </t>
    </r>
    <r>
      <rPr>
        <b/>
        <sz val="11"/>
        <color theme="1"/>
        <rFont val="Calibri"/>
        <family val="2"/>
        <scheme val="minor"/>
      </rPr>
      <t>0.42</t>
    </r>
    <r>
      <rPr>
        <sz val="11"/>
        <color theme="1"/>
        <rFont val="Calibri"/>
        <family val="2"/>
        <scheme val="minor"/>
      </rPr>
      <t>, indicating superior risk-adjusted returns.</t>
    </r>
  </si>
  <si>
    <r>
      <t xml:space="preserve">Overall, the analysis demonstrates that </t>
    </r>
    <r>
      <rPr>
        <b/>
        <sz val="11"/>
        <color theme="1"/>
        <rFont val="Calibri"/>
        <family val="2"/>
        <scheme val="minor"/>
      </rPr>
      <t xml:space="preserve">diversification and appropriate weight allocation can improve </t>
    </r>
  </si>
  <si>
    <r>
      <rPr>
        <b/>
        <sz val="11"/>
        <color theme="1"/>
        <rFont val="Calibri"/>
        <family val="2"/>
        <scheme val="minor"/>
      </rPr>
      <t>portfolio performance while controlling risk</t>
    </r>
    <r>
      <rPr>
        <sz val="11"/>
        <color theme="1"/>
        <rFont val="Calibri"/>
        <family val="2"/>
        <scheme val="minor"/>
      </rPr>
      <t>, validating key principles of modern portfolio theory.</t>
    </r>
  </si>
  <si>
    <t>Stocks</t>
  </si>
  <si>
    <r>
      <t xml:space="preserve">Assuming a risk-free rate of </t>
    </r>
    <r>
      <rPr>
        <b/>
        <sz val="11"/>
        <color theme="1"/>
        <rFont val="Calibri"/>
        <family val="2"/>
        <scheme val="minor"/>
      </rPr>
      <t>7%</t>
    </r>
    <r>
      <rPr>
        <sz val="11"/>
        <color theme="1"/>
        <rFont val="Calibri"/>
        <family val="2"/>
        <scheme val="minor"/>
      </rPr>
      <t xml:space="preserve">, the constructed </t>
    </r>
    <r>
      <rPr>
        <b/>
        <sz val="11"/>
        <color theme="1"/>
        <rFont val="Calibri"/>
        <family val="2"/>
        <scheme val="minor"/>
      </rPr>
      <t>portfolio achieved a Sharpe Ratio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</si>
  <si>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This indicates that the </t>
    </r>
    <r>
      <rPr>
        <b/>
        <sz val="11"/>
        <color theme="1"/>
        <rFont val="Calibri"/>
        <family val="2"/>
        <scheme val="minor"/>
      </rPr>
      <t>portfolio delivered superior risk-adjusted returns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</si>
  <si>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0.47</t>
    </r>
    <r>
      <rPr>
        <sz val="11"/>
        <color theme="1"/>
        <rFont val="Calibri"/>
        <family val="2"/>
        <scheme val="minor"/>
      </rPr>
      <t xml:space="preserve">, which was higher than the </t>
    </r>
    <r>
      <rPr>
        <b/>
        <sz val="11"/>
        <color theme="1"/>
        <rFont val="Calibri"/>
        <family val="2"/>
        <scheme val="minor"/>
      </rPr>
      <t>NIFTY 50 Sharpe Ratio of 0.42</t>
    </r>
    <r>
      <rPr>
        <sz val="11"/>
        <color theme="1"/>
        <rFont val="Calibri"/>
        <family val="2"/>
        <scheme val="minor"/>
      </rPr>
      <t xml:space="preserve">. </t>
    </r>
  </si>
  <si>
    <r>
      <rPr>
        <b/>
        <sz val="11"/>
        <color theme="1"/>
        <rFont val="Calibri"/>
        <family val="2"/>
        <scheme val="minor"/>
      </rPr>
      <t>compared to the benchmark index</t>
    </r>
    <r>
      <rPr>
        <sz val="11"/>
        <color theme="1"/>
        <rFont val="Calibri"/>
        <family val="2"/>
        <scheme val="minor"/>
      </rPr>
      <t>.</t>
    </r>
  </si>
  <si>
    <t>Equity Portfolio Risk–Return and Risk-Adjusted Performance Analysis</t>
  </si>
  <si>
    <t>A Data Analytics &amp; Finance Project</t>
  </si>
  <si>
    <t>Prepared by:</t>
  </si>
  <si>
    <t>Shivam Kumar</t>
  </si>
  <si>
    <t>Role / Focus:</t>
  </si>
  <si>
    <t>Aspiring Data Analyst | Finance &amp; Analytics</t>
  </si>
  <si>
    <t>Tools Used:</t>
  </si>
  <si>
    <t>Microsoft Excel</t>
  </si>
  <si>
    <t>Concepts Applied:</t>
  </si>
  <si>
    <t>Risk–Return Analysis, Correlation &amp; Covariance,</t>
  </si>
  <si>
    <t>Portfolio Construction, Sharpe Ratio</t>
  </si>
  <si>
    <t>Benchmark:</t>
  </si>
  <si>
    <t>NIFTY 50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</si>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</sst>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"/>
    <numFmt numFmtId="171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0" fillId="0" borderId="1" xfId="0" applyNumberFormat="1" applyBorder="1"/>
    <xf numFmtId="10" fontId="1" fillId="0" borderId="2" xfId="0" applyNumberFormat="1" applyFont="1" applyBorder="1"/>
    <xf numFmtId="165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4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171" fontId="4" fillId="0" borderId="0" xfId="0" applyNumberFormat="1" applyFont="1" applyAlignment="1">
      <alignment horizontal="left"/>
    </xf>
  </cellXfs>
  <cellStyles count="1">
    <cellStyle name="Normal" xfId="0" builtinId="0"/>
  </cellStyles>
  <dxfs count="38">
    <dxf>
      <numFmt numFmtId="14" formatCode="0.00%"/>
      <fill>
        <patternFill>
          <bgColor theme="9" tint="0.59996337778862885"/>
        </patternFill>
      </fill>
    </dxf>
    <dxf>
      <numFmt numFmtId="14" formatCode="0.00%"/>
      <fill>
        <patternFill>
          <bgColor theme="7" tint="0.599963377788628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numFmt numFmtId="165" formatCode="0.0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00%"/>
    </dxf>
    <dxf>
      <numFmt numFmtId="14" formatCode="0.00%"/>
    </dxf>
    <dxf>
      <numFmt numFmtId="13" formatCode="0%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1DBA5E-8142-4DBA-B762-7E95ADF84FF1}" name="Table5" displayName="Table5" ref="A1:H1492" totalsRowShown="0" headerRowDxfId="37">
  <autoFilter ref="A1:H1492" xr:uid="{B51DBA5E-8142-4DBA-B762-7E95ADF84FF1}"/>
  <tableColumns count="8">
    <tableColumn id="1" xr3:uid="{08E8C3B0-B09E-41B3-9EDB-829C71652C15}" name="Date" dataDxfId="36"/>
    <tableColumn id="2" xr3:uid="{B1283C4C-CDD1-459A-9303-9B668B9DF45D}" name="Nifty 50" dataDxfId="35">
      <calculatedColumnFormula>(Master_Table!B2-Master_Table!B1)/Master_Table!B1</calculatedColumnFormula>
    </tableColumn>
    <tableColumn id="3" xr3:uid="{DAA17080-8377-4281-9941-95A74993BE9B}" name="Reliance" dataDxfId="34">
      <calculatedColumnFormula>(Master_Table!C2-Master_Table!C1)/Master_Table!C1</calculatedColumnFormula>
    </tableColumn>
    <tableColumn id="4" xr3:uid="{FC3372F0-6ACA-4BD6-B230-278C4EA21BD2}" name="HDFC Bank" dataDxfId="33">
      <calculatedColumnFormula>(Master_Table!D2-Master_Table!D1)/Master_Table!D1</calculatedColumnFormula>
    </tableColumn>
    <tableColumn id="5" xr3:uid="{68BAF3E5-5E54-4BFB-904B-44FB4DC5F6E8}" name="ITC" dataDxfId="32">
      <calculatedColumnFormula>(Master_Table!E2-Master_Table!E1)/Master_Table!E1</calculatedColumnFormula>
    </tableColumn>
    <tableColumn id="6" xr3:uid="{8080783B-0FD1-4AD7-9DF7-0B46632BA050}" name="TCS" dataDxfId="31">
      <calculatedColumnFormula>(Master_Table!F2-Master_Table!F1)/Master_Table!F1</calculatedColumnFormula>
    </tableColumn>
    <tableColumn id="7" xr3:uid="{F7EEBDDF-4DC5-4006-A589-3F44AA94F57C}" name="Infosys" dataDxfId="30">
      <calculatedColumnFormula>(Master_Table!G2-Master_Table!G1)/Master_Table!G1</calculatedColumnFormula>
    </tableColumn>
    <tableColumn id="8" xr3:uid="{DEF86C4E-91F6-4928-A079-67731BE04119}" name="L&amp;T" dataDxfId="29">
      <calculatedColumnFormula>(Master_Table!H2-Master_Table!H1)/Master_Table!H1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5E6AAF-16AE-4C5D-AECC-4D9F433E2AD6}" name="Table6" displayName="Table6" ref="A1:E8" totalsRowShown="0" headerRowDxfId="28">
  <autoFilter ref="A1:E8" xr:uid="{2F5E6AAF-16AE-4C5D-AECC-4D9F433E2AD6}"/>
  <tableColumns count="5">
    <tableColumn id="1" xr3:uid="{065B6489-F846-40C2-BA9A-7CD7FCAC71AD}" name="Stock"/>
    <tableColumn id="2" xr3:uid="{25D98B07-77D9-41D9-81D3-07B35CC82717}" name="Avg Daily Return" dataDxfId="27"/>
    <tableColumn id="3" xr3:uid="{46950DC7-CBC2-41D4-9DB5-1FC974005E6A}" name="Annual Return" dataDxfId="26">
      <calculatedColumnFormula>B2*252</calculatedColumnFormula>
    </tableColumn>
    <tableColumn id="4" xr3:uid="{80210150-44F4-40C5-9DD9-95B96C95186E}" name="Daily Risk" dataDxfId="25"/>
    <tableColumn id="5" xr3:uid="{AF20F981-FEC4-45A3-97EB-56989AB4BE0F}" name="Annual Risk" dataDxfId="24">
      <calculatedColumnFormula>D2*SQRT(252)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40CA5C-4D6A-461B-B1D5-3EE13C437EFA}" name="Table7" displayName="Table7" ref="A1:D7" totalsRowShown="0" headerRowDxfId="23" headerRowBorderDxfId="22">
  <tableColumns count="4">
    <tableColumn id="1" xr3:uid="{FA47594C-24C9-4082-B8DF-78A16B199FC7}" name="Stock">
      <calculatedColumnFormula>Risk_Return!A3</calculatedColumnFormula>
    </tableColumn>
    <tableColumn id="2" xr3:uid="{94256A27-E91B-4270-B71B-12623834C46A}" name="Weight" dataDxfId="21"/>
    <tableColumn id="3" xr3:uid="{CAFCA8FE-BF02-4960-9153-1C1497CE6272}" name="Daily Avg Return" dataDxfId="20">
      <calculatedColumnFormula>Risk_Return!B3</calculatedColumnFormula>
    </tableColumn>
    <tableColumn id="4" xr3:uid="{43F7061E-227A-4DB3-9B28-0026A13EBFB8}" name="Weighted  Return" dataDxfId="19">
      <calculatedColumnFormula>B2*C2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6E9C09-7A30-42C8-9C4D-FD2CC8F322E4}" name="Table8" displayName="Table8" ref="A1:G7" totalsRowShown="0" headerRowDxfId="18">
  <tableColumns count="7">
    <tableColumn id="1" xr3:uid="{B203C96C-19AA-4005-A997-B167D81AA584}" name="Stocks" dataDxfId="17">
      <calculatedColumnFormula>Risk_Return!A3</calculatedColumnFormula>
    </tableColumn>
    <tableColumn id="2" xr3:uid="{0D38B883-228C-4562-8275-30D406F75CFF}" name="Reliance" dataDxfId="16"/>
    <tableColumn id="3" xr3:uid="{DB00BCC0-3DEE-481B-8D32-E1F5B8D09BEA}" name="HDFC Bank" dataDxfId="15"/>
    <tableColumn id="4" xr3:uid="{6344EDAB-0A4D-486D-9F3D-AD091F38B83E}" name="ITC" dataDxfId="14"/>
    <tableColumn id="5" xr3:uid="{8D0311B9-4A3D-4B5D-B2F2-A735EE802E93}" name="TCS" dataDxfId="13"/>
    <tableColumn id="6" xr3:uid="{E00ECB0D-D4CF-4F93-BA13-770110156BAE}" name="Infosys" dataDxfId="12"/>
    <tableColumn id="7" xr3:uid="{990E0F1F-DA98-4C86-837C-05AABE6AA52A}" name="L&amp;T" dataDxfId="1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C4FABC-B18A-4F66-BBDA-BA9CFEFFE3B5}" name="Table9" displayName="Table9" ref="A1:H1492" totalsRowShown="0" headerRowDxfId="10">
  <autoFilter ref="A1:H1492" xr:uid="{3EC4FABC-B18A-4F66-BBDA-BA9CFEFFE3B5}"/>
  <tableColumns count="8">
    <tableColumn id="1" xr3:uid="{32C4F5F8-BF23-4EE0-95FA-4264E8173179}" name="Date" dataDxfId="9"/>
    <tableColumn id="2" xr3:uid="{1D8EED34-FB4A-4619-81E8-96BC25CB8931}" name="Nifty 50" dataDxfId="8">
      <calculatedColumnFormula>_xlfn.XLOOKUP($A2, 'Nifty 50'!A:A, 'Nifty 50'!B:B, "")</calculatedColumnFormula>
    </tableColumn>
    <tableColumn id="3" xr3:uid="{E93E900E-FE44-48C5-B62B-36B6D280A3A9}" name="Reliance" dataDxfId="7">
      <calculatedColumnFormula>_xlfn.XLOOKUP($A2, Reliance!A:A, Reliance!B:B, "")</calculatedColumnFormula>
    </tableColumn>
    <tableColumn id="4" xr3:uid="{CDAE5531-C299-4B01-A138-832278E4F42F}" name="HDFC Bank" dataDxfId="6">
      <calculatedColumnFormula>_xlfn.XLOOKUP($A2, HDFC!A:A, HDFC!B:B, "")</calculatedColumnFormula>
    </tableColumn>
    <tableColumn id="5" xr3:uid="{4BE13A62-2CC6-4D62-BC3C-08731C1400CC}" name="ITC" dataDxfId="5">
      <calculatedColumnFormula>_xlfn.XLOOKUP($A2, ITC!A:A, ITC!B:B, "")</calculatedColumnFormula>
    </tableColumn>
    <tableColumn id="6" xr3:uid="{C8DF04D3-F371-49F2-AE28-E6D7DA644EE9}" name="TCS" dataDxfId="4">
      <calculatedColumnFormula>_xlfn.XLOOKUP($A2, TCS!A:A, TCS!B:B, "")</calculatedColumnFormula>
    </tableColumn>
    <tableColumn id="7" xr3:uid="{F2B3E6F4-ABDA-43E5-A7F8-A05DBCD3EF80}" name="Infosys" dataDxfId="3">
      <calculatedColumnFormula>_xlfn.XLOOKUP($A2, Infosys!A:A, Infosys!B:B,"")</calculatedColumnFormula>
    </tableColumn>
    <tableColumn id="8" xr3:uid="{310B5A33-4D7A-4744-ACFC-4918C9C4D536}" name="L&amp;T" dataDxfId="2">
      <calculatedColumnFormula>_xlfn.XLOOKUP($A2, 'L &amp; T'!A:A, 'L &amp; T'!B:B, 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2CD3-3418-4037-AA96-C687B466D05D}">
  <sheetPr>
    <pageSetUpPr fitToPage="1"/>
  </sheetPr>
  <dimension ref="B3:H29"/>
  <sheetViews>
    <sheetView tabSelected="1" topLeftCell="A10" workbookViewId="0">
      <selection activeCell="K11" sqref="K11"/>
    </sheetView>
  </sheetViews>
  <sheetFormatPr defaultRowHeight="14.4" x14ac:dyDescent="0.3"/>
  <cols>
    <col min="2" max="2" width="8.88671875" customWidth="1"/>
  </cols>
  <sheetData>
    <row r="3" spans="2:8" ht="14.4" customHeight="1" x14ac:dyDescent="0.3">
      <c r="B3" s="25" t="s">
        <v>65</v>
      </c>
      <c r="C3" s="23"/>
      <c r="D3" s="23"/>
      <c r="E3" s="23"/>
      <c r="F3" s="23"/>
      <c r="G3" s="23"/>
      <c r="H3" s="23"/>
    </row>
    <row r="4" spans="2:8" ht="14.4" customHeight="1" x14ac:dyDescent="0.3">
      <c r="B4" s="23"/>
      <c r="C4" s="23"/>
      <c r="D4" s="23"/>
      <c r="E4" s="23"/>
      <c r="F4" s="23"/>
      <c r="G4" s="23"/>
      <c r="H4" s="23"/>
    </row>
    <row r="5" spans="2:8" x14ac:dyDescent="0.3">
      <c r="B5" s="23"/>
      <c r="C5" s="23"/>
      <c r="D5" s="23"/>
      <c r="E5" s="23"/>
      <c r="F5" s="23"/>
      <c r="G5" s="23"/>
      <c r="H5" s="23"/>
    </row>
    <row r="6" spans="2:8" x14ac:dyDescent="0.3">
      <c r="B6" s="23"/>
      <c r="C6" s="23"/>
      <c r="D6" s="23"/>
      <c r="E6" s="23"/>
      <c r="F6" s="23"/>
      <c r="G6" s="23"/>
      <c r="H6" s="23"/>
    </row>
    <row r="8" spans="2:8" x14ac:dyDescent="0.3">
      <c r="B8" s="24" t="s">
        <v>66</v>
      </c>
      <c r="C8" s="24"/>
      <c r="D8" s="24"/>
      <c r="E8" s="24"/>
      <c r="F8" s="24"/>
      <c r="G8" s="24"/>
      <c r="H8" s="24"/>
    </row>
    <row r="9" spans="2:8" x14ac:dyDescent="0.3">
      <c r="B9" s="24"/>
      <c r="C9" s="24"/>
      <c r="D9" s="24"/>
      <c r="E9" s="24"/>
      <c r="F9" s="24"/>
      <c r="G9" s="24"/>
      <c r="H9" s="24"/>
    </row>
    <row r="12" spans="2:8" ht="18" x14ac:dyDescent="0.35">
      <c r="B12" s="29" t="s">
        <v>67</v>
      </c>
      <c r="C12" s="27"/>
    </row>
    <row r="13" spans="2:8" ht="18" x14ac:dyDescent="0.35">
      <c r="B13" s="30" t="s">
        <v>68</v>
      </c>
      <c r="C13" s="27"/>
    </row>
    <row r="15" spans="2:8" ht="18" x14ac:dyDescent="0.35">
      <c r="B15" s="28" t="s">
        <v>69</v>
      </c>
    </row>
    <row r="16" spans="2:8" ht="15.6" x14ac:dyDescent="0.3">
      <c r="B16" s="26" t="s">
        <v>70</v>
      </c>
    </row>
    <row r="18" spans="2:6" ht="18" x14ac:dyDescent="0.35">
      <c r="B18" s="28" t="s">
        <v>71</v>
      </c>
    </row>
    <row r="19" spans="2:6" ht="15.6" x14ac:dyDescent="0.3">
      <c r="B19" s="26" t="s">
        <v>72</v>
      </c>
    </row>
    <row r="21" spans="2:6" ht="18" x14ac:dyDescent="0.35">
      <c r="B21" s="28" t="s">
        <v>73</v>
      </c>
    </row>
    <row r="22" spans="2:6" ht="15.6" x14ac:dyDescent="0.3">
      <c r="B22" s="26" t="s">
        <v>74</v>
      </c>
      <c r="C22" s="26"/>
      <c r="D22" s="26"/>
      <c r="E22" s="26"/>
      <c r="F22" s="26"/>
    </row>
    <row r="23" spans="2:6" ht="15.6" x14ac:dyDescent="0.3">
      <c r="B23" s="26" t="s">
        <v>75</v>
      </c>
      <c r="C23" s="26"/>
      <c r="D23" s="26"/>
      <c r="E23" s="26"/>
      <c r="F23" s="26"/>
    </row>
    <row r="25" spans="2:6" ht="18" x14ac:dyDescent="0.35">
      <c r="B25" s="28" t="s">
        <v>76</v>
      </c>
    </row>
    <row r="26" spans="2:6" ht="15.6" x14ac:dyDescent="0.3">
      <c r="B26" s="26" t="s">
        <v>77</v>
      </c>
    </row>
    <row r="28" spans="2:6" ht="18" x14ac:dyDescent="0.35">
      <c r="B28" s="28" t="s">
        <v>78</v>
      </c>
    </row>
    <row r="29" spans="2:6" ht="15.6" x14ac:dyDescent="0.3">
      <c r="B29" s="31">
        <v>46040</v>
      </c>
      <c r="C29" s="31"/>
    </row>
  </sheetData>
  <mergeCells count="3">
    <mergeCell ref="B3:H6"/>
    <mergeCell ref="B8:H9"/>
    <mergeCell ref="B29:C29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9A8D-EBA4-4E17-9662-BA5D1D1172AA}">
  <dimension ref="A1:K1492"/>
  <sheetViews>
    <sheetView workbookViewId="0">
      <selection activeCell="P15" sqref="P15"/>
    </sheetView>
  </sheetViews>
  <sheetFormatPr defaultRowHeight="14.4" x14ac:dyDescent="0.3"/>
  <cols>
    <col min="1" max="1" width="11.33203125" customWidth="1"/>
    <col min="2" max="3" width="11.33203125" style="3" customWidth="1"/>
    <col min="4" max="8" width="11.33203125" customWidth="1"/>
  </cols>
  <sheetData>
    <row r="1" spans="1:11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/>
    </row>
    <row r="2" spans="1:11" x14ac:dyDescent="0.3">
      <c r="A2" s="1">
        <v>43831</v>
      </c>
    </row>
    <row r="3" spans="1:11" x14ac:dyDescent="0.3">
      <c r="A3" s="1">
        <v>43832</v>
      </c>
      <c r="B3" s="3">
        <f>(Master_Table!B3-Master_Table!B2)/Master_Table!B2</f>
        <v>8.1838703057665278E-3</v>
      </c>
      <c r="C3" s="3">
        <f>(Master_Table!C3-Master_Table!C2)/Master_Table!C2</f>
        <v>1.7014819834418483E-2</v>
      </c>
      <c r="D3" s="3">
        <f>(Master_Table!D3-Master_Table!D2)/Master_Table!D2</f>
        <v>6.3822113499865706E-3</v>
      </c>
      <c r="E3" s="3">
        <f>(Master_Table!E3-Master_Table!E2)/Master_Table!E2</f>
        <v>7.3498530029399416E-3</v>
      </c>
      <c r="F3" s="3">
        <f>(Master_Table!F3-Master_Table!F2)/Master_Table!F2</f>
        <v>-4.59033031924701E-3</v>
      </c>
      <c r="G3" s="3">
        <f>(Master_Table!G3-Master_Table!G2)/Master_Table!G2</f>
        <v>-2.9178258804369644E-3</v>
      </c>
      <c r="H3" s="3">
        <f>(Master_Table!H3-Master_Table!H2)/Master_Table!H2</f>
        <v>2.6985762815374563E-2</v>
      </c>
    </row>
    <row r="4" spans="1:11" x14ac:dyDescent="0.3">
      <c r="A4" s="1">
        <v>43833</v>
      </c>
      <c r="B4" s="3">
        <f>(Master_Table!B4-Master_Table!B3)/Master_Table!B3</f>
        <v>-4.5228053606032378E-3</v>
      </c>
      <c r="C4" s="3">
        <f>(Master_Table!C4-Master_Table!C3)/Master_Table!C3</f>
        <v>1.2167388501818327E-3</v>
      </c>
      <c r="D4" s="3">
        <f>(Master_Table!D4-Master_Table!D3)/Master_Table!D3</f>
        <v>-1.4257222101031471E-2</v>
      </c>
      <c r="E4" s="3">
        <f>(Master_Table!E4-Master_Table!E3)/Master_Table!E3</f>
        <v>-5.6285178236397514E-3</v>
      </c>
      <c r="F4" s="3">
        <f>(Master_Table!F4-Master_Table!F3)/Master_Table!F3</f>
        <v>1.9929089518689314E-2</v>
      </c>
      <c r="G4" s="3">
        <f>(Master_Table!G4-Master_Table!G3)/Master_Table!G3</f>
        <v>1.5380427385327281E-2</v>
      </c>
      <c r="H4" s="3">
        <f>(Master_Table!H4-Master_Table!H3)/Master_Table!H3</f>
        <v>-7.6191184122500564E-3</v>
      </c>
      <c r="K4" s="3"/>
    </row>
    <row r="5" spans="1:11" x14ac:dyDescent="0.3">
      <c r="A5" s="1">
        <v>43836</v>
      </c>
      <c r="B5" s="3">
        <f>(Master_Table!B5-Master_Table!B4)/Master_Table!B4</f>
        <v>-1.9105805760367751E-2</v>
      </c>
      <c r="C5" s="3">
        <f>(Master_Table!C5-Master_Table!C4)/Master_Table!C4</f>
        <v>-2.3191215404869844E-2</v>
      </c>
      <c r="D5" s="3">
        <f>(Master_Table!D5-Master_Table!D4)/Master_Table!D4</f>
        <v>-2.1655628092249888E-2</v>
      </c>
      <c r="E5" s="3">
        <f>(Master_Table!E5-Master_Table!E4)/Master_Table!E4</f>
        <v>-1.425576519916145E-2</v>
      </c>
      <c r="F5" s="3">
        <f>(Master_Table!F5-Master_Table!F4)/Master_Table!F4</f>
        <v>-9.0882239338501276E-5</v>
      </c>
      <c r="G5" s="3">
        <f>(Master_Table!G5-Master_Table!G4)/Master_Table!G4</f>
        <v>-9.5844504021447424E-3</v>
      </c>
      <c r="H5" s="3">
        <f>(Master_Table!H5-Master_Table!H4)/Master_Table!H4</f>
        <v>-1.3707351784577323E-2</v>
      </c>
      <c r="K5" s="3"/>
    </row>
    <row r="6" spans="1:11" x14ac:dyDescent="0.3">
      <c r="A6" s="1">
        <v>43837</v>
      </c>
      <c r="B6" s="3">
        <f>(Master_Table!B6-Master_Table!B5)/Master_Table!B5</f>
        <v>4.9945593489563924E-3</v>
      </c>
      <c r="C6" s="3">
        <f>(Master_Table!C6-Master_Table!C5)/Master_Table!C5</f>
        <v>1.5373678130276364E-2</v>
      </c>
      <c r="D6" s="3">
        <f>(Master_Table!D6-Master_Table!D5)/Master_Table!D5</f>
        <v>1.5849934564490426E-2</v>
      </c>
      <c r="E6" s="3">
        <f>(Master_Table!E6-Master_Table!E5)/Master_Table!E5</f>
        <v>1.0633772862611655E-3</v>
      </c>
      <c r="F6" s="3">
        <f>(Master_Table!F6-Master_Table!F5)/Master_Table!F5</f>
        <v>2.4540434911041339E-3</v>
      </c>
      <c r="G6" s="3">
        <f>(Master_Table!G6-Master_Table!G5)/Master_Table!G5</f>
        <v>-1.4820328889490485E-2</v>
      </c>
      <c r="H6" s="3">
        <f>(Master_Table!H6-Master_Table!H5)/Master_Table!H5</f>
        <v>2.8479210176571104E-3</v>
      </c>
    </row>
    <row r="7" spans="1:11" x14ac:dyDescent="0.3">
      <c r="A7" s="1">
        <v>43838</v>
      </c>
      <c r="B7" s="3">
        <f>(Master_Table!B7-Master_Table!B6)/Master_Table!B6</f>
        <v>-2.2898958346297266E-3</v>
      </c>
      <c r="C7" s="3">
        <f>(Master_Table!C7-Master_Table!C6)/Master_Table!C6</f>
        <v>-7.5121068907170454E-3</v>
      </c>
      <c r="D7" s="3">
        <f>(Master_Table!D7-Master_Table!D6)/Master_Table!D6</f>
        <v>-2.6242962114705242E-3</v>
      </c>
      <c r="E7" s="3">
        <f>(Master_Table!E7-Master_Table!E6)/Master_Table!E6</f>
        <v>-4.8863394943701116E-3</v>
      </c>
      <c r="F7" s="3">
        <f>(Master_Table!F7-Master_Table!F6)/Master_Table!F6</f>
        <v>2.2394995126595232E-2</v>
      </c>
      <c r="G7" s="3">
        <f>(Master_Table!G7-Master_Table!G6)/Master_Table!G6</f>
        <v>-1.3326006319549295E-2</v>
      </c>
      <c r="H7" s="3">
        <f>(Master_Table!H7-Master_Table!H6)/Master_Table!H6</f>
        <v>-2.1923513820522565E-2</v>
      </c>
    </row>
    <row r="8" spans="1:11" x14ac:dyDescent="0.3">
      <c r="A8" s="1">
        <v>43839</v>
      </c>
      <c r="B8" s="3">
        <f>(Master_Table!B8-Master_Table!B7)/Master_Table!B7</f>
        <v>1.5845692640962573E-2</v>
      </c>
      <c r="C8" s="3">
        <f>(Master_Table!C8-Master_Table!C7)/Master_Table!C7</f>
        <v>2.3030231772019918E-2</v>
      </c>
      <c r="D8" s="3">
        <f>(Master_Table!D8-Master_Table!D7)/Master_Table!D7</f>
        <v>1.1210512047712406E-2</v>
      </c>
      <c r="E8" s="3">
        <f>(Master_Table!E8-Master_Table!E7)/Master_Table!E7</f>
        <v>6.8317677198976206E-3</v>
      </c>
      <c r="F8" s="3">
        <f>(Master_Table!F8-Master_Table!F7)/Master_Table!F7</f>
        <v>-1.8135461700476706E-2</v>
      </c>
      <c r="G8" s="3">
        <f>(Master_Table!G8-Master_Table!G7)/Master_Table!G7</f>
        <v>1.3018657755499733E-2</v>
      </c>
      <c r="H8" s="3">
        <f>(Master_Table!H8-Master_Table!H7)/Master_Table!H7</f>
        <v>1.9046881653826904E-2</v>
      </c>
    </row>
    <row r="9" spans="1:11" x14ac:dyDescent="0.3">
      <c r="A9" s="1">
        <v>43840</v>
      </c>
      <c r="B9" s="3">
        <f>(Master_Table!B9-Master_Table!B8)/Master_Table!B8</f>
        <v>3.3480955148617489E-3</v>
      </c>
      <c r="C9" s="3">
        <f>(Master_Table!C9-Master_Table!C8)/Master_Table!C8</f>
        <v>-2.1549247212977092E-4</v>
      </c>
      <c r="D9" s="3">
        <f>(Master_Table!D9-Master_Table!D8)/Master_Table!D8</f>
        <v>8.8942156058789915E-3</v>
      </c>
      <c r="E9" s="3">
        <f>(Master_Table!E9-Master_Table!E8)/Master_Table!E8</f>
        <v>9.3299406276505029E-3</v>
      </c>
      <c r="F9" s="3">
        <f>(Master_Table!F9-Master_Table!F8)/Master_Table!F8</f>
        <v>-3.6127983381115326E-4</v>
      </c>
      <c r="G9" s="3">
        <f>(Master_Table!G9-Master_Table!G8)/Master_Table!G8</f>
        <v>1.4569445398941686E-2</v>
      </c>
      <c r="H9" s="3">
        <f>(Master_Table!H9-Master_Table!H8)/Master_Table!H8</f>
        <v>6.4202408540058641E-3</v>
      </c>
    </row>
    <row r="10" spans="1:11" x14ac:dyDescent="0.3">
      <c r="A10" s="1">
        <v>43843</v>
      </c>
      <c r="B10" s="3">
        <f>(Master_Table!B10-Master_Table!B9)/Master_Table!B9</f>
        <v>5.9354807127472101E-3</v>
      </c>
      <c r="C10" s="3">
        <f>(Master_Table!C10-Master_Table!C9)/Master_Table!C9</f>
        <v>-2.5577285071774068E-3</v>
      </c>
      <c r="D10" s="3">
        <f>(Master_Table!D10-Master_Table!D9)/Master_Table!D9</f>
        <v>2.5634612979867238E-3</v>
      </c>
      <c r="E10" s="3">
        <f>(Master_Table!E10-Master_Table!E9)/Master_Table!E9</f>
        <v>5.2521008403361349E-3</v>
      </c>
      <c r="F10" s="3">
        <f>(Master_Table!F10-Master_Table!F9)/Master_Table!F9</f>
        <v>-1.0480901718958357E-2</v>
      </c>
      <c r="G10" s="3">
        <f>(Master_Table!G10-Master_Table!G9)/Master_Table!G9</f>
        <v>4.7957732168258452E-2</v>
      </c>
      <c r="H10" s="3">
        <f>(Master_Table!H10-Master_Table!H9)/Master_Table!H9</f>
        <v>7.6249433791334264E-3</v>
      </c>
    </row>
    <row r="11" spans="1:11" x14ac:dyDescent="0.3">
      <c r="A11" s="1">
        <v>43844</v>
      </c>
      <c r="B11" s="3">
        <f>(Master_Table!B11-Master_Table!B10)/Master_Table!B10</f>
        <v>2.6562202189049887E-3</v>
      </c>
      <c r="C11" s="3">
        <f>(Master_Table!C11-Master_Table!C10)/Master_Table!C10</f>
        <v>-9.2631275660879503E-3</v>
      </c>
      <c r="D11" s="3">
        <f>(Master_Table!D11-Master_Table!D10)/Master_Table!D10</f>
        <v>2.728406610539445E-3</v>
      </c>
      <c r="E11" s="3">
        <f>(Master_Table!E11-Master_Table!E10)/Master_Table!E10</f>
        <v>1.671891327063741E-2</v>
      </c>
      <c r="F11" s="3">
        <f>(Master_Table!F11-Master_Table!F10)/Master_Table!F10</f>
        <v>7.5558700664278234E-3</v>
      </c>
      <c r="G11" s="3">
        <f>(Master_Table!G11-Master_Table!G10)/Master_Table!G10</f>
        <v>2.7147566414582416E-3</v>
      </c>
      <c r="H11" s="3">
        <f>(Master_Table!H11-Master_Table!H10)/Master_Table!H10</f>
        <v>-6.4433955195925194E-3</v>
      </c>
    </row>
    <row r="12" spans="1:11" x14ac:dyDescent="0.3">
      <c r="A12" s="1">
        <v>43845</v>
      </c>
      <c r="B12" s="3">
        <f>(Master_Table!B12-Master_Table!B11)/Master_Table!B11</f>
        <v>-1.5369308300235394E-3</v>
      </c>
      <c r="C12" s="3">
        <f>(Master_Table!C12-Master_Table!C11)/Master_Table!C11</f>
        <v>-3.6206595707555531E-3</v>
      </c>
      <c r="D12" s="3">
        <f>(Master_Table!D12-Master_Table!D11)/Master_Table!D11</f>
        <v>-4.073699758998686E-3</v>
      </c>
      <c r="E12" s="3">
        <f>(Master_Table!E12-Master_Table!E11)/Master_Table!E11</f>
        <v>-3.494347379239442E-3</v>
      </c>
      <c r="F12" s="3">
        <f>(Master_Table!F12-Master_Table!F11)/Master_Table!F11</f>
        <v>9.0624858398658751E-3</v>
      </c>
      <c r="G12" s="3">
        <f>(Master_Table!G12-Master_Table!G11)/Master_Table!G11</f>
        <v>-1.0442854380197283E-2</v>
      </c>
      <c r="H12" s="3">
        <f>(Master_Table!H12-Master_Table!H11)/Master_Table!H11</f>
        <v>-1.8852273584194256E-3</v>
      </c>
    </row>
    <row r="13" spans="1:11" x14ac:dyDescent="0.3">
      <c r="A13" s="1">
        <v>43846</v>
      </c>
      <c r="B13" s="3">
        <f>(Master_Table!B13-Master_Table!B12)/Master_Table!B12</f>
        <v>9.883904628422487E-4</v>
      </c>
      <c r="C13" s="3">
        <f>(Master_Table!C13-Master_Table!C12)/Master_Table!C12</f>
        <v>9.2085868978298464E-3</v>
      </c>
      <c r="D13" s="3">
        <f>(Master_Table!D13-Master_Table!D12)/Master_Table!D12</f>
        <v>2.6540521130939154E-3</v>
      </c>
      <c r="E13" s="3">
        <f>(Master_Table!E13-Master_Table!E12)/Master_Table!E12</f>
        <v>-6.8069306930693303E-3</v>
      </c>
      <c r="F13" s="3">
        <f>(Master_Table!F13-Master_Table!F12)/Master_Table!F12</f>
        <v>5.3437514032961021E-3</v>
      </c>
      <c r="G13" s="3">
        <f>(Master_Table!G13-Master_Table!G12)/Master_Table!G12</f>
        <v>-7.1656569604580103E-4</v>
      </c>
      <c r="H13" s="3">
        <f>(Master_Table!H13-Master_Table!H12)/Master_Table!H12</f>
        <v>-3.2487156240555717E-3</v>
      </c>
    </row>
    <row r="14" spans="1:11" x14ac:dyDescent="0.3">
      <c r="A14" s="1">
        <v>43847</v>
      </c>
      <c r="B14" s="3">
        <f>(Master_Table!B14-Master_Table!B13)/Master_Table!B13</f>
        <v>-2.5494718951071474E-4</v>
      </c>
      <c r="C14" s="3">
        <f>(Master_Table!C14-Master_Table!C13)/Master_Table!C13</f>
        <v>2.8024409289412033E-2</v>
      </c>
      <c r="D14" s="3">
        <f>(Master_Table!D14-Master_Table!D13)/Master_Table!D13</f>
        <v>-7.3805334537471136E-3</v>
      </c>
      <c r="E14" s="3">
        <f>(Master_Table!E14-Master_Table!E13)/Master_Table!E13</f>
        <v>-3.322949117341688E-3</v>
      </c>
      <c r="F14" s="3">
        <f>(Master_Table!F14-Master_Table!F13)/Master_Table!F13</f>
        <v>-8.7993567982849168E-3</v>
      </c>
      <c r="G14" s="3">
        <f>(Master_Table!G14-Master_Table!G13)/Master_Table!G13</f>
        <v>1.1082138200782564E-3</v>
      </c>
      <c r="H14" s="3">
        <f>(Master_Table!H14-Master_Table!H13)/Master_Table!H13</f>
        <v>-1.1445463503372933E-2</v>
      </c>
    </row>
    <row r="15" spans="1:11" x14ac:dyDescent="0.3">
      <c r="A15" s="1">
        <v>43850</v>
      </c>
      <c r="B15" s="3">
        <f>(Master_Table!B15-Master_Table!B14)/Master_Table!B14</f>
        <v>-1.034620942573689E-2</v>
      </c>
      <c r="C15" s="3">
        <f>(Master_Table!C15-Master_Table!C14)/Master_Table!C14</f>
        <v>-3.0762955044168129E-2</v>
      </c>
      <c r="D15" s="3">
        <f>(Master_Table!D15-Master_Table!D14)/Master_Table!D14</f>
        <v>-1.8196363864531245E-2</v>
      </c>
      <c r="E15" s="3">
        <f>(Master_Table!E15-Master_Table!E14)/Master_Table!E14</f>
        <v>8.1266930610544574E-3</v>
      </c>
      <c r="F15" s="3">
        <f>(Master_Table!F15-Master_Table!F14)/Master_Table!F14</f>
        <v>-2.1968365553602813E-2</v>
      </c>
      <c r="G15" s="3">
        <f>(Master_Table!G15-Master_Table!G14)/Master_Table!G14</f>
        <v>7.8140261769879885E-4</v>
      </c>
      <c r="H15" s="3">
        <f>(Master_Table!H15-Master_Table!H14)/Master_Table!H14</f>
        <v>4.1404692531819224E-3</v>
      </c>
    </row>
    <row r="16" spans="1:11" x14ac:dyDescent="0.3">
      <c r="A16" s="1">
        <v>43851</v>
      </c>
      <c r="B16" s="3">
        <f>(Master_Table!B16-Master_Table!B15)/Master_Table!B15</f>
        <v>-4.4746023371002542E-3</v>
      </c>
      <c r="C16" s="3">
        <f>(Master_Table!C16-Master_Table!C15)/Master_Table!C15</f>
        <v>1.0013787098179445E-3</v>
      </c>
      <c r="D16" s="3">
        <f>(Master_Table!D16-Master_Table!D15)/Master_Table!D15</f>
        <v>-8.4040326574957112E-3</v>
      </c>
      <c r="E16" s="3">
        <f>(Master_Table!E16-Master_Table!E15)/Master_Table!E15</f>
        <v>-1.4262091773460177E-2</v>
      </c>
      <c r="F16" s="3">
        <f>(Master_Table!F16-Master_Table!F15)/Master_Table!F15</f>
        <v>3.2252862441554259E-4</v>
      </c>
      <c r="G16" s="3">
        <f>(Master_Table!G16-Master_Table!G15)/Master_Table!G15</f>
        <v>-7.7428590018869736E-3</v>
      </c>
      <c r="H16" s="3">
        <f>(Master_Table!H16-Master_Table!H15)/Master_Table!H15</f>
        <v>-5.5360415394013441E-3</v>
      </c>
    </row>
    <row r="17" spans="1:8" x14ac:dyDescent="0.3">
      <c r="A17" s="1">
        <v>43852</v>
      </c>
      <c r="B17" s="3">
        <f>(Master_Table!B17-Master_Table!B16)/Master_Table!B16</f>
        <v>-5.1726192188071935E-3</v>
      </c>
      <c r="C17" s="3">
        <f>(Master_Table!C17-Master_Table!C16)/Master_Table!C16</f>
        <v>-3.4795720126425768E-4</v>
      </c>
      <c r="D17" s="3">
        <f>(Master_Table!D17-Master_Table!D16)/Master_Table!D16</f>
        <v>-2.8036027907126777E-3</v>
      </c>
      <c r="E17" s="3">
        <f>(Master_Table!E17-Master_Table!E16)/Master_Table!E16</f>
        <v>-1.6775005242188185E-3</v>
      </c>
      <c r="F17" s="3">
        <f>(Master_Table!F17-Master_Table!F16)/Master_Table!F16</f>
        <v>1.6512747288178489E-2</v>
      </c>
      <c r="G17" s="3">
        <f>(Master_Table!G17-Master_Table!G16)/Master_Table!G16</f>
        <v>1.0098360655737765E-2</v>
      </c>
      <c r="H17" s="3">
        <f>(Master_Table!H17-Master_Table!H16)/Master_Table!H16</f>
        <v>-6.2579183783160169E-3</v>
      </c>
    </row>
    <row r="18" spans="1:8" x14ac:dyDescent="0.3">
      <c r="A18" s="1">
        <v>43853</v>
      </c>
      <c r="B18" s="3">
        <f>(Master_Table!B18-Master_Table!B17)/Master_Table!B17</f>
        <v>6.0667883603565511E-3</v>
      </c>
      <c r="C18" s="3">
        <f>(Master_Table!C18-Master_Table!C17)/Master_Table!C17</f>
        <v>-4.2494561276286442E-3</v>
      </c>
      <c r="D18" s="3">
        <f>(Master_Table!D18-Master_Table!D17)/Master_Table!D17</f>
        <v>3.2154340836013009E-3</v>
      </c>
      <c r="E18" s="3">
        <f>(Master_Table!E18-Master_Table!E17)/Master_Table!E17</f>
        <v>-6.3011972274734586E-4</v>
      </c>
      <c r="F18" s="3">
        <f>(Master_Table!F18-Master_Table!F17)/Master_Table!F17</f>
        <v>-7.2273324572931586E-3</v>
      </c>
      <c r="G18" s="3">
        <f>(Master_Table!G18-Master_Table!G17)/Master_Table!G17</f>
        <v>1.8371851467151357E-2</v>
      </c>
      <c r="H18" s="3">
        <f>(Master_Table!H18-Master_Table!H17)/Master_Table!H17</f>
        <v>2.9439035697728256E-2</v>
      </c>
    </row>
    <row r="19" spans="1:8" x14ac:dyDescent="0.3">
      <c r="A19" s="1">
        <v>43854</v>
      </c>
      <c r="B19" s="3">
        <f>(Master_Table!B19-Master_Table!B18)/Master_Table!B18</f>
        <v>5.5745524553891829E-3</v>
      </c>
      <c r="C19" s="3">
        <f>(Master_Table!C19-Master_Table!C18)/Master_Table!C18</f>
        <v>-3.466507420947602E-3</v>
      </c>
      <c r="D19" s="3">
        <f>(Master_Table!D19-Master_Table!D18)/Master_Table!D18</f>
        <v>-2.4159257827595875E-4</v>
      </c>
      <c r="E19" s="3">
        <f>(Master_Table!E19-Master_Table!E18)/Master_Table!E18</f>
        <v>1.0508617065994115E-3</v>
      </c>
      <c r="F19" s="3">
        <f>(Master_Table!F19-Master_Table!F18)/Master_Table!F18</f>
        <v>-3.4459937470045997E-3</v>
      </c>
      <c r="G19" s="3">
        <f>(Master_Table!G19-Master_Table!G18)/Master_Table!G18</f>
        <v>-2.0399056543635146E-3</v>
      </c>
      <c r="H19" s="3">
        <f>(Master_Table!H19-Master_Table!H18)/Master_Table!H18</f>
        <v>2.0190647752007875E-2</v>
      </c>
    </row>
    <row r="20" spans="1:8" x14ac:dyDescent="0.3">
      <c r="A20" s="1">
        <v>43857</v>
      </c>
      <c r="B20" s="3">
        <f>(Master_Table!B20-Master_Table!B19)/Master_Table!B19</f>
        <v>-1.0552527912150715E-2</v>
      </c>
      <c r="C20" s="3">
        <f>(Master_Table!C20-Master_Table!C19)/Master_Table!C19</f>
        <v>-9.851064762712124E-3</v>
      </c>
      <c r="D20" s="3">
        <f>(Master_Table!D20-Master_Table!D19)/Master_Table!D19</f>
        <v>-2.519614002867589E-2</v>
      </c>
      <c r="E20" s="3">
        <f>(Master_Table!E20-Master_Table!E19)/Master_Table!E19</f>
        <v>-1.4906571488557679E-2</v>
      </c>
      <c r="F20" s="3">
        <f>(Master_Table!F20-Master_Table!F19)/Master_Table!F19</f>
        <v>-6.48071814601085E-3</v>
      </c>
      <c r="G20" s="3">
        <f>(Master_Table!G20-Master_Table!G19)/Master_Table!G19</f>
        <v>-5.9405940594059112E-3</v>
      </c>
      <c r="H20" s="3">
        <f>(Master_Table!H20-Master_Table!H19)/Master_Table!H19</f>
        <v>-7.7987051206593111E-3</v>
      </c>
    </row>
    <row r="21" spans="1:8" x14ac:dyDescent="0.3">
      <c r="A21" s="1">
        <v>43858</v>
      </c>
      <c r="B21" s="3">
        <f>(Master_Table!B21-Master_Table!B20)/Master_Table!B20</f>
        <v>-5.2149517286905461E-3</v>
      </c>
      <c r="C21" s="3">
        <f>(Master_Table!C21-Master_Table!C20)/Master_Table!C20</f>
        <v>-2.3101335891947877E-2</v>
      </c>
      <c r="D21" s="3">
        <f>(Master_Table!D21-Master_Table!D20)/Master_Table!D20</f>
        <v>8.2467071014229437E-3</v>
      </c>
      <c r="E21" s="3">
        <f>(Master_Table!E21-Master_Table!E20)/Master_Table!E20</f>
        <v>-1.6410912190963318E-2</v>
      </c>
      <c r="F21" s="3">
        <f>(Master_Table!F21-Master_Table!F20)/Master_Table!F20</f>
        <v>6.6843379048058087E-3</v>
      </c>
      <c r="G21" s="3">
        <f>(Master_Table!G21-Master_Table!G20)/Master_Table!G20</f>
        <v>-1.2851818532325245E-4</v>
      </c>
      <c r="H21" s="3">
        <f>(Master_Table!H21-Master_Table!H20)/Master_Table!H20</f>
        <v>-1.4459439418655037E-3</v>
      </c>
    </row>
    <row r="22" spans="1:8" x14ac:dyDescent="0.3">
      <c r="A22" s="1">
        <v>43859</v>
      </c>
      <c r="B22" s="3">
        <f>(Master_Table!B22-Master_Table!B21)/Master_Table!B21</f>
        <v>6.1132401002007937E-3</v>
      </c>
      <c r="C22" s="3">
        <f>(Master_Table!C22-Master_Table!C21)/Master_Table!C21</f>
        <v>5.5001511030524329E-3</v>
      </c>
      <c r="D22" s="3">
        <f>(Master_Table!D22-Master_Table!D21)/Master_Table!D21</f>
        <v>1.0342905848413233E-2</v>
      </c>
      <c r="E22" s="3">
        <f>(Master_Table!E22-Master_Table!E21)/Master_Table!E21</f>
        <v>2.5568797399783339E-2</v>
      </c>
      <c r="F22" s="3">
        <f>(Master_Table!F22-Master_Table!F21)/Master_Table!F21</f>
        <v>-1.334859759587869E-2</v>
      </c>
      <c r="G22" s="3">
        <f>(Master_Table!G22-Master_Table!G21)/Master_Table!G21</f>
        <v>1.5038560411311113E-2</v>
      </c>
      <c r="H22" s="3">
        <f>(Master_Table!H22-Master_Table!H21)/Master_Table!H21</f>
        <v>1.4146214680874729E-2</v>
      </c>
    </row>
    <row r="23" spans="1:8" x14ac:dyDescent="0.3">
      <c r="A23" s="1">
        <v>43860</v>
      </c>
      <c r="B23" s="3">
        <f>(Master_Table!B23-Master_Table!B22)/Master_Table!B22</f>
        <v>-7.7249680530937573E-3</v>
      </c>
      <c r="C23" s="3">
        <f>(Master_Table!C23-Master_Table!C22)/Master_Table!C22</f>
        <v>-2.4389877374368863E-2</v>
      </c>
      <c r="D23" s="3">
        <f>(Master_Table!D23-Master_Table!D22)/Master_Table!D22</f>
        <v>-7.9332889891140131E-3</v>
      </c>
      <c r="E23" s="3">
        <f>(Master_Table!E23-Master_Table!E22)/Master_Table!E22</f>
        <v>-1.0986689203465008E-2</v>
      </c>
      <c r="F23" s="3">
        <f>(Master_Table!F23-Master_Table!F22)/Master_Table!F22</f>
        <v>-7.7740647916086517E-3</v>
      </c>
      <c r="G23" s="3">
        <f>(Master_Table!G23-Master_Table!G22)/Master_Table!G22</f>
        <v>-1.1396732936558187E-2</v>
      </c>
      <c r="H23" s="3">
        <f>(Master_Table!H23-Master_Table!H22)/Master_Table!H22</f>
        <v>3.2950135461668009E-3</v>
      </c>
    </row>
    <row r="24" spans="1:8" x14ac:dyDescent="0.3">
      <c r="A24" s="1">
        <v>43861</v>
      </c>
      <c r="B24" s="3">
        <f>(Master_Table!B24-Master_Table!B23)/Master_Table!B23</f>
        <v>-6.1233985277255286E-3</v>
      </c>
      <c r="C24" s="3">
        <f>(Master_Table!C24-Master_Table!C23)/Master_Table!C23</f>
        <v>-2.2242417707675564E-2</v>
      </c>
      <c r="D24" s="3">
        <f>(Master_Table!D24-Master_Table!D23)/Master_Table!D23</f>
        <v>2.1259198691740876E-4</v>
      </c>
      <c r="E24" s="3">
        <f>(Master_Table!E24-Master_Table!E23)/Master_Table!E23</f>
        <v>4.6998504593035433E-3</v>
      </c>
      <c r="F24" s="3">
        <f>(Master_Table!F24-Master_Table!F23)/Master_Table!F23</f>
        <v>-2.7504268306943767E-2</v>
      </c>
      <c r="G24" s="3">
        <f>(Master_Table!G24-Master_Table!G23)/Master_Table!G23</f>
        <v>-6.0842833354681691E-3</v>
      </c>
      <c r="H24" s="3">
        <f>(Master_Table!H24-Master_Table!H23)/Master_Table!H23</f>
        <v>-6.5683841774930008E-4</v>
      </c>
    </row>
    <row r="25" spans="1:8" x14ac:dyDescent="0.3">
      <c r="A25" s="1">
        <v>43862</v>
      </c>
      <c r="B25" s="3">
        <f>(Master_Table!B25-Master_Table!B24)/Master_Table!B24</f>
        <v>-2.5100107840596551E-2</v>
      </c>
      <c r="C25" s="3">
        <f>(Master_Table!C25-Master_Table!C24)/Master_Table!C24</f>
        <v>-2.0038754194432674E-2</v>
      </c>
      <c r="D25" s="3">
        <f>(Master_Table!D25-Master_Table!D24)/Master_Table!D24</f>
        <v>-2.2513611170151861E-2</v>
      </c>
      <c r="E25" s="3">
        <f>(Master_Table!E25-Master_Table!E24)/Master_Table!E24</f>
        <v>-6.8679566234318548E-2</v>
      </c>
      <c r="F25" s="3">
        <f>(Master_Table!F25-Master_Table!F24)/Master_Table!F24</f>
        <v>4.126884875303611E-2</v>
      </c>
      <c r="G25" s="3">
        <f>(Master_Table!G25-Master_Table!G24)/Master_Table!G24</f>
        <v>4.5750370513563433E-3</v>
      </c>
      <c r="H25" s="3">
        <f>(Master_Table!H25-Master_Table!H24)/Master_Table!H24</f>
        <v>-5.9811582560432237E-2</v>
      </c>
    </row>
    <row r="26" spans="1:8" x14ac:dyDescent="0.3">
      <c r="A26" s="1">
        <v>43864</v>
      </c>
      <c r="B26" s="3">
        <f>(Master_Table!B26-Master_Table!B25)/Master_Table!B25</f>
        <v>3.9487731363376539E-3</v>
      </c>
      <c r="C26" s="3">
        <f>(Master_Table!C26-Master_Table!C25)/Master_Table!C25</f>
        <v>1.5432843019050502E-3</v>
      </c>
      <c r="D26" s="3">
        <f>(Master_Table!D26-Master_Table!D25)/Master_Table!D25</f>
        <v>-4.9175392232296096E-3</v>
      </c>
      <c r="E26" s="3">
        <f>(Master_Table!E26-Master_Table!E25)/Master_Table!E25</f>
        <v>-5.2054794520547974E-2</v>
      </c>
      <c r="F26" s="3">
        <f>(Master_Table!F26-Master_Table!F25)/Master_Table!F25</f>
        <v>-2.8801071667782948E-2</v>
      </c>
      <c r="G26" s="3">
        <f>(Master_Table!G26-Master_Table!G25)/Master_Table!G25</f>
        <v>-1.5522771007055835E-2</v>
      </c>
      <c r="H26" s="3">
        <f>(Master_Table!H26-Master_Table!H25)/Master_Table!H25</f>
        <v>-5.8256951996271547E-4</v>
      </c>
    </row>
    <row r="27" spans="1:8" x14ac:dyDescent="0.3">
      <c r="A27" s="1">
        <v>43865</v>
      </c>
      <c r="B27" s="3">
        <f>(Master_Table!B27-Master_Table!B26)/Master_Table!B26</f>
        <v>2.3210823461081834E-2</v>
      </c>
      <c r="C27" s="3">
        <f>(Master_Table!C27-Master_Table!C26)/Master_Table!C26</f>
        <v>2.9534036371807799E-2</v>
      </c>
      <c r="D27" s="3">
        <f>(Master_Table!D27-Master_Table!D26)/Master_Table!D26</f>
        <v>3.1012573119074911E-2</v>
      </c>
      <c r="E27" s="3">
        <f>(Master_Table!E27-Master_Table!E26)/Master_Table!E26</f>
        <v>3.8776493256262097E-2</v>
      </c>
      <c r="F27" s="3">
        <f>(Master_Table!F27-Master_Table!F26)/Master_Table!F26</f>
        <v>2.4970273483947681E-3</v>
      </c>
      <c r="G27" s="3">
        <f>(Master_Table!G27-Master_Table!G26)/Master_Table!G26</f>
        <v>2.6648423247328704E-2</v>
      </c>
      <c r="H27" s="3">
        <f>(Master_Table!H27-Master_Table!H26)/Master_Table!H26</f>
        <v>3.96378191427343E-3</v>
      </c>
    </row>
    <row r="28" spans="1:8" x14ac:dyDescent="0.3">
      <c r="A28" s="1">
        <v>43866</v>
      </c>
      <c r="B28" s="3">
        <f>(Master_Table!B28-Master_Table!B27)/Master_Table!B27</f>
        <v>9.1405007658821417E-3</v>
      </c>
      <c r="C28" s="3">
        <f>(Master_Table!C28-Master_Table!C27)/Master_Table!C27</f>
        <v>1.5481517282237671E-2</v>
      </c>
      <c r="D28" s="3">
        <f>(Master_Table!D28-Master_Table!D27)/Master_Table!D27</f>
        <v>1.2080799517420103E-2</v>
      </c>
      <c r="E28" s="3">
        <f>(Master_Table!E28-Master_Table!E27)/Master_Table!E27</f>
        <v>3.7097148156734661E-3</v>
      </c>
      <c r="F28" s="3">
        <f>(Master_Table!F28-Master_Table!F27)/Master_Table!F27</f>
        <v>1.8408255248487809E-2</v>
      </c>
      <c r="G28" s="3">
        <f>(Master_Table!G28-Master_Table!G27)/Master_Table!G27</f>
        <v>-4.1886145839945014E-3</v>
      </c>
      <c r="H28" s="3">
        <f>(Master_Table!H28-Master_Table!H27)/Master_Table!H27</f>
        <v>1.4166827946584056E-2</v>
      </c>
    </row>
    <row r="29" spans="1:8" x14ac:dyDescent="0.3">
      <c r="A29" s="1">
        <v>43867</v>
      </c>
      <c r="B29" s="3">
        <f>(Master_Table!B29-Master_Table!B28)/Master_Table!B28</f>
        <v>4.0366775166162296E-3</v>
      </c>
      <c r="C29" s="3">
        <f>(Master_Table!C29-Master_Table!C28)/Master_Table!C28</f>
        <v>6.4175392268246223E-3</v>
      </c>
      <c r="D29" s="3">
        <f>(Master_Table!D29-Master_Table!D28)/Master_Table!D28</f>
        <v>-3.8983214665420265E-3</v>
      </c>
      <c r="E29" s="3">
        <f>(Master_Table!E29-Master_Table!E28)/Master_Table!E28</f>
        <v>-1.3398013398013294E-2</v>
      </c>
      <c r="F29" s="3">
        <f>(Master_Table!F29-Master_Table!F28)/Master_Table!F28</f>
        <v>-8.4787216696560856E-3</v>
      </c>
      <c r="G29" s="3">
        <f>(Master_Table!G29-Master_Table!G28)/Master_Table!G28</f>
        <v>-1.6824931489388736E-2</v>
      </c>
      <c r="H29" s="3">
        <f>(Master_Table!H29-Master_Table!H28)/Master_Table!H28</f>
        <v>5.7631388114957102E-3</v>
      </c>
    </row>
    <row r="30" spans="1:8" x14ac:dyDescent="0.3">
      <c r="A30" s="1">
        <v>43868</v>
      </c>
      <c r="B30" s="3">
        <f>(Master_Table!B30-Master_Table!B29)/Master_Table!B29</f>
        <v>-3.2624949023517449E-3</v>
      </c>
      <c r="C30" s="3">
        <f>(Master_Table!C30-Master_Table!C29)/Master_Table!C29</f>
        <v>-1.6551745179399596E-2</v>
      </c>
      <c r="D30" s="3">
        <f>(Master_Table!D30-Master_Table!D29)/Master_Table!D29</f>
        <v>1.9406171162428549E-3</v>
      </c>
      <c r="E30" s="3">
        <f>(Master_Table!E30-Master_Table!E29)/Master_Table!E29</f>
        <v>-7.0241161320536486E-4</v>
      </c>
      <c r="F30" s="3">
        <f>(Master_Table!F30-Master_Table!F29)/Master_Table!F29</f>
        <v>3.8527497826956435E-3</v>
      </c>
      <c r="G30" s="3">
        <f>(Master_Table!G30-Master_Table!G29)/Master_Table!G29</f>
        <v>7.7137486225447999E-3</v>
      </c>
      <c r="H30" s="3">
        <f>(Master_Table!H30-Master_Table!H29)/Master_Table!H29</f>
        <v>-1.4116575591985359E-2</v>
      </c>
    </row>
    <row r="31" spans="1:8" x14ac:dyDescent="0.3">
      <c r="A31" s="1">
        <v>43871</v>
      </c>
      <c r="B31" s="3">
        <f>(Master_Table!B31-Master_Table!B30)/Master_Table!B30</f>
        <v>-5.5255468720941583E-3</v>
      </c>
      <c r="C31" s="3">
        <f>(Master_Table!C31-Master_Table!C30)/Master_Table!C30</f>
        <v>1.3495276653171461E-3</v>
      </c>
      <c r="D31" s="3">
        <f>(Master_Table!D31-Master_Table!D30)/Master_Table!D30</f>
        <v>-1.5333462457226611E-3</v>
      </c>
      <c r="E31" s="3">
        <f>(Master_Table!E31-Master_Table!E30)/Master_Table!E30</f>
        <v>-1.335520149953137E-2</v>
      </c>
      <c r="F31" s="3">
        <f>(Master_Table!F31-Master_Table!F30)/Master_Table!F30</f>
        <v>1.1888324635510348E-2</v>
      </c>
      <c r="G31" s="3">
        <f>(Master_Table!G31-Master_Table!G30)/Master_Table!G30</f>
        <v>-5.2746687250738574E-3</v>
      </c>
      <c r="H31" s="3">
        <f>(Master_Table!H31-Master_Table!H30)/Master_Table!H30</f>
        <v>-1.0546574287913816E-2</v>
      </c>
    </row>
    <row r="32" spans="1:8" x14ac:dyDescent="0.3">
      <c r="A32" s="1">
        <v>43872</v>
      </c>
      <c r="B32" s="3">
        <f>(Master_Table!B32-Master_Table!B31)/Master_Table!B31</f>
        <v>6.3499979221210683E-3</v>
      </c>
      <c r="C32" s="3">
        <f>(Master_Table!C32-Master_Table!C31)/Master_Table!C31</f>
        <v>1.1943489171856177E-2</v>
      </c>
      <c r="D32" s="3">
        <f>(Master_Table!D32-Master_Table!D31)/Master_Table!D31</f>
        <v>2.4247910638362986E-4</v>
      </c>
      <c r="E32" s="3">
        <f>(Master_Table!E32-Master_Table!E31)/Master_Table!E31</f>
        <v>9.7364046544762897E-3</v>
      </c>
      <c r="F32" s="3">
        <f>(Master_Table!F32-Master_Table!F31)/Master_Table!F31</f>
        <v>-3.9547630611252473E-3</v>
      </c>
      <c r="G32" s="3">
        <f>(Master_Table!G32-Master_Table!G31)/Master_Table!G31</f>
        <v>4.5266425245720258E-4</v>
      </c>
      <c r="H32" s="3">
        <f>(Master_Table!H32-Master_Table!H31)/Master_Table!H31</f>
        <v>1.2448455613476516E-3</v>
      </c>
    </row>
    <row r="33" spans="1:8" x14ac:dyDescent="0.3">
      <c r="A33" s="1">
        <v>43873</v>
      </c>
      <c r="B33" s="3">
        <f>(Master_Table!B33-Master_Table!B32)/Master_Table!B32</f>
        <v>7.7057127990816819E-3</v>
      </c>
      <c r="C33" s="3">
        <f>(Master_Table!C33-Master_Table!C32)/Master_Table!C32</f>
        <v>1.2093379257558327E-2</v>
      </c>
      <c r="D33" s="3">
        <f>(Master_Table!D33-Master_Table!D32)/Master_Table!D32</f>
        <v>6.7716077315923048E-3</v>
      </c>
      <c r="E33" s="3">
        <f>(Master_Table!E33-Master_Table!E32)/Master_Table!E32</f>
        <v>2.1166509877705414E-3</v>
      </c>
      <c r="F33" s="3">
        <f>(Master_Table!F33-Master_Table!F32)/Master_Table!F32</f>
        <v>8.0570260982631686E-3</v>
      </c>
      <c r="G33" s="3">
        <f>(Master_Table!G33-Master_Table!G32)/Master_Table!G32</f>
        <v>9.6955594337793296E-3</v>
      </c>
      <c r="H33" s="3">
        <f>(Master_Table!H33-Master_Table!H32)/Master_Table!H32</f>
        <v>8.0814360090138027E-3</v>
      </c>
    </row>
    <row r="34" spans="1:8" x14ac:dyDescent="0.3">
      <c r="A34" s="1">
        <v>43874</v>
      </c>
      <c r="B34" s="3">
        <f>(Master_Table!B34-Master_Table!B33)/Master_Table!B33</f>
        <v>-2.1760154738879036E-3</v>
      </c>
      <c r="C34" s="3">
        <f>(Master_Table!C34-Master_Table!C33)/Master_Table!C33</f>
        <v>2.6166528019360481E-3</v>
      </c>
      <c r="D34" s="3">
        <f>(Master_Table!D34-Master_Table!D33)/Master_Table!D33</f>
        <v>-6.0839553736256151E-3</v>
      </c>
      <c r="E34" s="3">
        <f>(Master_Table!E34-Master_Table!E33)/Master_Table!E33</f>
        <v>-5.3977939450833403E-3</v>
      </c>
      <c r="F34" s="3">
        <f>(Master_Table!F34-Master_Table!F33)/Master_Table!F33</f>
        <v>9.7662098353102928E-3</v>
      </c>
      <c r="G34" s="3">
        <f>(Master_Table!G34-Master_Table!G33)/Master_Table!G33</f>
        <v>1.4339670955764735E-2</v>
      </c>
      <c r="H34" s="3">
        <f>(Master_Table!H34-Master_Table!H33)/Master_Table!H33</f>
        <v>-3.8927002235411659E-3</v>
      </c>
    </row>
    <row r="35" spans="1:8" x14ac:dyDescent="0.3">
      <c r="A35" s="1">
        <v>43875</v>
      </c>
      <c r="B35" s="3">
        <f>(Master_Table!B35-Master_Table!B34)/Master_Table!B34</f>
        <v>-5.0268385538803093E-3</v>
      </c>
      <c r="C35" s="3">
        <f>(Master_Table!C35-Master_Table!C34)/Master_Table!C34</f>
        <v>9.1117547670769433E-3</v>
      </c>
      <c r="D35" s="3">
        <f>(Master_Table!D35-Master_Table!D34)/Master_Table!D34</f>
        <v>-1.7766005555914465E-2</v>
      </c>
      <c r="E35" s="3">
        <f>(Master_Table!E35-Master_Table!E34)/Master_Table!E34</f>
        <v>-1.9820670127418675E-2</v>
      </c>
      <c r="F35" s="3">
        <f>(Master_Table!F35-Master_Table!F34)/Master_Table!F34</f>
        <v>-3.5356645908893912E-3</v>
      </c>
      <c r="G35" s="3">
        <f>(Master_Table!G35-Master_Table!G34)/Master_Table!G34</f>
        <v>-7.320921426317393E-3</v>
      </c>
      <c r="H35" s="3">
        <f>(Master_Table!H35-Master_Table!H34)/Master_Table!H34</f>
        <v>2.2441478042175204E-3</v>
      </c>
    </row>
    <row r="36" spans="1:8" x14ac:dyDescent="0.3">
      <c r="A36" s="1">
        <v>43878</v>
      </c>
      <c r="B36" s="3">
        <f>(Master_Table!B36-Master_Table!B35)/Master_Table!B35</f>
        <v>-5.5847013030970909E-3</v>
      </c>
      <c r="C36" s="3">
        <f>(Master_Table!C36-Master_Table!C35)/Master_Table!C35</f>
        <v>-6.2787777312682119E-3</v>
      </c>
      <c r="D36" s="3">
        <f>(Master_Table!D36-Master_Table!D35)/Master_Table!D35</f>
        <v>-1.8087345435412109E-3</v>
      </c>
      <c r="E36" s="3">
        <f>(Master_Table!E36-Master_Table!E35)/Master_Table!E35</f>
        <v>-1.3962445835339322E-2</v>
      </c>
      <c r="F36" s="3">
        <f>(Master_Table!F36-Master_Table!F35)/Master_Table!F35</f>
        <v>8.7217287794158892E-3</v>
      </c>
      <c r="G36" s="3">
        <f>(Master_Table!G36-Master_Table!G35)/Master_Table!G35</f>
        <v>3.8146099561319853E-3</v>
      </c>
      <c r="H36" s="3">
        <f>(Master_Table!H36-Master_Table!H35)/Master_Table!H35</f>
        <v>-1.1543064509902362E-2</v>
      </c>
    </row>
    <row r="37" spans="1:8" x14ac:dyDescent="0.3">
      <c r="A37" s="1">
        <v>43879</v>
      </c>
      <c r="B37" s="3">
        <f>(Master_Table!B37-Master_Table!B36)/Master_Table!B36</f>
        <v>-4.424778761061887E-3</v>
      </c>
      <c r="C37" s="3">
        <f>(Master_Table!C37-Master_Table!C36)/Master_Table!C36</f>
        <v>-7.3414369960283958E-3</v>
      </c>
      <c r="D37" s="3">
        <f>(Master_Table!D37-Master_Table!D36)/Master_Table!D36</f>
        <v>-3.1957302408327695E-3</v>
      </c>
      <c r="E37" s="3">
        <f>(Master_Table!E37-Master_Table!E36)/Master_Table!E36</f>
        <v>-4.6386718750000833E-3</v>
      </c>
      <c r="F37" s="3">
        <f>(Master_Table!F37-Master_Table!F36)/Master_Table!F36</f>
        <v>5.6734369681152846E-3</v>
      </c>
      <c r="G37" s="3">
        <f>(Master_Table!G37-Master_Table!G36)/Master_Table!G36</f>
        <v>1.038697827601486E-2</v>
      </c>
      <c r="H37" s="3">
        <f>(Master_Table!H37-Master_Table!H36)/Master_Table!H36</f>
        <v>4.8039368848616336E-3</v>
      </c>
    </row>
    <row r="38" spans="1:8" x14ac:dyDescent="0.3">
      <c r="A38" s="1">
        <v>43880</v>
      </c>
      <c r="B38" s="3">
        <f>(Master_Table!B38-Master_Table!B37)/Master_Table!B37</f>
        <v>1.1123618928496948E-2</v>
      </c>
      <c r="C38" s="3">
        <f>(Master_Table!C38-Master_Table!C37)/Master_Table!C37</f>
        <v>2.4809044616876823E-2</v>
      </c>
      <c r="D38" s="3">
        <f>(Master_Table!D38-Master_Table!D37)/Master_Table!D37</f>
        <v>1.1501850872554264E-2</v>
      </c>
      <c r="E38" s="3">
        <f>(Master_Table!E38-Master_Table!E37)/Master_Table!E37</f>
        <v>1.398086828550402E-2</v>
      </c>
      <c r="F38" s="3">
        <f>(Master_Table!F38-Master_Table!F37)/Master_Table!F37</f>
        <v>-8.7555003949001883E-3</v>
      </c>
      <c r="G38" s="3">
        <f>(Master_Table!G38-Master_Table!G37)/Master_Table!G37</f>
        <v>3.5103115401492737E-3</v>
      </c>
      <c r="H38" s="3">
        <f>(Master_Table!H38-Master_Table!H37)/Master_Table!H37</f>
        <v>-3.8480973296535301E-3</v>
      </c>
    </row>
    <row r="39" spans="1:8" x14ac:dyDescent="0.3">
      <c r="A39" s="1">
        <v>43881</v>
      </c>
      <c r="B39" s="3">
        <f>(Master_Table!B39-Master_Table!B38)/Master_Table!B38</f>
        <v>-3.7151881509825476E-3</v>
      </c>
      <c r="C39" s="3">
        <f>(Master_Table!C39-Master_Table!C38)/Master_Table!C38</f>
        <v>-1.1875009242691007E-2</v>
      </c>
      <c r="D39" s="3">
        <f>(Master_Table!D39-Master_Table!D38)/Master_Table!D38</f>
        <v>-8.234217749313941E-3</v>
      </c>
      <c r="E39" s="3">
        <f>(Master_Table!E39-Master_Table!E38)/Master_Table!E38</f>
        <v>3.6284470246734399E-3</v>
      </c>
      <c r="F39" s="3">
        <f>(Master_Table!F39-Master_Table!F38)/Master_Table!F38</f>
        <v>-1.8007148223188347E-2</v>
      </c>
      <c r="G39" s="3">
        <f>(Master_Table!G39-Master_Table!G38)/Master_Table!G38</f>
        <v>-4.3100755824849084E-3</v>
      </c>
      <c r="H39" s="3">
        <f>(Master_Table!H39-Master_Table!H38)/Master_Table!H38</f>
        <v>-6.2431715311392366E-4</v>
      </c>
    </row>
    <row r="40" spans="1:8" x14ac:dyDescent="0.3">
      <c r="A40" s="1">
        <v>43885</v>
      </c>
      <c r="B40" s="3">
        <f>(Master_Table!B40-Master_Table!B39)/Master_Table!B39</f>
        <v>-2.0813932794464026E-2</v>
      </c>
      <c r="C40" s="3">
        <f>(Master_Table!C40-Master_Table!C39)/Master_Table!C39</f>
        <v>-2.7582387979286947E-2</v>
      </c>
      <c r="D40" s="3">
        <f>(Master_Table!D40-Master_Table!D39)/Master_Table!D39</f>
        <v>-5.8809963099629948E-3</v>
      </c>
      <c r="E40" s="3">
        <f>(Master_Table!E40-Master_Table!E39)/Master_Table!E39</f>
        <v>-2.145095203663528E-2</v>
      </c>
      <c r="F40" s="3">
        <f>(Master_Table!F40-Master_Table!F39)/Master_Table!F39</f>
        <v>-1.9218286350148491E-2</v>
      </c>
      <c r="G40" s="3">
        <f>(Master_Table!G40-Master_Table!G39)/Master_Table!G39</f>
        <v>-1.4429109159347269E-3</v>
      </c>
      <c r="H40" s="3">
        <f>(Master_Table!H40-Master_Table!H39)/Master_Table!H39</f>
        <v>-1.6320474777447965E-2</v>
      </c>
    </row>
    <row r="41" spans="1:8" x14ac:dyDescent="0.3">
      <c r="A41" s="1">
        <v>43886</v>
      </c>
      <c r="B41" s="3">
        <f>(Master_Table!B41-Master_Table!B40)/Master_Table!B40</f>
        <v>-2.6628569496339629E-3</v>
      </c>
      <c r="C41" s="3">
        <f>(Master_Table!C41-Master_Table!C40)/Master_Table!C40</f>
        <v>-1.9761446710273231E-2</v>
      </c>
      <c r="D41" s="3">
        <f>(Master_Table!D41-Master_Table!D40)/Master_Table!D40</f>
        <v>-7.9705702023299563E-3</v>
      </c>
      <c r="E41" s="3">
        <f>(Master_Table!E41-Master_Table!E40)/Master_Table!E40</f>
        <v>-5.9113300492610278E-3</v>
      </c>
      <c r="F41" s="3">
        <f>(Master_Table!F41-Master_Table!F40)/Master_Table!F40</f>
        <v>1.9287588342354781E-2</v>
      </c>
      <c r="G41" s="3">
        <f>(Master_Table!G41-Master_Table!G40)/Master_Table!G40</f>
        <v>3.2041213796569134E-3</v>
      </c>
      <c r="H41" s="3">
        <f>(Master_Table!H41-Master_Table!H40)/Master_Table!H40</f>
        <v>-1.4011272525204486E-2</v>
      </c>
    </row>
    <row r="42" spans="1:8" x14ac:dyDescent="0.3">
      <c r="A42" s="1">
        <v>43887</v>
      </c>
      <c r="B42" s="3">
        <f>(Master_Table!B42-Master_Table!B41)/Master_Table!B41</f>
        <v>-1.0120445163969828E-2</v>
      </c>
      <c r="C42" s="3">
        <f>(Master_Table!C42-Master_Table!C41)/Master_Table!C41</f>
        <v>-1.7223783580097525E-2</v>
      </c>
      <c r="D42" s="3">
        <f>(Master_Table!D42-Master_Table!D41)/Master_Table!D41</f>
        <v>-8.6860655463866275E-4</v>
      </c>
      <c r="E42" s="3">
        <f>(Master_Table!E42-Master_Table!E41)/Master_Table!E41</f>
        <v>-1.5857284440039726E-2</v>
      </c>
      <c r="F42" s="3">
        <f>(Master_Table!F42-Master_Table!F41)/Master_Table!F41</f>
        <v>-1.5096352294599253E-2</v>
      </c>
      <c r="G42" s="3">
        <f>(Master_Table!G42-Master_Table!G41)/Master_Table!G41</f>
        <v>-1.9601703406813598E-2</v>
      </c>
      <c r="H42" s="3">
        <f>(Master_Table!H42-Master_Table!H41)/Master_Table!H41</f>
        <v>-2.4878225514270654E-2</v>
      </c>
    </row>
    <row r="43" spans="1:8" x14ac:dyDescent="0.3">
      <c r="A43" s="1">
        <v>43888</v>
      </c>
      <c r="B43" s="3">
        <f>(Master_Table!B43-Master_Table!B42)/Master_Table!B42</f>
        <v>-3.8703600633643643E-3</v>
      </c>
      <c r="C43" s="3">
        <f>(Master_Table!C43-Master_Table!C42)/Master_Table!C42</f>
        <v>-4.1377767837173394E-3</v>
      </c>
      <c r="D43" s="3">
        <f>(Master_Table!D43-Master_Table!D42)/Master_Table!D42</f>
        <v>1.6718493998064455E-4</v>
      </c>
      <c r="E43" s="3">
        <f>(Master_Table!E43-Master_Table!E42)/Master_Table!E42</f>
        <v>-5.2870090634440231E-3</v>
      </c>
      <c r="F43" s="3">
        <f>(Master_Table!F43-Master_Table!F42)/Master_Table!F42</f>
        <v>-8.5232623846298317E-3</v>
      </c>
      <c r="G43" s="3">
        <f>(Master_Table!G43-Master_Table!G42)/Master_Table!G42</f>
        <v>-6.2599808367933274E-3</v>
      </c>
      <c r="H43" s="3">
        <f>(Master_Table!H43-Master_Table!H42)/Master_Table!H42</f>
        <v>-6.6052924906096009E-4</v>
      </c>
    </row>
    <row r="44" spans="1:8" x14ac:dyDescent="0.3">
      <c r="A44" s="1">
        <v>43889</v>
      </c>
      <c r="B44" s="3">
        <f>(Master_Table!B44-Master_Table!B43)/Master_Table!B43</f>
        <v>-3.7096094831217223E-2</v>
      </c>
      <c r="C44" s="3">
        <f>(Master_Table!C44-Master_Table!C43)/Master_Table!C43</f>
        <v>-4.1549691184727643E-2</v>
      </c>
      <c r="D44" s="3">
        <f>(Master_Table!D44-Master_Table!D43)/Master_Table!D43</f>
        <v>-1.8186680930730136E-2</v>
      </c>
      <c r="E44" s="3">
        <f>(Master_Table!E44-Master_Table!E43)/Master_Table!E43</f>
        <v>0</v>
      </c>
      <c r="F44" s="3">
        <f>(Master_Table!F44-Master_Table!F43)/Master_Table!F43</f>
        <v>-5.0035620992638287E-2</v>
      </c>
      <c r="G44" s="3">
        <f>(Master_Table!G44-Master_Table!G43)/Master_Table!G43</f>
        <v>-5.9330205052387959E-2</v>
      </c>
      <c r="H44" s="3">
        <f>(Master_Table!H44-Master_Table!H43)/Master_Table!H43</f>
        <v>-1.8837526335357506E-2</v>
      </c>
    </row>
    <row r="45" spans="1:8" x14ac:dyDescent="0.3">
      <c r="A45" s="1">
        <v>43892</v>
      </c>
      <c r="B45" s="3">
        <f>(Master_Table!B45-Master_Table!B44)/Master_Table!B44</f>
        <v>-6.159751824491709E-3</v>
      </c>
      <c r="C45" s="3">
        <f>(Master_Table!C45-Master_Table!C44)/Master_Table!C44</f>
        <v>-9.4066449075236487E-3</v>
      </c>
      <c r="D45" s="3">
        <f>(Master_Table!D45-Master_Table!D44)/Master_Table!D44</f>
        <v>1.6684827022609952E-3</v>
      </c>
      <c r="E45" s="3">
        <f>(Master_Table!E45-Master_Table!E44)/Master_Table!E44</f>
        <v>-1.1389521640091115E-2</v>
      </c>
      <c r="F45" s="3">
        <f>(Master_Table!F45-Master_Table!F44)/Master_Table!F44</f>
        <v>5.749568782340642E-4</v>
      </c>
      <c r="G45" s="3">
        <f>(Master_Table!G45-Master_Table!G44)/Master_Table!G44</f>
        <v>1.2778461117944388E-2</v>
      </c>
      <c r="H45" s="3">
        <f>(Master_Table!H45-Master_Table!H44)/Master_Table!H44</f>
        <v>-2.2441160372194742E-2</v>
      </c>
    </row>
    <row r="46" spans="1:8" x14ac:dyDescent="0.3">
      <c r="A46" s="1">
        <v>43893</v>
      </c>
      <c r="B46" s="3">
        <f>(Master_Table!B46-Master_Table!B45)/Master_Table!B45</f>
        <v>1.5319664952504931E-2</v>
      </c>
      <c r="C46" s="3">
        <f>(Master_Table!C46-Master_Table!C45)/Master_Table!C45</f>
        <v>2.0292989540915449E-2</v>
      </c>
      <c r="D46" s="3">
        <f>(Master_Table!D46-Master_Table!D45)/Master_Table!D45</f>
        <v>1.8526702246998642E-3</v>
      </c>
      <c r="E46" s="3">
        <f>(Master_Table!E46-Master_Table!E45)/Master_Table!E45</f>
        <v>-7.4244751664107374E-3</v>
      </c>
      <c r="F46" s="3">
        <f>(Master_Table!F46-Master_Table!F45)/Master_Table!F45</f>
        <v>1.7438664867835952E-2</v>
      </c>
      <c r="G46" s="3">
        <f>(Master_Table!G46-Master_Table!G45)/Master_Table!G45</f>
        <v>8.0291478307807102E-3</v>
      </c>
      <c r="H46" s="3">
        <f>(Master_Table!H46-Master_Table!H45)/Master_Table!H45</f>
        <v>1.7572573003703903E-2</v>
      </c>
    </row>
    <row r="47" spans="1:8" x14ac:dyDescent="0.3">
      <c r="A47" s="1">
        <v>43894</v>
      </c>
      <c r="B47" s="3">
        <f>(Master_Table!B47-Master_Table!B46)/Master_Table!B46</f>
        <v>-4.6269673458192986E-3</v>
      </c>
      <c r="C47" s="3">
        <f>(Master_Table!C47-Master_Table!C46)/Master_Table!C46</f>
        <v>-2.3516163222046778E-3</v>
      </c>
      <c r="D47" s="3">
        <f>(Master_Table!D47-Master_Table!D46)/Master_Table!D46</f>
        <v>-2.7874387119759685E-2</v>
      </c>
      <c r="E47" s="3">
        <f>(Master_Table!E47-Master_Table!E46)/Master_Table!E46</f>
        <v>-3.275728656177454E-2</v>
      </c>
      <c r="F47" s="3">
        <f>(Master_Table!F47-Master_Table!F46)/Master_Table!F46</f>
        <v>2.3082211963461236E-2</v>
      </c>
      <c r="G47" s="3">
        <f>(Master_Table!G47-Master_Table!G46)/Master_Table!G46</f>
        <v>1.5729585006693442E-2</v>
      </c>
      <c r="H47" s="3">
        <f>(Master_Table!H47-Master_Table!H46)/Master_Table!H46</f>
        <v>-3.9363413188858581E-3</v>
      </c>
    </row>
    <row r="48" spans="1:8" x14ac:dyDescent="0.3">
      <c r="A48" s="1">
        <v>43895</v>
      </c>
      <c r="B48" s="3">
        <f>(Master_Table!B48-Master_Table!B47)/Master_Table!B47</f>
        <v>1.5998577904186295E-3</v>
      </c>
      <c r="C48" s="3">
        <f>(Master_Table!C48-Master_Table!C47)/Master_Table!C47</f>
        <v>-2.131403339862541E-2</v>
      </c>
      <c r="D48" s="3">
        <f>(Master_Table!D48-Master_Table!D47)/Master_Table!D47</f>
        <v>2.181500872600349E-3</v>
      </c>
      <c r="E48" s="3">
        <f>(Master_Table!E48-Master_Table!E47)/Master_Table!E47</f>
        <v>2.9333333333333941E-3</v>
      </c>
      <c r="F48" s="3">
        <f>(Master_Table!F48-Master_Table!F47)/Master_Table!F47</f>
        <v>2.0089285714285889E-2</v>
      </c>
      <c r="G48" s="3">
        <f>(Master_Table!G48-Master_Table!G47)/Master_Table!G47</f>
        <v>-5.469522240527153E-3</v>
      </c>
      <c r="H48" s="3">
        <f>(Master_Table!H48-Master_Table!H47)/Master_Table!H47</f>
        <v>4.9292482896357917E-3</v>
      </c>
    </row>
    <row r="49" spans="1:8" x14ac:dyDescent="0.3">
      <c r="A49" s="1">
        <v>43896</v>
      </c>
      <c r="B49" s="3">
        <f>(Master_Table!B49-Master_Table!B48)/Master_Table!B48</f>
        <v>-2.4806992634661396E-2</v>
      </c>
      <c r="C49" s="3">
        <f>(Master_Table!C49-Master_Table!C48)/Master_Table!C48</f>
        <v>-3.061501407781822E-2</v>
      </c>
      <c r="D49" s="3">
        <f>(Master_Table!D49-Master_Table!D48)/Master_Table!D48</f>
        <v>-1.4296909011754526E-2</v>
      </c>
      <c r="E49" s="3">
        <f>(Master_Table!E49-Master_Table!E48)/Master_Table!E48</f>
        <v>-3.3501728263759696E-2</v>
      </c>
      <c r="F49" s="3">
        <f>(Master_Table!F49-Master_Table!F48)/Master_Table!F48</f>
        <v>-4.0469636008566212E-3</v>
      </c>
      <c r="G49" s="3">
        <f>(Master_Table!G49-Master_Table!G48)/Master_Table!G48</f>
        <v>-2.0739464617015608E-2</v>
      </c>
      <c r="H49" s="3">
        <f>(Master_Table!H49-Master_Table!H48)/Master_Table!H48</f>
        <v>-1.9916275529620664E-2</v>
      </c>
    </row>
    <row r="50" spans="1:8" x14ac:dyDescent="0.3">
      <c r="A50" s="1">
        <v>43899</v>
      </c>
      <c r="B50" s="3">
        <f>(Master_Table!B50-Master_Table!B49)/Master_Table!B49</f>
        <v>-4.8956044206033965E-2</v>
      </c>
      <c r="C50" s="3">
        <f>(Master_Table!C50-Master_Table!C49)/Master_Table!C49</f>
        <v>-0.1234055955067975</v>
      </c>
      <c r="D50" s="3">
        <f>(Master_Table!D50-Master_Table!D49)/Master_Table!D49</f>
        <v>-2.4309236096388933E-2</v>
      </c>
      <c r="E50" s="3">
        <f>(Master_Table!E50-Master_Table!E49)/Master_Table!E49</f>
        <v>-2.503438789546086E-2</v>
      </c>
      <c r="F50" s="3">
        <f>(Master_Table!F50-Master_Table!F49)/Master_Table!F49</f>
        <v>-6.8085709560821148E-2</v>
      </c>
      <c r="G50" s="3">
        <f>(Master_Table!G50-Master_Table!G49)/Master_Table!G49</f>
        <v>-4.6687867920698282E-2</v>
      </c>
      <c r="H50" s="3">
        <f>(Master_Table!H50-Master_Table!H49)/Master_Table!H49</f>
        <v>-4.9141427215462975E-2</v>
      </c>
    </row>
    <row r="51" spans="1:8" x14ac:dyDescent="0.3">
      <c r="A51" s="1">
        <v>43901</v>
      </c>
      <c r="B51" s="3">
        <f>(Master_Table!B51-Master_Table!B50)/Master_Table!B50</f>
        <v>6.6497950045198595E-4</v>
      </c>
      <c r="C51" s="3">
        <f>(Master_Table!C51-Master_Table!C50)/Master_Table!C50</f>
        <v>3.5349301397205664E-2</v>
      </c>
      <c r="D51" s="3">
        <f>(Master_Table!D51-Master_Table!D50)/Master_Table!D50</f>
        <v>5.8665894111682645E-3</v>
      </c>
      <c r="E51" s="3">
        <f>(Master_Table!E51-Master_Table!E50)/Master_Table!E50</f>
        <v>-8.7471783295710107E-3</v>
      </c>
      <c r="F51" s="3">
        <f>(Master_Table!F51-Master_Table!F50)/Master_Table!F50</f>
        <v>-9.4557254037061708E-3</v>
      </c>
      <c r="G51" s="3">
        <f>(Master_Table!G51-Master_Table!G50)/Master_Table!G50</f>
        <v>-2.6190645184186307E-2</v>
      </c>
      <c r="H51" s="3">
        <f>(Master_Table!H51-Master_Table!H50)/Master_Table!H50</f>
        <v>1.3612232859930124E-2</v>
      </c>
    </row>
    <row r="52" spans="1:8" x14ac:dyDescent="0.3">
      <c r="A52" s="1">
        <v>43902</v>
      </c>
      <c r="B52" s="3">
        <f>(Master_Table!B52-Master_Table!B51)/Master_Table!B51</f>
        <v>-8.3019391111451082E-2</v>
      </c>
      <c r="C52" s="3">
        <f>(Master_Table!C52-Master_Table!C51)/Master_Table!C51</f>
        <v>-7.8483160147288525E-2</v>
      </c>
      <c r="D52" s="3">
        <f>(Master_Table!D52-Master_Table!D51)/Master_Table!D51</f>
        <v>-8.305731566820275E-2</v>
      </c>
      <c r="E52" s="3">
        <f>(Master_Table!E52-Master_Table!E51)/Master_Table!E51</f>
        <v>-0.11300882436663816</v>
      </c>
      <c r="F52" s="3">
        <f>(Master_Table!F52-Master_Table!F51)/Master_Table!F51</f>
        <v>-9.4103495930798045E-2</v>
      </c>
      <c r="G52" s="3">
        <f>(Master_Table!G52-Master_Table!G51)/Master_Table!G51</f>
        <v>-7.988338192419818E-2</v>
      </c>
      <c r="H52" s="3">
        <f>(Master_Table!H52-Master_Table!H51)/Master_Table!H51</f>
        <v>-8.9887640449438283E-2</v>
      </c>
    </row>
    <row r="53" spans="1:8" x14ac:dyDescent="0.3">
      <c r="A53" s="1">
        <v>43903</v>
      </c>
      <c r="B53" s="3">
        <f>(Master_Table!B53-Master_Table!B52)/Master_Table!B52</f>
        <v>3.8065098043304962E-2</v>
      </c>
      <c r="C53" s="3">
        <f>(Master_Table!C53-Master_Table!C52)/Master_Table!C52</f>
        <v>3.9790794979079461E-2</v>
      </c>
      <c r="D53" s="3">
        <f>(Master_Table!D53-Master_Table!D52)/Master_Table!D52</f>
        <v>4.7489104401429297E-2</v>
      </c>
      <c r="E53" s="3">
        <f>(Master_Table!E53-Master_Table!E52)/Master_Table!E52</f>
        <v>4.1399229781771428E-2</v>
      </c>
      <c r="F53" s="3">
        <f>(Master_Table!F53-Master_Table!F52)/Master_Table!F52</f>
        <v>2.0594965675057236E-2</v>
      </c>
      <c r="G53" s="3">
        <f>(Master_Table!G53-Master_Table!G52)/Master_Table!G52</f>
        <v>1.7664765525982219E-2</v>
      </c>
      <c r="H53" s="3">
        <f>(Master_Table!H53-Master_Table!H52)/Master_Table!H52</f>
        <v>3.433180856819644E-2</v>
      </c>
    </row>
    <row r="54" spans="1:8" x14ac:dyDescent="0.3">
      <c r="A54" s="1">
        <v>43906</v>
      </c>
      <c r="B54" s="3">
        <f>(Master_Table!B54-Master_Table!B53)/Master_Table!B53</f>
        <v>-7.6121022179363659E-2</v>
      </c>
      <c r="C54" s="3">
        <f>(Master_Table!C54-Master_Table!C53)/Master_Table!C53</f>
        <v>-8.1063136292302052E-2</v>
      </c>
      <c r="D54" s="3">
        <f>(Master_Table!D54-Master_Table!D53)/Master_Table!D53</f>
        <v>-6.5708341923271657E-2</v>
      </c>
      <c r="E54" s="3">
        <f>(Master_Table!E54-Master_Table!E53)/Master_Table!E53</f>
        <v>-9.2449922958397532E-2</v>
      </c>
      <c r="F54" s="3">
        <f>(Master_Table!F54-Master_Table!F53)/Master_Table!F53</f>
        <v>-6.0842606433039841E-2</v>
      </c>
      <c r="G54" s="3">
        <f>(Master_Table!G54-Master_Table!G53)/Master_Table!G53</f>
        <v>-9.2161594146493414E-2</v>
      </c>
      <c r="H54" s="3">
        <f>(Master_Table!H54-Master_Table!H53)/Master_Table!H53</f>
        <v>-7.8700841694802418E-2</v>
      </c>
    </row>
    <row r="55" spans="1:8" x14ac:dyDescent="0.3">
      <c r="A55" s="1">
        <v>43907</v>
      </c>
      <c r="B55" s="3">
        <f>(Master_Table!B55-Master_Table!B54)/Master_Table!B54</f>
        <v>-2.5045121447365599E-2</v>
      </c>
      <c r="C55" s="3">
        <f>(Master_Table!C55-Master_Table!C54)/Master_Table!C54</f>
        <v>-7.5974864799772885E-3</v>
      </c>
      <c r="D55" s="3">
        <f>(Master_Table!D55-Master_Table!D54)/Master_Table!D54</f>
        <v>-2.4412749994985088E-2</v>
      </c>
      <c r="E55" s="3">
        <f>(Master_Table!E55-Master_Table!E54)/Master_Table!E54</f>
        <v>1.2903225806451651E-2</v>
      </c>
      <c r="F55" s="3">
        <f>(Master_Table!F55-Master_Table!F54)/Master_Table!F54</f>
        <v>-2.2636170714454191E-2</v>
      </c>
      <c r="G55" s="3">
        <f>(Master_Table!G55-Master_Table!G54)/Master_Table!G54</f>
        <v>-4.8358055388836377E-2</v>
      </c>
      <c r="H55" s="3">
        <f>(Master_Table!H55-Master_Table!H54)/Master_Table!H54</f>
        <v>-1.2336120573965154E-2</v>
      </c>
    </row>
    <row r="56" spans="1:8" x14ac:dyDescent="0.3">
      <c r="A56" s="1">
        <v>43908</v>
      </c>
      <c r="B56" s="3">
        <f>(Master_Table!B56-Master_Table!B55)/Master_Table!B55</f>
        <v>-5.5564539062456439E-2</v>
      </c>
      <c r="C56" s="3">
        <f>(Master_Table!C56-Master_Table!C55)/Master_Table!C55</f>
        <v>-3.9182808983806182E-2</v>
      </c>
      <c r="D56" s="3">
        <f>(Master_Table!D56-Master_Table!D55)/Master_Table!D55</f>
        <v>-0.10071143644364018</v>
      </c>
      <c r="E56" s="3">
        <f>(Master_Table!E56-Master_Table!E55)/Master_Table!E55</f>
        <v>1.0392222594703205E-2</v>
      </c>
      <c r="F56" s="3">
        <f>(Master_Table!F56-Master_Table!F55)/Master_Table!F55</f>
        <v>-2.1712907117007896E-3</v>
      </c>
      <c r="G56" s="3">
        <f>(Master_Table!G56-Master_Table!G55)/Master_Table!G55</f>
        <v>-3.7210559509865918E-2</v>
      </c>
      <c r="H56" s="3">
        <f>(Master_Table!H56-Master_Table!H55)/Master_Table!H55</f>
        <v>-5.4559707342566023E-2</v>
      </c>
    </row>
    <row r="57" spans="1:8" x14ac:dyDescent="0.3">
      <c r="A57" s="1">
        <v>43909</v>
      </c>
      <c r="B57" s="3">
        <f>(Master_Table!B57-Master_Table!B56)/Master_Table!B56</f>
        <v>-2.424782731910053E-2</v>
      </c>
      <c r="C57" s="3">
        <f>(Master_Table!C57-Master_Table!C56)/Master_Table!C56</f>
        <v>-5.2445464982778356E-2</v>
      </c>
      <c r="D57" s="3">
        <f>(Master_Table!D57-Master_Table!D56)/Master_Table!D56</f>
        <v>2.1263947320285373E-2</v>
      </c>
      <c r="E57" s="3">
        <f>(Master_Table!E57-Master_Table!E56)/Master_Table!E56</f>
        <v>7.3988055739880598E-2</v>
      </c>
      <c r="F57" s="3">
        <f>(Master_Table!F57-Master_Table!F56)/Master_Table!F56</f>
        <v>-1.0910299806576512E-2</v>
      </c>
      <c r="G57" s="3">
        <f>(Master_Table!G57-Master_Table!G56)/Master_Table!G56</f>
        <v>2.1055586749017408E-2</v>
      </c>
      <c r="H57" s="3">
        <f>(Master_Table!H57-Master_Table!H56)/Master_Table!H56</f>
        <v>-6.7934331988281388E-2</v>
      </c>
    </row>
    <row r="58" spans="1:8" x14ac:dyDescent="0.3">
      <c r="A58" s="1">
        <v>43910</v>
      </c>
      <c r="B58" s="3">
        <f>(Master_Table!B58-Master_Table!B57)/Master_Table!B57</f>
        <v>5.8329148237116456E-2</v>
      </c>
      <c r="C58" s="3">
        <f>(Master_Table!C58-Master_Table!C57)/Master_Table!C57</f>
        <v>0.10924247564581006</v>
      </c>
      <c r="D58" s="3">
        <f>(Master_Table!D58-Master_Table!D57)/Master_Table!D57</f>
        <v>-1.4171853311243543E-2</v>
      </c>
      <c r="E58" s="3">
        <f>(Master_Table!E58-Master_Table!E57)/Master_Table!E57</f>
        <v>8.4337349397590397E-2</v>
      </c>
      <c r="F58" s="3">
        <f>(Master_Table!F58-Master_Table!F57)/Master_Table!F57</f>
        <v>9.8450820423503616E-2</v>
      </c>
      <c r="G58" s="3">
        <f>(Master_Table!G58-Master_Table!G57)/Master_Table!G57</f>
        <v>7.2678947850792958E-2</v>
      </c>
      <c r="H58" s="3">
        <f>(Master_Table!H58-Master_Table!H57)/Master_Table!H57</f>
        <v>2.5619736686039642E-2</v>
      </c>
    </row>
    <row r="59" spans="1:8" x14ac:dyDescent="0.3">
      <c r="A59" s="1">
        <v>43913</v>
      </c>
      <c r="B59" s="3">
        <f>(Master_Table!B59-Master_Table!B58)/Master_Table!B58</f>
        <v>-0.12980464127060365</v>
      </c>
      <c r="C59" s="3">
        <f>(Master_Table!C59-Master_Table!C58)/Master_Table!C58</f>
        <v>-0.13153755406999615</v>
      </c>
      <c r="D59" s="3">
        <f>(Master_Table!D59-Master_Table!D58)/Master_Table!D58</f>
        <v>-0.12606454250221424</v>
      </c>
      <c r="E59" s="3">
        <f>(Master_Table!E59-Master_Table!E58)/Master_Table!E58</f>
        <v>-0.12079772079772073</v>
      </c>
      <c r="F59" s="3">
        <f>(Master_Table!F59-Master_Table!F58)/Master_Table!F58</f>
        <v>-7.107290884308326E-2</v>
      </c>
      <c r="G59" s="3">
        <f>(Master_Table!G59-Master_Table!G58)/Master_Table!G58</f>
        <v>-0.10039302802460696</v>
      </c>
      <c r="H59" s="3">
        <f>(Master_Table!H59-Master_Table!H58)/Master_Table!H58</f>
        <v>-0.16265756909910961</v>
      </c>
    </row>
    <row r="60" spans="1:8" x14ac:dyDescent="0.3">
      <c r="A60" s="1">
        <v>43914</v>
      </c>
      <c r="B60" s="3">
        <f>(Master_Table!B60-Master_Table!B59)/Master_Table!B59</f>
        <v>2.507144968956344E-2</v>
      </c>
      <c r="C60" s="3">
        <f>(Master_Table!C60-Master_Table!C59)/Master_Table!C59</f>
        <v>6.7139586949412772E-2</v>
      </c>
      <c r="D60" s="3">
        <f>(Master_Table!D60-Master_Table!D59)/Master_Table!D59</f>
        <v>-4.9893456681046099E-3</v>
      </c>
      <c r="E60" s="3">
        <f>(Master_Table!E60-Master_Table!E59)/Master_Table!E59</f>
        <v>-2.9812054439403903E-2</v>
      </c>
      <c r="F60" s="3">
        <f>(Master_Table!F60-Master_Table!F59)/Master_Table!F59</f>
        <v>2.0033538959094474E-2</v>
      </c>
      <c r="G60" s="3">
        <f>(Master_Table!G60-Master_Table!G59)/Master_Table!G59</f>
        <v>0.12033431474973863</v>
      </c>
      <c r="H60" s="3">
        <f>(Master_Table!H60-Master_Table!H59)/Master_Table!H59</f>
        <v>-2.2305089427525692E-2</v>
      </c>
    </row>
    <row r="61" spans="1:8" x14ac:dyDescent="0.3">
      <c r="A61" s="1">
        <v>43915</v>
      </c>
      <c r="B61" s="3">
        <f>(Master_Table!B61-Master_Table!B60)/Master_Table!B60</f>
        <v>6.6247492324751175E-2</v>
      </c>
      <c r="C61" s="3">
        <f>(Master_Table!C61-Master_Table!C60)/Master_Table!C60</f>
        <v>0.14716420725095455</v>
      </c>
      <c r="D61" s="3">
        <f>(Master_Table!D61-Master_Table!D60)/Master_Table!D60</f>
        <v>0.11598328545312099</v>
      </c>
      <c r="E61" s="3">
        <f>(Master_Table!E61-Master_Table!E60)/Master_Table!E60</f>
        <v>-1.5698062792251131E-2</v>
      </c>
      <c r="F61" s="3">
        <f>(Master_Table!F61-Master_Table!F60)/Master_Table!F60</f>
        <v>2.7683997299122132E-2</v>
      </c>
      <c r="G61" s="3">
        <f>(Master_Table!G61-Master_Table!G60)/Master_Table!G60</f>
        <v>2.7806035944388085E-2</v>
      </c>
      <c r="H61" s="3">
        <f>(Master_Table!H61-Master_Table!H60)/Master_Table!H60</f>
        <v>8.172058200310782E-2</v>
      </c>
    </row>
    <row r="62" spans="1:8" x14ac:dyDescent="0.3">
      <c r="A62" s="1">
        <v>43916</v>
      </c>
      <c r="B62" s="3">
        <f>(Master_Table!B62-Master_Table!B61)/Master_Table!B61</f>
        <v>3.8904284159969264E-2</v>
      </c>
      <c r="C62" s="3">
        <f>(Master_Table!C62-Master_Table!C61)/Master_Table!C61</f>
        <v>-1.481557587588612E-2</v>
      </c>
      <c r="D62" s="3">
        <f>(Master_Table!D62-Master_Table!D61)/Master_Table!D61</f>
        <v>5.1765697034939516E-2</v>
      </c>
      <c r="E62" s="3">
        <f>(Master_Table!E62-Master_Table!E61)/Master_Table!E61</f>
        <v>6.1418391584662446E-2</v>
      </c>
      <c r="F62" s="3">
        <f>(Master_Table!F62-Master_Table!F61)/Master_Table!F61</f>
        <v>2.3224590070273721E-2</v>
      </c>
      <c r="G62" s="3">
        <f>(Master_Table!G62-Master_Table!G61)/Master_Table!G61</f>
        <v>6.0706037611349309E-2</v>
      </c>
      <c r="H62" s="3">
        <f>(Master_Table!H62-Master_Table!H61)/Master_Table!H61</f>
        <v>9.4351942539993475E-2</v>
      </c>
    </row>
    <row r="63" spans="1:8" x14ac:dyDescent="0.3">
      <c r="A63" s="1">
        <v>43917</v>
      </c>
      <c r="B63" s="3">
        <f>(Master_Table!B63-Master_Table!B62)/Master_Table!B62</f>
        <v>2.1755608144465653E-3</v>
      </c>
      <c r="C63" s="3">
        <f>(Master_Table!C63-Master_Table!C62)/Master_Table!C62</f>
        <v>-5.6315701651923455E-4</v>
      </c>
      <c r="D63" s="3">
        <f>(Master_Table!D63-Master_Table!D62)/Master_Table!D62</f>
        <v>3.7158178136751348E-3</v>
      </c>
      <c r="E63" s="3">
        <f>(Master_Table!E63-Master_Table!E62)/Master_Table!E62</f>
        <v>4.3478260869565105E-2</v>
      </c>
      <c r="F63" s="3">
        <f>(Master_Table!F63-Master_Table!F62)/Master_Table!F62</f>
        <v>1.8733074625198892E-2</v>
      </c>
      <c r="G63" s="3">
        <f>(Master_Table!G63-Master_Table!G62)/Master_Table!G62</f>
        <v>1.5085536547433975E-2</v>
      </c>
      <c r="H63" s="3">
        <f>(Master_Table!H63-Master_Table!H62)/Master_Table!H62</f>
        <v>-1.1336515513127034E-3</v>
      </c>
    </row>
    <row r="64" spans="1:8" x14ac:dyDescent="0.3">
      <c r="A64" s="1">
        <v>43920</v>
      </c>
      <c r="B64" s="3">
        <f>(Master_Table!B64-Master_Table!B63)/Master_Table!B63</f>
        <v>-4.3780491325308118E-2</v>
      </c>
      <c r="C64" s="3">
        <f>(Master_Table!C64-Master_Table!C63)/Master_Table!C63</f>
        <v>-3.2994553081369872E-2</v>
      </c>
      <c r="D64" s="3">
        <f>(Master_Table!D64-Master_Table!D63)/Master_Table!D63</f>
        <v>-8.0492130348038135E-2</v>
      </c>
      <c r="E64" s="3">
        <f>(Master_Table!E64-Master_Table!E63)/Master_Table!E63</f>
        <v>-2.4509803921568631E-2</v>
      </c>
      <c r="F64" s="3">
        <f>(Master_Table!F64-Master_Table!F63)/Master_Table!F63</f>
        <v>-2.5212386955330228E-2</v>
      </c>
      <c r="G64" s="3">
        <f>(Master_Table!G64-Master_Table!G63)/Master_Table!G63</f>
        <v>-3.9834533476329093E-2</v>
      </c>
      <c r="H64" s="3">
        <f>(Master_Table!H64-Master_Table!H63)/Master_Table!H63</f>
        <v>-4.5875395735021779E-2</v>
      </c>
    </row>
    <row r="65" spans="1:8" x14ac:dyDescent="0.3">
      <c r="A65" s="1">
        <v>43921</v>
      </c>
      <c r="B65" s="3">
        <f>(Master_Table!B65-Master_Table!B64)/Master_Table!B64</f>
        <v>3.8237673738995982E-2</v>
      </c>
      <c r="C65" s="3">
        <f>(Master_Table!C65-Master_Table!C64)/Master_Table!C64</f>
        <v>8.0844267955801061E-2</v>
      </c>
      <c r="D65" s="3">
        <f>(Master_Table!D65-Master_Table!D64)/Master_Table!D64</f>
        <v>3.6379854866317833E-2</v>
      </c>
      <c r="E65" s="3">
        <f>(Master_Table!E65-Master_Table!E64)/Master_Table!E64</f>
        <v>7.8517587939698499E-2</v>
      </c>
      <c r="F65" s="3">
        <f>(Master_Table!F65-Master_Table!F64)/Master_Table!F64</f>
        <v>2.676412707337639E-2</v>
      </c>
      <c r="G65" s="3">
        <f>(Master_Table!G65-Master_Table!G64)/Master_Table!G64</f>
        <v>2.3615765118876583E-2</v>
      </c>
      <c r="H65" s="3">
        <f>(Master_Table!H65-Master_Table!H64)/Master_Table!H64</f>
        <v>1.2333312464784352E-2</v>
      </c>
    </row>
    <row r="66" spans="1:8" x14ac:dyDescent="0.3">
      <c r="A66" s="1">
        <v>43922</v>
      </c>
      <c r="B66" s="3">
        <f>(Master_Table!B66-Master_Table!B65)/Master_Table!B65</f>
        <v>-4.000465237998322E-2</v>
      </c>
      <c r="C66" s="3">
        <f>(Master_Table!C66-Master_Table!C65)/Master_Table!C65</f>
        <v>-2.9910946048480529E-2</v>
      </c>
      <c r="D66" s="3">
        <f>(Master_Table!D66-Master_Table!D65)/Master_Table!D65</f>
        <v>-3.740578766167299E-2</v>
      </c>
      <c r="E66" s="3">
        <f>(Master_Table!E66-Master_Table!E65)/Master_Table!E65</f>
        <v>-3.0867792661619004E-2</v>
      </c>
      <c r="F66" s="3">
        <f>(Master_Table!F66-Master_Table!F65)/Master_Table!F65</f>
        <v>-6.4262636219265049E-2</v>
      </c>
      <c r="G66" s="3">
        <f>(Master_Table!G66-Master_Table!G65)/Master_Table!G65</f>
        <v>-6.0327357755261178E-2</v>
      </c>
      <c r="H66" s="3">
        <f>(Master_Table!H66-Master_Table!H65)/Master_Table!H65</f>
        <v>-4.2238713667285065E-2</v>
      </c>
    </row>
    <row r="67" spans="1:8" x14ac:dyDescent="0.3">
      <c r="A67" s="1">
        <v>43924</v>
      </c>
      <c r="B67" s="3">
        <f>(Master_Table!B67-Master_Table!B66)/Master_Table!B66</f>
        <v>-2.059657369938684E-2</v>
      </c>
      <c r="C67" s="3">
        <f>(Master_Table!C67-Master_Table!C66)/Master_Table!C66</f>
        <v>-2.7786925736867406E-3</v>
      </c>
      <c r="D67" s="3">
        <f>(Master_Table!D67-Master_Table!D66)/Master_Table!D66</f>
        <v>-1.9043015949734159E-2</v>
      </c>
      <c r="E67" s="3">
        <f>(Master_Table!E67-Master_Table!E66)/Master_Table!E66</f>
        <v>6.9110576923076927E-2</v>
      </c>
      <c r="F67" s="3">
        <f>(Master_Table!F67-Master_Table!F66)/Master_Table!F66</f>
        <v>-3.1923920994879271E-2</v>
      </c>
      <c r="G67" s="3">
        <f>(Master_Table!G67-Master_Table!G66)/Master_Table!G66</f>
        <v>-2.8367617783676028E-2</v>
      </c>
      <c r="H67" s="3">
        <f>(Master_Table!H67-Master_Table!H66)/Master_Table!H66</f>
        <v>3.8742170852967589E-4</v>
      </c>
    </row>
    <row r="68" spans="1:8" x14ac:dyDescent="0.3">
      <c r="A68" s="1">
        <v>43928</v>
      </c>
      <c r="B68" s="3">
        <f>(Master_Table!B68-Master_Table!B67)/Master_Table!B67</f>
        <v>8.7632054231920692E-2</v>
      </c>
      <c r="C68" s="3">
        <f>(Master_Table!C68-Master_Table!C67)/Master_Table!C67</f>
        <v>0.11940390926541317</v>
      </c>
      <c r="D68" s="3">
        <f>(Master_Table!D68-Master_Table!D67)/Master_Table!D67</f>
        <v>0.10105439495467082</v>
      </c>
      <c r="E68" s="3">
        <f>(Master_Table!E68-Master_Table!E67)/Master_Table!E67</f>
        <v>2.0517144463181595E-2</v>
      </c>
      <c r="F68" s="3">
        <f>(Master_Table!F68-Master_Table!F67)/Master_Table!F67</f>
        <v>7.3147140611776088E-2</v>
      </c>
      <c r="G68" s="3">
        <f>(Master_Table!G68-Master_Table!G67)/Master_Table!G67</f>
        <v>9.1002219566330797E-2</v>
      </c>
      <c r="H68" s="3">
        <f>(Master_Table!H68-Master_Table!H67)/Master_Table!H67</f>
        <v>3.4854450396953465E-2</v>
      </c>
    </row>
    <row r="69" spans="1:8" x14ac:dyDescent="0.3">
      <c r="A69" s="1">
        <v>43929</v>
      </c>
      <c r="B69" s="3">
        <f>(Master_Table!B69-Master_Table!B68)/Master_Table!B68</f>
        <v>-4.9418803029959192E-3</v>
      </c>
      <c r="C69" s="3">
        <f>(Master_Table!C69-Master_Table!C68)/Master_Table!C68</f>
        <v>-1.1561013386436518E-2</v>
      </c>
      <c r="D69" s="3">
        <f>(Master_Table!D69-Master_Table!D68)/Master_Table!D68</f>
        <v>-8.0323980847540506E-3</v>
      </c>
      <c r="E69" s="3">
        <f>(Master_Table!E69-Master_Table!E68)/Master_Table!E68</f>
        <v>-1.5973561002478685E-2</v>
      </c>
      <c r="F69" s="3">
        <f>(Master_Table!F69-Master_Table!F68)/Master_Table!F68</f>
        <v>-3.9291347453808023E-2</v>
      </c>
      <c r="G69" s="3">
        <f>(Master_Table!G69-Master_Table!G68)/Master_Table!G68</f>
        <v>-1.1580594679186193E-2</v>
      </c>
      <c r="H69" s="3">
        <f>(Master_Table!H69-Master_Table!H68)/Master_Table!H68</f>
        <v>6.798478138838702E-3</v>
      </c>
    </row>
    <row r="70" spans="1:8" x14ac:dyDescent="0.3">
      <c r="A70" s="1">
        <v>43930</v>
      </c>
      <c r="B70" s="3">
        <f>(Master_Table!B70-Master_Table!B69)/Master_Table!B69</f>
        <v>4.1508786969567037E-2</v>
      </c>
      <c r="C70" s="3">
        <f>(Master_Table!C70-Master_Table!C69)/Master_Table!C69</f>
        <v>2.3317850280746916E-2</v>
      </c>
      <c r="D70" s="3">
        <f>(Master_Table!D70-Master_Table!D69)/Master_Table!D69</f>
        <v>4.0667644073531004E-2</v>
      </c>
      <c r="E70" s="3">
        <f>(Master_Table!E70-Master_Table!E69)/Master_Table!E69</f>
        <v>3.6943744752308952E-2</v>
      </c>
      <c r="F70" s="3">
        <f>(Master_Table!F70-Master_Table!F69)/Master_Table!F69</f>
        <v>3.5591779295787059E-2</v>
      </c>
      <c r="G70" s="3">
        <f>(Master_Table!G70-Master_Table!G69)/Master_Table!G69</f>
        <v>7.3622545915135798E-3</v>
      </c>
      <c r="H70" s="3">
        <f>(Master_Table!H70-Master_Table!H69)/Master_Table!H69</f>
        <v>7.0623218931977838E-3</v>
      </c>
    </row>
    <row r="71" spans="1:8" x14ac:dyDescent="0.3">
      <c r="A71" s="1">
        <v>43934</v>
      </c>
      <c r="B71" s="3">
        <f>(Master_Table!B71-Master_Table!B70)/Master_Table!B70</f>
        <v>-1.295558555295814E-2</v>
      </c>
      <c r="C71" s="3">
        <f>(Master_Table!C71-Master_Table!C70)/Master_Table!C70</f>
        <v>-2.5247461581931242E-2</v>
      </c>
      <c r="D71" s="3">
        <f>(Master_Table!D71-Master_Table!D70)/Master_Table!D70</f>
        <v>-3.2121028219688742E-2</v>
      </c>
      <c r="E71" s="3">
        <f>(Master_Table!E71-Master_Table!E70)/Master_Table!E70</f>
        <v>-1.9703103913630261E-2</v>
      </c>
      <c r="F71" s="3">
        <f>(Master_Table!F71-Master_Table!F70)/Master_Table!F70</f>
        <v>-3.906802932933268E-3</v>
      </c>
      <c r="G71" s="3">
        <f>(Master_Table!G71-Master_Table!G70)/Master_Table!G70</f>
        <v>1.8074656188604751E-3</v>
      </c>
      <c r="H71" s="3">
        <f>(Master_Table!H71-Master_Table!H70)/Master_Table!H70</f>
        <v>6.4776082677165475E-2</v>
      </c>
    </row>
    <row r="72" spans="1:8" x14ac:dyDescent="0.3">
      <c r="A72" s="1">
        <v>43936</v>
      </c>
      <c r="B72" s="3">
        <f>(Master_Table!B72-Master_Table!B71)/Master_Table!B71</f>
        <v>-7.6218749478811727E-3</v>
      </c>
      <c r="C72" s="3">
        <f>(Master_Table!C72-Master_Table!C71)/Master_Table!C71</f>
        <v>-3.3045332136445379E-2</v>
      </c>
      <c r="D72" s="3">
        <f>(Master_Table!D72-Master_Table!D71)/Master_Table!D71</f>
        <v>-3.5784664994625626E-2</v>
      </c>
      <c r="E72" s="3">
        <f>(Master_Table!E72-Master_Table!E71)/Master_Table!E71</f>
        <v>4.2676211453744492E-2</v>
      </c>
      <c r="F72" s="3">
        <f>(Master_Table!F72-Master_Table!F71)/Master_Table!F71</f>
        <v>-1.3699019468523466E-2</v>
      </c>
      <c r="G72" s="3">
        <f>(Master_Table!G72-Master_Table!G71)/Master_Table!G71</f>
        <v>2.5886413555067105E-3</v>
      </c>
      <c r="H72" s="3">
        <f>(Master_Table!H72-Master_Table!H71)/Master_Table!H71</f>
        <v>1.6985383326593023E-2</v>
      </c>
    </row>
    <row r="73" spans="1:8" x14ac:dyDescent="0.3">
      <c r="A73" s="1">
        <v>43937</v>
      </c>
      <c r="B73" s="3">
        <f>(Master_Table!B73-Master_Table!B72)/Master_Table!B72</f>
        <v>7.5627709992941421E-3</v>
      </c>
      <c r="C73" s="3">
        <f>(Master_Table!C73-Master_Table!C72)/Master_Table!C72</f>
        <v>1.5820520259162682E-2</v>
      </c>
      <c r="D73" s="3">
        <f>(Master_Table!D73-Master_Table!D72)/Master_Table!D72</f>
        <v>1.9044080078034254E-2</v>
      </c>
      <c r="E73" s="3">
        <f>(Master_Table!E73-Master_Table!E72)/Master_Table!E72</f>
        <v>-1.5843675732770002E-2</v>
      </c>
      <c r="F73" s="3">
        <f>(Master_Table!F73-Master_Table!F72)/Master_Table!F72</f>
        <v>-1.1007693859320598E-2</v>
      </c>
      <c r="G73" s="3">
        <f>(Master_Table!G73-Master_Table!G72)/Master_Table!G72</f>
        <v>-2.3785306314059829E-2</v>
      </c>
      <c r="H73" s="3">
        <f>(Master_Table!H73-Master_Table!H72)/Master_Table!H72</f>
        <v>3.5789354087371474E-2</v>
      </c>
    </row>
    <row r="74" spans="1:8" x14ac:dyDescent="0.3">
      <c r="A74" s="1">
        <v>43938</v>
      </c>
      <c r="B74" s="3">
        <f>(Master_Table!B74-Master_Table!B73)/Master_Table!B73</f>
        <v>3.0463259496486161E-2</v>
      </c>
      <c r="C74" s="3">
        <f>(Master_Table!C74-Master_Table!C73)/Master_Table!C73</f>
        <v>4.7902823524931873E-2</v>
      </c>
      <c r="D74" s="3">
        <f>(Master_Table!D74-Master_Table!D73)/Master_Table!D73</f>
        <v>3.4732667851770843E-2</v>
      </c>
      <c r="E74" s="3">
        <f>(Master_Table!E74-Master_Table!E73)/Master_Table!E73</f>
        <v>9.390931043734908E-3</v>
      </c>
      <c r="F74" s="3">
        <f>(Master_Table!F74-Master_Table!F73)/Master_Table!F73</f>
        <v>5.2533434340491299E-2</v>
      </c>
      <c r="G74" s="3">
        <f>(Master_Table!G74-Master_Table!G73)/Master_Table!G73</f>
        <v>7.8544521920333038E-3</v>
      </c>
      <c r="H74" s="3">
        <f>(Master_Table!H74-Master_Table!H73)/Master_Table!H73</f>
        <v>2.3309384083804091E-2</v>
      </c>
    </row>
    <row r="75" spans="1:8" x14ac:dyDescent="0.3">
      <c r="A75" s="1">
        <v>43941</v>
      </c>
      <c r="B75" s="3">
        <f>(Master_Table!B75-Master_Table!B74)/Master_Table!B74</f>
        <v>-5.287722232713342E-4</v>
      </c>
      <c r="C75" s="3">
        <f>(Master_Table!C75-Master_Table!C74)/Master_Table!C74</f>
        <v>1.6188520867021508E-2</v>
      </c>
      <c r="D75" s="3">
        <f>(Master_Table!D75-Master_Table!D74)/Master_Table!D74</f>
        <v>3.7949870049777581E-2</v>
      </c>
      <c r="E75" s="3">
        <f>(Master_Table!E75-Master_Table!E74)/Master_Table!E74</f>
        <v>-3.9340776182881475E-2</v>
      </c>
      <c r="F75" s="3">
        <f>(Master_Table!F75-Master_Table!F74)/Master_Table!F74</f>
        <v>6.8929243716089276E-3</v>
      </c>
      <c r="G75" s="3">
        <f>(Master_Table!G75-Master_Table!G74)/Master_Table!G74</f>
        <v>3.9045725646123186E-2</v>
      </c>
      <c r="H75" s="3">
        <f>(Master_Table!H75-Master_Table!H74)/Master_Table!H74</f>
        <v>-1.8544324150498396E-2</v>
      </c>
    </row>
    <row r="76" spans="1:8" x14ac:dyDescent="0.3">
      <c r="A76" s="1">
        <v>43942</v>
      </c>
      <c r="B76" s="3">
        <f>(Master_Table!B76-Master_Table!B75)/Master_Table!B75</f>
        <v>-3.0274729130789164E-2</v>
      </c>
      <c r="C76" s="3">
        <f>(Master_Table!C76-Master_Table!C75)/Master_Table!C75</f>
        <v>-5.1850527445020155E-3</v>
      </c>
      <c r="D76" s="3">
        <f>(Master_Table!D76-Master_Table!D75)/Master_Table!D75</f>
        <v>-2.4551724137931021E-2</v>
      </c>
      <c r="E76" s="3">
        <f>(Master_Table!E76-Master_Table!E75)/Master_Table!E75</f>
        <v>-6.0874377421139703E-3</v>
      </c>
      <c r="F76" s="3">
        <f>(Master_Table!F76-Master_Table!F75)/Master_Table!F75</f>
        <v>-4.4538531328182994E-2</v>
      </c>
      <c r="G76" s="3">
        <f>(Master_Table!G76-Master_Table!G75)/Master_Table!G75</f>
        <v>-3.076687586101318E-2</v>
      </c>
      <c r="H76" s="3">
        <f>(Master_Table!H76-Master_Table!H75)/Master_Table!H75</f>
        <v>-4.9421144604630839E-2</v>
      </c>
    </row>
    <row r="77" spans="1:8" x14ac:dyDescent="0.3">
      <c r="A77" s="1">
        <v>43943</v>
      </c>
      <c r="B77" s="3">
        <f>(Master_Table!B77-Master_Table!B76)/Master_Table!B76</f>
        <v>2.2919461779556588E-2</v>
      </c>
      <c r="C77" s="3">
        <f>(Master_Table!C77-Master_Table!C76)/Master_Table!C76</f>
        <v>0.10203091301222139</v>
      </c>
      <c r="D77" s="3">
        <f>(Master_Table!D77-Master_Table!D76)/Master_Table!D76</f>
        <v>7.5487295509919297E-3</v>
      </c>
      <c r="E77" s="3">
        <f>(Master_Table!E77-Master_Table!E76)/Master_Table!E76</f>
        <v>1.4755011135857494E-2</v>
      </c>
      <c r="F77" s="3">
        <f>(Master_Table!F77-Master_Table!F76)/Master_Table!F76</f>
        <v>1.8329352861623405E-2</v>
      </c>
      <c r="G77" s="3">
        <f>(Master_Table!G77-Master_Table!G76)/Master_Table!G76</f>
        <v>1.3660770688565978E-2</v>
      </c>
      <c r="H77" s="3">
        <f>(Master_Table!H77-Master_Table!H76)/Master_Table!H76</f>
        <v>-2.0394094329867295E-2</v>
      </c>
    </row>
    <row r="78" spans="1:8" x14ac:dyDescent="0.3">
      <c r="A78" s="1">
        <v>43944</v>
      </c>
      <c r="B78" s="3">
        <f>(Master_Table!B78-Master_Table!B77)/Master_Table!B77</f>
        <v>1.3779891807168631E-2</v>
      </c>
      <c r="C78" s="3">
        <f>(Master_Table!C78-Master_Table!C77)/Master_Table!C77</f>
        <v>5.3492506156532227E-3</v>
      </c>
      <c r="D78" s="3">
        <f>(Master_Table!D78-Master_Table!D77)/Master_Table!D77</f>
        <v>2.8370938140991134E-2</v>
      </c>
      <c r="E78" s="3">
        <f>(Master_Table!E78-Master_Table!E77)/Master_Table!E77</f>
        <v>-9.3278463648833396E-3</v>
      </c>
      <c r="F78" s="3">
        <f>(Master_Table!F78-Master_Table!F77)/Master_Table!F77</f>
        <v>6.1458038994066121E-2</v>
      </c>
      <c r="G78" s="3">
        <f>(Master_Table!G78-Master_Table!G77)/Master_Table!G77</f>
        <v>5.8346965801978547E-2</v>
      </c>
      <c r="H78" s="3">
        <f>(Master_Table!H78-Master_Table!H77)/Master_Table!H77</f>
        <v>-1.4074595355383532E-2</v>
      </c>
    </row>
    <row r="79" spans="1:8" x14ac:dyDescent="0.3">
      <c r="A79" s="1">
        <v>43945</v>
      </c>
      <c r="B79" s="3">
        <f>(Master_Table!B79-Master_Table!B78)/Master_Table!B78</f>
        <v>-1.7124942290554977E-2</v>
      </c>
      <c r="C79" s="3">
        <f>(Master_Table!C79-Master_Table!C78)/Master_Table!C78</f>
        <v>3.362803147051651E-2</v>
      </c>
      <c r="D79" s="3">
        <f>(Master_Table!D79-Master_Table!D78)/Master_Table!D78</f>
        <v>-1.7699300846123173E-2</v>
      </c>
      <c r="E79" s="3">
        <f>(Master_Table!E79-Master_Table!E78)/Master_Table!E78</f>
        <v>-2.7693159789531985E-3</v>
      </c>
      <c r="F79" s="3">
        <f>(Master_Table!F79-Master_Table!F78)/Master_Table!F78</f>
        <v>-3.1784906162651429E-2</v>
      </c>
      <c r="G79" s="3">
        <f>(Master_Table!G79-Master_Table!G78)/Master_Table!G78</f>
        <v>-3.1355807448844336E-2</v>
      </c>
      <c r="H79" s="3">
        <f>(Master_Table!H79-Master_Table!H78)/Master_Table!H78</f>
        <v>1.2610040447299575E-2</v>
      </c>
    </row>
    <row r="80" spans="1:8" x14ac:dyDescent="0.3">
      <c r="A80" s="1">
        <v>43948</v>
      </c>
      <c r="B80" s="3">
        <f>(Master_Table!B80-Master_Table!B79)/Master_Table!B79</f>
        <v>1.3971423577733073E-2</v>
      </c>
      <c r="C80" s="3">
        <f>(Master_Table!C80-Master_Table!C79)/Master_Table!C79</f>
        <v>8.9927493016102485E-3</v>
      </c>
      <c r="D80" s="3">
        <f>(Master_Table!D80-Master_Table!D79)/Master_Table!D79</f>
        <v>-8.8915487539007933E-3</v>
      </c>
      <c r="E80" s="3">
        <f>(Master_Table!E80-Master_Table!E79)/Master_Table!E79</f>
        <v>-1.1108025548459707E-3</v>
      </c>
      <c r="F80" s="3">
        <f>(Master_Table!F80-Master_Table!F79)/Master_Table!F79</f>
        <v>9.9254900882571034E-3</v>
      </c>
      <c r="G80" s="3">
        <f>(Master_Table!G80-Master_Table!G79)/Master_Table!G79</f>
        <v>1.0030395136778151E-2</v>
      </c>
      <c r="H80" s="3">
        <f>(Master_Table!H80-Master_Table!H79)/Master_Table!H79</f>
        <v>4.7579887218044577E-3</v>
      </c>
    </row>
    <row r="81" spans="1:8" x14ac:dyDescent="0.3">
      <c r="A81" s="1">
        <v>43949</v>
      </c>
      <c r="B81" s="3">
        <f>(Master_Table!B81-Master_Table!B80)/Master_Table!B80</f>
        <v>1.0622367301207716E-2</v>
      </c>
      <c r="C81" s="3">
        <f>(Master_Table!C81-Master_Table!C80)/Master_Table!C80</f>
        <v>-1.1199079186821074E-3</v>
      </c>
      <c r="D81" s="3">
        <f>(Master_Table!D81-Master_Table!D80)/Master_Table!D80</f>
        <v>1.8115160664223244E-3</v>
      </c>
      <c r="E81" s="3">
        <f>(Master_Table!E81-Master_Table!E80)/Master_Table!E80</f>
        <v>-2.2240756185710631E-3</v>
      </c>
      <c r="F81" s="3">
        <f>(Master_Table!F81-Master_Table!F80)/Master_Table!F80</f>
        <v>1.2223674180551043E-2</v>
      </c>
      <c r="G81" s="3">
        <f>(Master_Table!G81-Master_Table!G80)/Master_Table!G80</f>
        <v>-5.8681913933192557E-3</v>
      </c>
      <c r="H81" s="3">
        <f>(Master_Table!H81-Master_Table!H80)/Master_Table!H80</f>
        <v>2.221572639579044E-3</v>
      </c>
    </row>
    <row r="82" spans="1:8" x14ac:dyDescent="0.3">
      <c r="A82" s="1">
        <v>43950</v>
      </c>
      <c r="B82" s="3">
        <f>(Master_Table!B82-Master_Table!B81)/Master_Table!B81</f>
        <v>1.8383097570595652E-2</v>
      </c>
      <c r="C82" s="3">
        <f>(Master_Table!C82-Master_Table!C81)/Master_Table!C81</f>
        <v>-8.4087263893875216E-4</v>
      </c>
      <c r="D82" s="3">
        <f>(Master_Table!D82-Master_Table!D81)/Master_Table!D81</f>
        <v>4.9080811124983754E-2</v>
      </c>
      <c r="E82" s="3">
        <f>(Master_Table!E82-Master_Table!E81)/Master_Table!E81</f>
        <v>1.5045973808860504E-2</v>
      </c>
      <c r="F82" s="3">
        <f>(Master_Table!F82-Master_Table!F81)/Master_Table!F81</f>
        <v>2.5066566256959275E-2</v>
      </c>
      <c r="G82" s="3">
        <f>(Master_Table!G82-Master_Table!G81)/Master_Table!G81</f>
        <v>2.3989707885575765E-2</v>
      </c>
      <c r="H82" s="3">
        <f>(Master_Table!H82-Master_Table!H81)/Master_Table!H81</f>
        <v>2.1233156390363467E-2</v>
      </c>
    </row>
    <row r="83" spans="1:8" x14ac:dyDescent="0.3">
      <c r="A83" s="1">
        <v>43951</v>
      </c>
      <c r="B83" s="3">
        <f>(Master_Table!B83-Master_Table!B82)/Master_Table!B82</f>
        <v>3.2088220362490566E-2</v>
      </c>
      <c r="C83" s="3">
        <f>(Master_Table!C83-Master_Table!C82)/Master_Table!C82</f>
        <v>2.7366944595963623E-2</v>
      </c>
      <c r="D83" s="3">
        <f>(Master_Table!D83-Master_Table!D82)/Master_Table!D82</f>
        <v>2.5280091927607114E-2</v>
      </c>
      <c r="E83" s="3">
        <f>(Master_Table!E83-Master_Table!E82)/Master_Table!E82</f>
        <v>-5.4899807850669396E-4</v>
      </c>
      <c r="F83" s="3">
        <f>(Master_Table!F83-Master_Table!F82)/Master_Table!F82</f>
        <v>5.709338021147637E-2</v>
      </c>
      <c r="G83" s="3">
        <f>(Master_Table!G83-Master_Table!G82)/Master_Table!G82</f>
        <v>5.7571502475796392E-2</v>
      </c>
      <c r="H83" s="3">
        <f>(Master_Table!H83-Master_Table!H82)/Master_Table!H82</f>
        <v>2.5361284057805369E-2</v>
      </c>
    </row>
    <row r="84" spans="1:8" x14ac:dyDescent="0.3">
      <c r="A84" s="1">
        <v>43955</v>
      </c>
      <c r="B84" s="3">
        <f>(Master_Table!B84-Master_Table!B83)/Master_Table!B83</f>
        <v>-5.7444801671416509E-2</v>
      </c>
      <c r="C84" s="3">
        <f>(Master_Table!C84-Master_Table!C83)/Master_Table!C83</f>
        <v>-2.1009996814368749E-2</v>
      </c>
      <c r="D84" s="3">
        <f>(Master_Table!D84-Master_Table!D83)/Master_Table!D83</f>
        <v>-7.8673497978625467E-2</v>
      </c>
      <c r="E84" s="3">
        <f>(Master_Table!E84-Master_Table!E83)/Master_Table!E83</f>
        <v>-4.3943971436418566E-2</v>
      </c>
      <c r="F84" s="3">
        <f>(Master_Table!F84-Master_Table!F83)/Master_Table!F83</f>
        <v>-4.1698726699595422E-2</v>
      </c>
      <c r="G84" s="3">
        <f>(Master_Table!G84-Master_Table!G83)/Master_Table!G83</f>
        <v>-5.8420684835779113E-2</v>
      </c>
      <c r="H84" s="3">
        <f>(Master_Table!H84-Master_Table!H83)/Master_Table!H83</f>
        <v>-5.2253356358977196E-2</v>
      </c>
    </row>
    <row r="85" spans="1:8" x14ac:dyDescent="0.3">
      <c r="A85" s="1">
        <v>43956</v>
      </c>
      <c r="B85" s="3">
        <f>(Master_Table!B85-Master_Table!B84)/Master_Table!B84</f>
        <v>-9.4582234895356585E-3</v>
      </c>
      <c r="C85" s="3">
        <f>(Master_Table!C85-Master_Table!C84)/Master_Table!C84</f>
        <v>1.7742035453080344E-2</v>
      </c>
      <c r="D85" s="3">
        <f>(Master_Table!D85-Master_Table!D84)/Master_Table!D84</f>
        <v>-1.2512218963831969E-2</v>
      </c>
      <c r="E85" s="3">
        <f>(Master_Table!E85-Master_Table!E84)/Master_Table!E84</f>
        <v>-8.6182131571390795E-4</v>
      </c>
      <c r="F85" s="3">
        <f>(Master_Table!F85-Master_Table!F84)/Master_Table!F84</f>
        <v>1.1914320495221085E-3</v>
      </c>
      <c r="G85" s="3">
        <f>(Master_Table!G85-Master_Table!G84)/Master_Table!G84</f>
        <v>0</v>
      </c>
      <c r="H85" s="3">
        <f>(Master_Table!H85-Master_Table!H84)/Master_Table!H84</f>
        <v>-1.6164109798389469E-2</v>
      </c>
    </row>
    <row r="86" spans="1:8" x14ac:dyDescent="0.3">
      <c r="A86" s="1">
        <v>43957</v>
      </c>
      <c r="B86" s="3">
        <f>(Master_Table!B86-Master_Table!B85)/Master_Table!B85</f>
        <v>7.0935082992960013E-3</v>
      </c>
      <c r="C86" s="3">
        <f>(Master_Table!C86-Master_Table!C85)/Master_Table!C85</f>
        <v>6.0900412600413074E-5</v>
      </c>
      <c r="D86" s="3">
        <f>(Master_Table!D86-Master_Table!D85)/Master_Table!D85</f>
        <v>3.836424030445016E-2</v>
      </c>
      <c r="E86" s="3">
        <f>(Master_Table!E86-Master_Table!E85)/Master_Table!E85</f>
        <v>-5.7504312823461759E-2</v>
      </c>
      <c r="F86" s="3">
        <f>(Master_Table!F86-Master_Table!F85)/Master_Table!F85</f>
        <v>-1.5082136851636316E-2</v>
      </c>
      <c r="G86" s="3">
        <f>(Master_Table!G86-Master_Table!G85)/Master_Table!G85</f>
        <v>-1.1577853644055319E-2</v>
      </c>
      <c r="H86" s="3">
        <f>(Master_Table!H86-Master_Table!H85)/Master_Table!H85</f>
        <v>4.7795435535903603E-4</v>
      </c>
    </row>
    <row r="87" spans="1:8" x14ac:dyDescent="0.3">
      <c r="A87" s="1">
        <v>43958</v>
      </c>
      <c r="B87" s="3">
        <f>(Master_Table!B87-Master_Table!B86)/Master_Table!B86</f>
        <v>-7.7500566288063047E-3</v>
      </c>
      <c r="C87" s="3">
        <f>(Master_Table!C87-Master_Table!C86)/Master_Table!C86</f>
        <v>3.1635837710283887E-2</v>
      </c>
      <c r="D87" s="3">
        <f>(Master_Table!D87-Master_Table!D86)/Master_Table!D86</f>
        <v>-2.2625680571150036E-2</v>
      </c>
      <c r="E87" s="3">
        <f>(Master_Table!E87-Master_Table!E86)/Master_Table!E86</f>
        <v>-1.7693715680292897E-2</v>
      </c>
      <c r="F87" s="3">
        <f>(Master_Table!F87-Master_Table!F86)/Master_Table!F86</f>
        <v>-6.2775793233871714E-3</v>
      </c>
      <c r="G87" s="3">
        <f>(Master_Table!G87-Master_Table!G86)/Master_Table!G86</f>
        <v>-1.4266406367321397E-3</v>
      </c>
      <c r="H87" s="3">
        <f>(Master_Table!H87-Master_Table!H86)/Master_Table!H86</f>
        <v>-1.7257852621521477E-2</v>
      </c>
    </row>
    <row r="88" spans="1:8" x14ac:dyDescent="0.3">
      <c r="A88" s="1">
        <v>43959</v>
      </c>
      <c r="B88" s="3">
        <f>(Master_Table!B88-Master_Table!B87)/Master_Table!B87</f>
        <v>5.7016757165142852E-3</v>
      </c>
      <c r="C88" s="3">
        <f>(Master_Table!C88-Master_Table!C87)/Master_Table!C87</f>
        <v>3.63915411065035E-2</v>
      </c>
      <c r="D88" s="3">
        <f>(Master_Table!D88-Master_Table!D87)/Master_Table!D87</f>
        <v>4.378454535601998E-3</v>
      </c>
      <c r="E88" s="3">
        <f>(Master_Table!E88-Master_Table!E87)/Master_Table!E87</f>
        <v>-1.7080745341614908E-2</v>
      </c>
      <c r="F88" s="3">
        <f>(Master_Table!F88-Master_Table!F87)/Master_Table!F87</f>
        <v>9.251182829804667E-4</v>
      </c>
      <c r="G88" s="3">
        <f>(Master_Table!G88-Master_Table!G87)/Master_Table!G87</f>
        <v>1.3910820362433265E-2</v>
      </c>
      <c r="H88" s="3">
        <f>(Master_Table!H88-Master_Table!H87)/Master_Table!H87</f>
        <v>-8.3854894573737338E-3</v>
      </c>
    </row>
    <row r="89" spans="1:8" x14ac:dyDescent="0.3">
      <c r="A89" s="1">
        <v>43962</v>
      </c>
      <c r="B89" s="3">
        <f>(Master_Table!B89-Master_Table!B88)/Master_Table!B88</f>
        <v>-1.329514132843244E-3</v>
      </c>
      <c r="C89" s="3">
        <f>(Master_Table!C89-Master_Table!C88)/Master_Table!C88</f>
        <v>9.6114140881971843E-3</v>
      </c>
      <c r="D89" s="3">
        <f>(Master_Table!D89-Master_Table!D88)/Master_Table!D88</f>
        <v>-1.4265058160864997E-2</v>
      </c>
      <c r="E89" s="3">
        <f>(Master_Table!E89-Master_Table!E88)/Master_Table!E88</f>
        <v>1.2638230647708602E-3</v>
      </c>
      <c r="F89" s="3">
        <f>(Master_Table!F89-Master_Table!F88)/Master_Table!F88</f>
        <v>2.2129502482306888E-2</v>
      </c>
      <c r="G89" s="3">
        <f>(Master_Table!G89-Master_Table!G88)/Master_Table!G88</f>
        <v>1.2904182735093342E-2</v>
      </c>
      <c r="H89" s="3">
        <f>(Master_Table!H89-Master_Table!H88)/Master_Table!H88</f>
        <v>6.924443899748731E-3</v>
      </c>
    </row>
    <row r="90" spans="1:8" x14ac:dyDescent="0.3">
      <c r="A90" s="1">
        <v>43963</v>
      </c>
      <c r="B90" s="3">
        <f>(Master_Table!B90-Master_Table!B89)/Master_Table!B89</f>
        <v>-4.6162005368431741E-3</v>
      </c>
      <c r="C90" s="3">
        <f>(Master_Table!C90-Master_Table!C89)/Master_Table!C89</f>
        <v>-6.187239083831661E-2</v>
      </c>
      <c r="D90" s="3">
        <f>(Master_Table!D90-Master_Table!D89)/Master_Table!D89</f>
        <v>-1.554426832472188E-2</v>
      </c>
      <c r="E90" s="3">
        <f>(Master_Table!E90-Master_Table!E89)/Master_Table!E89</f>
        <v>4.1653518460082188E-2</v>
      </c>
      <c r="F90" s="3">
        <f>(Master_Table!F90-Master_Table!F89)/Master_Table!F89</f>
        <v>7.3373637162197315E-3</v>
      </c>
      <c r="G90" s="3">
        <f>(Master_Table!G90-Master_Table!G89)/Master_Table!G89</f>
        <v>6.9556303997657049E-3</v>
      </c>
      <c r="H90" s="3">
        <f>(Master_Table!H90-Master_Table!H89)/Master_Table!H89</f>
        <v>-8.276533592989372E-3</v>
      </c>
    </row>
    <row r="91" spans="1:8" x14ac:dyDescent="0.3">
      <c r="A91" s="1">
        <v>43964</v>
      </c>
      <c r="B91" s="3">
        <f>(Master_Table!B91-Master_Table!B90)/Master_Table!B90</f>
        <v>2.03337120985587E-2</v>
      </c>
      <c r="C91" s="3">
        <f>(Master_Table!C91-Master_Table!C90)/Master_Table!C90</f>
        <v>2.1212622337146915E-2</v>
      </c>
      <c r="D91" s="3">
        <f>(Master_Table!D91-Master_Table!D90)/Master_Table!D90</f>
        <v>2.8932971578525975E-2</v>
      </c>
      <c r="E91" s="3">
        <f>(Master_Table!E91-Master_Table!E90)/Master_Table!E90</f>
        <v>2.1205695243865148E-3</v>
      </c>
      <c r="F91" s="3">
        <f>(Master_Table!F91-Master_Table!F90)/Master_Table!F90</f>
        <v>7.6942805847699899E-5</v>
      </c>
      <c r="G91" s="3">
        <f>(Master_Table!G91-Master_Table!G90)/Master_Table!G90</f>
        <v>9.4524830945975427E-3</v>
      </c>
      <c r="H91" s="3">
        <f>(Master_Table!H91-Master_Table!H90)/Master_Table!H90</f>
        <v>5.9032891507118344E-2</v>
      </c>
    </row>
    <row r="92" spans="1:8" x14ac:dyDescent="0.3">
      <c r="A92" s="1">
        <v>43965</v>
      </c>
      <c r="B92" s="3">
        <f>(Master_Table!B92-Master_Table!B91)/Master_Table!B91</f>
        <v>-2.5661929653489277E-2</v>
      </c>
      <c r="C92" s="3">
        <f>(Master_Table!C92-Master_Table!C91)/Master_Table!C91</f>
        <v>-4.042515604757968E-2</v>
      </c>
      <c r="D92" s="3">
        <f>(Master_Table!D92-Master_Table!D91)/Master_Table!D91</f>
        <v>-3.6591955389370406E-2</v>
      </c>
      <c r="E92" s="3">
        <f>(Master_Table!E92-Master_Table!E91)/Master_Table!E91</f>
        <v>-9.6735187424425283E-3</v>
      </c>
      <c r="F92" s="3">
        <f>(Master_Table!F92-Master_Table!F91)/Master_Table!F91</f>
        <v>-2.4260764752648004E-2</v>
      </c>
      <c r="G92" s="3">
        <f>(Master_Table!G92-Master_Table!G91)/Master_Table!G91</f>
        <v>-5.1861989483541024E-2</v>
      </c>
      <c r="H92" s="3">
        <f>(Master_Table!H92-Master_Table!H91)/Master_Table!H91</f>
        <v>1.0140224823270368E-2</v>
      </c>
    </row>
    <row r="93" spans="1:8" x14ac:dyDescent="0.3">
      <c r="A93" s="1">
        <v>43966</v>
      </c>
      <c r="B93" s="3">
        <f>(Master_Table!B93-Master_Table!B92)/Master_Table!B92</f>
        <v>-6.4532006234444082E-4</v>
      </c>
      <c r="C93" s="3">
        <f>(Master_Table!C93-Master_Table!C92)/Master_Table!C92</f>
        <v>1.6323524899512113E-2</v>
      </c>
      <c r="D93" s="3">
        <f>(Master_Table!D93-Master_Table!D92)/Master_Table!D92</f>
        <v>-6.2143850675281144E-3</v>
      </c>
      <c r="E93" s="3">
        <f>(Master_Table!E93-Master_Table!E92)/Master_Table!E92</f>
        <v>5.1892551892551543E-3</v>
      </c>
      <c r="F93" s="3">
        <f>(Master_Table!F93-Master_Table!F92)/Master_Table!F92</f>
        <v>-4.9675401477119446E-3</v>
      </c>
      <c r="G93" s="3">
        <f>(Master_Table!G93-Master_Table!G92)/Master_Table!G92</f>
        <v>-8.8885512421180927E-3</v>
      </c>
      <c r="H93" s="3">
        <f>(Master_Table!H93-Master_Table!H92)/Master_Table!H92</f>
        <v>-8.3175586531291229E-3</v>
      </c>
    </row>
    <row r="94" spans="1:8" x14ac:dyDescent="0.3">
      <c r="A94" s="1">
        <v>43969</v>
      </c>
      <c r="B94" s="3">
        <f>(Master_Table!B94-Master_Table!B93)/Master_Table!B93</f>
        <v>-3.4322550988579253E-2</v>
      </c>
      <c r="C94" s="3">
        <f>(Master_Table!C94-Master_Table!C93)/Master_Table!C93</f>
        <v>-1.2770582374784947E-2</v>
      </c>
      <c r="D94" s="3">
        <f>(Master_Table!D94-Master_Table!D93)/Master_Table!D93</f>
        <v>-5.7972323182156817E-2</v>
      </c>
      <c r="E94" s="3">
        <f>(Master_Table!E94-Master_Table!E93)/Master_Table!E93</f>
        <v>6.0734892195562899E-4</v>
      </c>
      <c r="F94" s="3">
        <f>(Master_Table!F94-Master_Table!F93)/Master_Table!F93</f>
        <v>2.7840879074435953E-2</v>
      </c>
      <c r="G94" s="3">
        <f>(Master_Table!G94-Master_Table!G93)/Master_Table!G93</f>
        <v>1.7783228575808711E-2</v>
      </c>
      <c r="H94" s="3">
        <f>(Master_Table!H94-Master_Table!H93)/Master_Table!H93</f>
        <v>-5.9058306339657515E-2</v>
      </c>
    </row>
    <row r="95" spans="1:8" x14ac:dyDescent="0.3">
      <c r="A95" s="1">
        <v>43970</v>
      </c>
      <c r="B95" s="3">
        <f>(Master_Table!B95-Master_Table!B94)/Master_Table!B94</f>
        <v>6.3298671124586026E-3</v>
      </c>
      <c r="C95" s="3">
        <f>(Master_Table!C95-Master_Table!C94)/Master_Table!C94</f>
        <v>-2.2110091743119321E-2</v>
      </c>
      <c r="D95" s="3">
        <f>(Master_Table!D95-Master_Table!D94)/Master_Table!D94</f>
        <v>-7.1892448896450903E-3</v>
      </c>
      <c r="E95" s="3">
        <f>(Master_Table!E95-Master_Table!E94)/Master_Table!E94</f>
        <v>3.6418816388467376E-2</v>
      </c>
      <c r="F95" s="3">
        <f>(Master_Table!F95-Master_Table!F94)/Master_Table!F94</f>
        <v>1.5676398026316725E-3</v>
      </c>
      <c r="G95" s="3">
        <f>(Master_Table!G95-Master_Table!G94)/Master_Table!G94</f>
        <v>7.0793794246122093E-3</v>
      </c>
      <c r="H95" s="3">
        <f>(Master_Table!H95-Master_Table!H94)/Master_Table!H94</f>
        <v>-2.0901211040757362E-2</v>
      </c>
    </row>
    <row r="96" spans="1:8" x14ac:dyDescent="0.3">
      <c r="A96" s="1">
        <v>43971</v>
      </c>
      <c r="B96" s="3">
        <f>(Master_Table!B96-Master_Table!B95)/Master_Table!B95</f>
        <v>2.111137390050781E-2</v>
      </c>
      <c r="C96" s="3">
        <f>(Master_Table!C96-Master_Table!C95)/Master_Table!C95</f>
        <v>1.7606404603308614E-2</v>
      </c>
      <c r="D96" s="3">
        <f>(Master_Table!D96-Master_Table!D95)/Master_Table!D95</f>
        <v>3.1861739361316921E-2</v>
      </c>
      <c r="E96" s="3">
        <f>(Master_Table!E96-Master_Table!E95)/Master_Table!E95</f>
        <v>2.9282576866764276E-2</v>
      </c>
      <c r="F96" s="3">
        <f>(Master_Table!F96-Master_Table!F95)/Master_Table!F95</f>
        <v>2.5402201524131157E-3</v>
      </c>
      <c r="G96" s="3">
        <f>(Master_Table!G96-Master_Table!G95)/Master_Table!G95</f>
        <v>1.420879449596069E-3</v>
      </c>
      <c r="H96" s="3">
        <f>(Master_Table!H96-Master_Table!H95)/Master_Table!H95</f>
        <v>4.8533936083380393E-2</v>
      </c>
    </row>
    <row r="97" spans="1:8" x14ac:dyDescent="0.3">
      <c r="A97" s="1">
        <v>43972</v>
      </c>
      <c r="B97" s="3">
        <f>(Master_Table!B97-Master_Table!B96)/Master_Table!B96</f>
        <v>4.3787328145767392E-3</v>
      </c>
      <c r="C97" s="3">
        <f>(Master_Table!C97-Master_Table!C96)/Master_Table!C96</f>
        <v>5.2704363859865768E-3</v>
      </c>
      <c r="D97" s="3">
        <f>(Master_Table!D97-Master_Table!D96)/Master_Table!D96</f>
        <v>2.8538679267350593E-3</v>
      </c>
      <c r="E97" s="3">
        <f>(Master_Table!E97-Master_Table!E96)/Master_Table!E96</f>
        <v>7.5106685633001352E-2</v>
      </c>
      <c r="F97" s="3">
        <f>(Master_Table!F97-Master_Table!F96)/Master_Table!F96</f>
        <v>1.9246519246519319E-2</v>
      </c>
      <c r="G97" s="3">
        <f>(Master_Table!G97-Master_Table!G96)/Master_Table!G96</f>
        <v>3.9578821596596087E-3</v>
      </c>
      <c r="H97" s="3">
        <f>(Master_Table!H97-Master_Table!H96)/Master_Table!H96</f>
        <v>-1.7365269461077845E-2</v>
      </c>
    </row>
    <row r="98" spans="1:8" x14ac:dyDescent="0.3">
      <c r="A98" s="1">
        <v>43973</v>
      </c>
      <c r="B98" s="3">
        <f>(Master_Table!B98-Master_Table!B97)/Master_Table!B97</f>
        <v>-7.3575840768702813E-3</v>
      </c>
      <c r="C98" s="3">
        <f>(Master_Table!C98-Master_Table!C97)/Master_Table!C97</f>
        <v>-6.7407486663711054E-3</v>
      </c>
      <c r="D98" s="3">
        <f>(Master_Table!D98-Master_Table!D97)/Master_Table!D97</f>
        <v>-2.4095542441277283E-2</v>
      </c>
      <c r="E98" s="3">
        <f>(Master_Table!E98-Master_Table!E97)/Master_Table!E97</f>
        <v>-1.3760254035459087E-2</v>
      </c>
      <c r="F98" s="3">
        <f>(Master_Table!F98-Master_Table!F97)/Master_Table!F97</f>
        <v>1.4639413419043724E-2</v>
      </c>
      <c r="G98" s="3">
        <f>(Master_Table!G98-Master_Table!G97)/Master_Table!G97</f>
        <v>2.9976197560249891E-2</v>
      </c>
      <c r="H98" s="3">
        <f>(Master_Table!H98-Master_Table!H97)/Master_Table!H97</f>
        <v>-5.8500914076781898E-3</v>
      </c>
    </row>
    <row r="99" spans="1:8" x14ac:dyDescent="0.3">
      <c r="A99" s="1">
        <v>43977</v>
      </c>
      <c r="B99" s="3">
        <f>(Master_Table!B99-Master_Table!B98)/Master_Table!B98</f>
        <v>-1.1284122023398765E-3</v>
      </c>
      <c r="C99" s="3">
        <f>(Master_Table!C99-Master_Table!C98)/Master_Table!C98</f>
        <v>-5.2322181527193539E-3</v>
      </c>
      <c r="D99" s="3">
        <f>(Master_Table!D99-Master_Table!D98)/Master_Table!D98</f>
        <v>1.6157560112816077E-2</v>
      </c>
      <c r="E99" s="3">
        <f>(Master_Table!E99-Master_Table!E98)/Master_Table!E98</f>
        <v>2.8709417762275258E-2</v>
      </c>
      <c r="F99" s="3">
        <f>(Master_Table!F99-Master_Table!F98)/Master_Table!F98</f>
        <v>-3.8285445591110405E-2</v>
      </c>
      <c r="G99" s="3">
        <f>(Master_Table!G99-Master_Table!G98)/Master_Table!G98</f>
        <v>-1.7043402903156018E-2</v>
      </c>
      <c r="H99" s="3">
        <f>(Master_Table!H99-Master_Table!H98)/Master_Table!H98</f>
        <v>1.2075517960034214E-2</v>
      </c>
    </row>
    <row r="100" spans="1:8" x14ac:dyDescent="0.3">
      <c r="A100" s="1">
        <v>43978</v>
      </c>
      <c r="B100" s="3">
        <f>(Master_Table!B100-Master_Table!B99)/Master_Table!B99</f>
        <v>3.1664460823674856E-2</v>
      </c>
      <c r="C100" s="3">
        <f>(Master_Table!C100-Master_Table!C99)/Master_Table!C99</f>
        <v>1.5098542743108182E-2</v>
      </c>
      <c r="D100" s="3">
        <f>(Master_Table!D100-Master_Table!D99)/Master_Table!D99</f>
        <v>6.0121371783412529E-2</v>
      </c>
      <c r="E100" s="3">
        <f>(Master_Table!E100-Master_Table!E99)/Master_Table!E99</f>
        <v>2.3474178403756758E-3</v>
      </c>
      <c r="F100" s="3">
        <f>(Master_Table!F100-Master_Table!F99)/Master_Table!F99</f>
        <v>3.2063818836850208E-2</v>
      </c>
      <c r="G100" s="3">
        <f>(Master_Table!G100-Master_Table!G99)/Master_Table!G99</f>
        <v>3.6588053780030994E-2</v>
      </c>
      <c r="H100" s="3">
        <f>(Master_Table!H100-Master_Table!H99)/Master_Table!H99</f>
        <v>3.0646235842771569E-2</v>
      </c>
    </row>
    <row r="101" spans="1:8" x14ac:dyDescent="0.3">
      <c r="A101" s="1">
        <v>43979</v>
      </c>
      <c r="B101" s="3">
        <f>(Master_Table!B101-Master_Table!B100)/Master_Table!B100</f>
        <v>1.8803106833638356E-2</v>
      </c>
      <c r="C101" s="3">
        <f>(Master_Table!C101-Master_Table!C100)/Master_Table!C100</f>
        <v>1.8470541619677535E-2</v>
      </c>
      <c r="D101" s="3">
        <f>(Master_Table!D101-Master_Table!D100)/Master_Table!D100</f>
        <v>4.6039494120257381E-2</v>
      </c>
      <c r="E101" s="3">
        <f>(Master_Table!E101-Master_Table!E100)/Master_Table!E100</f>
        <v>-7.8064012490241998E-3</v>
      </c>
      <c r="F101" s="3">
        <f>(Master_Table!F101-Master_Table!F100)/Master_Table!F100</f>
        <v>-4.986785019697801E-4</v>
      </c>
      <c r="G101" s="3">
        <f>(Master_Table!G101-Master_Table!G100)/Master_Table!G100</f>
        <v>2.764193068254209E-3</v>
      </c>
      <c r="H101" s="3">
        <f>(Master_Table!H101-Master_Table!H100)/Master_Table!H100</f>
        <v>6.4229887759299498E-2</v>
      </c>
    </row>
    <row r="102" spans="1:8" x14ac:dyDescent="0.3">
      <c r="A102" s="1">
        <v>43980</v>
      </c>
      <c r="B102" s="3">
        <f>(Master_Table!B102-Master_Table!B101)/Master_Table!B101</f>
        <v>9.5046416792234963E-3</v>
      </c>
      <c r="C102" s="3">
        <f>(Master_Table!C102-Master_Table!C101)/Master_Table!C101</f>
        <v>-5.3419123148285745E-3</v>
      </c>
      <c r="D102" s="3">
        <f>(Master_Table!D102-Master_Table!D101)/Master_Table!D101</f>
        <v>6.7663591048891672E-3</v>
      </c>
      <c r="E102" s="3">
        <f>(Master_Table!E102-Master_Table!E101)/Master_Table!E101</f>
        <v>3.5142932074481978E-2</v>
      </c>
      <c r="F102" s="3">
        <f>(Master_Table!F102-Master_Table!F101)/Master_Table!F101</f>
        <v>-1.5940727436012596E-2</v>
      </c>
      <c r="G102" s="3">
        <f>(Master_Table!G102-Master_Table!G101)/Master_Table!G101</f>
        <v>-2.3183488832343762E-2</v>
      </c>
      <c r="H102" s="3">
        <f>(Master_Table!H102-Master_Table!H101)/Master_Table!H101</f>
        <v>2.9541689674213143E-2</v>
      </c>
    </row>
    <row r="103" spans="1:8" x14ac:dyDescent="0.3">
      <c r="A103" s="1">
        <v>43983</v>
      </c>
      <c r="B103" s="3">
        <f>(Master_Table!B103-Master_Table!B102)/Master_Table!B102</f>
        <v>2.5662035635627318E-2</v>
      </c>
      <c r="C103" s="3">
        <f>(Master_Table!C103-Master_Table!C102)/Master_Table!C102</f>
        <v>3.8211002963609249E-2</v>
      </c>
      <c r="D103" s="3">
        <f>(Master_Table!D103-Master_Table!D102)/Master_Table!D102</f>
        <v>3.783920444968826E-2</v>
      </c>
      <c r="E103" s="3">
        <f>(Master_Table!E103-Master_Table!E102)/Master_Table!E102</f>
        <v>1.6214846719027197E-2</v>
      </c>
      <c r="F103" s="3">
        <f>(Master_Table!F103-Master_Table!F102)/Master_Table!F102</f>
        <v>3.6960985626283416E-2</v>
      </c>
      <c r="G103" s="3">
        <f>(Master_Table!G103-Master_Table!G102)/Master_Table!G102</f>
        <v>1.2373371924746678E-2</v>
      </c>
      <c r="H103" s="3">
        <f>(Master_Table!H103-Master_Table!H102)/Master_Table!H102</f>
        <v>-4.397961920085838E-3</v>
      </c>
    </row>
    <row r="104" spans="1:8" x14ac:dyDescent="0.3">
      <c r="A104" s="1">
        <v>43984</v>
      </c>
      <c r="B104" s="3">
        <f>(Master_Table!B104-Master_Table!B103)/Master_Table!B103</f>
        <v>1.5565608096762286E-2</v>
      </c>
      <c r="C104" s="3">
        <f>(Master_Table!C104-Master_Table!C103)/Master_Table!C103</f>
        <v>1.0099546462260772E-2</v>
      </c>
      <c r="D104" s="3">
        <f>(Master_Table!D104-Master_Table!D103)/Master_Table!D103</f>
        <v>1.3520097442143662E-2</v>
      </c>
      <c r="E104" s="3">
        <f>(Master_Table!E104-Master_Table!E103)/Master_Table!E103</f>
        <v>-1.6454749439042689E-2</v>
      </c>
      <c r="F104" s="3">
        <f>(Master_Table!F104-Master_Table!F103)/Master_Table!F103</f>
        <v>9.2898178706764007E-4</v>
      </c>
      <c r="G104" s="3">
        <f>(Master_Table!G104-Master_Table!G103)/Master_Table!G103</f>
        <v>1.2222142806089728E-2</v>
      </c>
      <c r="H104" s="3">
        <f>(Master_Table!H104-Master_Table!H103)/Master_Table!H103</f>
        <v>1.8639228572967806E-2</v>
      </c>
    </row>
    <row r="105" spans="1:8" x14ac:dyDescent="0.3">
      <c r="A105" s="1">
        <v>43985</v>
      </c>
      <c r="B105" s="3">
        <f>(Master_Table!B105-Master_Table!B104)/Master_Table!B104</f>
        <v>8.2622681404133543E-3</v>
      </c>
      <c r="C105" s="3">
        <f>(Master_Table!C105-Master_Table!C104)/Master_Table!C104</f>
        <v>3.873188925548604E-3</v>
      </c>
      <c r="D105" s="3">
        <f>(Master_Table!D105-Master_Table!D104)/Master_Table!D104</f>
        <v>2.1231422505307903E-2</v>
      </c>
      <c r="E105" s="3">
        <f>(Master_Table!E105-Master_Table!E104)/Master_Table!E104</f>
        <v>-2.7883396704690058E-3</v>
      </c>
      <c r="F105" s="3">
        <f>(Master_Table!F105-Master_Table!F104)/Master_Table!F104</f>
        <v>-4.884839899372298E-4</v>
      </c>
      <c r="G105" s="3">
        <f>(Master_Table!G105-Master_Table!G104)/Master_Table!G104</f>
        <v>-9.2501059172434234E-3</v>
      </c>
      <c r="H105" s="3">
        <f>(Master_Table!H105-Master_Table!H104)/Master_Table!H104</f>
        <v>1.6764503675498341E-2</v>
      </c>
    </row>
    <row r="106" spans="1:8" x14ac:dyDescent="0.3">
      <c r="A106" s="1">
        <v>43986</v>
      </c>
      <c r="B106" s="3">
        <f>(Master_Table!B106-Master_Table!B105)/Master_Table!B105</f>
        <v>-3.2251492066330645E-3</v>
      </c>
      <c r="C106" s="3">
        <f>(Master_Table!C106-Master_Table!C105)/Master_Table!C105</f>
        <v>2.4749928551014648E-2</v>
      </c>
      <c r="D106" s="3">
        <f>(Master_Table!D106-Master_Table!D105)/Master_Table!D105</f>
        <v>-2.0103557839406896E-2</v>
      </c>
      <c r="E106" s="3">
        <f>(Master_Table!E106-Master_Table!E105)/Master_Table!E105</f>
        <v>1.753940010167777E-2</v>
      </c>
      <c r="F106" s="3">
        <f>(Master_Table!F106-Master_Table!F105)/Master_Table!F105</f>
        <v>2.2188011631600855E-2</v>
      </c>
      <c r="G106" s="3">
        <f>(Master_Table!G106-Master_Table!G105)/Master_Table!G105</f>
        <v>8.8375739434110832E-3</v>
      </c>
      <c r="H106" s="3">
        <f>(Master_Table!H106-Master_Table!H105)/Master_Table!H105</f>
        <v>-3.1831894309788736E-2</v>
      </c>
    </row>
    <row r="107" spans="1:8" x14ac:dyDescent="0.3">
      <c r="A107" s="1">
        <v>43987</v>
      </c>
      <c r="B107" s="3">
        <f>(Master_Table!B107-Master_Table!B106)/Master_Table!B106</f>
        <v>1.1272197904098998E-2</v>
      </c>
      <c r="C107" s="3">
        <f>(Master_Table!C107-Master_Table!C106)/Master_Table!C106</f>
        <v>1.1992414100848027E-3</v>
      </c>
      <c r="D107" s="3">
        <f>(Master_Table!D107-Master_Table!D106)/Master_Table!D106</f>
        <v>3.1584636016092495E-2</v>
      </c>
      <c r="E107" s="3">
        <f>(Master_Table!E107-Master_Table!E106)/Master_Table!E106</f>
        <v>-7.4943792155885921E-4</v>
      </c>
      <c r="F107" s="3">
        <f>(Master_Table!F107-Master_Table!F106)/Master_Table!F106</f>
        <v>-2.0702349931868796E-2</v>
      </c>
      <c r="G107" s="3">
        <f>(Master_Table!G107-Master_Table!G106)/Master_Table!G106</f>
        <v>-5.9342988343342217E-3</v>
      </c>
      <c r="H107" s="3">
        <f>(Master_Table!H107-Master_Table!H106)/Master_Table!H106</f>
        <v>2.6377995057483564E-2</v>
      </c>
    </row>
    <row r="108" spans="1:8" x14ac:dyDescent="0.3">
      <c r="A108" s="1">
        <v>43990</v>
      </c>
      <c r="B108" s="3">
        <f>(Master_Table!B108-Master_Table!B107)/Master_Table!B107</f>
        <v>2.4945401123037119E-3</v>
      </c>
      <c r="C108" s="3">
        <f>(Master_Table!C108-Master_Table!C107)/Master_Table!C107</f>
        <v>-7.716092370260959E-3</v>
      </c>
      <c r="D108" s="3">
        <f>(Master_Table!D108-Master_Table!D107)/Master_Table!D107</f>
        <v>-1.688042065232152E-2</v>
      </c>
      <c r="E108" s="3">
        <f>(Master_Table!E108-Master_Table!E107)/Master_Table!E107</f>
        <v>-1.1749999999999972E-2</v>
      </c>
      <c r="F108" s="3">
        <f>(Master_Table!F108-Master_Table!F107)/Master_Table!F107</f>
        <v>1.1473208836811912E-2</v>
      </c>
      <c r="G108" s="3">
        <f>(Master_Table!G108-Master_Table!G107)/Master_Table!G107</f>
        <v>2.4589581408570919E-2</v>
      </c>
      <c r="H108" s="3">
        <f>(Master_Table!H108-Master_Table!H107)/Master_Table!H107</f>
        <v>6.3857628892960193E-3</v>
      </c>
    </row>
    <row r="109" spans="1:8" x14ac:dyDescent="0.3">
      <c r="A109" s="1">
        <v>43991</v>
      </c>
      <c r="B109" s="3">
        <f>(Master_Table!B109-Master_Table!B108)/Master_Table!B108</f>
        <v>-1.1881051787813176E-2</v>
      </c>
      <c r="C109" s="3">
        <f>(Master_Table!C109-Master_Table!C108)/Master_Table!C108</f>
        <v>-2.0605243950367839E-2</v>
      </c>
      <c r="D109" s="3">
        <f>(Master_Table!D109-Master_Table!D108)/Master_Table!D108</f>
        <v>-2.8163176695810026E-2</v>
      </c>
      <c r="E109" s="3">
        <f>(Master_Table!E109-Master_Table!E108)/Master_Table!E108</f>
        <v>4.3005312420945829E-3</v>
      </c>
      <c r="F109" s="3">
        <f>(Master_Table!F109-Master_Table!F108)/Master_Table!F108</f>
        <v>1.4480511644753561E-4</v>
      </c>
      <c r="G109" s="3">
        <f>(Master_Table!G109-Master_Table!G108)/Master_Table!G108</f>
        <v>-4.508566275924256E-3</v>
      </c>
      <c r="H109" s="3">
        <f>(Master_Table!H109-Master_Table!H108)/Master_Table!H108</f>
        <v>-8.3736412336818718E-3</v>
      </c>
    </row>
    <row r="110" spans="1:8" x14ac:dyDescent="0.3">
      <c r="A110" s="1">
        <v>43992</v>
      </c>
      <c r="B110" s="3">
        <f>(Master_Table!B110-Master_Table!B109)/Master_Table!B109</f>
        <v>6.9177287951705298E-3</v>
      </c>
      <c r="C110" s="3">
        <f>(Master_Table!C110-Master_Table!C109)/Master_Table!C109</f>
        <v>2.2772873194221489E-2</v>
      </c>
      <c r="D110" s="3">
        <f>(Master_Table!D110-Master_Table!D109)/Master_Table!D109</f>
        <v>4.609885869785918E-3</v>
      </c>
      <c r="E110" s="3">
        <f>(Master_Table!E110-Master_Table!E109)/Master_Table!E109</f>
        <v>2.770780856423231E-3</v>
      </c>
      <c r="F110" s="3">
        <f>(Master_Table!F110-Master_Table!F109)/Master_Table!F109</f>
        <v>1.7711927800969963E-2</v>
      </c>
      <c r="G110" s="3">
        <f>(Master_Table!G110-Master_Table!G109)/Master_Table!G109</f>
        <v>-2.438684503901895E-3</v>
      </c>
      <c r="H110" s="3">
        <f>(Master_Table!H110-Master_Table!H109)/Master_Table!H109</f>
        <v>-7.0806671561942725E-3</v>
      </c>
    </row>
    <row r="111" spans="1:8" x14ac:dyDescent="0.3">
      <c r="A111" s="1">
        <v>43993</v>
      </c>
      <c r="B111" s="3">
        <f>(Master_Table!B111-Master_Table!B110)/Master_Table!B110</f>
        <v>-2.1169120663493489E-2</v>
      </c>
      <c r="C111" s="3">
        <f>(Master_Table!C111-Master_Table!C110)/Master_Table!C110</f>
        <v>-2.1915504799271332E-2</v>
      </c>
      <c r="D111" s="3">
        <f>(Master_Table!D111-Master_Table!D110)/Master_Table!D110</f>
        <v>-2.3428814004730184E-2</v>
      </c>
      <c r="E111" s="3">
        <f>(Master_Table!E111-Master_Table!E110)/Master_Table!E110</f>
        <v>-2.411454408440096E-2</v>
      </c>
      <c r="F111" s="3">
        <f>(Master_Table!F111-Master_Table!F110)/Master_Table!F110</f>
        <v>-1.9490219324244176E-2</v>
      </c>
      <c r="G111" s="3">
        <f>(Master_Table!G111-Master_Table!G110)/Master_Table!G110</f>
        <v>-1.6623594328420727E-2</v>
      </c>
      <c r="H111" s="3">
        <f>(Master_Table!H111-Master_Table!H110)/Master_Table!H110</f>
        <v>-1.7009138450161016E-2</v>
      </c>
    </row>
    <row r="112" spans="1:8" x14ac:dyDescent="0.3">
      <c r="A112" s="1">
        <v>43994</v>
      </c>
      <c r="B112" s="3">
        <f>(Master_Table!B112-Master_Table!B111)/Master_Table!B111</f>
        <v>7.1601696626943682E-3</v>
      </c>
      <c r="C112" s="3">
        <f>(Master_Table!C112-Master_Table!C111)/Master_Table!C111</f>
        <v>3.3223019727511148E-2</v>
      </c>
      <c r="D112" s="3">
        <f>(Master_Table!D112-Master_Table!D111)/Master_Table!D111</f>
        <v>1.4613951562823435E-2</v>
      </c>
      <c r="E112" s="3">
        <f>(Master_Table!E112-Master_Table!E111)/Master_Table!E111</f>
        <v>-1.8018018018017726E-3</v>
      </c>
      <c r="F112" s="3">
        <f>(Master_Table!F112-Master_Table!F111)/Master_Table!F111</f>
        <v>-1.3614489879815292E-2</v>
      </c>
      <c r="G112" s="3">
        <f>(Master_Table!G112-Master_Table!G111)/Master_Table!G111</f>
        <v>-1.6904609702393766E-2</v>
      </c>
      <c r="H112" s="3">
        <f>(Master_Table!H112-Master_Table!H111)/Master_Table!H111</f>
        <v>-4.3527325487667991E-3</v>
      </c>
    </row>
    <row r="113" spans="1:8" x14ac:dyDescent="0.3">
      <c r="A113" s="1">
        <v>43997</v>
      </c>
      <c r="B113" s="3">
        <f>(Master_Table!B113-Master_Table!B112)/Master_Table!B112</f>
        <v>-1.5963260435780859E-2</v>
      </c>
      <c r="C113" s="3">
        <f>(Master_Table!C113-Master_Table!C112)/Master_Table!C112</f>
        <v>1.6209095951192375E-2</v>
      </c>
      <c r="D113" s="3">
        <f>(Master_Table!D113-Master_Table!D112)/Master_Table!D112</f>
        <v>-3.3478864044393715E-2</v>
      </c>
      <c r="E113" s="3">
        <f>(Master_Table!E113-Master_Table!E112)/Master_Table!E112</f>
        <v>-3.4553893759670017E-2</v>
      </c>
      <c r="F113" s="3">
        <f>(Master_Table!F113-Master_Table!F112)/Master_Table!F112</f>
        <v>-4.7070360382446231E-3</v>
      </c>
      <c r="G113" s="3">
        <f>(Master_Table!G113-Master_Table!G112)/Master_Table!G112</f>
        <v>-6.5024203453507698E-3</v>
      </c>
      <c r="H113" s="3">
        <f>(Master_Table!H113-Master_Table!H112)/Master_Table!H112</f>
        <v>-2.8605354058721937E-2</v>
      </c>
    </row>
    <row r="114" spans="1:8" x14ac:dyDescent="0.3">
      <c r="A114" s="1">
        <v>43998</v>
      </c>
      <c r="B114" s="3">
        <f>(Master_Table!B114-Master_Table!B113)/Master_Table!B113</f>
        <v>1.022040616688907E-2</v>
      </c>
      <c r="C114" s="3">
        <f>(Master_Table!C114-Master_Table!C113)/Master_Table!C113</f>
        <v>1.9511795767442094E-3</v>
      </c>
      <c r="D114" s="3">
        <f>(Master_Table!D114-Master_Table!D113)/Master_Table!D113</f>
        <v>4.2680738786279739E-2</v>
      </c>
      <c r="E114" s="3">
        <f>(Master_Table!E114-Master_Table!E113)/Master_Table!E113</f>
        <v>-1.1752136752136691E-2</v>
      </c>
      <c r="F114" s="3">
        <f>(Master_Table!F114-Master_Table!F113)/Master_Table!F113</f>
        <v>7.8328981723236914E-3</v>
      </c>
      <c r="G114" s="3">
        <f>(Master_Table!G114-Master_Table!G113)/Master_Table!G113</f>
        <v>1.9853101592611579E-2</v>
      </c>
      <c r="H114" s="3">
        <f>(Master_Table!H114-Master_Table!H113)/Master_Table!H113</f>
        <v>-5.3894877208578986E-3</v>
      </c>
    </row>
    <row r="115" spans="1:8" x14ac:dyDescent="0.3">
      <c r="A115" s="1">
        <v>43999</v>
      </c>
      <c r="B115" s="3">
        <f>(Master_Table!B115-Master_Table!B114)/Master_Table!B114</f>
        <v>-3.3134960661690906E-3</v>
      </c>
      <c r="C115" s="3">
        <f>(Master_Table!C115-Master_Table!C114)/Master_Table!C114</f>
        <v>-1.4435123651814726E-3</v>
      </c>
      <c r="D115" s="3">
        <f>(Master_Table!D115-Master_Table!D114)/Master_Table!D114</f>
        <v>-1.125574427596818E-2</v>
      </c>
      <c r="E115" s="3">
        <f>(Master_Table!E115-Master_Table!E114)/Master_Table!E114</f>
        <v>-2.0540540540540601E-2</v>
      </c>
      <c r="F115" s="3">
        <f>(Master_Table!F115-Master_Table!F114)/Master_Table!F114</f>
        <v>9.7761266986020148E-4</v>
      </c>
      <c r="G115" s="3">
        <f>(Master_Table!G115-Master_Table!G114)/Master_Table!G114</f>
        <v>3.4940102681117109E-3</v>
      </c>
      <c r="H115" s="3">
        <f>(Master_Table!H115-Master_Table!H114)/Master_Table!H114</f>
        <v>-1.1451874196972236E-2</v>
      </c>
    </row>
    <row r="116" spans="1:8" x14ac:dyDescent="0.3">
      <c r="A116" s="1">
        <v>44000</v>
      </c>
      <c r="B116" s="3">
        <f>(Master_Table!B116-Master_Table!B115)/Master_Table!B115</f>
        <v>2.1303188394063446E-2</v>
      </c>
      <c r="C116" s="3">
        <f>(Master_Table!C116-Master_Table!C115)/Master_Table!C115</f>
        <v>2.5093418432752337E-2</v>
      </c>
      <c r="D116" s="3">
        <f>(Master_Table!D116-Master_Table!D115)/Master_Table!D115</f>
        <v>4.1563440551995158E-2</v>
      </c>
      <c r="E116" s="3">
        <f>(Master_Table!E116-Master_Table!E115)/Master_Table!E115</f>
        <v>2.9801324503311293E-2</v>
      </c>
      <c r="F116" s="3">
        <f>(Master_Table!F116-Master_Table!F115)/Master_Table!F115</f>
        <v>-4.7367907022170357E-3</v>
      </c>
      <c r="G116" s="3">
        <f>(Master_Table!G116-Master_Table!G115)/Master_Table!G115</f>
        <v>1.4566901158246288E-2</v>
      </c>
      <c r="H116" s="3">
        <f>(Master_Table!H116-Master_Table!H115)/Master_Table!H115</f>
        <v>1.339285714285717E-2</v>
      </c>
    </row>
    <row r="117" spans="1:8" x14ac:dyDescent="0.3">
      <c r="A117" s="1">
        <v>44001</v>
      </c>
      <c r="B117" s="3">
        <f>(Master_Table!B117-Master_Table!B116)/Master_Table!B116</f>
        <v>1.513627603018337E-2</v>
      </c>
      <c r="C117" s="3">
        <f>(Master_Table!C117-Master_Table!C116)/Master_Table!C116</f>
        <v>6.2501662985924508E-2</v>
      </c>
      <c r="D117" s="3">
        <f>(Master_Table!D117-Master_Table!D116)/Master_Table!D116</f>
        <v>1.3131253562933709E-2</v>
      </c>
      <c r="E117" s="3">
        <f>(Master_Table!E117-Master_Table!E116)/Master_Table!E116</f>
        <v>-1.3665594855305375E-2</v>
      </c>
      <c r="F117" s="3">
        <f>(Master_Table!F117-Master_Table!F116)/Master_Table!F116</f>
        <v>3.1892448849418576E-3</v>
      </c>
      <c r="G117" s="3">
        <f>(Master_Table!G117-Master_Table!G116)/Master_Table!G116</f>
        <v>-1.1696316010645781E-2</v>
      </c>
      <c r="H117" s="3">
        <f>(Master_Table!H117-Master_Table!H116)/Master_Table!H116</f>
        <v>1.7286566664808658E-3</v>
      </c>
    </row>
    <row r="118" spans="1:8" x14ac:dyDescent="0.3">
      <c r="A118" s="1">
        <v>44004</v>
      </c>
      <c r="B118" s="3">
        <f>(Master_Table!B118-Master_Table!B117)/Master_Table!B117</f>
        <v>6.5206356643630762E-3</v>
      </c>
      <c r="C118" s="3">
        <f>(Master_Table!C118-Master_Table!C117)/Master_Table!C117</f>
        <v>-7.5252929980967531E-3</v>
      </c>
      <c r="D118" s="3">
        <f>(Master_Table!D118-Master_Table!D117)/Master_Table!D117</f>
        <v>-4.4432371602087031E-3</v>
      </c>
      <c r="E118" s="3">
        <f>(Master_Table!E118-Master_Table!E117)/Master_Table!E117</f>
        <v>5.161640858462312E-3</v>
      </c>
      <c r="F118" s="3">
        <f>(Master_Table!F118-Master_Table!F117)/Master_Table!F117</f>
        <v>-8.1434021324463778E-3</v>
      </c>
      <c r="G118" s="3">
        <f>(Master_Table!G118-Master_Table!G117)/Master_Table!G117</f>
        <v>-2.6220678902982202E-3</v>
      </c>
      <c r="H118" s="3">
        <f>(Master_Table!H118-Master_Table!H117)/Master_Table!H117</f>
        <v>1.029837452683144E-2</v>
      </c>
    </row>
    <row r="119" spans="1:8" x14ac:dyDescent="0.3">
      <c r="A119" s="1">
        <v>44005</v>
      </c>
      <c r="B119" s="3">
        <f>(Master_Table!B119-Master_Table!B118)/Master_Table!B118</f>
        <v>1.5497711226627285E-2</v>
      </c>
      <c r="C119" s="3">
        <f>(Master_Table!C119-Master_Table!C118)/Master_Table!C118</f>
        <v>-1.445819613186485E-2</v>
      </c>
      <c r="D119" s="3">
        <f>(Master_Table!D119-Master_Table!D118)/Master_Table!D118</f>
        <v>1.3174819723250811E-2</v>
      </c>
      <c r="E119" s="3">
        <f>(Master_Table!E119-Master_Table!E118)/Master_Table!E118</f>
        <v>4.5945945945945641E-3</v>
      </c>
      <c r="F119" s="3">
        <f>(Master_Table!F119-Master_Table!F118)/Master_Table!F118</f>
        <v>3.6243497127640763E-3</v>
      </c>
      <c r="G119" s="3">
        <f>(Master_Table!G119-Master_Table!G118)/Master_Table!G118</f>
        <v>2.4086968878783473E-2</v>
      </c>
      <c r="H119" s="3">
        <f>(Master_Table!H119-Master_Table!H118)/Master_Table!H118</f>
        <v>6.6284643782026531E-2</v>
      </c>
    </row>
    <row r="120" spans="1:8" x14ac:dyDescent="0.3">
      <c r="A120" s="1">
        <v>44006</v>
      </c>
      <c r="B120" s="3">
        <f>(Master_Table!B120-Master_Table!B119)/Master_Table!B119</f>
        <v>-1.5824658580842397E-2</v>
      </c>
      <c r="C120" s="3">
        <f>(Master_Table!C120-Master_Table!C119)/Master_Table!C119</f>
        <v>4.032412919083031E-3</v>
      </c>
      <c r="D120" s="3">
        <f>(Master_Table!D120-Master_Table!D119)/Master_Table!D119</f>
        <v>-9.4063786404031593E-3</v>
      </c>
      <c r="E120" s="3">
        <f>(Master_Table!E120-Master_Table!E119)/Master_Table!E119</f>
        <v>3.2284100080710254E-2</v>
      </c>
      <c r="F120" s="3">
        <f>(Master_Table!F120-Master_Table!F119)/Master_Table!F119</f>
        <v>3.3901636122439399E-3</v>
      </c>
      <c r="G120" s="3">
        <f>(Master_Table!G120-Master_Table!G119)/Master_Table!G119</f>
        <v>-9.0196350516894477E-3</v>
      </c>
      <c r="H120" s="3">
        <f>(Master_Table!H120-Master_Table!H119)/Master_Table!H119</f>
        <v>-1.2453493178999657E-2</v>
      </c>
    </row>
    <row r="121" spans="1:8" x14ac:dyDescent="0.3">
      <c r="A121" s="1">
        <v>44007</v>
      </c>
      <c r="B121" s="3">
        <f>(Master_Table!B121-Master_Table!B120)/Master_Table!B120</f>
        <v>-1.5914141267114627E-3</v>
      </c>
      <c r="C121" s="3">
        <f>(Master_Table!C121-Master_Table!C120)/Master_Table!C120</f>
        <v>-5.7502039983681457E-3</v>
      </c>
      <c r="D121" s="3">
        <f>(Master_Table!D121-Master_Table!D120)/Master_Table!D120</f>
        <v>-3.6312794920092518E-3</v>
      </c>
      <c r="E121" s="3">
        <f>(Master_Table!E121-Master_Table!E120)/Master_Table!E120</f>
        <v>5.3427156632786035E-2</v>
      </c>
      <c r="F121" s="3">
        <f>(Master_Table!F121-Master_Table!F120)/Master_Table!F120</f>
        <v>-1.2780334932915549E-2</v>
      </c>
      <c r="G121" s="3">
        <f>(Master_Table!G121-Master_Table!G120)/Master_Table!G120</f>
        <v>-1.911363159000207E-2</v>
      </c>
      <c r="H121" s="3">
        <f>(Master_Table!H121-Master_Table!H120)/Master_Table!H120</f>
        <v>-1.3029145518287827E-2</v>
      </c>
    </row>
    <row r="122" spans="1:8" x14ac:dyDescent="0.3">
      <c r="A122" s="1">
        <v>44008</v>
      </c>
      <c r="B122" s="3">
        <f>(Master_Table!B122-Master_Table!B121)/Master_Table!B121</f>
        <v>9.1457784602824756E-3</v>
      </c>
      <c r="C122" s="3">
        <f>(Master_Table!C122-Master_Table!C121)/Master_Table!C121</f>
        <v>1.3823880175940405E-2</v>
      </c>
      <c r="D122" s="3">
        <f>(Master_Table!D122-Master_Table!D121)/Master_Table!D121</f>
        <v>2.6914831416877696E-2</v>
      </c>
      <c r="E122" s="3">
        <f>(Master_Table!E122-Master_Table!E121)/Master_Table!E121</f>
        <v>-3.4141514101929768E-2</v>
      </c>
      <c r="F122" s="3">
        <f>(Master_Table!F122-Master_Table!F121)/Master_Table!F121</f>
        <v>5.0964733892168053E-2</v>
      </c>
      <c r="G122" s="3">
        <f>(Master_Table!G122-Master_Table!G121)/Master_Table!G121</f>
        <v>6.8094218415417629E-2</v>
      </c>
      <c r="H122" s="3">
        <f>(Master_Table!H122-Master_Table!H121)/Master_Table!H121</f>
        <v>2.0252359240801637E-2</v>
      </c>
    </row>
    <row r="123" spans="1:8" x14ac:dyDescent="0.3">
      <c r="A123" s="1">
        <v>44011</v>
      </c>
      <c r="B123" s="3">
        <f>(Master_Table!B123-Master_Table!B122)/Master_Table!B122</f>
        <v>-6.7995762303766118E-3</v>
      </c>
      <c r="C123" s="3">
        <f>(Master_Table!C123-Master_Table!C122)/Master_Table!C122</f>
        <v>-1.0624976283535053E-2</v>
      </c>
      <c r="D123" s="3">
        <f>(Master_Table!D123-Master_Table!D122)/Master_Table!D122</f>
        <v>1.8561044580668592E-2</v>
      </c>
      <c r="E123" s="3">
        <f>(Master_Table!E123-Master_Table!E122)/Master_Table!E122</f>
        <v>1.0502049180327927E-2</v>
      </c>
      <c r="F123" s="3">
        <f>(Master_Table!F123-Master_Table!F122)/Master_Table!F122</f>
        <v>-8.1176109682138033E-3</v>
      </c>
      <c r="G123" s="3">
        <f>(Master_Table!G123-Master_Table!G122)/Master_Table!G122</f>
        <v>-2.1986099973269238E-2</v>
      </c>
      <c r="H123" s="3">
        <f>(Master_Table!H123-Master_Table!H122)/Master_Table!H122</f>
        <v>-2.660569528164625E-2</v>
      </c>
    </row>
    <row r="124" spans="1:8" x14ac:dyDescent="0.3">
      <c r="A124" s="1">
        <v>44012</v>
      </c>
      <c r="B124" s="3">
        <f>(Master_Table!B124-Master_Table!B123)/Master_Table!B123</f>
        <v>-9.987975640975207E-4</v>
      </c>
      <c r="C124" s="3">
        <f>(Master_Table!C124-Master_Table!C123)/Master_Table!C123</f>
        <v>-1.1058694179163745E-2</v>
      </c>
      <c r="D124" s="3">
        <f>(Master_Table!D124-Master_Table!D123)/Master_Table!D123</f>
        <v>-9.4840596992677925E-3</v>
      </c>
      <c r="E124" s="3">
        <f>(Master_Table!E124-Master_Table!E123)/Master_Table!E123</f>
        <v>-1.3181242078580452E-2</v>
      </c>
      <c r="F124" s="3">
        <f>(Master_Table!F124-Master_Table!F123)/Master_Table!F123</f>
        <v>-9.2784240953536507E-3</v>
      </c>
      <c r="G124" s="3">
        <f>(Master_Table!G124-Master_Table!G123)/Master_Table!G123</f>
        <v>5.7396651861975337E-3</v>
      </c>
      <c r="H124" s="3">
        <f>(Master_Table!H124-Master_Table!H123)/Master_Table!H123</f>
        <v>7.5272261370915592E-3</v>
      </c>
    </row>
    <row r="125" spans="1:8" x14ac:dyDescent="0.3">
      <c r="A125" s="1">
        <v>44013</v>
      </c>
      <c r="B125" s="3">
        <f>(Master_Table!B125-Master_Table!B124)/Master_Table!B124</f>
        <v>1.2419797905281341E-2</v>
      </c>
      <c r="C125" s="3">
        <f>(Master_Table!C125-Master_Table!C124)/Master_Table!C124</f>
        <v>1.9662848721462414E-2</v>
      </c>
      <c r="D125" s="3">
        <f>(Master_Table!D125-Master_Table!D124)/Master_Table!D124</f>
        <v>1.7588412340105386E-2</v>
      </c>
      <c r="E125" s="3">
        <f>(Master_Table!E125-Master_Table!E124)/Master_Table!E124</f>
        <v>4.2383765733367579E-2</v>
      </c>
      <c r="F125" s="3">
        <f>(Master_Table!F125-Master_Table!F124)/Master_Table!F124</f>
        <v>4.7547006699805924E-3</v>
      </c>
      <c r="G125" s="3">
        <f>(Master_Table!G125-Master_Table!G124)/Master_Table!G124</f>
        <v>-5.5030912426116832E-3</v>
      </c>
      <c r="H125" s="3">
        <f>(Master_Table!H125-Master_Table!H124)/Master_Table!H124</f>
        <v>-2.0505484024797353E-2</v>
      </c>
    </row>
    <row r="126" spans="1:8" x14ac:dyDescent="0.3">
      <c r="A126" s="1">
        <v>44014</v>
      </c>
      <c r="B126" s="3">
        <f>(Master_Table!B126-Master_Table!B125)/Master_Table!B125</f>
        <v>1.1663414844607789E-2</v>
      </c>
      <c r="C126" s="3">
        <f>(Master_Table!C126-Master_Table!C125)/Master_Table!C125</f>
        <v>1.3083993660855848E-2</v>
      </c>
      <c r="D126" s="3">
        <f>(Master_Table!D126-Master_Table!D125)/Master_Table!D125</f>
        <v>4.4366392457712862E-3</v>
      </c>
      <c r="E126" s="3">
        <f>(Master_Table!E126-Master_Table!E125)/Master_Table!E125</f>
        <v>1.4539181862986637E-2</v>
      </c>
      <c r="F126" s="3">
        <f>(Master_Table!F126-Master_Table!F125)/Master_Table!F125</f>
        <v>3.1117803111780265E-2</v>
      </c>
      <c r="G126" s="3">
        <f>(Master_Table!G126-Master_Table!G125)/Master_Table!G125</f>
        <v>3.374777975133221E-2</v>
      </c>
      <c r="H126" s="3">
        <f>(Master_Table!H126-Master_Table!H125)/Master_Table!H125</f>
        <v>1.8392296873309531E-2</v>
      </c>
    </row>
    <row r="127" spans="1:8" x14ac:dyDescent="0.3">
      <c r="A127" s="1">
        <v>44015</v>
      </c>
      <c r="B127" s="3">
        <f>(Master_Table!B127-Master_Table!B126)/Master_Table!B126</f>
        <v>5.2740316726214388E-3</v>
      </c>
      <c r="C127" s="3">
        <f>(Master_Table!C127-Master_Table!C126)/Master_Table!C126</f>
        <v>1.565569975096048E-2</v>
      </c>
      <c r="D127" s="3">
        <f>(Master_Table!D127-Master_Table!D126)/Master_Table!D126</f>
        <v>-1.4189748780712315E-2</v>
      </c>
      <c r="E127" s="3">
        <f>(Master_Table!E127-Master_Table!E126)/Master_Table!E126</f>
        <v>8.2584406120962701E-3</v>
      </c>
      <c r="F127" s="3">
        <f>(Master_Table!F127-Master_Table!F126)/Master_Table!F126</f>
        <v>1.9701921516816167E-2</v>
      </c>
      <c r="G127" s="3">
        <f>(Master_Table!G127-Master_Table!G126)/Master_Table!G126</f>
        <v>8.0623843510441752E-3</v>
      </c>
      <c r="H127" s="3">
        <f>(Master_Table!H127-Master_Table!H126)/Master_Table!H126</f>
        <v>3.1339636672687195E-3</v>
      </c>
    </row>
    <row r="128" spans="1:8" x14ac:dyDescent="0.3">
      <c r="A128" s="1">
        <v>44018</v>
      </c>
      <c r="B128" s="3">
        <f>(Master_Table!B128-Master_Table!B127)/Master_Table!B127</f>
        <v>1.4735065779860123E-2</v>
      </c>
      <c r="C128" s="3">
        <f>(Master_Table!C128-Master_Table!C127)/Master_Table!C127</f>
        <v>3.5745089824786205E-2</v>
      </c>
      <c r="D128" s="3">
        <f>(Master_Table!D128-Master_Table!D127)/Master_Table!D127</f>
        <v>2.7051751176163111E-2</v>
      </c>
      <c r="E128" s="3">
        <f>(Master_Table!E128-Master_Table!E127)/Master_Table!E127</f>
        <v>-3.7340399903637675E-2</v>
      </c>
      <c r="F128" s="3">
        <f>(Master_Table!F128-Master_Table!F127)/Master_Table!F127</f>
        <v>2.889095992544256E-2</v>
      </c>
      <c r="G128" s="3">
        <f>(Master_Table!G128-Master_Table!G127)/Master_Table!G127</f>
        <v>1.7044709584370715E-3</v>
      </c>
      <c r="H128" s="3">
        <f>(Master_Table!H128-Master_Table!H127)/Master_Table!H127</f>
        <v>7.3603388933016099E-3</v>
      </c>
    </row>
    <row r="129" spans="1:8" x14ac:dyDescent="0.3">
      <c r="A129" s="1">
        <v>44019</v>
      </c>
      <c r="B129" s="3">
        <f>(Master_Table!B129-Master_Table!B128)/Master_Table!B128</f>
        <v>3.3445903573601893E-3</v>
      </c>
      <c r="C129" s="3">
        <f>(Master_Table!C129-Master_Table!C128)/Master_Table!C128</f>
        <v>-1.5310674645189693E-2</v>
      </c>
      <c r="D129" s="3">
        <f>(Master_Table!D129-Master_Table!D128)/Master_Table!D128</f>
        <v>1.9449948194064132E-3</v>
      </c>
      <c r="E129" s="3">
        <f>(Master_Table!E129-Master_Table!E128)/Master_Table!E128</f>
        <v>-2.7777777777777832E-2</v>
      </c>
      <c r="F129" s="3">
        <f>(Master_Table!F129-Master_Table!F128)/Master_Table!F128</f>
        <v>2.9604100388831182E-3</v>
      </c>
      <c r="G129" s="3">
        <f>(Master_Table!G129-Master_Table!G128)/Master_Table!G128</f>
        <v>3.9463350785340287E-2</v>
      </c>
      <c r="H129" s="3">
        <f>(Master_Table!H129-Master_Table!H128)/Master_Table!H128</f>
        <v>-7.9899074852817723E-3</v>
      </c>
    </row>
    <row r="130" spans="1:8" x14ac:dyDescent="0.3">
      <c r="A130" s="1">
        <v>44020</v>
      </c>
      <c r="B130" s="3">
        <f>(Master_Table!B130-Master_Table!B129)/Master_Table!B129</f>
        <v>-8.6947262179792525E-3</v>
      </c>
      <c r="C130" s="3">
        <f>(Master_Table!C130-Master_Table!C129)/Master_Table!C129</f>
        <v>-1.3953994104286556E-2</v>
      </c>
      <c r="D130" s="3">
        <f>(Master_Table!D130-Master_Table!D129)/Master_Table!D129</f>
        <v>4.7169811320753067E-3</v>
      </c>
      <c r="E130" s="3">
        <f>(Master_Table!E130-Master_Table!E129)/Master_Table!E129</f>
        <v>1.0553410553410612E-2</v>
      </c>
      <c r="F130" s="3">
        <f>(Master_Table!F130-Master_Table!F129)/Master_Table!F129</f>
        <v>-2.246795012996167E-2</v>
      </c>
      <c r="G130" s="3">
        <f>(Master_Table!G130-Master_Table!G129)/Master_Table!G129</f>
        <v>-2.4491594786878967E-2</v>
      </c>
      <c r="H130" s="3">
        <f>(Master_Table!H130-Master_Table!H129)/Master_Table!H129</f>
        <v>-2.4904620601950219E-3</v>
      </c>
    </row>
    <row r="131" spans="1:8" x14ac:dyDescent="0.3">
      <c r="A131" s="1">
        <v>44021</v>
      </c>
      <c r="B131" s="3">
        <f>(Master_Table!B131-Master_Table!B130)/Master_Table!B130</f>
        <v>1.0060014478201035E-2</v>
      </c>
      <c r="C131" s="3">
        <f>(Master_Table!C131-Master_Table!C130)/Master_Table!C130</f>
        <v>1.4592548121102323E-2</v>
      </c>
      <c r="D131" s="3">
        <f>(Master_Table!D131-Master_Table!D130)/Master_Table!D130</f>
        <v>1.3145539906103444E-2</v>
      </c>
      <c r="E131" s="3">
        <f>(Master_Table!E131-Master_Table!E130)/Master_Table!E130</f>
        <v>-4.3301069791137174E-3</v>
      </c>
      <c r="F131" s="3">
        <f>(Master_Table!F131-Master_Table!F130)/Master_Table!F130</f>
        <v>-6.5573031682365952E-3</v>
      </c>
      <c r="G131" s="3">
        <f>(Master_Table!G131-Master_Table!G130)/Master_Table!G130</f>
        <v>9.035755776429585E-3</v>
      </c>
      <c r="H131" s="3">
        <f>(Master_Table!H131-Master_Table!H130)/Master_Table!H130</f>
        <v>3.9309428950863694E-3</v>
      </c>
    </row>
    <row r="132" spans="1:8" x14ac:dyDescent="0.3">
      <c r="A132" s="1">
        <v>44022</v>
      </c>
      <c r="B132" s="3">
        <f>(Master_Table!B132-Master_Table!B131)/Master_Table!B131</f>
        <v>-4.1984750472792171E-3</v>
      </c>
      <c r="C132" s="3">
        <f>(Master_Table!C132-Master_Table!C131)/Master_Table!C131</f>
        <v>2.9489904357066898E-2</v>
      </c>
      <c r="D132" s="3">
        <f>(Master_Table!D132-Master_Table!D131)/Master_Table!D131</f>
        <v>-1.764454266771243E-2</v>
      </c>
      <c r="E132" s="3">
        <f>(Master_Table!E132-Master_Table!E131)/Master_Table!E131</f>
        <v>-5.6280378613455841E-3</v>
      </c>
      <c r="F132" s="3">
        <f>(Master_Table!F132-Master_Table!F131)/Master_Table!F131</f>
        <v>8.165672420441401E-3</v>
      </c>
      <c r="G132" s="3">
        <f>(Master_Table!G132-Master_Table!G131)/Master_Table!G131</f>
        <v>1.9188947166429225E-4</v>
      </c>
      <c r="H132" s="3">
        <f>(Master_Table!H132-Master_Table!H131)/Master_Table!H131</f>
        <v>-1.354569024816135E-2</v>
      </c>
    </row>
    <row r="133" spans="1:8" x14ac:dyDescent="0.3">
      <c r="A133" s="1">
        <v>44025</v>
      </c>
      <c r="B133" s="3">
        <f>(Master_Table!B133-Master_Table!B132)/Master_Table!B132</f>
        <v>3.2178528145765909E-3</v>
      </c>
      <c r="C133" s="3">
        <f>(Master_Table!C133-Master_Table!C132)/Master_Table!C132</f>
        <v>3.0322580645161318E-2</v>
      </c>
      <c r="D133" s="3">
        <f>(Master_Table!D133-Master_Table!D132)/Master_Table!D132</f>
        <v>-2.2497187851518521E-2</v>
      </c>
      <c r="E133" s="3">
        <f>(Master_Table!E133-Master_Table!E132)/Master_Table!E132</f>
        <v>1.6465140210959697E-2</v>
      </c>
      <c r="F133" s="3">
        <f>(Master_Table!F133-Master_Table!F132)/Master_Table!F132</f>
        <v>-1.0574391972461175E-3</v>
      </c>
      <c r="G133" s="3">
        <f>(Master_Table!G133-Master_Table!G132)/Master_Table!G132</f>
        <v>1.9441069258809146E-2</v>
      </c>
      <c r="H133" s="3">
        <f>(Master_Table!H133-Master_Table!H132)/Master_Table!H132</f>
        <v>-4.2911548570509044E-3</v>
      </c>
    </row>
    <row r="134" spans="1:8" x14ac:dyDescent="0.3">
      <c r="A134" s="1">
        <v>44026</v>
      </c>
      <c r="B134" s="3">
        <f>(Master_Table!B134-Master_Table!B133)/Master_Table!B133</f>
        <v>-1.8083442102437387E-2</v>
      </c>
      <c r="C134" s="3">
        <f>(Master_Table!C134-Master_Table!C133)/Master_Table!C133</f>
        <v>-9.3015312802414447E-3</v>
      </c>
      <c r="D134" s="3">
        <f>(Master_Table!D134-Master_Table!D133)/Master_Table!D133</f>
        <v>-1.9804001633319648E-2</v>
      </c>
      <c r="E134" s="3">
        <f>(Master_Table!E134-Master_Table!E133)/Master_Table!E133</f>
        <v>-8.3523158694001794E-3</v>
      </c>
      <c r="F134" s="3">
        <f>(Master_Table!F134-Master_Table!F133)/Master_Table!F133</f>
        <v>-2.1644144144144225E-2</v>
      </c>
      <c r="G134" s="3">
        <f>(Master_Table!G134-Master_Table!G133)/Master_Table!G133</f>
        <v>-1.7313844802709939E-2</v>
      </c>
      <c r="H134" s="3">
        <f>(Master_Table!H134-Master_Table!H133)/Master_Table!H133</f>
        <v>-1.6430533857673867E-2</v>
      </c>
    </row>
    <row r="135" spans="1:8" x14ac:dyDescent="0.3">
      <c r="A135" s="1">
        <v>44027</v>
      </c>
      <c r="B135" s="3">
        <f>(Master_Table!B135-Master_Table!B134)/Master_Table!B134</f>
        <v>1.0228756475463112E-3</v>
      </c>
      <c r="C135" s="3">
        <f>(Master_Table!C135-Master_Table!C134)/Master_Table!C134</f>
        <v>-3.8072582684042379E-2</v>
      </c>
      <c r="D135" s="3">
        <f>(Master_Table!D135-Master_Table!D134)/Master_Table!D134</f>
        <v>-5.3776675313855667E-3</v>
      </c>
      <c r="E135" s="3">
        <f>(Master_Table!E135-Master_Table!E134)/Master_Table!E134</f>
        <v>1.4293006636038708E-2</v>
      </c>
      <c r="F135" s="3">
        <f>(Master_Table!F135-Master_Table!F134)/Master_Table!F134</f>
        <v>2.8522756048712114E-2</v>
      </c>
      <c r="G135" s="3">
        <f>(Master_Table!G135-Master_Table!G134)/Master_Table!G134</f>
        <v>6.09000957548676E-2</v>
      </c>
      <c r="H135" s="3">
        <f>(Master_Table!H135-Master_Table!H134)/Master_Table!H134</f>
        <v>-7.6678716179201642E-4</v>
      </c>
    </row>
    <row r="136" spans="1:8" x14ac:dyDescent="0.3">
      <c r="A136" s="1">
        <v>44028</v>
      </c>
      <c r="B136" s="3">
        <f>(Master_Table!B136-Master_Table!B135)/Master_Table!B135</f>
        <v>1.1466161873010491E-2</v>
      </c>
      <c r="C136" s="3">
        <f>(Master_Table!C136-Master_Table!C135)/Master_Table!C135</f>
        <v>-3.3450809390116805E-4</v>
      </c>
      <c r="D136" s="3">
        <f>(Master_Table!D136-Master_Table!D135)/Master_Table!D135</f>
        <v>8.9287414091801451E-3</v>
      </c>
      <c r="E136" s="3">
        <f>(Master_Table!E136-Master_Table!E135)/Master_Table!E135</f>
        <v>-2.4408656265727201E-2</v>
      </c>
      <c r="F136" s="3">
        <f>(Master_Table!F136-Master_Table!F135)/Master_Table!F135</f>
        <v>3.8050047002995168E-4</v>
      </c>
      <c r="G136" s="3">
        <f>(Master_Table!G136-Master_Table!G135)/Master_Table!G135</f>
        <v>9.6335519586015952E-2</v>
      </c>
      <c r="H136" s="3">
        <f>(Master_Table!H136-Master_Table!H135)/Master_Table!H135</f>
        <v>9.8114448585835679E-3</v>
      </c>
    </row>
    <row r="137" spans="1:8" x14ac:dyDescent="0.3">
      <c r="A137" s="1">
        <v>44029</v>
      </c>
      <c r="B137" s="3">
        <f>(Master_Table!B137-Master_Table!B136)/Master_Table!B136</f>
        <v>1.5060591529755724E-2</v>
      </c>
      <c r="C137" s="3">
        <f>(Master_Table!C137-Master_Table!C136)/Master_Table!C136</f>
        <v>3.7059167991204262E-2</v>
      </c>
      <c r="D137" s="3">
        <f>(Master_Table!D137-Master_Table!D136)/Master_Table!D136</f>
        <v>3.3776134047852624E-2</v>
      </c>
      <c r="E137" s="3">
        <f>(Master_Table!E137-Master_Table!E136)/Master_Table!E136</f>
        <v>1.0317255610008617E-3</v>
      </c>
      <c r="F137" s="3">
        <f>(Master_Table!F137-Master_Table!F136)/Master_Table!F136</f>
        <v>-1.5214229779617406E-2</v>
      </c>
      <c r="G137" s="3">
        <f>(Master_Table!G137-Master_Table!G136)/Master_Table!G136</f>
        <v>-8.6169045005488731E-3</v>
      </c>
      <c r="H137" s="3">
        <f>(Master_Table!H137-Master_Table!H136)/Master_Table!H136</f>
        <v>4.7766378982793001E-3</v>
      </c>
    </row>
    <row r="138" spans="1:8" x14ac:dyDescent="0.3">
      <c r="A138" s="1">
        <v>44032</v>
      </c>
      <c r="B138" s="3">
        <f>(Master_Table!B138-Master_Table!B137)/Master_Table!B137</f>
        <v>1.1053321958960529E-2</v>
      </c>
      <c r="C138" s="3">
        <f>(Master_Table!C138-Master_Table!C137)/Master_Table!C137</f>
        <v>4.2868008020466334E-3</v>
      </c>
      <c r="D138" s="3">
        <f>(Master_Table!D138-Master_Table!D137)/Master_Table!D137</f>
        <v>3.1504398934034228E-2</v>
      </c>
      <c r="E138" s="3">
        <f>(Master_Table!E138-Master_Table!E137)/Master_Table!E137</f>
        <v>-6.956969853130753E-3</v>
      </c>
      <c r="F138" s="3">
        <f>(Master_Table!F138-Master_Table!F137)/Master_Table!F137</f>
        <v>3.248892423037642E-3</v>
      </c>
      <c r="G138" s="3">
        <f>(Master_Table!G138-Master_Table!G137)/Master_Table!G137</f>
        <v>3.4490394729557637E-2</v>
      </c>
      <c r="H138" s="3">
        <f>(Master_Table!H138-Master_Table!H137)/Master_Table!H137</f>
        <v>-6.4286100156662872E-3</v>
      </c>
    </row>
    <row r="139" spans="1:8" x14ac:dyDescent="0.3">
      <c r="A139" s="1">
        <v>44033</v>
      </c>
      <c r="B139" s="3">
        <f>(Master_Table!B139-Master_Table!B138)/Master_Table!B138</f>
        <v>1.2706174810836246E-2</v>
      </c>
      <c r="C139" s="3">
        <f>(Master_Table!C139-Master_Table!C138)/Master_Table!C138</f>
        <v>2.6896156052782623E-2</v>
      </c>
      <c r="D139" s="3">
        <f>(Master_Table!D139-Master_Table!D138)/Master_Table!D138</f>
        <v>4.8485277463193822E-3</v>
      </c>
      <c r="E139" s="3">
        <f>(Master_Table!E139-Master_Table!E138)/Master_Table!E138</f>
        <v>-2.3352361183185712E-3</v>
      </c>
      <c r="F139" s="3">
        <f>(Master_Table!F139-Master_Table!F138)/Master_Table!F138</f>
        <v>7.767561936681956E-3</v>
      </c>
      <c r="G139" s="3">
        <f>(Master_Table!G139-Master_Table!G138)/Master_Table!G138</f>
        <v>2.6222840629348664E-3</v>
      </c>
      <c r="H139" s="3">
        <f>(Master_Table!H139-Master_Table!H138)/Master_Table!H138</f>
        <v>2.0063070900391399E-2</v>
      </c>
    </row>
    <row r="140" spans="1:8" x14ac:dyDescent="0.3">
      <c r="A140" s="1">
        <v>44034</v>
      </c>
      <c r="B140" s="3">
        <f>(Master_Table!B140-Master_Table!B139)/Master_Table!B139</f>
        <v>-2.6562744966292314E-3</v>
      </c>
      <c r="C140" s="3">
        <f>(Master_Table!C140-Master_Table!C139)/Master_Table!C139</f>
        <v>1.6459203968981054E-2</v>
      </c>
      <c r="D140" s="3">
        <f>(Master_Table!D140-Master_Table!D139)/Master_Table!D139</f>
        <v>-1.0706864367978094E-2</v>
      </c>
      <c r="E140" s="3">
        <f>(Master_Table!E140-Master_Table!E139)/Master_Table!E139</f>
        <v>2.236671001300396E-2</v>
      </c>
      <c r="F140" s="3">
        <f>(Master_Table!F140-Master_Table!F139)/Master_Table!F139</f>
        <v>-1.5325498303409074E-2</v>
      </c>
      <c r="G140" s="3">
        <f>(Master_Table!G140-Master_Table!G139)/Master_Table!G139</f>
        <v>-2.0122764878569545E-2</v>
      </c>
      <c r="H140" s="3">
        <f>(Master_Table!H140-Master_Table!H139)/Master_Table!H139</f>
        <v>-1.8282607536911657E-2</v>
      </c>
    </row>
    <row r="141" spans="1:8" x14ac:dyDescent="0.3">
      <c r="A141" s="1">
        <v>44035</v>
      </c>
      <c r="B141" s="3">
        <f>(Master_Table!B141-Master_Table!B140)/Master_Table!B140</f>
        <v>7.4421069651294724E-3</v>
      </c>
      <c r="C141" s="3">
        <f>(Master_Table!C141-Master_Table!C140)/Master_Table!C140</f>
        <v>2.6855892796288836E-2</v>
      </c>
      <c r="D141" s="3">
        <f>(Master_Table!D141-Master_Table!D140)/Master_Table!D140</f>
        <v>3.5957136245505037E-3</v>
      </c>
      <c r="E141" s="3">
        <f>(Master_Table!E141-Master_Table!E140)/Master_Table!E140</f>
        <v>2.1114220300177955E-2</v>
      </c>
      <c r="F141" s="3">
        <f>(Master_Table!F141-Master_Table!F140)/Master_Table!F140</f>
        <v>-9.0143545037540806E-3</v>
      </c>
      <c r="G141" s="3">
        <f>(Master_Table!G141-Master_Table!G140)/Master_Table!G140</f>
        <v>-1.0839960780041324E-2</v>
      </c>
      <c r="H141" s="3">
        <f>(Master_Table!H141-Master_Table!H140)/Master_Table!H140</f>
        <v>-4.7236399174720627E-3</v>
      </c>
    </row>
    <row r="142" spans="1:8" x14ac:dyDescent="0.3">
      <c r="A142" s="1">
        <v>44036</v>
      </c>
      <c r="B142" s="3">
        <f>(Master_Table!B142-Master_Table!B141)/Master_Table!B141</f>
        <v>-1.8991658827778725E-3</v>
      </c>
      <c r="C142" s="3">
        <f>(Master_Table!C142-Master_Table!C141)/Master_Table!C141</f>
        <v>4.2929022588587967E-2</v>
      </c>
      <c r="D142" s="3">
        <f>(Master_Table!D142-Master_Table!D141)/Master_Table!D141</f>
        <v>-1.0003547357218848E-2</v>
      </c>
      <c r="E142" s="3">
        <f>(Master_Table!E142-Master_Table!E141)/Master_Table!E141</f>
        <v>-5.4808171400099375E-3</v>
      </c>
      <c r="F142" s="3">
        <f>(Master_Table!F142-Master_Table!F141)/Master_Table!F141</f>
        <v>-6.3559322033897052E-3</v>
      </c>
      <c r="G142" s="3">
        <f>(Master_Table!G142-Master_Table!G141)/Master_Table!G141</f>
        <v>1.6410595297097832E-2</v>
      </c>
      <c r="H142" s="3">
        <f>(Master_Table!H142-Master_Table!H141)/Master_Table!H141</f>
        <v>-1.3256232611423249E-2</v>
      </c>
    </row>
    <row r="143" spans="1:8" x14ac:dyDescent="0.3">
      <c r="A143" s="1">
        <v>44039</v>
      </c>
      <c r="B143" s="3">
        <f>(Master_Table!B143-Master_Table!B142)/Master_Table!B142</f>
        <v>-5.5698735500239287E-3</v>
      </c>
      <c r="C143" s="3">
        <f>(Master_Table!C143-Master_Table!C142)/Master_Table!C142</f>
        <v>4.6807637035515756E-3</v>
      </c>
      <c r="D143" s="3">
        <f>(Master_Table!D143-Master_Table!D142)/Master_Table!D142</f>
        <v>-3.5384119248960871E-2</v>
      </c>
      <c r="E143" s="3">
        <f>(Master_Table!E143-Master_Table!E142)/Master_Table!E142</f>
        <v>-1.6032064128256456E-2</v>
      </c>
      <c r="F143" s="3">
        <f>(Master_Table!F143-Master_Table!F142)/Master_Table!F142</f>
        <v>2.2897932696764666E-2</v>
      </c>
      <c r="G143" s="3">
        <f>(Master_Table!G143-Master_Table!G142)/Master_Table!G142</f>
        <v>2.7740152787560299E-2</v>
      </c>
      <c r="H143" s="3">
        <f>(Master_Table!H143-Master_Table!H142)/Master_Table!H142</f>
        <v>-6.6342326404248428E-4</v>
      </c>
    </row>
    <row r="144" spans="1:8" x14ac:dyDescent="0.3">
      <c r="A144" s="1">
        <v>44040</v>
      </c>
      <c r="B144" s="3">
        <f>(Master_Table!B144-Master_Table!B143)/Master_Table!B143</f>
        <v>1.5159273432868001E-2</v>
      </c>
      <c r="C144" s="3">
        <f>(Master_Table!C144-Master_Table!C143)/Master_Table!C143</f>
        <v>9.9718010543953482E-3</v>
      </c>
      <c r="D144" s="3">
        <f>(Master_Table!D144-Master_Table!D143)/Master_Table!D143</f>
        <v>6.6306346464591118E-3</v>
      </c>
      <c r="E144" s="3">
        <f>(Master_Table!E144-Master_Table!E143)/Master_Table!E143</f>
        <v>-5.0916496945010185E-3</v>
      </c>
      <c r="F144" s="3">
        <f>(Master_Table!F144-Master_Table!F143)/Master_Table!F143</f>
        <v>4.6651259742613652E-2</v>
      </c>
      <c r="G144" s="3">
        <f>(Master_Table!G144-Master_Table!G143)/Master_Table!G143</f>
        <v>1.5182666455796275E-2</v>
      </c>
      <c r="H144" s="3">
        <f>(Master_Table!H144-Master_Table!H143)/Master_Table!H143</f>
        <v>1.0732462934277546E-2</v>
      </c>
    </row>
    <row r="145" spans="1:8" x14ac:dyDescent="0.3">
      <c r="A145" s="1">
        <v>44041</v>
      </c>
      <c r="B145" s="3">
        <f>(Master_Table!B145-Master_Table!B144)/Master_Table!B144</f>
        <v>-8.6455968957262173E-3</v>
      </c>
      <c r="C145" s="3">
        <f>(Master_Table!C145-Master_Table!C144)/Master_Table!C144</f>
        <v>-3.7217254076801647E-2</v>
      </c>
      <c r="D145" s="3">
        <f>(Master_Table!D145-Master_Table!D144)/Master_Table!D144</f>
        <v>-2.0295951880143177E-2</v>
      </c>
      <c r="E145" s="3">
        <f>(Master_Table!E145-Master_Table!E144)/Master_Table!E144</f>
        <v>6.6530194472875278E-3</v>
      </c>
      <c r="F145" s="3">
        <f>(Master_Table!F145-Master_Table!F144)/Master_Table!F144</f>
        <v>-1.4590323628098201E-2</v>
      </c>
      <c r="G145" s="3">
        <f>(Master_Table!G145-Master_Table!G144)/Master_Table!G144</f>
        <v>-9.0356753388378726E-3</v>
      </c>
      <c r="H145" s="3">
        <f>(Master_Table!H145-Master_Table!H144)/Master_Table!H144</f>
        <v>9.2501368363437832E-3</v>
      </c>
    </row>
    <row r="146" spans="1:8" x14ac:dyDescent="0.3">
      <c r="A146" s="1">
        <v>44042</v>
      </c>
      <c r="B146" s="3">
        <f>(Master_Table!B146-Master_Table!B145)/Master_Table!B145</f>
        <v>-8.9887841040450171E-3</v>
      </c>
      <c r="C146" s="3">
        <f>(Master_Table!C146-Master_Table!C145)/Master_Table!C145</f>
        <v>5.8209786388996494E-3</v>
      </c>
      <c r="D146" s="3">
        <f>(Master_Table!D146-Master_Table!D145)/Master_Table!D145</f>
        <v>-1.3107838336660583E-2</v>
      </c>
      <c r="E146" s="3">
        <f>(Master_Table!E146-Master_Table!E145)/Master_Table!E145</f>
        <v>-1.7031011692933373E-2</v>
      </c>
      <c r="F146" s="3">
        <f>(Master_Table!F146-Master_Table!F145)/Master_Table!F145</f>
        <v>1.5157839239031733E-3</v>
      </c>
      <c r="G146" s="3">
        <f>(Master_Table!G146-Master_Table!G145)/Master_Table!G145</f>
        <v>7.650788660064003E-3</v>
      </c>
      <c r="H146" s="3">
        <f>(Master_Table!H146-Master_Table!H145)/Master_Table!H145</f>
        <v>-1.4859808015619118E-2</v>
      </c>
    </row>
    <row r="147" spans="1:8" x14ac:dyDescent="0.3">
      <c r="A147" s="1">
        <v>44043</v>
      </c>
      <c r="B147" s="3">
        <f>(Master_Table!B147-Master_Table!B146)/Master_Table!B146</f>
        <v>-2.5850848709483218E-3</v>
      </c>
      <c r="C147" s="3">
        <f>(Master_Table!C147-Master_Table!C146)/Master_Table!C146</f>
        <v>-1.9795877861000483E-2</v>
      </c>
      <c r="D147" s="3">
        <f>(Master_Table!D147-Master_Table!D146)/Master_Table!D146</f>
        <v>-1.6984084576924501E-2</v>
      </c>
      <c r="E147" s="3">
        <f>(Master_Table!E147-Master_Table!E146)/Master_Table!E146</f>
        <v>4.1375743470391073E-3</v>
      </c>
      <c r="F147" s="3">
        <f>(Master_Table!F147-Master_Table!F146)/Master_Table!F146</f>
        <v>8.3351612195660927E-4</v>
      </c>
      <c r="G147" s="3">
        <f>(Master_Table!G147-Master_Table!G146)/Master_Table!G146</f>
        <v>4.732435384055286E-3</v>
      </c>
      <c r="H147" s="3">
        <f>(Master_Table!H147-Master_Table!H146)/Master_Table!H146</f>
        <v>5.7252958987063533E-3</v>
      </c>
    </row>
    <row r="148" spans="1:8" x14ac:dyDescent="0.3">
      <c r="A148" s="1">
        <v>44046</v>
      </c>
      <c r="B148" s="3">
        <f>(Master_Table!B148-Master_Table!B147)/Master_Table!B147</f>
        <v>-1.6422162921221513E-2</v>
      </c>
      <c r="C148" s="3">
        <f>(Master_Table!C148-Master_Table!C147)/Master_Table!C147</f>
        <v>-2.8114076221331736E-2</v>
      </c>
      <c r="D148" s="3">
        <f>(Master_Table!D148-Master_Table!D147)/Master_Table!D147</f>
        <v>-2.9818294766268079E-2</v>
      </c>
      <c r="E148" s="3">
        <f>(Master_Table!E148-Master_Table!E147)/Master_Table!E147</f>
        <v>-7.983517898532121E-3</v>
      </c>
      <c r="F148" s="3">
        <f>(Master_Table!F148-Master_Table!F147)/Master_Table!F147</f>
        <v>-1.1944420092925396E-2</v>
      </c>
      <c r="G148" s="3">
        <f>(Master_Table!G148-Master_Table!G147)/Master_Table!G147</f>
        <v>-9.4202898550724869E-3</v>
      </c>
      <c r="H148" s="3">
        <f>(Master_Table!H148-Master_Table!H147)/Master_Table!H147</f>
        <v>2.68213914281015E-3</v>
      </c>
    </row>
    <row r="149" spans="1:8" x14ac:dyDescent="0.3">
      <c r="A149" s="1">
        <v>44047</v>
      </c>
      <c r="B149" s="3">
        <f>(Master_Table!B149-Master_Table!B148)/Master_Table!B148</f>
        <v>1.8697895625986966E-2</v>
      </c>
      <c r="C149" s="3">
        <f>(Master_Table!C149-Master_Table!C148)/Master_Table!C148</f>
        <v>7.0487093449130386E-2</v>
      </c>
      <c r="D149" s="3">
        <f>(Master_Table!D149-Master_Table!D148)/Master_Table!D148</f>
        <v>3.9558988314390871E-2</v>
      </c>
      <c r="E149" s="3">
        <f>(Master_Table!E149-Master_Table!E148)/Master_Table!E148</f>
        <v>5.4517133956386889E-3</v>
      </c>
      <c r="F149" s="3">
        <f>(Master_Table!F149-Master_Table!F148)/Master_Table!F148</f>
        <v>-1.9741365925072746E-3</v>
      </c>
      <c r="G149" s="3">
        <f>(Master_Table!G149-Master_Table!G148)/Master_Table!G148</f>
        <v>-7.3675410178701585E-3</v>
      </c>
      <c r="H149" s="3">
        <f>(Master_Table!H149-Master_Table!H148)/Master_Table!H148</f>
        <v>9.1167157986680025E-3</v>
      </c>
    </row>
    <row r="150" spans="1:8" x14ac:dyDescent="0.3">
      <c r="A150" s="1">
        <v>44048</v>
      </c>
      <c r="B150" s="3">
        <f>(Master_Table!B150-Master_Table!B149)/Master_Table!B149</f>
        <v>5.7682341542548716E-4</v>
      </c>
      <c r="C150" s="3">
        <f>(Master_Table!C150-Master_Table!C149)/Master_Table!C149</f>
        <v>-1.1226977525557801E-2</v>
      </c>
      <c r="D150" s="3">
        <f>(Master_Table!D150-Master_Table!D149)/Master_Table!D149</f>
        <v>-1.3531461128327475E-2</v>
      </c>
      <c r="E150" s="3">
        <f>(Master_Table!E150-Master_Table!E149)/Master_Table!E149</f>
        <v>-4.3893622514846074E-3</v>
      </c>
      <c r="F150" s="3">
        <f>(Master_Table!F150-Master_Table!F149)/Master_Table!F149</f>
        <v>4.3561363737388021E-3</v>
      </c>
      <c r="G150" s="3">
        <f>(Master_Table!G150-Master_Table!G149)/Master_Table!G149</f>
        <v>-5.4219087224298334E-3</v>
      </c>
      <c r="H150" s="3">
        <f>(Master_Table!H150-Master_Table!H149)/Master_Table!H149</f>
        <v>1.6229375169055991E-3</v>
      </c>
    </row>
    <row r="151" spans="1:8" x14ac:dyDescent="0.3">
      <c r="A151" s="1">
        <v>44049</v>
      </c>
      <c r="B151" s="3">
        <f>(Master_Table!B151-Master_Table!B150)/Master_Table!B150</f>
        <v>8.8725549805659526E-3</v>
      </c>
      <c r="C151" s="3">
        <f>(Master_Table!C151-Master_Table!C150)/Master_Table!C150</f>
        <v>3.5948863518637749E-3</v>
      </c>
      <c r="D151" s="3">
        <f>(Master_Table!D151-Master_Table!D150)/Master_Table!D150</f>
        <v>1.2799999999999893E-2</v>
      </c>
      <c r="E151" s="3">
        <f>(Master_Table!E151-Master_Table!E150)/Master_Table!E150</f>
        <v>1.3226141078838086E-2</v>
      </c>
      <c r="F151" s="3">
        <f>(Master_Table!F151-Master_Table!F150)/Master_Table!F150</f>
        <v>2.1509183447665371E-2</v>
      </c>
      <c r="G151" s="3">
        <f>(Master_Table!G151-Master_Table!G150)/Master_Table!G150</f>
        <v>2.7680745210119588E-2</v>
      </c>
      <c r="H151" s="3">
        <f>(Master_Table!H151-Master_Table!H150)/Master_Table!H150</f>
        <v>-3.8887388603834976E-3</v>
      </c>
    </row>
    <row r="152" spans="1:8" x14ac:dyDescent="0.3">
      <c r="A152" s="1">
        <v>44050</v>
      </c>
      <c r="B152" s="3">
        <f>(Master_Table!B152-Master_Table!B151)/Master_Table!B151</f>
        <v>1.2410548073016555E-3</v>
      </c>
      <c r="C152" s="3">
        <f>(Master_Table!C152-Master_Table!C151)/Master_Table!C151</f>
        <v>5.7910872998668496E-3</v>
      </c>
      <c r="D152" s="3">
        <f>(Master_Table!D152-Master_Table!D151)/Master_Table!D151</f>
        <v>3.0246984934305288E-3</v>
      </c>
      <c r="E152" s="3">
        <f>(Master_Table!E152-Master_Table!E151)/Master_Table!E151</f>
        <v>3.5833120040953013E-3</v>
      </c>
      <c r="F152" s="3">
        <f>(Master_Table!F152-Master_Table!F151)/Master_Table!F151</f>
        <v>-5.5240240890775966E-3</v>
      </c>
      <c r="G152" s="3">
        <f>(Master_Table!G152-Master_Table!G151)/Master_Table!G151</f>
        <v>-2.0549003450584587E-2</v>
      </c>
      <c r="H152" s="3">
        <f>(Master_Table!H152-Master_Table!H151)/Master_Table!H151</f>
        <v>-7.0487447812178066E-3</v>
      </c>
    </row>
    <row r="153" spans="1:8" x14ac:dyDescent="0.3">
      <c r="A153" s="1">
        <v>44053</v>
      </c>
      <c r="B153" s="3">
        <f>(Master_Table!B153-Master_Table!B152)/Master_Table!B152</f>
        <v>5.0026529220041256E-3</v>
      </c>
      <c r="C153" s="3">
        <f>(Master_Table!C153-Master_Table!C152)/Master_Table!C152</f>
        <v>-1.2398136174230802E-2</v>
      </c>
      <c r="D153" s="3">
        <f>(Master_Table!D153-Master_Table!D152)/Master_Table!D152</f>
        <v>6.5113420279276765E-3</v>
      </c>
      <c r="E153" s="3">
        <f>(Master_Table!E153-Master_Table!E152)/Master_Table!E152</f>
        <v>1.4282070900280453E-2</v>
      </c>
      <c r="F153" s="3">
        <f>(Master_Table!F153-Master_Table!F152)/Master_Table!F152</f>
        <v>-5.467575750974678E-3</v>
      </c>
      <c r="G153" s="3">
        <f>(Master_Table!G153-Master_Table!G152)/Master_Table!G152</f>
        <v>4.7323588179624092E-4</v>
      </c>
      <c r="H153" s="3">
        <f>(Master_Table!H153-Master_Table!H152)/Master_Table!H152</f>
        <v>4.8490143613826218E-2</v>
      </c>
    </row>
    <row r="154" spans="1:8" x14ac:dyDescent="0.3">
      <c r="A154" s="1">
        <v>44054</v>
      </c>
      <c r="B154" s="3">
        <f>(Master_Table!B154-Master_Table!B153)/Master_Table!B153</f>
        <v>4.6450135978669642E-3</v>
      </c>
      <c r="C154" s="3">
        <f>(Master_Table!C154-Master_Table!C153)/Master_Table!C153</f>
        <v>6.5782636709413684E-3</v>
      </c>
      <c r="D154" s="3">
        <f>(Master_Table!D154-Master_Table!D153)/Master_Table!D153</f>
        <v>1.5228426395939122E-2</v>
      </c>
      <c r="E154" s="3">
        <f>(Master_Table!E154-Master_Table!E153)/Master_Table!E153</f>
        <v>2.1121448327885428E-2</v>
      </c>
      <c r="F154" s="3">
        <f>(Master_Table!F154-Master_Table!F153)/Master_Table!F153</f>
        <v>-1.2703697213948182E-3</v>
      </c>
      <c r="G154" s="3">
        <f>(Master_Table!G154-Master_Table!G153)/Master_Table!G153</f>
        <v>-3.0482997845167155E-3</v>
      </c>
      <c r="H154" s="3">
        <f>(Master_Table!H154-Master_Table!H153)/Master_Table!H153</f>
        <v>1.9269829696370218E-3</v>
      </c>
    </row>
    <row r="155" spans="1:8" x14ac:dyDescent="0.3">
      <c r="A155" s="1">
        <v>44055</v>
      </c>
      <c r="B155" s="3">
        <f>(Master_Table!B155-Master_Table!B154)/Master_Table!B154</f>
        <v>-1.2453080150143841E-3</v>
      </c>
      <c r="C155" s="3">
        <f>(Master_Table!C155-Master_Table!C154)/Master_Table!C154</f>
        <v>-2.9011243147255899E-3</v>
      </c>
      <c r="D155" s="3">
        <f>(Master_Table!D155-Master_Table!D154)/Master_Table!D154</f>
        <v>-2.7631578947368935E-3</v>
      </c>
      <c r="E155" s="3">
        <f>(Master_Table!E155-Master_Table!E154)/Master_Table!E154</f>
        <v>5.6636296478698705E-3</v>
      </c>
      <c r="F155" s="3">
        <f>(Master_Table!F155-Master_Table!F154)/Master_Table!F154</f>
        <v>-9.8907846835388311E-3</v>
      </c>
      <c r="G155" s="3">
        <f>(Master_Table!G155-Master_Table!G154)/Master_Table!G154</f>
        <v>6.8532869418524963E-3</v>
      </c>
      <c r="H155" s="3">
        <f>(Master_Table!H155-Master_Table!H154)/Master_Table!H154</f>
        <v>-1.2631250649755668E-2</v>
      </c>
    </row>
    <row r="156" spans="1:8" x14ac:dyDescent="0.3">
      <c r="A156" s="1">
        <v>44056</v>
      </c>
      <c r="B156" s="3">
        <f>(Master_Table!B156-Master_Table!B155)/Master_Table!B155</f>
        <v>-7.0301722613268973E-4</v>
      </c>
      <c r="C156" s="3">
        <f>(Master_Table!C156-Master_Table!C155)/Master_Table!C155</f>
        <v>-2.6092899003913746E-3</v>
      </c>
      <c r="D156" s="3">
        <f>(Master_Table!D156-Master_Table!D155)/Master_Table!D155</f>
        <v>-4.3729855050608571E-3</v>
      </c>
      <c r="E156" s="3">
        <f>(Master_Table!E156-Master_Table!E155)/Master_Table!E155</f>
        <v>-1.3467189030362391E-2</v>
      </c>
      <c r="F156" s="3">
        <f>(Master_Table!F156-Master_Table!F155)/Master_Table!F155</f>
        <v>-1.2846922276120634E-3</v>
      </c>
      <c r="G156" s="3">
        <f>(Master_Table!G156-Master_Table!G155)/Master_Table!G155</f>
        <v>-3.9269071679145506E-3</v>
      </c>
      <c r="H156" s="3">
        <f>(Master_Table!H156-Master_Table!H155)/Master_Table!H155</f>
        <v>4.3116609634114289E-2</v>
      </c>
    </row>
    <row r="157" spans="1:8" x14ac:dyDescent="0.3">
      <c r="A157" s="1">
        <v>44057</v>
      </c>
      <c r="B157" s="3">
        <f>(Master_Table!B157-Master_Table!B156)/Master_Table!B156</f>
        <v>-1.0800454849143272E-2</v>
      </c>
      <c r="C157" s="3">
        <f>(Master_Table!C157-Master_Table!C156)/Master_Table!C156</f>
        <v>-3.8826485061146617E-3</v>
      </c>
      <c r="D157" s="3">
        <f>(Master_Table!D157-Master_Table!D156)/Master_Table!D156</f>
        <v>-2.3229397398761821E-2</v>
      </c>
      <c r="E157" s="3">
        <f>(Master_Table!E157-Master_Table!E156)/Master_Table!E156</f>
        <v>-2.5068255150161246E-2</v>
      </c>
      <c r="F157" s="3">
        <f>(Master_Table!F157-Master_Table!F156)/Master_Table!F156</f>
        <v>-5.4558761560468084E-3</v>
      </c>
      <c r="G157" s="3">
        <f>(Master_Table!G157-Master_Table!G156)/Master_Table!G156</f>
        <v>2.5231286795626335E-3</v>
      </c>
      <c r="H157" s="3">
        <f>(Master_Table!H157-Master_Table!H156)/Master_Table!H156</f>
        <v>-7.974159685071253E-3</v>
      </c>
    </row>
    <row r="158" spans="1:8" x14ac:dyDescent="0.3">
      <c r="A158" s="1">
        <v>44060</v>
      </c>
      <c r="B158" s="3">
        <f>(Master_Table!B158-Master_Table!B157)/Master_Table!B157</f>
        <v>6.1457811493595442E-3</v>
      </c>
      <c r="C158" s="3">
        <f>(Master_Table!C158-Master_Table!C157)/Master_Table!C157</f>
        <v>-1.0619893279973258E-2</v>
      </c>
      <c r="D158" s="3">
        <f>(Master_Table!D158-Master_Table!D157)/Master_Table!D157</f>
        <v>-1.6474783889600005E-3</v>
      </c>
      <c r="E158" s="3">
        <f>(Master_Table!E158-Master_Table!E157)/Master_Table!E157</f>
        <v>1.1965376782077364E-2</v>
      </c>
      <c r="F158" s="3">
        <f>(Master_Table!F158-Master_Table!F157)/Master_Table!F157</f>
        <v>5.0175055192560707E-3</v>
      </c>
      <c r="G158" s="3">
        <f>(Master_Table!G158-Master_Table!G157)/Master_Table!G157</f>
        <v>4.0897651006711168E-3</v>
      </c>
      <c r="H158" s="3">
        <f>(Master_Table!H158-Master_Table!H157)/Master_Table!H157</f>
        <v>1.8315018315018316E-2</v>
      </c>
    </row>
    <row r="159" spans="1:8" x14ac:dyDescent="0.3">
      <c r="A159" s="1">
        <v>44061</v>
      </c>
      <c r="B159" s="3">
        <f>(Master_Table!B159-Master_Table!B158)/Master_Table!B158</f>
        <v>1.2292057508157659E-2</v>
      </c>
      <c r="C159" s="3">
        <f>(Master_Table!C159-Master_Table!C158)/Master_Table!C158</f>
        <v>1.2998641146914052E-2</v>
      </c>
      <c r="D159" s="3">
        <f>(Master_Table!D159-Master_Table!D158)/Master_Table!D158</f>
        <v>2.300568832631195E-2</v>
      </c>
      <c r="E159" s="3">
        <f>(Master_Table!E159-Master_Table!E158)/Master_Table!E158</f>
        <v>-1.0062893081760433E-3</v>
      </c>
      <c r="F159" s="3">
        <f>(Master_Table!F159-Master_Table!F158)/Master_Table!F158</f>
        <v>7.2557024940090127E-3</v>
      </c>
      <c r="G159" s="3">
        <f>(Master_Table!G159-Master_Table!G158)/Master_Table!G158</f>
        <v>1.049608355091379E-2</v>
      </c>
      <c r="H159" s="3">
        <f>(Master_Table!H159-Master_Table!H158)/Master_Table!H158</f>
        <v>3.7470023980815349E-3</v>
      </c>
    </row>
    <row r="160" spans="1:8" x14ac:dyDescent="0.3">
      <c r="A160" s="1">
        <v>44062</v>
      </c>
      <c r="B160" s="3">
        <f>(Master_Table!B160-Master_Table!B159)/Master_Table!B159</f>
        <v>2.0245315251616572E-3</v>
      </c>
      <c r="C160" s="3">
        <f>(Master_Table!C160-Master_Table!C159)/Master_Table!C159</f>
        <v>6.135160710014965E-3</v>
      </c>
      <c r="D160" s="3">
        <f>(Master_Table!D160-Master_Table!D159)/Master_Table!D159</f>
        <v>9.5646563176072473E-3</v>
      </c>
      <c r="E160" s="3">
        <f>(Master_Table!E160-Master_Table!E159)/Master_Table!E159</f>
        <v>-5.036514731806735E-4</v>
      </c>
      <c r="F160" s="3">
        <f>(Master_Table!F160-Master_Table!F159)/Master_Table!F159</f>
        <v>-5.793589602379157E-3</v>
      </c>
      <c r="G160" s="3">
        <f>(Master_Table!G160-Master_Table!G159)/Master_Table!G159</f>
        <v>-8.5266911270735369E-3</v>
      </c>
      <c r="H160" s="3">
        <f>(Master_Table!H160-Master_Table!H159)/Master_Table!H159</f>
        <v>4.5293912697228298E-3</v>
      </c>
    </row>
    <row r="161" spans="1:8" x14ac:dyDescent="0.3">
      <c r="A161" s="1">
        <v>44063</v>
      </c>
      <c r="B161" s="3">
        <f>(Master_Table!B161-Master_Table!B160)/Master_Table!B160</f>
        <v>-8.4323831562707219E-3</v>
      </c>
      <c r="C161" s="3">
        <f>(Master_Table!C161-Master_Table!C160)/Master_Table!C160</f>
        <v>-1.6184875512882873E-2</v>
      </c>
      <c r="D161" s="3">
        <f>(Master_Table!D161-Master_Table!D160)/Master_Table!D160</f>
        <v>-7.124327982254903E-3</v>
      </c>
      <c r="E161" s="3">
        <f>(Master_Table!E161-Master_Table!E160)/Master_Table!E160</f>
        <v>-1.335348954396562E-2</v>
      </c>
      <c r="F161" s="3">
        <f>(Master_Table!F161-Master_Table!F160)/Master_Table!F160</f>
        <v>-1.6617920765753789E-3</v>
      </c>
      <c r="G161" s="3">
        <f>(Master_Table!G161-Master_Table!G160)/Master_Table!G160</f>
        <v>-4.326071093505658E-3</v>
      </c>
      <c r="H161" s="3">
        <f>(Master_Table!H161-Master_Table!H160)/Master_Table!H160</f>
        <v>-1.3229610544049175E-2</v>
      </c>
    </row>
    <row r="162" spans="1:8" x14ac:dyDescent="0.3">
      <c r="A162" s="1">
        <v>44064</v>
      </c>
      <c r="B162" s="3">
        <f>(Master_Table!B162-Master_Table!B161)/Master_Table!B161</f>
        <v>5.2509679814712997E-3</v>
      </c>
      <c r="C162" s="3">
        <f>(Master_Table!C162-Master_Table!C161)/Master_Table!C161</f>
        <v>-7.248584424998138E-3</v>
      </c>
      <c r="D162" s="3">
        <f>(Master_Table!D162-Master_Table!D161)/Master_Table!D161</f>
        <v>2.5161400253696516E-2</v>
      </c>
      <c r="E162" s="3">
        <f>(Master_Table!E162-Master_Table!E161)/Master_Table!E161</f>
        <v>5.1072522982635342E-3</v>
      </c>
      <c r="F162" s="3">
        <f>(Master_Table!F162-Master_Table!F161)/Master_Table!F161</f>
        <v>-1.8864993230796546E-3</v>
      </c>
      <c r="G162" s="3">
        <f>(Master_Table!G162-Master_Table!G161)/Master_Table!G161</f>
        <v>-6.6481704444328353E-3</v>
      </c>
      <c r="H162" s="3">
        <f>(Master_Table!H162-Master_Table!H161)/Master_Table!H161</f>
        <v>-1.6068290233492571E-3</v>
      </c>
    </row>
    <row r="163" spans="1:8" x14ac:dyDescent="0.3">
      <c r="A163" s="1">
        <v>44067</v>
      </c>
      <c r="B163" s="3">
        <f>(Master_Table!B163-Master_Table!B162)/Master_Table!B162</f>
        <v>8.3409546589750215E-3</v>
      </c>
      <c r="C163" s="3">
        <f>(Master_Table!C163-Master_Table!C162)/Master_Table!C162</f>
        <v>6.677178019280282E-3</v>
      </c>
      <c r="D163" s="3">
        <f>(Master_Table!D163-Master_Table!D162)/Master_Table!D162</f>
        <v>2.8920735761246891E-2</v>
      </c>
      <c r="E163" s="3">
        <f>(Master_Table!E163-Master_Table!E162)/Master_Table!E162</f>
        <v>-5.0813008130092853E-4</v>
      </c>
      <c r="F163" s="3">
        <f>(Master_Table!F163-Master_Table!F162)/Master_Table!F162</f>
        <v>-2.2236057991639242E-4</v>
      </c>
      <c r="G163" s="3">
        <f>(Master_Table!G163-Master_Table!G162)/Master_Table!G162</f>
        <v>-1.4755480607082391E-3</v>
      </c>
      <c r="H163" s="3">
        <f>(Master_Table!H163-Master_Table!H162)/Master_Table!H162</f>
        <v>-2.8164763868631037E-3</v>
      </c>
    </row>
    <row r="164" spans="1:8" x14ac:dyDescent="0.3">
      <c r="A164" s="1">
        <v>44068</v>
      </c>
      <c r="B164" s="3">
        <f>(Master_Table!B164-Master_Table!B163)/Master_Table!B163</f>
        <v>5.0582351120000276E-4</v>
      </c>
      <c r="C164" s="3">
        <f>(Master_Table!C164-Master_Table!C163)/Master_Table!C163</f>
        <v>-6.5067485178489405E-3</v>
      </c>
      <c r="D164" s="3">
        <f>(Master_Table!D164-Master_Table!D163)/Master_Table!D163</f>
        <v>2.3692429191945474E-3</v>
      </c>
      <c r="E164" s="3">
        <f>(Master_Table!E164-Master_Table!E163)/Master_Table!E163</f>
        <v>-6.6090493136755617E-3</v>
      </c>
      <c r="F164" s="3">
        <f>(Master_Table!F164-Master_Table!F163)/Master_Table!F163</f>
        <v>-2.4242693830344819E-3</v>
      </c>
      <c r="G164" s="3">
        <f>(Master_Table!G164-Master_Table!G163)/Master_Table!G163</f>
        <v>-9.8163394553514409E-3</v>
      </c>
      <c r="H164" s="3">
        <f>(Master_Table!H164-Master_Table!H163)/Master_Table!H163</f>
        <v>-1.1045543955212634E-2</v>
      </c>
    </row>
    <row r="165" spans="1:8" x14ac:dyDescent="0.3">
      <c r="A165" s="1">
        <v>44069</v>
      </c>
      <c r="B165" s="3">
        <f>(Master_Table!B165-Master_Table!B164)/Master_Table!B164</f>
        <v>6.7423565560374259E-3</v>
      </c>
      <c r="C165" s="3">
        <f>(Master_Table!C165-Master_Table!C164)/Master_Table!C164</f>
        <v>2.6504290415075127E-2</v>
      </c>
      <c r="D165" s="3">
        <f>(Master_Table!D165-Master_Table!D164)/Master_Table!D164</f>
        <v>-1.1101958958564704E-3</v>
      </c>
      <c r="E165" s="3">
        <f>(Master_Table!E165-Master_Table!E164)/Master_Table!E164</f>
        <v>-2.3029682702150308E-3</v>
      </c>
      <c r="F165" s="3">
        <f>(Master_Table!F165-Master_Table!F164)/Master_Table!F164</f>
        <v>4.8380264419324946E-3</v>
      </c>
      <c r="G165" s="3">
        <f>(Master_Table!G165-Master_Table!G164)/Master_Table!G164</f>
        <v>1.3538002345165688E-2</v>
      </c>
      <c r="H165" s="3">
        <f>(Master_Table!H165-Master_Table!H164)/Master_Table!H164</f>
        <v>-1.167890656874738E-2</v>
      </c>
    </row>
    <row r="166" spans="1:8" x14ac:dyDescent="0.3">
      <c r="A166" s="1">
        <v>44070</v>
      </c>
      <c r="B166" s="3">
        <f>(Master_Table!B166-Master_Table!B165)/Master_Table!B165</f>
        <v>8.3552677148989016E-4</v>
      </c>
      <c r="C166" s="3">
        <f>(Master_Table!C166-Master_Table!C165)/Master_Table!C165</f>
        <v>-1.2492527159908475E-2</v>
      </c>
      <c r="D166" s="3">
        <f>(Master_Table!D166-Master_Table!D165)/Master_Table!D165</f>
        <v>-5.6826330130504673E-3</v>
      </c>
      <c r="E166" s="3">
        <f>(Master_Table!E166-Master_Table!E165)/Master_Table!E165</f>
        <v>-3.5906642728904268E-3</v>
      </c>
      <c r="F166" s="3">
        <f>(Master_Table!F166-Master_Table!F165)/Master_Table!F165</f>
        <v>-2.263146216995744E-3</v>
      </c>
      <c r="G166" s="3">
        <f>(Master_Table!G166-Master_Table!G165)/Master_Table!G165</f>
        <v>-3.9440471182162389E-3</v>
      </c>
      <c r="H166" s="3">
        <f>(Master_Table!H166-Master_Table!H165)/Master_Table!H165</f>
        <v>6.8630992311264532E-3</v>
      </c>
    </row>
    <row r="167" spans="1:8" x14ac:dyDescent="0.3">
      <c r="A167" s="1">
        <v>44071</v>
      </c>
      <c r="B167" s="3">
        <f>(Master_Table!B167-Master_Table!B166)/Master_Table!B166</f>
        <v>7.6432294482773853E-3</v>
      </c>
      <c r="C167" s="3">
        <f>(Master_Table!C167-Master_Table!C166)/Master_Table!C166</f>
        <v>2.6303154290963984E-3</v>
      </c>
      <c r="D167" s="3">
        <f>(Master_Table!D167-Master_Table!D166)/Master_Table!D166</f>
        <v>2.1634485369680092E-3</v>
      </c>
      <c r="E167" s="3">
        <f>(Master_Table!E167-Master_Table!E166)/Master_Table!E166</f>
        <v>6.6924066924067506E-3</v>
      </c>
      <c r="F167" s="3">
        <f>(Master_Table!F167-Master_Table!F166)/Master_Table!F166</f>
        <v>-4.3808930795231757E-3</v>
      </c>
      <c r="G167" s="3">
        <f>(Master_Table!G167-Master_Table!G166)/Master_Table!G166</f>
        <v>-1.2459743413758466E-2</v>
      </c>
      <c r="H167" s="3">
        <f>(Master_Table!H167-Master_Table!H166)/Master_Table!H166</f>
        <v>6.4063140631406314E-3</v>
      </c>
    </row>
    <row r="168" spans="1:8" x14ac:dyDescent="0.3">
      <c r="A168" s="1">
        <v>44074</v>
      </c>
      <c r="B168" s="3">
        <f>(Master_Table!B168-Master_Table!B167)/Master_Table!B167</f>
        <v>-2.233078058999282E-2</v>
      </c>
      <c r="C168" s="3">
        <f>(Master_Table!C168-Master_Table!C167)/Master_Table!C167</f>
        <v>-1.6750296695746351E-2</v>
      </c>
      <c r="D168" s="3">
        <f>(Master_Table!D168-Master_Table!D167)/Master_Table!D167</f>
        <v>1.2053177901307124E-3</v>
      </c>
      <c r="E168" s="3">
        <f>(Master_Table!E168-Master_Table!E167)/Master_Table!E167</f>
        <v>-2.275632830478147E-2</v>
      </c>
      <c r="F168" s="3">
        <f>(Master_Table!F168-Master_Table!F167)/Master_Table!F167</f>
        <v>8.3536217640882791E-3</v>
      </c>
      <c r="G168" s="3">
        <f>(Master_Table!G168-Master_Table!G167)/Master_Table!G167</f>
        <v>-7.1103982892274549E-3</v>
      </c>
      <c r="H168" s="3">
        <f>(Master_Table!H168-Master_Table!H167)/Master_Table!H167</f>
        <v>-3.7582115394408491E-2</v>
      </c>
    </row>
    <row r="169" spans="1:8" x14ac:dyDescent="0.3">
      <c r="A169" s="1">
        <v>44075</v>
      </c>
      <c r="B169" s="3">
        <f>(Master_Table!B169-Master_Table!B168)/Master_Table!B168</f>
        <v>7.2667398463227223E-3</v>
      </c>
      <c r="C169" s="3">
        <f>(Master_Table!C169-Master_Table!C168)/Master_Table!C168</f>
        <v>3.1445542038560782E-3</v>
      </c>
      <c r="D169" s="3">
        <f>(Master_Table!D169-Master_Table!D168)/Master_Table!D168</f>
        <v>1.0259819599669451E-2</v>
      </c>
      <c r="E169" s="3">
        <f>(Master_Table!E169-Master_Table!E168)/Master_Table!E168</f>
        <v>-4.7095761381475967E-3</v>
      </c>
      <c r="F169" s="3">
        <f>(Master_Table!F169-Master_Table!F168)/Master_Table!F168</f>
        <v>-4.82888470484E-3</v>
      </c>
      <c r="G169" s="3">
        <f>(Master_Table!G169-Master_Table!G168)/Master_Table!G168</f>
        <v>-1.5561059659702827E-2</v>
      </c>
      <c r="H169" s="3">
        <f>(Master_Table!H169-Master_Table!H168)/Master_Table!H168</f>
        <v>1.0847134769035397E-2</v>
      </c>
    </row>
    <row r="170" spans="1:8" x14ac:dyDescent="0.3">
      <c r="A170" s="1">
        <v>44076</v>
      </c>
      <c r="B170" s="3">
        <f>(Master_Table!B170-Master_Table!B169)/Master_Table!B169</f>
        <v>5.6450382511279177E-3</v>
      </c>
      <c r="C170" s="3">
        <f>(Master_Table!C170-Master_Table!C169)/Master_Table!C169</f>
        <v>1.9620881092605406E-2</v>
      </c>
      <c r="D170" s="3">
        <f>(Master_Table!D170-Master_Table!D169)/Master_Table!D169</f>
        <v>6.0827034237438135E-3</v>
      </c>
      <c r="E170" s="3">
        <f>(Master_Table!E170-Master_Table!E169)/Master_Table!E169</f>
        <v>6.0462670872765811E-3</v>
      </c>
      <c r="F170" s="3">
        <f>(Master_Table!F170-Master_Table!F169)/Master_Table!F169</f>
        <v>8.3691321477063606E-3</v>
      </c>
      <c r="G170" s="3">
        <f>(Master_Table!G170-Master_Table!G169)/Master_Table!G169</f>
        <v>1.077503691954277E-2</v>
      </c>
      <c r="H170" s="3">
        <f>(Master_Table!H170-Master_Table!H169)/Master_Table!H169</f>
        <v>3.6641541038516442E-4</v>
      </c>
    </row>
    <row r="171" spans="1:8" x14ac:dyDescent="0.3">
      <c r="A171" s="1">
        <v>44077</v>
      </c>
      <c r="B171" s="3">
        <f>(Master_Table!B171-Master_Table!B170)/Master_Table!B170</f>
        <v>-6.5452969224094257E-4</v>
      </c>
      <c r="C171" s="3">
        <f>(Master_Table!C171-Master_Table!C170)/Master_Table!C170</f>
        <v>-7.5668961233890022E-3</v>
      </c>
      <c r="D171" s="3">
        <f>(Master_Table!D171-Master_Table!D170)/Master_Table!D170</f>
        <v>-2.8638605547404044E-3</v>
      </c>
      <c r="E171" s="3">
        <f>(Master_Table!E171-Master_Table!E170)/Master_Table!E170</f>
        <v>1.3065064018813694E-3</v>
      </c>
      <c r="F171" s="3">
        <f>(Master_Table!F171-Master_Table!F170)/Master_Table!F170</f>
        <v>1.5164558638500721E-2</v>
      </c>
      <c r="G171" s="3">
        <f>(Master_Table!G171-Master_Table!G170)/Master_Table!G170</f>
        <v>1.249999999999995E-2</v>
      </c>
      <c r="H171" s="3">
        <f>(Master_Table!H171-Master_Table!H170)/Master_Table!H170</f>
        <v>5.8604991889487966E-3</v>
      </c>
    </row>
    <row r="172" spans="1:8" x14ac:dyDescent="0.3">
      <c r="A172" s="1">
        <v>44078</v>
      </c>
      <c r="B172" s="3">
        <f>(Master_Table!B172-Master_Table!B171)/Master_Table!B171</f>
        <v>-1.679469440335897E-2</v>
      </c>
      <c r="C172" s="3">
        <f>(Master_Table!C172-Master_Table!C171)/Master_Table!C171</f>
        <v>-1.6490393641654732E-2</v>
      </c>
      <c r="D172" s="3">
        <f>(Master_Table!D172-Master_Table!D171)/Master_Table!D171</f>
        <v>-1.0265047424873618E-2</v>
      </c>
      <c r="E172" s="3">
        <f>(Master_Table!E172-Master_Table!E171)/Master_Table!E171</f>
        <v>-2.5574112734864332E-2</v>
      </c>
      <c r="F172" s="3">
        <f>(Master_Table!F172-Master_Table!F171)/Master_Table!F171</f>
        <v>-4.653185475103204E-3</v>
      </c>
      <c r="G172" s="3">
        <f>(Master_Table!G172-Master_Table!G171)/Master_Table!G171</f>
        <v>-1.7529795307573062E-2</v>
      </c>
      <c r="H172" s="3">
        <f>(Master_Table!H172-Master_Table!H171)/Master_Table!H171</f>
        <v>-1.9403839151016986E-2</v>
      </c>
    </row>
    <row r="173" spans="1:8" x14ac:dyDescent="0.3">
      <c r="A173" s="1">
        <v>44081</v>
      </c>
      <c r="B173" s="3">
        <f>(Master_Table!B173-Master_Table!B172)/Master_Table!B172</f>
        <v>1.8705029623648547E-3</v>
      </c>
      <c r="C173" s="3">
        <f>(Master_Table!C173-Master_Table!C172)/Master_Table!C172</f>
        <v>2.598284071988425E-3</v>
      </c>
      <c r="D173" s="3">
        <f>(Master_Table!D173-Master_Table!D172)/Master_Table!D172</f>
        <v>-7.8637194138931436E-3</v>
      </c>
      <c r="E173" s="3">
        <f>(Master_Table!E173-Master_Table!E172)/Master_Table!E172</f>
        <v>1.2854847348687765E-2</v>
      </c>
      <c r="F173" s="3">
        <f>(Master_Table!F173-Master_Table!F172)/Master_Table!F172</f>
        <v>1.6711814051031108E-2</v>
      </c>
      <c r="G173" s="3">
        <f>(Master_Table!G173-Master_Table!G172)/Master_Table!G172</f>
        <v>6.4189740521133415E-3</v>
      </c>
      <c r="H173" s="3">
        <f>(Master_Table!H173-Master_Table!H172)/Master_Table!H172</f>
        <v>-1.098143236074273E-2</v>
      </c>
    </row>
    <row r="174" spans="1:8" x14ac:dyDescent="0.3">
      <c r="A174" s="1">
        <v>44082</v>
      </c>
      <c r="B174" s="3">
        <f>(Master_Table!B174-Master_Table!B173)/Master_Table!B173</f>
        <v>-3.3201086741140649E-3</v>
      </c>
      <c r="C174" s="3">
        <f>(Master_Table!C174-Master_Table!C173)/Master_Table!C173</f>
        <v>1.1730732615456253E-2</v>
      </c>
      <c r="D174" s="3">
        <f>(Master_Table!D174-Master_Table!D173)/Master_Table!D173</f>
        <v>1.7513134851138846E-3</v>
      </c>
      <c r="E174" s="3">
        <f>(Master_Table!E174-Master_Table!E173)/Master_Table!E173</f>
        <v>-5.023796932839707E-3</v>
      </c>
      <c r="F174" s="3">
        <f>(Master_Table!F174-Master_Table!F173)/Master_Table!F173</f>
        <v>9.0887604477770719E-3</v>
      </c>
      <c r="G174" s="3">
        <f>(Master_Table!G174-Master_Table!G173)/Master_Table!G173</f>
        <v>1.5404572725798607E-2</v>
      </c>
      <c r="H174" s="3">
        <f>(Master_Table!H174-Master_Table!H173)/Master_Table!H173</f>
        <v>-1.6574585635359042E-2</v>
      </c>
    </row>
    <row r="175" spans="1:8" x14ac:dyDescent="0.3">
      <c r="A175" s="1">
        <v>44083</v>
      </c>
      <c r="B175" s="3">
        <f>(Master_Table!B175-Master_Table!B174)/Master_Table!B174</f>
        <v>-3.4769623630974003E-3</v>
      </c>
      <c r="C175" s="3">
        <f>(Master_Table!C175-Master_Table!C174)/Master_Table!C174</f>
        <v>2.575093834621054E-2</v>
      </c>
      <c r="D175" s="3">
        <f>(Master_Table!D175-Master_Table!D174)/Master_Table!D174</f>
        <v>-1.4328455050104615E-2</v>
      </c>
      <c r="E175" s="3">
        <f>(Master_Table!E175-Master_Table!E174)/Master_Table!E174</f>
        <v>-2.3119851182567069E-2</v>
      </c>
      <c r="F175" s="3">
        <f>(Master_Table!F175-Master_Table!F174)/Master_Table!F174</f>
        <v>-8.7513840388381437E-3</v>
      </c>
      <c r="G175" s="3">
        <f>(Master_Table!G175-Master_Table!G174)/Master_Table!G174</f>
        <v>-1.2296390929415474E-2</v>
      </c>
      <c r="H175" s="3">
        <f>(Master_Table!H175-Master_Table!H174)/Master_Table!H174</f>
        <v>-7.8542598450965905E-3</v>
      </c>
    </row>
    <row r="176" spans="1:8" x14ac:dyDescent="0.3">
      <c r="A176" s="1">
        <v>44084</v>
      </c>
      <c r="B176" s="3">
        <f>(Master_Table!B176-Master_Table!B175)/Master_Table!B175</f>
        <v>1.5184429863450966E-2</v>
      </c>
      <c r="C176" s="3">
        <f>(Master_Table!C176-Master_Table!C175)/Master_Table!C175</f>
        <v>7.0624808887982948E-2</v>
      </c>
      <c r="D176" s="3">
        <f>(Master_Table!D176-Master_Table!D175)/Master_Table!D175</f>
        <v>-5.4307081862897972E-3</v>
      </c>
      <c r="E176" s="3">
        <f>(Master_Table!E176-Master_Table!E175)/Master_Table!E175</f>
        <v>5.9847660500543754E-3</v>
      </c>
      <c r="F176" s="3">
        <f>(Master_Table!F176-Master_Table!F175)/Master_Table!F175</f>
        <v>1.5036624922131763E-3</v>
      </c>
      <c r="G176" s="3">
        <f>(Master_Table!G176-Master_Table!G175)/Master_Table!G175</f>
        <v>1.3257881972514098E-2</v>
      </c>
      <c r="H176" s="3">
        <f>(Master_Table!H176-Master_Table!H175)/Master_Table!H175</f>
        <v>1.2589334799340346E-2</v>
      </c>
    </row>
    <row r="177" spans="1:8" x14ac:dyDescent="0.3">
      <c r="A177" s="1">
        <v>44085</v>
      </c>
      <c r="B177" s="3">
        <f>(Master_Table!B177-Master_Table!B176)/Master_Table!B176</f>
        <v>1.3275978775902986E-3</v>
      </c>
      <c r="C177" s="3">
        <f>(Master_Table!C177-Master_Table!C176)/Master_Table!C176</f>
        <v>2.4847913632078558E-3</v>
      </c>
      <c r="D177" s="3">
        <f>(Master_Table!D177-Master_Table!D176)/Master_Table!D176</f>
        <v>-1.0902338579202734E-2</v>
      </c>
      <c r="E177" s="3">
        <f>(Master_Table!E177-Master_Table!E176)/Master_Table!E176</f>
        <v>-5.1379123850731042E-3</v>
      </c>
      <c r="F177" s="3">
        <f>(Master_Table!F177-Master_Table!F176)/Master_Table!F176</f>
        <v>1.8424382815348569E-2</v>
      </c>
      <c r="G177" s="3">
        <f>(Master_Table!G177-Master_Table!G176)/Master_Table!G176</f>
        <v>6.010318600074561E-3</v>
      </c>
      <c r="H177" s="3">
        <f>(Master_Table!H177-Master_Table!H176)/Master_Table!H176</f>
        <v>-3.8547152396982117E-3</v>
      </c>
    </row>
    <row r="178" spans="1:8" x14ac:dyDescent="0.3">
      <c r="A178" s="1">
        <v>44088</v>
      </c>
      <c r="B178" s="3">
        <f>(Master_Table!B178-Master_Table!B177)/Master_Table!B177</f>
        <v>-2.1283184103905073E-3</v>
      </c>
      <c r="C178" s="3">
        <f>(Master_Table!C178-Master_Table!C177)/Master_Table!C177</f>
        <v>-7.4074074074073643E-3</v>
      </c>
      <c r="D178" s="3">
        <f>(Master_Table!D178-Master_Table!D177)/Master_Table!D177</f>
        <v>-1.9201100392200673E-2</v>
      </c>
      <c r="E178" s="3">
        <f>(Master_Table!E178-Master_Table!E177)/Master_Table!E177</f>
        <v>-3.2617559119325597E-3</v>
      </c>
      <c r="F178" s="3">
        <f>(Master_Table!F178-Master_Table!F177)/Master_Table!F177</f>
        <v>4.9408196790362742E-2</v>
      </c>
      <c r="G178" s="3">
        <f>(Master_Table!G178-Master_Table!G177)/Master_Table!G177</f>
        <v>3.457756159458595E-2</v>
      </c>
      <c r="H178" s="3">
        <f>(Master_Table!H178-Master_Table!H177)/Master_Table!H177</f>
        <v>-1.6677567037279219E-2</v>
      </c>
    </row>
    <row r="179" spans="1:8" x14ac:dyDescent="0.3">
      <c r="A179" s="1">
        <v>44089</v>
      </c>
      <c r="B179" s="3">
        <f>(Master_Table!B179-Master_Table!B178)/Master_Table!B178</f>
        <v>7.1459477886897356E-3</v>
      </c>
      <c r="C179" s="3">
        <f>(Master_Table!C179-Master_Table!C178)/Master_Table!C178</f>
        <v>7.0704171450438882E-3</v>
      </c>
      <c r="D179" s="3">
        <f>(Master_Table!D179-Master_Table!D178)/Master_Table!D178</f>
        <v>1.186370010991925E-2</v>
      </c>
      <c r="E179" s="3">
        <f>(Master_Table!E179-Master_Table!E178)/Master_Table!E178</f>
        <v>-8.4537769293699643E-3</v>
      </c>
      <c r="F179" s="3">
        <f>(Master_Table!F179-Master_Table!F178)/Master_Table!F178</f>
        <v>0</v>
      </c>
      <c r="G179" s="3">
        <f>(Master_Table!G179-Master_Table!G178)/Master_Table!G178</f>
        <v>4.1394112837286065E-3</v>
      </c>
      <c r="H179" s="3">
        <f>(Master_Table!H179-Master_Table!H178)/Master_Table!H178</f>
        <v>8.7019177474781315E-3</v>
      </c>
    </row>
    <row r="180" spans="1:8" x14ac:dyDescent="0.3">
      <c r="A180" s="1">
        <v>44090</v>
      </c>
      <c r="B180" s="3">
        <f>(Master_Table!B180-Master_Table!B179)/Master_Table!B179</f>
        <v>7.1820375288583387E-3</v>
      </c>
      <c r="C180" s="3">
        <f>(Master_Table!C180-Master_Table!C179)/Master_Table!C179</f>
        <v>2.4605971935892854E-3</v>
      </c>
      <c r="D180" s="3">
        <f>(Master_Table!D180-Master_Table!D179)/Master_Table!D179</f>
        <v>2.1632454300269832E-2</v>
      </c>
      <c r="E180" s="3">
        <f>(Master_Table!E180-Master_Table!E179)/Master_Table!E179</f>
        <v>-6.3256325632563568E-3</v>
      </c>
      <c r="F180" s="3">
        <f>(Master_Table!F180-Master_Table!F179)/Master_Table!F179</f>
        <v>4.656016697439154E-3</v>
      </c>
      <c r="G180" s="3">
        <f>(Master_Table!G180-Master_Table!G179)/Master_Table!G179</f>
        <v>1.964476563692804E-2</v>
      </c>
      <c r="H180" s="3">
        <f>(Master_Table!H180-Master_Table!H179)/Master_Table!H179</f>
        <v>1.3022693554590811E-2</v>
      </c>
    </row>
    <row r="181" spans="1:8" x14ac:dyDescent="0.3">
      <c r="A181" s="1">
        <v>44091</v>
      </c>
      <c r="B181" s="3">
        <f>(Master_Table!B181-Master_Table!B180)/Master_Table!B180</f>
        <v>-7.6220103321541048E-3</v>
      </c>
      <c r="C181" s="3">
        <f>(Master_Table!C181-Master_Table!C180)/Master_Table!C180</f>
        <v>-1.1097632631399417E-2</v>
      </c>
      <c r="D181" s="3">
        <f>(Master_Table!D181-Master_Table!D180)/Master_Table!D180</f>
        <v>-9.1847397657066204E-3</v>
      </c>
      <c r="E181" s="3">
        <f>(Master_Table!E181-Master_Table!E180)/Master_Table!E180</f>
        <v>-1.1347910323830675E-2</v>
      </c>
      <c r="F181" s="3">
        <f>(Master_Table!F181-Master_Table!F180)/Master_Table!F180</f>
        <v>-1.6799840191769951E-2</v>
      </c>
      <c r="G181" s="3">
        <f>(Master_Table!G181-Master_Table!G180)/Master_Table!G180</f>
        <v>9.2338407786373838E-3</v>
      </c>
      <c r="H181" s="3">
        <f>(Master_Table!H181-Master_Table!H180)/Master_Table!H180</f>
        <v>-1.6814927316120633E-2</v>
      </c>
    </row>
    <row r="182" spans="1:8" x14ac:dyDescent="0.3">
      <c r="A182" s="1">
        <v>44092</v>
      </c>
      <c r="B182" s="3">
        <f>(Master_Table!B182-Master_Table!B181)/Master_Table!B181</f>
        <v>-9.6820972377798355E-4</v>
      </c>
      <c r="C182" s="3">
        <f>(Master_Table!C182-Master_Table!C181)/Master_Table!C181</f>
        <v>3.0283573078287653E-3</v>
      </c>
      <c r="D182" s="3">
        <f>(Master_Table!D182-Master_Table!D181)/Master_Table!D181</f>
        <v>-2.4275617066942982E-2</v>
      </c>
      <c r="E182" s="3">
        <f>(Master_Table!E182-Master_Table!E181)/Master_Table!E181</f>
        <v>2.7995520716685329E-3</v>
      </c>
      <c r="F182" s="3">
        <f>(Master_Table!F182-Master_Table!F181)/Master_Table!F181</f>
        <v>-4.4901359231190102E-3</v>
      </c>
      <c r="G182" s="3">
        <f>(Master_Table!G182-Master_Table!G181)/Master_Table!G181</f>
        <v>-8.753709198813079E-3</v>
      </c>
      <c r="H182" s="3">
        <f>(Master_Table!H182-Master_Table!H181)/Master_Table!H181</f>
        <v>-6.1789694361689389E-3</v>
      </c>
    </row>
    <row r="183" spans="1:8" x14ac:dyDescent="0.3">
      <c r="A183" s="1">
        <v>44095</v>
      </c>
      <c r="B183" s="3">
        <f>(Master_Table!B183-Master_Table!B182)/Master_Table!B182</f>
        <v>-2.2112221261283312E-2</v>
      </c>
      <c r="C183" s="3">
        <f>(Master_Table!C183-Master_Table!C182)/Master_Table!C182</f>
        <v>-2.1621776559051533E-2</v>
      </c>
      <c r="D183" s="3">
        <f>(Master_Table!D183-Master_Table!D182)/Master_Table!D182</f>
        <v>-7.5662760268517633E-3</v>
      </c>
      <c r="E183" s="3">
        <f>(Master_Table!E183-Master_Table!E182)/Master_Table!E182</f>
        <v>-1.87046342825237E-2</v>
      </c>
      <c r="F183" s="3">
        <f>(Master_Table!F183-Master_Table!F182)/Master_Table!F182</f>
        <v>6.2859708559533413E-3</v>
      </c>
      <c r="G183" s="3">
        <f>(Master_Table!G183-Master_Table!G182)/Master_Table!G182</f>
        <v>7.7333732475178369E-3</v>
      </c>
      <c r="H183" s="3">
        <f>(Master_Table!H183-Master_Table!H182)/Master_Table!H182</f>
        <v>-2.092816698123684E-2</v>
      </c>
    </row>
    <row r="184" spans="1:8" x14ac:dyDescent="0.3">
      <c r="A184" s="1">
        <v>44096</v>
      </c>
      <c r="B184" s="3">
        <f>(Master_Table!B184-Master_Table!B183)/Master_Table!B183</f>
        <v>-8.6129122576229285E-3</v>
      </c>
      <c r="C184" s="3">
        <f>(Master_Table!C184-Master_Table!C183)/Master_Table!C183</f>
        <v>-1.9814453124999964E-2</v>
      </c>
      <c r="D184" s="3">
        <f>(Master_Table!D184-Master_Table!D183)/Master_Table!D183</f>
        <v>-1.3241616509028496E-2</v>
      </c>
      <c r="E184" s="3">
        <f>(Master_Table!E184-Master_Table!E183)/Master_Table!E183</f>
        <v>-8.8193456614509887E-3</v>
      </c>
      <c r="F184" s="3">
        <f>(Master_Table!F184-Master_Table!F183)/Master_Table!F183</f>
        <v>2.3384577941832487E-2</v>
      </c>
      <c r="G184" s="3">
        <f>(Master_Table!G184-Master_Table!G183)/Master_Table!G183</f>
        <v>-2.3764729181106814E-3</v>
      </c>
      <c r="H184" s="3">
        <f>(Master_Table!H184-Master_Table!H183)/Master_Table!H183</f>
        <v>-2.8746385439700654E-2</v>
      </c>
    </row>
    <row r="185" spans="1:8" x14ac:dyDescent="0.3">
      <c r="A185" s="1">
        <v>44097</v>
      </c>
      <c r="B185" s="3">
        <f>(Master_Table!B185-Master_Table!B184)/Master_Table!B184</f>
        <v>-1.9545171311632758E-3</v>
      </c>
      <c r="C185" s="3">
        <f>(Master_Table!C185-Master_Table!C184)/Master_Table!C184</f>
        <v>8.8870291219574956E-3</v>
      </c>
      <c r="D185" s="3">
        <f>(Master_Table!D185-Master_Table!D184)/Master_Table!D184</f>
        <v>1.1444173347275632E-2</v>
      </c>
      <c r="E185" s="3">
        <f>(Master_Table!E185-Master_Table!E184)/Master_Table!E184</f>
        <v>-9.7588978185992464E-3</v>
      </c>
      <c r="F185" s="3">
        <f>(Master_Table!F185-Master_Table!F184)/Master_Table!F184</f>
        <v>-2.1998057829128601E-2</v>
      </c>
      <c r="G185" s="3">
        <f>(Master_Table!G185-Master_Table!G184)/Master_Table!G184</f>
        <v>1.2158808933002481E-2</v>
      </c>
      <c r="H185" s="3">
        <f>(Master_Table!H185-Master_Table!H184)/Master_Table!H184</f>
        <v>4.7869235259778431E-3</v>
      </c>
    </row>
    <row r="186" spans="1:8" x14ac:dyDescent="0.3">
      <c r="A186" s="1">
        <v>44098</v>
      </c>
      <c r="B186" s="3">
        <f>(Master_Table!B186-Master_Table!B185)/Master_Table!B185</f>
        <v>-2.9312288613303365E-2</v>
      </c>
      <c r="C186" s="3">
        <f>(Master_Table!C186-Master_Table!C185)/Master_Table!C185</f>
        <v>-2.2239119915467627E-2</v>
      </c>
      <c r="D186" s="3">
        <f>(Master_Table!D186-Master_Table!D185)/Master_Table!D185</f>
        <v>-1.6100932360768254E-2</v>
      </c>
      <c r="E186" s="3">
        <f>(Master_Table!E186-Master_Table!E185)/Master_Table!E185</f>
        <v>-3.4492753623188342E-2</v>
      </c>
      <c r="F186" s="3">
        <f>(Master_Table!F186-Master_Table!F185)/Master_Table!F185</f>
        <v>-5.4793410200814539E-2</v>
      </c>
      <c r="G186" s="3">
        <f>(Master_Table!G186-Master_Table!G185)/Master_Table!G185</f>
        <v>-4.3491051728364816E-2</v>
      </c>
      <c r="H186" s="3">
        <f>(Master_Table!H186-Master_Table!H185)/Master_Table!H185</f>
        <v>-1.1503602138043198E-2</v>
      </c>
    </row>
    <row r="187" spans="1:8" x14ac:dyDescent="0.3">
      <c r="A187" s="1">
        <v>44099</v>
      </c>
      <c r="B187" s="3">
        <f>(Master_Table!B187-Master_Table!B186)/Master_Table!B186</f>
        <v>2.264576999782526E-2</v>
      </c>
      <c r="C187" s="3">
        <f>(Master_Table!C187-Master_Table!C186)/Master_Table!C186</f>
        <v>9.4029956267484872E-3</v>
      </c>
      <c r="D187" s="3">
        <f>(Master_Table!D187-Master_Table!D186)/Master_Table!D186</f>
        <v>1.3192714819427317E-2</v>
      </c>
      <c r="E187" s="3">
        <f>(Master_Table!E187-Master_Table!E186)/Master_Table!E186</f>
        <v>2.5217652356649585E-2</v>
      </c>
      <c r="F187" s="3">
        <f>(Master_Table!F187-Master_Table!F186)/Master_Table!F186</f>
        <v>3.8610783578089905E-2</v>
      </c>
      <c r="G187" s="3">
        <f>(Master_Table!G187-Master_Table!G186)/Master_Table!G186</f>
        <v>3.6959196227188913E-2</v>
      </c>
      <c r="H187" s="3">
        <f>(Master_Table!H187-Master_Table!H186)/Master_Table!H186</f>
        <v>4.5315622428588165E-2</v>
      </c>
    </row>
    <row r="188" spans="1:8" x14ac:dyDescent="0.3">
      <c r="A188" s="1">
        <v>44102</v>
      </c>
      <c r="B188" s="3">
        <f>(Master_Table!B188-Master_Table!B187)/Master_Table!B187</f>
        <v>1.6044885862310742E-2</v>
      </c>
      <c r="C188" s="3">
        <f>(Master_Table!C188-Master_Table!C187)/Master_Table!C187</f>
        <v>6.6038302215285097E-3</v>
      </c>
      <c r="D188" s="3">
        <f>(Master_Table!D188-Master_Table!D187)/Master_Table!D187</f>
        <v>9.7753024774340658E-3</v>
      </c>
      <c r="E188" s="3">
        <f>(Master_Table!E188-Master_Table!E187)/Master_Table!E187</f>
        <v>1.4934114202049847E-2</v>
      </c>
      <c r="F188" s="3">
        <f>(Master_Table!F188-Master_Table!F187)/Master_Table!F187</f>
        <v>1.6513231226520247E-3</v>
      </c>
      <c r="G188" s="3">
        <f>(Master_Table!G188-Master_Table!G187)/Master_Table!G187</f>
        <v>-1.038113599288218E-3</v>
      </c>
      <c r="H188" s="3">
        <f>(Master_Table!H188-Master_Table!H187)/Master_Table!H187</f>
        <v>1.5293786899072277E-2</v>
      </c>
    </row>
    <row r="189" spans="1:8" x14ac:dyDescent="0.3">
      <c r="A189" s="1">
        <v>44103</v>
      </c>
      <c r="B189" s="3">
        <f>(Master_Table!B189-Master_Table!B188)/Master_Table!B188</f>
        <v>-4.5869312539241746E-4</v>
      </c>
      <c r="C189" s="3">
        <f>(Master_Table!C189-Master_Table!C188)/Master_Table!C188</f>
        <v>1.2991789427645624E-2</v>
      </c>
      <c r="D189" s="3">
        <f>(Master_Table!D189-Master_Table!D188)/Master_Table!D188</f>
        <v>7.9309229920692167E-3</v>
      </c>
      <c r="E189" s="3">
        <f>(Master_Table!E189-Master_Table!E188)/Master_Table!E188</f>
        <v>-2.2504327755337596E-2</v>
      </c>
      <c r="F189" s="3">
        <f>(Master_Table!F189-Master_Table!F188)/Master_Table!F188</f>
        <v>2.5594526645509583E-2</v>
      </c>
      <c r="G189" s="3">
        <f>(Master_Table!G189-Master_Table!G188)/Master_Table!G188</f>
        <v>-1.3855898653998191E-3</v>
      </c>
      <c r="H189" s="3">
        <f>(Master_Table!H189-Master_Table!H188)/Master_Table!H188</f>
        <v>-8.1962673755330093E-3</v>
      </c>
    </row>
    <row r="190" spans="1:8" x14ac:dyDescent="0.3">
      <c r="A190" s="1">
        <v>44104</v>
      </c>
      <c r="B190" s="3">
        <f>(Master_Table!B190-Master_Table!B189)/Master_Table!B189</f>
        <v>2.2410536070715387E-3</v>
      </c>
      <c r="C190" s="3">
        <f>(Master_Table!C190-Master_Table!C189)/Master_Table!C189</f>
        <v>-4.7591478672148902E-3</v>
      </c>
      <c r="D190" s="3">
        <f>(Master_Table!D190-Master_Table!D189)/Master_Table!D189</f>
        <v>1.5095478904068231E-2</v>
      </c>
      <c r="E190" s="3">
        <f>(Master_Table!E190-Master_Table!E189)/Master_Table!E189</f>
        <v>1.357733175914984E-2</v>
      </c>
      <c r="F190" s="3">
        <f>(Master_Table!F190-Master_Table!F189)/Master_Table!F189</f>
        <v>1.5672721427423609E-3</v>
      </c>
      <c r="G190" s="3">
        <f>(Master_Table!G190-Master_Table!G189)/Master_Table!G189</f>
        <v>-7.4331020812685826E-4</v>
      </c>
      <c r="H190" s="3">
        <f>(Master_Table!H190-Master_Table!H189)/Master_Table!H189</f>
        <v>6.8680551677927039E-3</v>
      </c>
    </row>
    <row r="191" spans="1:8" x14ac:dyDescent="0.3">
      <c r="A191" s="1">
        <v>44105</v>
      </c>
      <c r="B191" s="3">
        <f>(Master_Table!B191-Master_Table!B190)/Master_Table!B190</f>
        <v>1.5061057741463827E-2</v>
      </c>
      <c r="C191" s="3">
        <f>(Master_Table!C191-Master_Table!C190)/Master_Table!C190</f>
        <v>-4.072014513330174E-3</v>
      </c>
      <c r="D191" s="3">
        <f>(Master_Table!D191-Master_Table!D190)/Master_Table!D190</f>
        <v>2.6284482117629536E-2</v>
      </c>
      <c r="E191" s="3">
        <f>(Master_Table!E191-Master_Table!E190)/Master_Table!E190</f>
        <v>-4.9504950495049176E-3</v>
      </c>
      <c r="F191" s="3">
        <f>(Master_Table!F191-Master_Table!F190)/Master_Table!F190</f>
        <v>1.2498495365726291E-2</v>
      </c>
      <c r="G191" s="3">
        <f>(Master_Table!G191-Master_Table!G190)/Master_Table!G190</f>
        <v>9.3230845524423286E-3</v>
      </c>
      <c r="H191" s="3">
        <f>(Master_Table!H191-Master_Table!H190)/Master_Table!H190</f>
        <v>1.3309671694764105E-3</v>
      </c>
    </row>
    <row r="192" spans="1:8" x14ac:dyDescent="0.3">
      <c r="A192" s="1">
        <v>44109</v>
      </c>
      <c r="B192" s="3">
        <f>(Master_Table!B192-Master_Table!B191)/Master_Table!B191</f>
        <v>7.5676954002601073E-3</v>
      </c>
      <c r="C192" s="3">
        <f>(Master_Table!C192-Master_Table!C191)/Master_Table!C191</f>
        <v>-5.8706477512350773E-3</v>
      </c>
      <c r="D192" s="3">
        <f>(Master_Table!D192-Master_Table!D191)/Master_Table!D191</f>
        <v>6.6835718166997661E-3</v>
      </c>
      <c r="E192" s="3">
        <f>(Master_Table!E192-Master_Table!E191)/Master_Table!E191</f>
        <v>-9.3649400058530546E-3</v>
      </c>
      <c r="F192" s="3">
        <f>(Master_Table!F192-Master_Table!F191)/Master_Table!F191</f>
        <v>7.2262180744615656E-2</v>
      </c>
      <c r="G192" s="3">
        <f>(Master_Table!G192-Master_Table!G191)/Master_Table!G191</f>
        <v>3.0511472510195124E-2</v>
      </c>
      <c r="H192" s="3">
        <f>(Master_Table!H192-Master_Table!H191)/Master_Table!H191</f>
        <v>-6.4798404962338385E-3</v>
      </c>
    </row>
    <row r="193" spans="1:8" x14ac:dyDescent="0.3">
      <c r="A193" s="1">
        <v>44110</v>
      </c>
      <c r="B193" s="3">
        <f>(Master_Table!B193-Master_Table!B192)/Master_Table!B192</f>
        <v>1.382640709010847E-2</v>
      </c>
      <c r="C193" s="3">
        <f>(Master_Table!C193-Master_Table!C192)/Master_Table!C192</f>
        <v>-8.3650341572219945E-4</v>
      </c>
      <c r="D193" s="3">
        <f>(Master_Table!D193-Master_Table!D192)/Master_Table!D192</f>
        <v>2.6700732290973268E-2</v>
      </c>
      <c r="E193" s="3">
        <f>(Master_Table!E193-Master_Table!E192)/Master_Table!E192</f>
        <v>3.8404726735598565E-3</v>
      </c>
      <c r="F193" s="3">
        <f>(Master_Table!F193-Master_Table!F192)/Master_Table!F192</f>
        <v>3.1413999556508241E-3</v>
      </c>
      <c r="G193" s="3">
        <f>(Master_Table!G193-Master_Table!G192)/Master_Table!G192</f>
        <v>6.7226089444073177E-3</v>
      </c>
      <c r="H193" s="3">
        <f>(Master_Table!H193-Master_Table!H192)/Master_Table!H192</f>
        <v>-4.8497686604604745E-3</v>
      </c>
    </row>
    <row r="194" spans="1:8" x14ac:dyDescent="0.3">
      <c r="A194" s="1">
        <v>44111</v>
      </c>
      <c r="B194" s="3">
        <f>(Master_Table!B194-Master_Table!B193)/Master_Table!B193</f>
        <v>6.5552544930718142E-3</v>
      </c>
      <c r="C194" s="3">
        <f>(Master_Table!C194-Master_Table!C193)/Master_Table!C193</f>
        <v>2.1338728646321255E-2</v>
      </c>
      <c r="D194" s="3">
        <f>(Master_Table!D194-Master_Table!D193)/Master_Table!D193</f>
        <v>1.5859663880272601E-2</v>
      </c>
      <c r="E194" s="3">
        <f>(Master_Table!E194-Master_Table!E193)/Master_Table!E193</f>
        <v>-2.3543260741613046E-3</v>
      </c>
      <c r="F194" s="3">
        <f>(Master_Table!F194-Master_Table!F193)/Master_Table!F193</f>
        <v>7.9762738090850809E-3</v>
      </c>
      <c r="G194" s="3">
        <f>(Master_Table!G194-Master_Table!G193)/Master_Table!G193</f>
        <v>1.0229694529954965E-2</v>
      </c>
      <c r="H194" s="3">
        <f>(Master_Table!H194-Master_Table!H193)/Master_Table!H193</f>
        <v>-5.2655164687430492E-3</v>
      </c>
    </row>
    <row r="195" spans="1:8" x14ac:dyDescent="0.3">
      <c r="A195" s="1">
        <v>44112</v>
      </c>
      <c r="B195" s="3">
        <f>(Master_Table!B195-Master_Table!B194)/Master_Table!B194</f>
        <v>8.15667633541616E-3</v>
      </c>
      <c r="C195" s="3">
        <f>(Master_Table!C195-Master_Table!C194)/Master_Table!C194</f>
        <v>-8.0897779946328026E-3</v>
      </c>
      <c r="D195" s="3">
        <f>(Master_Table!D195-Master_Table!D194)/Master_Table!D194</f>
        <v>2.542782224675685E-2</v>
      </c>
      <c r="E195" s="3">
        <f>(Master_Table!E195-Master_Table!E194)/Master_Table!E194</f>
        <v>-1.3864306784660734E-2</v>
      </c>
      <c r="F195" s="3">
        <f>(Master_Table!F195-Master_Table!F194)/Master_Table!F194</f>
        <v>3.2803962060710179E-2</v>
      </c>
      <c r="G195" s="3">
        <f>(Master_Table!G195-Master_Table!G194)/Master_Table!G194</f>
        <v>2.5455909240073221E-2</v>
      </c>
      <c r="H195" s="3">
        <f>(Master_Table!H195-Master_Table!H194)/Master_Table!H194</f>
        <v>-7.7148327514359981E-3</v>
      </c>
    </row>
    <row r="196" spans="1:8" x14ac:dyDescent="0.3">
      <c r="A196" s="1">
        <v>44113</v>
      </c>
      <c r="B196" s="3">
        <f>(Master_Table!B196-Master_Table!B195)/Master_Table!B195</f>
        <v>6.7260405928379801E-3</v>
      </c>
      <c r="C196" s="3">
        <f>(Master_Table!C196-Master_Table!C195)/Master_Table!C195</f>
        <v>-2.5874112114593738E-3</v>
      </c>
      <c r="D196" s="3">
        <f>(Master_Table!D196-Master_Table!D195)/Master_Table!D195</f>
        <v>3.5025739376198732E-2</v>
      </c>
      <c r="E196" s="3">
        <f>(Master_Table!E196-Master_Table!E195)/Master_Table!E195</f>
        <v>4.1878552198623305E-3</v>
      </c>
      <c r="F196" s="3">
        <f>(Master_Table!F196-Master_Table!F195)/Master_Table!F195</f>
        <v>-4.5121562798598582E-3</v>
      </c>
      <c r="G196" s="3">
        <f>(Master_Table!G196-Master_Table!G195)/Master_Table!G195</f>
        <v>1.1977690408704314E-2</v>
      </c>
      <c r="H196" s="3">
        <f>(Master_Table!H196-Master_Table!H195)/Master_Table!H195</f>
        <v>3.10992565688668E-2</v>
      </c>
    </row>
    <row r="197" spans="1:8" x14ac:dyDescent="0.3">
      <c r="A197" s="1">
        <v>44116</v>
      </c>
      <c r="B197" s="3">
        <f>(Master_Table!B197-Master_Table!B196)/Master_Table!B196</f>
        <v>1.4058854140437461E-3</v>
      </c>
      <c r="C197" s="3">
        <f>(Master_Table!C197-Master_Table!C196)/Master_Table!C196</f>
        <v>1.607764615369436E-3</v>
      </c>
      <c r="D197" s="3">
        <f>(Master_Table!D197-Master_Table!D196)/Master_Table!D196</f>
        <v>-1.6123789090436186E-2</v>
      </c>
      <c r="E197" s="3">
        <f>(Master_Table!E197-Master_Table!E196)/Master_Table!E196</f>
        <v>2.591599642537977E-2</v>
      </c>
      <c r="F197" s="3">
        <f>(Master_Table!F197-Master_Table!F196)/Master_Table!F196</f>
        <v>6.0612524218347941E-3</v>
      </c>
      <c r="G197" s="3">
        <f>(Master_Table!G197-Master_Table!G196)/Master_Table!G196</f>
        <v>2.2858691723888647E-2</v>
      </c>
      <c r="H197" s="3">
        <f>(Master_Table!H197-Master_Table!H196)/Master_Table!H196</f>
        <v>-2.9720953272057301E-3</v>
      </c>
    </row>
    <row r="198" spans="1:8" x14ac:dyDescent="0.3">
      <c r="A198" s="1">
        <v>44117</v>
      </c>
      <c r="B198" s="3">
        <f>(Master_Table!B198-Master_Table!B197)/Master_Table!B197</f>
        <v>2.9754545949813488E-4</v>
      </c>
      <c r="C198" s="3">
        <f>(Master_Table!C198-Master_Table!C197)/Master_Table!C197</f>
        <v>1.9518247887656763E-2</v>
      </c>
      <c r="D198" s="3">
        <f>(Master_Table!D198-Master_Table!D197)/Master_Table!D197</f>
        <v>-1.2522302253353665E-2</v>
      </c>
      <c r="E198" s="3">
        <f>(Master_Table!E198-Master_Table!E197)/Master_Table!E197</f>
        <v>-1.1904761904761807E-2</v>
      </c>
      <c r="F198" s="3">
        <f>(Master_Table!F198-Master_Table!F197)/Master_Table!F197</f>
        <v>-1.2190812720847414E-3</v>
      </c>
      <c r="G198" s="3">
        <f>(Master_Table!G198-Master_Table!G197)/Master_Table!G197</f>
        <v>2.2701174807879206E-2</v>
      </c>
      <c r="H198" s="3">
        <f>(Master_Table!H198-Master_Table!H197)/Master_Table!H197</f>
        <v>-1.0267733922163902E-2</v>
      </c>
    </row>
    <row r="199" spans="1:8" x14ac:dyDescent="0.3">
      <c r="A199" s="1">
        <v>44118</v>
      </c>
      <c r="B199" s="3">
        <f>(Master_Table!B199-Master_Table!B198)/Master_Table!B198</f>
        <v>3.0625497507226337E-3</v>
      </c>
      <c r="C199" s="3">
        <f>(Master_Table!C199-Master_Table!C198)/Master_Table!C198</f>
        <v>2.975040568734958E-3</v>
      </c>
      <c r="D199" s="3">
        <f>(Master_Table!D199-Master_Table!D198)/Master_Table!D198</f>
        <v>1.0891022852745326E-2</v>
      </c>
      <c r="E199" s="3">
        <f>(Master_Table!E199-Master_Table!E198)/Master_Table!E198</f>
        <v>-1.3811342932706402E-2</v>
      </c>
      <c r="F199" s="3">
        <f>(Master_Table!F199-Master_Table!F198)/Master_Table!F198</f>
        <v>-5.9967097698608801E-3</v>
      </c>
      <c r="G199" s="3">
        <f>(Master_Table!G199-Master_Table!G198)/Master_Table!G198</f>
        <v>-1.7965106235964722E-2</v>
      </c>
      <c r="H199" s="3">
        <f>(Master_Table!H199-Master_Table!H198)/Master_Table!H198</f>
        <v>2.0915834681242678E-2</v>
      </c>
    </row>
    <row r="200" spans="1:8" x14ac:dyDescent="0.3">
      <c r="A200" s="1">
        <v>44119</v>
      </c>
      <c r="B200" s="3">
        <f>(Master_Table!B200-Master_Table!B199)/Master_Table!B199</f>
        <v>-2.4283584146753953E-2</v>
      </c>
      <c r="C200" s="3">
        <f>(Master_Table!C200-Master_Table!C199)/Master_Table!C199</f>
        <v>-3.540198004545618E-2</v>
      </c>
      <c r="D200" s="3">
        <f>(Master_Table!D200-Master_Table!D199)/Master_Table!D199</f>
        <v>-3.4886222589987657E-2</v>
      </c>
      <c r="E200" s="3">
        <f>(Master_Table!E200-Master_Table!E199)/Master_Table!E199</f>
        <v>-1.6388557806912989E-2</v>
      </c>
      <c r="F200" s="3">
        <f>(Master_Table!F200-Master_Table!F199)/Master_Table!F199</f>
        <v>-2.4558656036446469E-2</v>
      </c>
      <c r="G200" s="3">
        <f>(Master_Table!G200-Master_Table!G199)/Master_Table!G199</f>
        <v>-2.5285839929639401E-2</v>
      </c>
      <c r="H200" s="3">
        <f>(Master_Table!H200-Master_Table!H199)/Master_Table!H199</f>
        <v>-2.8846153846153945E-2</v>
      </c>
    </row>
    <row r="201" spans="1:8" x14ac:dyDescent="0.3">
      <c r="A201" s="1">
        <v>44120</v>
      </c>
      <c r="B201" s="3">
        <f>(Master_Table!B201-Master_Table!B200)/Master_Table!B200</f>
        <v>7.0288989627879609E-3</v>
      </c>
      <c r="C201" s="3">
        <f>(Master_Table!C201-Master_Table!C200)/Master_Table!C200</f>
        <v>-1.3917731629393025E-2</v>
      </c>
      <c r="D201" s="3">
        <f>(Master_Table!D201-Master_Table!D200)/Master_Table!D200</f>
        <v>2.5755783047824984E-2</v>
      </c>
      <c r="E201" s="3">
        <f>(Master_Table!E201-Master_Table!E200)/Master_Table!E200</f>
        <v>3.9382005452891682E-3</v>
      </c>
      <c r="F201" s="3">
        <f>(Master_Table!F201-Master_Table!F200)/Master_Table!F200</f>
        <v>8.2828577683719887E-3</v>
      </c>
      <c r="G201" s="3">
        <f>(Master_Table!G201-Master_Table!G200)/Master_Table!G200</f>
        <v>1.7369727047146403E-2</v>
      </c>
      <c r="H201" s="3">
        <f>(Master_Table!H201-Master_Table!H200)/Master_Table!H200</f>
        <v>5.9630963096310398E-3</v>
      </c>
    </row>
    <row r="202" spans="1:8" x14ac:dyDescent="0.3">
      <c r="A202" s="1">
        <v>44123</v>
      </c>
      <c r="B202" s="3">
        <f>(Master_Table!B202-Master_Table!B201)/Master_Table!B201</f>
        <v>9.4028029874727234E-3</v>
      </c>
      <c r="C202" s="3">
        <f>(Master_Table!C202-Master_Table!C201)/Master_Table!C201</f>
        <v>1.8224895206859007E-4</v>
      </c>
      <c r="D202" s="3">
        <f>(Master_Table!D202-Master_Table!D201)/Master_Table!D201</f>
        <v>3.4938731841052473E-3</v>
      </c>
      <c r="E202" s="3">
        <f>(Master_Table!E202-Master_Table!E201)/Master_Table!E201</f>
        <v>1.5389257694628917E-2</v>
      </c>
      <c r="F202" s="3">
        <f>(Master_Table!F202-Master_Table!F201)/Master_Table!F201</f>
        <v>-1.872760829443057E-2</v>
      </c>
      <c r="G202" s="3">
        <f>(Master_Table!G202-Master_Table!G201)/Master_Table!G201</f>
        <v>-1.4190687361418262E-3</v>
      </c>
      <c r="H202" s="3">
        <f>(Master_Table!H202-Master_Table!H201)/Master_Table!H201</f>
        <v>9.8422995190694043E-3</v>
      </c>
    </row>
    <row r="203" spans="1:8" x14ac:dyDescent="0.3">
      <c r="A203" s="1">
        <v>44124</v>
      </c>
      <c r="B203" s="3">
        <f>(Master_Table!B203-Master_Table!B202)/Master_Table!B202</f>
        <v>2.0003284749916831E-3</v>
      </c>
      <c r="C203" s="3">
        <f>(Master_Table!C203-Master_Table!C202)/Master_Table!C202</f>
        <v>-9.3233722060253044E-3</v>
      </c>
      <c r="D203" s="3">
        <f>(Master_Table!D203-Master_Table!D202)/Master_Table!D202</f>
        <v>1.6958752582128447E-2</v>
      </c>
      <c r="E203" s="3">
        <f>(Master_Table!E203-Master_Table!E202)/Master_Table!E202</f>
        <v>-4.7548291233284476E-3</v>
      </c>
      <c r="F203" s="3">
        <f>(Master_Table!F203-Master_Table!F202)/Master_Table!F202</f>
        <v>1.0123361177186412E-2</v>
      </c>
      <c r="G203" s="3">
        <f>(Master_Table!G203-Master_Table!G202)/Master_Table!G202</f>
        <v>1.0302868816058183E-2</v>
      </c>
      <c r="H203" s="3">
        <f>(Master_Table!H203-Master_Table!H202)/Master_Table!H202</f>
        <v>1.5948610034333788E-2</v>
      </c>
    </row>
    <row r="204" spans="1:8" x14ac:dyDescent="0.3">
      <c r="A204" s="1">
        <v>44125</v>
      </c>
      <c r="B204" s="3">
        <f>(Master_Table!B204-Master_Table!B203)/Master_Table!B203</f>
        <v>3.4336964561899304E-3</v>
      </c>
      <c r="C204" s="3">
        <f>(Master_Table!C204-Master_Table!C203)/Master_Table!C203</f>
        <v>-1.4520298785036261E-2</v>
      </c>
      <c r="D204" s="3">
        <f>(Master_Table!D204-Master_Table!D203)/Master_Table!D203</f>
        <v>1.8576155685876089E-2</v>
      </c>
      <c r="E204" s="3">
        <f>(Master_Table!E204-Master_Table!E203)/Master_Table!E203</f>
        <v>1.1943863839953244E-3</v>
      </c>
      <c r="F204" s="3">
        <f>(Master_Table!F204-Master_Table!F203)/Master_Table!F203</f>
        <v>-2.3220153340635236E-2</v>
      </c>
      <c r="G204" s="3">
        <f>(Master_Table!G204-Master_Table!G203)/Master_Table!G203</f>
        <v>9.5384615384614593E-3</v>
      </c>
      <c r="H204" s="3">
        <f>(Master_Table!H204-Master_Table!H203)/Master_Table!H203</f>
        <v>7.7946146298921741E-3</v>
      </c>
    </row>
    <row r="205" spans="1:8" x14ac:dyDescent="0.3">
      <c r="A205" s="1">
        <v>44126</v>
      </c>
      <c r="B205" s="3">
        <f>(Master_Table!B205-Master_Table!B204)/Master_Table!B204</f>
        <v>-3.4512655338361327E-3</v>
      </c>
      <c r="C205" s="3">
        <f>(Master_Table!C205-Master_Table!C204)/Master_Table!C204</f>
        <v>-8.305510047489674E-3</v>
      </c>
      <c r="D205" s="3">
        <f>(Master_Table!D205-Master_Table!D204)/Master_Table!D204</f>
        <v>-1.0743004181408734E-2</v>
      </c>
      <c r="E205" s="3">
        <f>(Master_Table!E205-Master_Table!E204)/Master_Table!E204</f>
        <v>5.3683268714584294E-3</v>
      </c>
      <c r="F205" s="3">
        <f>(Master_Table!F205-Master_Table!F204)/Master_Table!F204</f>
        <v>-1.5885475069148539E-3</v>
      </c>
      <c r="G205" s="3">
        <f>(Master_Table!G205-Master_Table!G204)/Master_Table!G204</f>
        <v>-1.6806722689075591E-2</v>
      </c>
      <c r="H205" s="3">
        <f>(Master_Table!H205-Master_Table!H204)/Master_Table!H204</f>
        <v>1.2818432581534868E-2</v>
      </c>
    </row>
    <row r="206" spans="1:8" x14ac:dyDescent="0.3">
      <c r="A206" s="1">
        <v>44127</v>
      </c>
      <c r="B206" s="3">
        <f>(Master_Table!B206-Master_Table!B205)/Master_Table!B205</f>
        <v>2.8495895834471322E-3</v>
      </c>
      <c r="C206" s="3">
        <f>(Master_Table!C206-Master_Table!C205)/Master_Table!C205</f>
        <v>2.8962474252673875E-3</v>
      </c>
      <c r="D206" s="3">
        <f>(Master_Table!D206-Master_Table!D205)/Master_Table!D205</f>
        <v>2.0321238132396929E-3</v>
      </c>
      <c r="E206" s="3">
        <f>(Master_Table!E206-Master_Table!E205)/Master_Table!E205</f>
        <v>1.3052506674577209E-2</v>
      </c>
      <c r="F206" s="3">
        <f>(Master_Table!F206-Master_Table!F205)/Master_Table!F205</f>
        <v>5.8588997248376507E-3</v>
      </c>
      <c r="G206" s="3">
        <f>(Master_Table!G206-Master_Table!G205)/Master_Table!G205</f>
        <v>-5.8013374075549838E-3</v>
      </c>
      <c r="H206" s="3">
        <f>(Master_Table!H206-Master_Table!H205)/Master_Table!H205</f>
        <v>-1.3809676385773738E-2</v>
      </c>
    </row>
    <row r="207" spans="1:8" x14ac:dyDescent="0.3">
      <c r="A207" s="1">
        <v>44130</v>
      </c>
      <c r="B207" s="3">
        <f>(Master_Table!B207-Master_Table!B206)/Master_Table!B206</f>
        <v>-1.3629105600422482E-2</v>
      </c>
      <c r="C207" s="3">
        <f>(Master_Table!C207-Master_Table!C206)/Master_Table!C206</f>
        <v>-3.9731854292207824E-2</v>
      </c>
      <c r="D207" s="3">
        <f>(Master_Table!D207-Master_Table!D206)/Master_Table!D206</f>
        <v>-2.0150234437107516E-2</v>
      </c>
      <c r="E207" s="3">
        <f>(Master_Table!E207-Master_Table!E206)/Master_Table!E206</f>
        <v>-1.2884333821376215E-2</v>
      </c>
      <c r="F207" s="3">
        <f>(Master_Table!F207-Master_Table!F206)/Master_Table!F206</f>
        <v>5.2106595206179694E-4</v>
      </c>
      <c r="G207" s="3">
        <f>(Master_Table!G207-Master_Table!G206)/Master_Table!G206</f>
        <v>-8.953229398663656E-3</v>
      </c>
      <c r="H207" s="3">
        <f>(Master_Table!H207-Master_Table!H206)/Master_Table!H206</f>
        <v>1.115479168697267E-2</v>
      </c>
    </row>
    <row r="208" spans="1:8" x14ac:dyDescent="0.3">
      <c r="A208" s="1">
        <v>44131</v>
      </c>
      <c r="B208" s="3">
        <f>(Master_Table!B208-Master_Table!B207)/Master_Table!B207</f>
        <v>1.0337575152429277E-2</v>
      </c>
      <c r="C208" s="3">
        <f>(Master_Table!C208-Master_Table!C207)/Master_Table!C207</f>
        <v>2.6599498409457822E-3</v>
      </c>
      <c r="D208" s="3">
        <f>(Master_Table!D208-Master_Table!D207)/Master_Table!D207</f>
        <v>1.8329331898335847E-2</v>
      </c>
      <c r="E208" s="3">
        <f>(Master_Table!E208-Master_Table!E207)/Master_Table!E207</f>
        <v>-8.0094927321271003E-3</v>
      </c>
      <c r="F208" s="3">
        <f>(Master_Table!F208-Master_Table!F207)/Master_Table!F207</f>
        <v>-2.1594375418495546E-2</v>
      </c>
      <c r="G208" s="3">
        <f>(Master_Table!G208-Master_Table!G207)/Master_Table!G207</f>
        <v>-1.9416602993393085E-2</v>
      </c>
      <c r="H208" s="3">
        <f>(Master_Table!H208-Master_Table!H207)/Master_Table!H207</f>
        <v>3.1734981310313062E-2</v>
      </c>
    </row>
    <row r="209" spans="1:8" x14ac:dyDescent="0.3">
      <c r="A209" s="1">
        <v>44132</v>
      </c>
      <c r="B209" s="3">
        <f>(Master_Table!B209-Master_Table!B208)/Master_Table!B208</f>
        <v>-1.3440543677561465E-2</v>
      </c>
      <c r="C209" s="3">
        <f>(Master_Table!C209-Master_Table!C208)/Master_Table!C208</f>
        <v>-1.1326230076230116E-2</v>
      </c>
      <c r="D209" s="3">
        <f>(Master_Table!D209-Master_Table!D208)/Master_Table!D208</f>
        <v>-1.905629085233005E-2</v>
      </c>
      <c r="E209" s="3">
        <f>(Master_Table!E209-Master_Table!E208)/Master_Table!E208</f>
        <v>-1.0167464114832469E-2</v>
      </c>
      <c r="F209" s="3">
        <f>(Master_Table!F209-Master_Table!F208)/Master_Table!F208</f>
        <v>-3.0226412942228665E-3</v>
      </c>
      <c r="G209" s="3">
        <f>(Master_Table!G209-Master_Table!G208)/Master_Table!G208</f>
        <v>-1.3109043406517813E-2</v>
      </c>
      <c r="H209" s="3">
        <f>(Master_Table!H209-Master_Table!H208)/Master_Table!H208</f>
        <v>9.1352641959928946E-4</v>
      </c>
    </row>
    <row r="210" spans="1:8" x14ac:dyDescent="0.3">
      <c r="A210" s="1">
        <v>44133</v>
      </c>
      <c r="B210" s="3">
        <f>(Master_Table!B210-Master_Table!B209)/Master_Table!B209</f>
        <v>-5.0129586686673963E-3</v>
      </c>
      <c r="C210" s="3">
        <f>(Master_Table!C210-Master_Table!C209)/Master_Table!C209</f>
        <v>7.6774801217883871E-3</v>
      </c>
      <c r="D210" s="3">
        <f>(Master_Table!D210-Master_Table!D209)/Master_Table!D209</f>
        <v>-1.8514835073760914E-2</v>
      </c>
      <c r="E210" s="3">
        <f>(Master_Table!E210-Master_Table!E209)/Master_Table!E209</f>
        <v>-9.9697885196374965E-3</v>
      </c>
      <c r="F210" s="3">
        <f>(Master_Table!F210-Master_Table!F209)/Master_Table!F209</f>
        <v>3.9852032644345486E-3</v>
      </c>
      <c r="G210" s="3">
        <f>(Master_Table!G210-Master_Table!G209)/Master_Table!G209</f>
        <v>-1.5791184803307283E-3</v>
      </c>
      <c r="H210" s="3">
        <f>(Master_Table!H210-Master_Table!H209)/Master_Table!H209</f>
        <v>-4.9192059573938428E-2</v>
      </c>
    </row>
    <row r="211" spans="1:8" x14ac:dyDescent="0.3">
      <c r="A211" s="1">
        <v>44134</v>
      </c>
      <c r="B211" s="3">
        <f>(Master_Table!B211-Master_Table!B210)/Master_Table!B210</f>
        <v>-2.4334235870719779E-3</v>
      </c>
      <c r="C211" s="3">
        <f>(Master_Table!C211-Master_Table!C210)/Master_Table!C210</f>
        <v>1.3618529024965461E-2</v>
      </c>
      <c r="D211" s="3">
        <f>(Master_Table!D211-Master_Table!D210)/Master_Table!D210</f>
        <v>-3.0736493675376183E-3</v>
      </c>
      <c r="E211" s="3">
        <f>(Master_Table!E211-Master_Table!E210)/Master_Table!E210</f>
        <v>8.5444003661886217E-3</v>
      </c>
      <c r="F211" s="3">
        <f>(Master_Table!F211-Master_Table!F210)/Master_Table!F210</f>
        <v>1.223102197405649E-2</v>
      </c>
      <c r="G211" s="3">
        <f>(Master_Table!G211-Master_Table!G210)/Master_Table!G210</f>
        <v>-1.32576638600735E-2</v>
      </c>
      <c r="H211" s="3">
        <f>(Master_Table!H211-Master_Table!H210)/Master_Table!H210</f>
        <v>-5.3449686392145921E-3</v>
      </c>
    </row>
    <row r="212" spans="1:8" x14ac:dyDescent="0.3">
      <c r="A212" s="1">
        <v>44137</v>
      </c>
      <c r="B212" s="3">
        <f>(Master_Table!B212-Master_Table!B211)/Master_Table!B211</f>
        <v>2.2976362262076546E-3</v>
      </c>
      <c r="C212" s="3">
        <f>(Master_Table!C212-Master_Table!C211)/Master_Table!C211</f>
        <v>-8.6178425906069056E-2</v>
      </c>
      <c r="D212" s="3">
        <f>(Master_Table!D212-Master_Table!D211)/Master_Table!D211</f>
        <v>2.6782537988514613E-2</v>
      </c>
      <c r="E212" s="3">
        <f>(Master_Table!E212-Master_Table!E211)/Master_Table!E211</f>
        <v>9.0771558245083209E-3</v>
      </c>
      <c r="F212" s="3">
        <f>(Master_Table!F212-Master_Table!F211)/Master_Table!F211</f>
        <v>-2.2609152485130495E-2</v>
      </c>
      <c r="G212" s="3">
        <f>(Master_Table!G212-Master_Table!G211)/Master_Table!G211</f>
        <v>1.1031491608523521E-2</v>
      </c>
      <c r="H212" s="3">
        <f>(Master_Table!H212-Master_Table!H211)/Master_Table!H211</f>
        <v>-2.1933432033782472E-4</v>
      </c>
    </row>
    <row r="213" spans="1:8" x14ac:dyDescent="0.3">
      <c r="A213" s="1">
        <v>44138</v>
      </c>
      <c r="B213" s="3">
        <f>(Master_Table!B213-Master_Table!B212)/Master_Table!B212</f>
        <v>1.2370224052308898E-2</v>
      </c>
      <c r="C213" s="3">
        <f>(Master_Table!C213-Master_Table!C212)/Master_Table!C212</f>
        <v>-1.4409255717353265E-2</v>
      </c>
      <c r="D213" s="3">
        <f>(Master_Table!D213-Master_Table!D212)/Master_Table!D212</f>
        <v>2.6908862931432631E-2</v>
      </c>
      <c r="E213" s="3">
        <f>(Master_Table!E213-Master_Table!E212)/Master_Table!E212</f>
        <v>2.0089955022488722E-2</v>
      </c>
      <c r="F213" s="3">
        <f>(Master_Table!F213-Master_Table!F212)/Master_Table!F212</f>
        <v>1.1134147277892959E-2</v>
      </c>
      <c r="G213" s="3">
        <f>(Master_Table!G213-Master_Table!G212)/Master_Table!G212</f>
        <v>-9.0926046815256924E-3</v>
      </c>
      <c r="H213" s="3">
        <f>(Master_Table!H213-Master_Table!H212)/Master_Table!H212</f>
        <v>1.9854110678440215E-2</v>
      </c>
    </row>
    <row r="214" spans="1:8" x14ac:dyDescent="0.3">
      <c r="A214" s="1">
        <v>44139</v>
      </c>
      <c r="B214" s="3">
        <f>(Master_Table!B214-Master_Table!B213)/Master_Table!B213</f>
        <v>8.041647267956151E-3</v>
      </c>
      <c r="C214" s="3">
        <f>(Master_Table!C214-Master_Table!C213)/Master_Table!C213</f>
        <v>3.3942496577177197E-2</v>
      </c>
      <c r="D214" s="3">
        <f>(Master_Table!D214-Master_Table!D213)/Master_Table!D213</f>
        <v>7.5671159809135753E-3</v>
      </c>
      <c r="E214" s="3">
        <f>(Master_Table!E214-Master_Table!E213)/Master_Table!E213</f>
        <v>-1.7636684303349967E-3</v>
      </c>
      <c r="F214" s="3">
        <f>(Master_Table!F214-Master_Table!F213)/Master_Table!F213</f>
        <v>7.4232989064399232E-3</v>
      </c>
      <c r="G214" s="3">
        <f>(Master_Table!G214-Master_Table!G213)/Master_Table!G213</f>
        <v>2.9551550515269958E-2</v>
      </c>
      <c r="H214" s="3">
        <f>(Master_Table!H214-Master_Table!H213)/Master_Table!H213</f>
        <v>1.0863135251411695E-2</v>
      </c>
    </row>
    <row r="215" spans="1:8" x14ac:dyDescent="0.3">
      <c r="A215" s="1">
        <v>44140</v>
      </c>
      <c r="B215" s="3">
        <f>(Master_Table!B215-Master_Table!B214)/Master_Table!B214</f>
        <v>1.7785615316790467E-2</v>
      </c>
      <c r="C215" s="3">
        <f>(Master_Table!C215-Master_Table!C214)/Master_Table!C214</f>
        <v>2.1843262787002181E-2</v>
      </c>
      <c r="D215" s="3">
        <f>(Master_Table!D215-Master_Table!D214)/Master_Table!D214</f>
        <v>9.3758969289153872E-3</v>
      </c>
      <c r="E215" s="3">
        <f>(Master_Table!E215-Master_Table!E214)/Master_Table!E214</f>
        <v>2.9151943462897456E-2</v>
      </c>
      <c r="F215" s="3">
        <f>(Master_Table!F215-Master_Table!F214)/Master_Table!F214</f>
        <v>1.2268435633115251E-2</v>
      </c>
      <c r="G215" s="3">
        <f>(Master_Table!G215-Master_Table!G214)/Master_Table!G214</f>
        <v>9.1868915398326742E-3</v>
      </c>
      <c r="H215" s="3">
        <f>(Master_Table!H215-Master_Table!H214)/Master_Table!H214</f>
        <v>1.9417992232803105E-2</v>
      </c>
    </row>
    <row r="216" spans="1:8" x14ac:dyDescent="0.3">
      <c r="A216" s="1">
        <v>44141</v>
      </c>
      <c r="B216" s="3">
        <f>(Master_Table!B216-Master_Table!B215)/Master_Table!B215</f>
        <v>1.1819014380832158E-2</v>
      </c>
      <c r="C216" s="3">
        <f>(Master_Table!C216-Master_Table!C215)/Master_Table!C215</f>
        <v>3.7929752205807875E-2</v>
      </c>
      <c r="D216" s="3">
        <f>(Master_Table!D216-Master_Table!D215)/Master_Table!D215</f>
        <v>3.0299200657167333E-2</v>
      </c>
      <c r="E216" s="3">
        <f>(Master_Table!E216-Master_Table!E215)/Master_Table!E215</f>
        <v>-4.5779685264664459E-3</v>
      </c>
      <c r="F216" s="3">
        <f>(Master_Table!F216-Master_Table!F215)/Master_Table!F215</f>
        <v>8.0984473321666604E-3</v>
      </c>
      <c r="G216" s="3">
        <f>(Master_Table!G216-Master_Table!G215)/Master_Table!G215</f>
        <v>7.9257246376811599E-3</v>
      </c>
      <c r="H216" s="3">
        <f>(Master_Table!H216-Master_Table!H215)/Master_Table!H215</f>
        <v>2.7658908255922942E-3</v>
      </c>
    </row>
    <row r="217" spans="1:8" x14ac:dyDescent="0.3">
      <c r="A217" s="1">
        <v>44144</v>
      </c>
      <c r="B217" s="3">
        <f>(Master_Table!B217-Master_Table!B216)/Master_Table!B216</f>
        <v>1.6104635280974923E-2</v>
      </c>
      <c r="C217" s="3">
        <f>(Master_Table!C217-Master_Table!C216)/Master_Table!C216</f>
        <v>1.0617854932742699E-2</v>
      </c>
      <c r="D217" s="3">
        <f>(Master_Table!D217-Master_Table!D216)/Master_Table!D216</f>
        <v>2.5160993560257538E-2</v>
      </c>
      <c r="E217" s="3">
        <f>(Master_Table!E217-Master_Table!E216)/Master_Table!E216</f>
        <v>-6.6110951422821349E-3</v>
      </c>
      <c r="F217" s="3">
        <f>(Master_Table!F217-Master_Table!F216)/Master_Table!F216</f>
        <v>7.0730761417570377E-3</v>
      </c>
      <c r="G217" s="3">
        <f>(Master_Table!G217-Master_Table!G216)/Master_Table!G216</f>
        <v>2.1388452033250915E-2</v>
      </c>
      <c r="H217" s="3">
        <f>(Master_Table!H217-Master_Table!H216)/Master_Table!H216</f>
        <v>5.3083528493364793E-3</v>
      </c>
    </row>
    <row r="218" spans="1:8" x14ac:dyDescent="0.3">
      <c r="A218" s="1">
        <v>44145</v>
      </c>
      <c r="B218" s="3">
        <f>(Master_Table!B218-Master_Table!B217)/Master_Table!B217</f>
        <v>1.364652256431048E-2</v>
      </c>
      <c r="C218" s="3">
        <f>(Master_Table!C218-Master_Table!C217)/Master_Table!C217</f>
        <v>1.6511435538797043E-2</v>
      </c>
      <c r="D218" s="3">
        <f>(Master_Table!D218-Master_Table!D217)/Master_Table!D217</f>
        <v>3.9619509130883489E-2</v>
      </c>
      <c r="E218" s="3">
        <f>(Master_Table!E218-Master_Table!E217)/Master_Table!E217</f>
        <v>3.2118055555555455E-2</v>
      </c>
      <c r="F218" s="3">
        <f>(Master_Table!F218-Master_Table!F217)/Master_Table!F217</f>
        <v>-2.8240299273820876E-2</v>
      </c>
      <c r="G218" s="3">
        <f>(Master_Table!G218-Master_Table!G217)/Master_Table!G217</f>
        <v>-4.0033434516739255E-2</v>
      </c>
      <c r="H218" s="3">
        <f>(Master_Table!H218-Master_Table!H217)/Master_Table!H217</f>
        <v>7.0249003468447507E-2</v>
      </c>
    </row>
    <row r="219" spans="1:8" x14ac:dyDescent="0.3">
      <c r="A219" s="1">
        <v>44146</v>
      </c>
      <c r="B219" s="3">
        <f>(Master_Table!B219-Master_Table!B218)/Master_Table!B218</f>
        <v>9.3459793683843273E-3</v>
      </c>
      <c r="C219" s="3">
        <f>(Master_Table!C219-Master_Table!C218)/Master_Table!C218</f>
        <v>-4.190268853567803E-2</v>
      </c>
      <c r="D219" s="3">
        <f>(Master_Table!D219-Master_Table!D218)/Master_Table!D218</f>
        <v>-2.661487555747407E-3</v>
      </c>
      <c r="E219" s="3">
        <f>(Master_Table!E219-Master_Table!E218)/Master_Table!E218</f>
        <v>3.8968320717690033E-2</v>
      </c>
      <c r="F219" s="3">
        <f>(Master_Table!F219-Master_Table!F218)/Master_Table!F218</f>
        <v>1.441727053140107E-2</v>
      </c>
      <c r="G219" s="3">
        <f>(Master_Table!G219-Master_Table!G218)/Master_Table!G218</f>
        <v>2.8825443380230097E-2</v>
      </c>
      <c r="H219" s="3">
        <f>(Master_Table!H219-Master_Table!H218)/Master_Table!H218</f>
        <v>2.4910515623488439E-2</v>
      </c>
    </row>
    <row r="220" spans="1:8" x14ac:dyDescent="0.3">
      <c r="A220" s="1">
        <v>44147</v>
      </c>
      <c r="B220" s="3">
        <f>(Master_Table!B220-Master_Table!B219)/Master_Table!B219</f>
        <v>-4.5767757066157641E-3</v>
      </c>
      <c r="C220" s="3">
        <f>(Master_Table!C220-Master_Table!C219)/Master_Table!C219</f>
        <v>-8.6146990370509925E-3</v>
      </c>
      <c r="D220" s="3">
        <f>(Master_Table!D220-Master_Table!D219)/Master_Table!D219</f>
        <v>-1.312657771366754E-2</v>
      </c>
      <c r="E220" s="3">
        <f>(Master_Table!E220-Master_Table!E219)/Master_Table!E219</f>
        <v>1.4570966001079268E-2</v>
      </c>
      <c r="F220" s="3">
        <f>(Master_Table!F220-Master_Table!F219)/Master_Table!F219</f>
        <v>-6.2318624897685837E-3</v>
      </c>
      <c r="G220" s="3">
        <f>(Master_Table!G220-Master_Table!G219)/Master_Table!G219</f>
        <v>-4.2316258351893093E-3</v>
      </c>
      <c r="H220" s="3">
        <f>(Master_Table!H220-Master_Table!H219)/Master_Table!H219</f>
        <v>1.2978432205389589E-2</v>
      </c>
    </row>
    <row r="221" spans="1:8" x14ac:dyDescent="0.3">
      <c r="A221" s="1">
        <v>44148</v>
      </c>
      <c r="B221" s="3">
        <f>(Master_Table!B221-Master_Table!B220)/Master_Table!B220</f>
        <v>2.2969395152395008E-3</v>
      </c>
      <c r="C221" s="3">
        <f>(Master_Table!C221-Master_Table!C220)/Master_Table!C220</f>
        <v>8.2778878034669833E-3</v>
      </c>
      <c r="D221" s="3">
        <f>(Master_Table!D221-Master_Table!D220)/Master_Table!D220</f>
        <v>-9.4131403931885429E-3</v>
      </c>
      <c r="E221" s="3">
        <f>(Master_Table!E221-Master_Table!E220)/Master_Table!E220</f>
        <v>-4.7872340425532218E-3</v>
      </c>
      <c r="F221" s="3">
        <f>(Master_Table!F221-Master_Table!F220)/Master_Table!F220</f>
        <v>-5.3162613953315254E-3</v>
      </c>
      <c r="G221" s="3">
        <f>(Master_Table!G221-Master_Table!G220)/Master_Table!G220</f>
        <v>5.7705211362111793E-3</v>
      </c>
      <c r="H221" s="3">
        <f>(Master_Table!H221-Master_Table!H220)/Master_Table!H220</f>
        <v>-2.0219903093552035E-2</v>
      </c>
    </row>
    <row r="222" spans="1:8" x14ac:dyDescent="0.3">
      <c r="A222" s="1">
        <v>44152</v>
      </c>
      <c r="B222" s="3">
        <f>(Master_Table!B222-Master_Table!B221)/Master_Table!B221</f>
        <v>1.212661999457545E-2</v>
      </c>
      <c r="C222" s="3">
        <f>(Master_Table!C222-Master_Table!C221)/Master_Table!C221</f>
        <v>-1.5779832711704262E-3</v>
      </c>
      <c r="D222" s="3">
        <f>(Master_Table!D222-Master_Table!D221)/Master_Table!D221</f>
        <v>3.6549556595003731E-2</v>
      </c>
      <c r="E222" s="3">
        <f>(Master_Table!E222-Master_Table!E221)/Master_Table!E221</f>
        <v>1.3361838588989846E-3</v>
      </c>
      <c r="F222" s="3">
        <f>(Master_Table!F222-Master_Table!F221)/Master_Table!F221</f>
        <v>3.4627472382709875E-3</v>
      </c>
      <c r="G222" s="3">
        <f>(Master_Table!G222-Master_Table!G221)/Master_Table!G221</f>
        <v>-4.4476071873332144E-4</v>
      </c>
      <c r="H222" s="3">
        <f>(Master_Table!H222-Master_Table!H221)/Master_Table!H221</f>
        <v>2.7960057061341029E-2</v>
      </c>
    </row>
    <row r="223" spans="1:8" x14ac:dyDescent="0.3">
      <c r="A223" s="1">
        <v>44153</v>
      </c>
      <c r="B223" s="3">
        <f>(Master_Table!B223-Master_Table!B222)/Master_Table!B222</f>
        <v>4.9750664118934978E-3</v>
      </c>
      <c r="C223" s="3">
        <f>(Master_Table!C223-Master_Table!C222)/Master_Table!C222</f>
        <v>-3.0283270151084882E-3</v>
      </c>
      <c r="D223" s="3">
        <f>(Master_Table!D223-Master_Table!D222)/Master_Table!D222</f>
        <v>1.70823368636836E-4</v>
      </c>
      <c r="E223" s="3">
        <f>(Master_Table!E223-Master_Table!E222)/Master_Table!E222</f>
        <v>-1.7614091273018325E-2</v>
      </c>
      <c r="F223" s="3">
        <f>(Master_Table!F223-Master_Table!F222)/Master_Table!F222</f>
        <v>-1.4778417509049001E-2</v>
      </c>
      <c r="G223" s="3">
        <f>(Master_Table!G223-Master_Table!G222)/Master_Table!G222</f>
        <v>-1.1702411675714239E-2</v>
      </c>
      <c r="H223" s="3">
        <f>(Master_Table!H223-Master_Table!H222)/Master_Table!H222</f>
        <v>6.2216671292441482E-2</v>
      </c>
    </row>
    <row r="224" spans="1:8" x14ac:dyDescent="0.3">
      <c r="A224" s="1">
        <v>44154</v>
      </c>
      <c r="B224" s="3">
        <f>(Master_Table!B224-Master_Table!B223)/Master_Table!B223</f>
        <v>-1.2872683709156901E-2</v>
      </c>
      <c r="C224" s="3">
        <f>(Master_Table!C224-Master_Table!C223)/Master_Table!C223</f>
        <v>-7.0727786708053826E-3</v>
      </c>
      <c r="D224" s="3">
        <f>(Master_Table!D224-Master_Table!D223)/Master_Table!D223</f>
        <v>-2.4380871050384278E-2</v>
      </c>
      <c r="E224" s="3">
        <f>(Master_Table!E224-Master_Table!E223)/Master_Table!E223</f>
        <v>2.0918228742189592E-2</v>
      </c>
      <c r="F224" s="3">
        <f>(Master_Table!F224-Master_Table!F223)/Master_Table!F223</f>
        <v>3.9023090248034567E-3</v>
      </c>
      <c r="G224" s="3">
        <f>(Master_Table!G224-Master_Table!G223)/Master_Table!G223</f>
        <v>-1.2426275269010811E-2</v>
      </c>
      <c r="H224" s="3">
        <f>(Master_Table!H224-Master_Table!H223)/Master_Table!H223</f>
        <v>-1.210643208639994E-2</v>
      </c>
    </row>
    <row r="225" spans="1:8" x14ac:dyDescent="0.3">
      <c r="A225" s="1">
        <v>44155</v>
      </c>
      <c r="B225" s="3">
        <f>(Master_Table!B225-Master_Table!B224)/Master_Table!B224</f>
        <v>6.8393401035099898E-3</v>
      </c>
      <c r="C225" s="3">
        <f>(Master_Table!C225-Master_Table!C224)/Master_Table!C224</f>
        <v>-3.7324014424955566E-2</v>
      </c>
      <c r="D225" s="3">
        <f>(Master_Table!D225-Master_Table!D224)/Master_Table!D224</f>
        <v>2.131384305658893E-2</v>
      </c>
      <c r="E225" s="3">
        <f>(Master_Table!E225-Master_Table!E224)/Master_Table!E224</f>
        <v>2.0223523150611936E-2</v>
      </c>
      <c r="F225" s="3">
        <f>(Master_Table!F225-Master_Table!F224)/Master_Table!F224</f>
        <v>8.8550949979141827E-3</v>
      </c>
      <c r="G225" s="3">
        <f>(Master_Table!G225-Master_Table!G224)/Master_Table!G224</f>
        <v>6.017779803966181E-3</v>
      </c>
      <c r="H225" s="3">
        <f>(Master_Table!H225-Master_Table!H224)/Master_Table!H224</f>
        <v>-1.7191977077364298E-3</v>
      </c>
    </row>
    <row r="226" spans="1:8" x14ac:dyDescent="0.3">
      <c r="A226" s="1">
        <v>44158</v>
      </c>
      <c r="B226" s="3">
        <f>(Master_Table!B226-Master_Table!B225)/Master_Table!B225</f>
        <v>5.2414447412523829E-3</v>
      </c>
      <c r="C226" s="3">
        <f>(Master_Table!C226-Master_Table!C225)/Master_Table!C225</f>
        <v>2.6953052514381157E-2</v>
      </c>
      <c r="D226" s="3">
        <f>(Master_Table!D226-Master_Table!D225)/Master_Table!D225</f>
        <v>-6.4421209004685044E-3</v>
      </c>
      <c r="E226" s="3">
        <f>(Master_Table!E226-Master_Table!E225)/Master_Table!E225</f>
        <v>-4.4340114762649683E-3</v>
      </c>
      <c r="F226" s="3">
        <f>(Master_Table!F226-Master_Table!F225)/Master_Table!F225</f>
        <v>2.4057889296118785E-2</v>
      </c>
      <c r="G226" s="3">
        <f>(Master_Table!G226-Master_Table!G225)/Master_Table!G225</f>
        <v>3.3081071282911136E-2</v>
      </c>
      <c r="H226" s="3">
        <f>(Master_Table!H226-Master_Table!H225)/Master_Table!H225</f>
        <v>-5.6963702199064256E-3</v>
      </c>
    </row>
    <row r="227" spans="1:8" x14ac:dyDescent="0.3">
      <c r="A227" s="1">
        <v>44159</v>
      </c>
      <c r="B227" s="3">
        <f>(Master_Table!B227-Master_Table!B226)/Master_Table!B226</f>
        <v>9.9563298508096882E-3</v>
      </c>
      <c r="C227" s="3">
        <f>(Master_Table!C227-Master_Table!C226)/Master_Table!C226</f>
        <v>6.8437457650087474E-3</v>
      </c>
      <c r="D227" s="3">
        <f>(Master_Table!D227-Master_Table!D226)/Master_Table!D226</f>
        <v>3.1269318688270049E-2</v>
      </c>
      <c r="E227" s="3">
        <f>(Master_Table!E227-Master_Table!E226)/Master_Table!E226</f>
        <v>2.4626670159811459E-2</v>
      </c>
      <c r="F227" s="3">
        <f>(Master_Table!F227-Master_Table!F226)/Master_Table!F226</f>
        <v>-8.0756171423320843E-4</v>
      </c>
      <c r="G227" s="3">
        <f>(Master_Table!G227-Master_Table!G226)/Master_Table!G226</f>
        <v>1.7546168355489362E-4</v>
      </c>
      <c r="H227" s="3">
        <f>(Master_Table!H227-Master_Table!H226)/Master_Table!H226</f>
        <v>8.571301683172796E-3</v>
      </c>
    </row>
    <row r="228" spans="1:8" x14ac:dyDescent="0.3">
      <c r="A228" s="1">
        <v>44160</v>
      </c>
      <c r="B228" s="3">
        <f>(Master_Table!B228-Master_Table!B227)/Master_Table!B227</f>
        <v>-1.5070680919024294E-2</v>
      </c>
      <c r="C228" s="3">
        <f>(Master_Table!C228-Master_Table!C227)/Master_Table!C227</f>
        <v>-8.2778114274177222E-3</v>
      </c>
      <c r="D228" s="3">
        <f>(Master_Table!D228-Master_Table!D227)/Master_Table!D227</f>
        <v>-2.461941671778297E-2</v>
      </c>
      <c r="E228" s="3">
        <f>(Master_Table!E228-Master_Table!E227)/Master_Table!E227</f>
        <v>-8.6934287905907279E-3</v>
      </c>
      <c r="F228" s="3">
        <f>(Master_Table!F228-Master_Table!F227)/Master_Table!F227</f>
        <v>-7.6229312466707076E-3</v>
      </c>
      <c r="G228" s="3">
        <f>(Master_Table!G228-Master_Table!G227)/Master_Table!G227</f>
        <v>-2.1402570062716429E-2</v>
      </c>
      <c r="H228" s="3">
        <f>(Master_Table!H228-Master_Table!H227)/Master_Table!H227</f>
        <v>-1.7173051519154558E-2</v>
      </c>
    </row>
    <row r="229" spans="1:8" x14ac:dyDescent="0.3">
      <c r="A229" s="1">
        <v>44161</v>
      </c>
      <c r="B229" s="3">
        <f>(Master_Table!B229-Master_Table!B228)/Master_Table!B228</f>
        <v>1.0001244322777356E-2</v>
      </c>
      <c r="C229" s="3">
        <f>(Master_Table!C229-Master_Table!C228)/Master_Table!C228</f>
        <v>2.4656170828809987E-3</v>
      </c>
      <c r="D229" s="3">
        <f>(Master_Table!D229-Master_Table!D228)/Master_Table!D228</f>
        <v>1.6993968498985202E-2</v>
      </c>
      <c r="E229" s="3">
        <f>(Master_Table!E229-Master_Table!E228)/Master_Table!E228</f>
        <v>4.9006964147537638E-3</v>
      </c>
      <c r="F229" s="3">
        <f>(Master_Table!F229-Master_Table!F228)/Master_Table!F228</f>
        <v>7.1447081035056178E-3</v>
      </c>
      <c r="G229" s="3">
        <f>(Master_Table!G229-Master_Table!G228)/Master_Table!G228</f>
        <v>-2.1960292206337517E-3</v>
      </c>
      <c r="H229" s="3">
        <f>(Master_Table!H229-Master_Table!H228)/Master_Table!H228</f>
        <v>2.5537634408601337E-3</v>
      </c>
    </row>
    <row r="230" spans="1:8" x14ac:dyDescent="0.3">
      <c r="A230" s="1">
        <v>44162</v>
      </c>
      <c r="B230" s="3">
        <f>(Master_Table!B230-Master_Table!B229)/Master_Table!B229</f>
        <v>-1.3898513898513338E-3</v>
      </c>
      <c r="C230" s="3">
        <f>(Master_Table!C230-Master_Table!C229)/Master_Table!C229</f>
        <v>-1.1677234469842299E-2</v>
      </c>
      <c r="D230" s="3">
        <f>(Master_Table!D230-Master_Table!D229)/Master_Table!D229</f>
        <v>9.9641627433069112E-3</v>
      </c>
      <c r="E230" s="3">
        <f>(Master_Table!E230-Master_Table!E229)/Master_Table!E229</f>
        <v>-5.9034907597536219E-3</v>
      </c>
      <c r="F230" s="3">
        <f>(Master_Table!F230-Master_Table!F229)/Master_Table!F229</f>
        <v>-1.5051826802911056E-2</v>
      </c>
      <c r="G230" s="3">
        <f>(Master_Table!G230-Master_Table!G229)/Master_Table!G229</f>
        <v>-1.1857707509881464E-2</v>
      </c>
      <c r="H230" s="3">
        <f>(Master_Table!H230-Master_Table!H229)/Master_Table!H229</f>
        <v>3.1729007463021696E-3</v>
      </c>
    </row>
    <row r="231" spans="1:8" x14ac:dyDescent="0.3">
      <c r="A231" s="1">
        <v>44166</v>
      </c>
      <c r="B231" s="3">
        <f>(Master_Table!B231-Master_Table!B230)/Master_Table!B230</f>
        <v>1.0802724970024446E-2</v>
      </c>
      <c r="C231" s="3">
        <f>(Master_Table!C231-Master_Table!C230)/Master_Table!C230</f>
        <v>1.301384719003639E-2</v>
      </c>
      <c r="D231" s="3">
        <f>(Master_Table!D231-Master_Table!D230)/Master_Table!D230</f>
        <v>-5.2460202604920157E-3</v>
      </c>
      <c r="E231" s="3">
        <f>(Master_Table!E231-Master_Table!E230)/Master_Table!E230</f>
        <v>3.8729666924864443E-3</v>
      </c>
      <c r="F231" s="3">
        <f>(Master_Table!F231-Master_Table!F230)/Master_Table!F230</f>
        <v>1.7595581512510994E-2</v>
      </c>
      <c r="G231" s="3">
        <f>(Master_Table!G231-Master_Table!G230)/Master_Table!G230</f>
        <v>3.4409090909090827E-2</v>
      </c>
      <c r="H231" s="3">
        <f>(Master_Table!H231-Master_Table!H230)/Master_Table!H230</f>
        <v>-5.7466143977192132E-3</v>
      </c>
    </row>
    <row r="232" spans="1:8" x14ac:dyDescent="0.3">
      <c r="A232" s="1">
        <v>44167</v>
      </c>
      <c r="B232" s="3">
        <f>(Master_Table!B232-Master_Table!B231)/Master_Table!B231</f>
        <v>3.5853093855014117E-4</v>
      </c>
      <c r="C232" s="3">
        <f>(Master_Table!C232-Master_Table!C231)/Master_Table!C231</f>
        <v>1.6565433462175901E-3</v>
      </c>
      <c r="D232" s="3">
        <f>(Master_Table!D232-Master_Table!D231)/Master_Table!D231</f>
        <v>-1.8380964371144386E-2</v>
      </c>
      <c r="E232" s="3">
        <f>(Master_Table!E232-Master_Table!E231)/Master_Table!E231</f>
        <v>7.973251028806496E-3</v>
      </c>
      <c r="F232" s="3">
        <f>(Master_Table!F232-Master_Table!F231)/Master_Table!F231</f>
        <v>8.3431128062197435E-3</v>
      </c>
      <c r="G232" s="3">
        <f>(Master_Table!G232-Master_Table!G231)/Master_Table!G231</f>
        <v>2.6804939139606996E-3</v>
      </c>
      <c r="H232" s="3">
        <f>(Master_Table!H232-Master_Table!H231)/Master_Table!H231</f>
        <v>-1.9714144898965412E-3</v>
      </c>
    </row>
    <row r="233" spans="1:8" x14ac:dyDescent="0.3">
      <c r="A233" s="1">
        <v>44168</v>
      </c>
      <c r="B233" s="3">
        <f>(Master_Table!B233-Master_Table!B232)/Master_Table!B232</f>
        <v>1.5365551425030701E-3</v>
      </c>
      <c r="C233" s="3">
        <f>(Master_Table!C233-Master_Table!C232)/Master_Table!C232</f>
        <v>3.0150979906846411E-3</v>
      </c>
      <c r="D233" s="3">
        <f>(Master_Table!D233-Master_Table!D232)/Master_Table!D232</f>
        <v>-2.1147734883787257E-2</v>
      </c>
      <c r="E233" s="3">
        <f>(Master_Table!E233-Master_Table!E232)/Master_Table!E232</f>
        <v>1.2758356723653994E-3</v>
      </c>
      <c r="F233" s="3">
        <f>(Master_Table!F233-Master_Table!F232)/Master_Table!F232</f>
        <v>-1.4584204688039993E-2</v>
      </c>
      <c r="G233" s="3">
        <f>(Master_Table!G233-Master_Table!G232)/Master_Table!G232</f>
        <v>-1.2665439565255539E-2</v>
      </c>
      <c r="H233" s="3">
        <f>(Master_Table!H233-Master_Table!H232)/Master_Table!H232</f>
        <v>1.0235690235690317E-2</v>
      </c>
    </row>
    <row r="234" spans="1:8" x14ac:dyDescent="0.3">
      <c r="A234" s="1">
        <v>44169</v>
      </c>
      <c r="B234" s="3">
        <f>(Master_Table!B234-Master_Table!B233)/Master_Table!B233</f>
        <v>9.4907072537479074E-3</v>
      </c>
      <c r="C234" s="3">
        <f>(Master_Table!C234-Master_Table!C233)/Master_Table!C233</f>
        <v>-8.8049891199496483E-3</v>
      </c>
      <c r="D234" s="3">
        <f>(Master_Table!D234-Master_Table!D233)/Master_Table!D233</f>
        <v>6.0999577807218834E-3</v>
      </c>
      <c r="E234" s="3">
        <f>(Master_Table!E234-Master_Table!E233)/Master_Table!E233</f>
        <v>1.0193679918450561E-2</v>
      </c>
      <c r="F234" s="3">
        <f>(Master_Table!F234-Master_Table!F233)/Master_Table!F233</f>
        <v>6.680322574692415E-3</v>
      </c>
      <c r="G234" s="3">
        <f>(Master_Table!G234-Master_Table!G233)/Master_Table!G233</f>
        <v>7.2795064139553863E-3</v>
      </c>
      <c r="H234" s="3">
        <f>(Master_Table!H234-Master_Table!H233)/Master_Table!H233</f>
        <v>2.1641558903257262E-2</v>
      </c>
    </row>
    <row r="235" spans="1:8" x14ac:dyDescent="0.3">
      <c r="A235" s="1">
        <v>44172</v>
      </c>
      <c r="B235" s="3">
        <f>(Master_Table!B235-Master_Table!B234)/Master_Table!B234</f>
        <v>7.3311184103842979E-3</v>
      </c>
      <c r="C235" s="3">
        <f>(Master_Table!C235-Master_Table!C234)/Master_Table!C234</f>
        <v>5.8731002953523754E-3</v>
      </c>
      <c r="D235" s="3">
        <f>(Master_Table!D235-Master_Table!D234)/Master_Table!D234</f>
        <v>-9.6370897725300709E-3</v>
      </c>
      <c r="E235" s="3">
        <f>(Master_Table!E235-Master_Table!E234)/Master_Table!E234</f>
        <v>2.4974772956609572E-2</v>
      </c>
      <c r="F235" s="3">
        <f>(Master_Table!F235-Master_Table!F234)/Master_Table!F234</f>
        <v>3.7212883356857384E-3</v>
      </c>
      <c r="G235" s="3">
        <f>(Master_Table!G235-Master_Table!G234)/Master_Table!G234</f>
        <v>7.7997620411579859E-3</v>
      </c>
      <c r="H235" s="3">
        <f>(Master_Table!H235-Master_Table!H234)/Master_Table!H234</f>
        <v>1.7572857764245362E-2</v>
      </c>
    </row>
    <row r="236" spans="1:8" x14ac:dyDescent="0.3">
      <c r="A236" s="1">
        <v>44173</v>
      </c>
      <c r="B236" s="3">
        <f>(Master_Table!B236-Master_Table!B235)/Master_Table!B235</f>
        <v>2.7853171854819629E-3</v>
      </c>
      <c r="C236" s="3">
        <f>(Master_Table!C236-Master_Table!C235)/Master_Table!C235</f>
        <v>1.8157681576815753E-2</v>
      </c>
      <c r="D236" s="3">
        <f>(Master_Table!D236-Master_Table!D235)/Master_Table!D235</f>
        <v>2.9514041085884333E-3</v>
      </c>
      <c r="E236" s="3">
        <f>(Master_Table!E236-Master_Table!E235)/Master_Table!E235</f>
        <v>-3.4457297563377652E-3</v>
      </c>
      <c r="F236" s="3">
        <f>(Master_Table!F236-Master_Table!F235)/Master_Table!F235</f>
        <v>2.1770098988201911E-2</v>
      </c>
      <c r="G236" s="3">
        <f>(Master_Table!G236-Master_Table!G235)/Master_Table!G235</f>
        <v>8.6139046786181984E-3</v>
      </c>
      <c r="H236" s="3">
        <f>(Master_Table!H236-Master_Table!H235)/Master_Table!H235</f>
        <v>1.4533641104557112E-3</v>
      </c>
    </row>
    <row r="237" spans="1:8" x14ac:dyDescent="0.3">
      <c r="A237" s="1">
        <v>44174</v>
      </c>
      <c r="B237" s="3">
        <f>(Master_Table!B237-Master_Table!B236)/Master_Table!B236</f>
        <v>1.0165796183813098E-2</v>
      </c>
      <c r="C237" s="3">
        <f>(Master_Table!C237-Master_Table!C236)/Master_Table!C236</f>
        <v>1.6651565711255055E-2</v>
      </c>
      <c r="D237" s="3">
        <f>(Master_Table!D237-Master_Table!D236)/Master_Table!D236</f>
        <v>2.2449157974476965E-2</v>
      </c>
      <c r="E237" s="3">
        <f>(Master_Table!E237-Master_Table!E236)/Master_Table!E236</f>
        <v>1.457149913558912E-2</v>
      </c>
      <c r="F237" s="3">
        <f>(Master_Table!F237-Master_Table!F236)/Master_Table!F236</f>
        <v>4.8260822936402959E-3</v>
      </c>
      <c r="G237" s="3">
        <f>(Master_Table!G237-Master_Table!G236)/Master_Table!G236</f>
        <v>1.8944812936229367E-2</v>
      </c>
      <c r="H237" s="3">
        <f>(Master_Table!H237-Master_Table!H236)/Master_Table!H236</f>
        <v>8.1953218371178995E-3</v>
      </c>
    </row>
    <row r="238" spans="1:8" x14ac:dyDescent="0.3">
      <c r="A238" s="1">
        <v>44175</v>
      </c>
      <c r="B238" s="3">
        <f>(Master_Table!B238-Master_Table!B237)/Master_Table!B237</f>
        <v>-3.7548691339409929E-3</v>
      </c>
      <c r="C238" s="3">
        <f>(Master_Table!C238-Master_Table!C237)/Master_Table!C237</f>
        <v>-9.835994304905029E-3</v>
      </c>
      <c r="D238" s="3">
        <f>(Master_Table!D238-Master_Table!D237)/Master_Table!D237</f>
        <v>-1.5159934458929951E-2</v>
      </c>
      <c r="E238" s="3">
        <f>(Master_Table!E238-Master_Table!E237)/Master_Table!E237</f>
        <v>3.554040895813039E-2</v>
      </c>
      <c r="F238" s="3">
        <f>(Master_Table!F238-Master_Table!F237)/Master_Table!F237</f>
        <v>-9.4279208766187561E-3</v>
      </c>
      <c r="G238" s="3">
        <f>(Master_Table!G238-Master_Table!G237)/Master_Table!G237</f>
        <v>-6.3393464942137897E-3</v>
      </c>
      <c r="H238" s="3">
        <f>(Master_Table!H238-Master_Table!H237)/Master_Table!H237</f>
        <v>7.917019475021091E-3</v>
      </c>
    </row>
    <row r="239" spans="1:8" x14ac:dyDescent="0.3">
      <c r="A239" s="1">
        <v>44176</v>
      </c>
      <c r="B239" s="3">
        <f>(Master_Table!B239-Master_Table!B238)/Master_Table!B238</f>
        <v>2.6375729876914073E-3</v>
      </c>
      <c r="C239" s="3">
        <f>(Master_Table!C239-Master_Table!C238)/Master_Table!C238</f>
        <v>-6.0370565507546822E-4</v>
      </c>
      <c r="D239" s="3">
        <f>(Master_Table!D239-Master_Table!D238)/Master_Table!D238</f>
        <v>-2.2135096425110841E-3</v>
      </c>
      <c r="E239" s="3">
        <f>(Master_Table!E239-Master_Table!E238)/Master_Table!E238</f>
        <v>1.6925246826516329E-2</v>
      </c>
      <c r="F239" s="3">
        <f>(Master_Table!F239-Master_Table!F238)/Master_Table!F238</f>
        <v>-2.5140969004786582E-4</v>
      </c>
      <c r="G239" s="3">
        <f>(Master_Table!G239-Master_Table!G238)/Master_Table!G238</f>
        <v>-3.8963819310639729E-3</v>
      </c>
      <c r="H239" s="3">
        <f>(Master_Table!H239-Master_Table!H238)/Master_Table!H238</f>
        <v>3.3183517452850387E-3</v>
      </c>
    </row>
    <row r="240" spans="1:8" x14ac:dyDescent="0.3">
      <c r="A240" s="1">
        <v>44179</v>
      </c>
      <c r="B240" s="3">
        <f>(Master_Table!B240-Master_Table!B239)/Master_Table!B239</f>
        <v>3.2781183748524121E-3</v>
      </c>
      <c r="C240" s="3">
        <f>(Master_Table!C240-Master_Table!C239)/Master_Table!C239</f>
        <v>-7.226877835011962E-3</v>
      </c>
      <c r="D240" s="3">
        <f>(Master_Table!D240-Master_Table!D239)/Master_Table!D239</f>
        <v>-7.6992228279781144E-3</v>
      </c>
      <c r="E240" s="3">
        <f>(Master_Table!E240-Master_Table!E239)/Master_Table!E239</f>
        <v>-1.8492834026814871E-3</v>
      </c>
      <c r="F240" s="3">
        <f>(Master_Table!F240-Master_Table!F239)/Master_Table!F239</f>
        <v>5.065382957321422E-3</v>
      </c>
      <c r="G240" s="3">
        <f>(Master_Table!G240-Master_Table!G239)/Master_Table!G239</f>
        <v>1.1605914718018475E-3</v>
      </c>
      <c r="H240" s="3">
        <f>(Master_Table!H240-Master_Table!H239)/Master_Table!H239</f>
        <v>4.6345139412208101E-2</v>
      </c>
    </row>
    <row r="241" spans="1:8" x14ac:dyDescent="0.3">
      <c r="A241" s="1">
        <v>44180</v>
      </c>
      <c r="B241" s="3">
        <f>(Master_Table!B241-Master_Table!B240)/Master_Table!B240</f>
        <v>7.1543684057196063E-4</v>
      </c>
      <c r="C241" s="3">
        <f>(Master_Table!C241-Master_Table!C240)/Master_Table!C240</f>
        <v>-8.507484152183227E-3</v>
      </c>
      <c r="D241" s="3">
        <f>(Master_Table!D241-Master_Table!D240)/Master_Table!D240</f>
        <v>1.395443984978879E-2</v>
      </c>
      <c r="E241" s="3">
        <f>(Master_Table!E241-Master_Table!E240)/Master_Table!E240</f>
        <v>-1.088466882816116E-2</v>
      </c>
      <c r="F241" s="3">
        <f>(Master_Table!F241-Master_Table!F240)/Master_Table!F240</f>
        <v>-1.2921328233906295E-2</v>
      </c>
      <c r="G241" s="3">
        <f>(Master_Table!G241-Master_Table!G240)/Master_Table!G240</f>
        <v>-8.5440728178266673E-3</v>
      </c>
      <c r="H241" s="3">
        <f>(Master_Table!H241-Master_Table!H240)/Master_Table!H240</f>
        <v>-2.7207618133077986E-3</v>
      </c>
    </row>
    <row r="242" spans="1:8" x14ac:dyDescent="0.3">
      <c r="A242" s="1">
        <v>44181</v>
      </c>
      <c r="B242" s="3">
        <f>(Master_Table!B242-Master_Table!B241)/Master_Table!B241</f>
        <v>8.4648636298308398E-3</v>
      </c>
      <c r="C242" s="3">
        <f>(Master_Table!C242-Master_Table!C241)/Master_Table!C241</f>
        <v>1.1046394858405402E-3</v>
      </c>
      <c r="D242" s="3">
        <f>(Master_Table!D242-Master_Table!D241)/Master_Table!D241</f>
        <v>1.3949734839751073E-2</v>
      </c>
      <c r="E242" s="3">
        <f>(Master_Table!E242-Master_Table!E241)/Master_Table!E241</f>
        <v>2.1072348396159618E-3</v>
      </c>
      <c r="F242" s="3">
        <f>(Master_Table!F242-Master_Table!F241)/Master_Table!F241</f>
        <v>1.9065379949665815E-2</v>
      </c>
      <c r="G242" s="3">
        <f>(Master_Table!G242-Master_Table!G241)/Master_Table!G241</f>
        <v>9.6137190368960138E-3</v>
      </c>
      <c r="H242" s="3">
        <f>(Master_Table!H242-Master_Table!H241)/Master_Table!H241</f>
        <v>1.765295887662989E-2</v>
      </c>
    </row>
    <row r="243" spans="1:8" x14ac:dyDescent="0.3">
      <c r="A243" s="1">
        <v>44182</v>
      </c>
      <c r="B243" s="3">
        <f>(Master_Table!B243-Master_Table!B242)/Master_Table!B242</f>
        <v>4.2389294510586355E-3</v>
      </c>
      <c r="C243" s="3">
        <f>(Master_Table!C243-Master_Table!C242)/Master_Table!C242</f>
        <v>4.5808673554686343E-3</v>
      </c>
      <c r="D243" s="3">
        <f>(Master_Table!D243-Master_Table!D242)/Master_Table!D242</f>
        <v>2.2043774872086398E-2</v>
      </c>
      <c r="E243" s="3">
        <f>(Master_Table!E243-Master_Table!E242)/Master_Table!E242</f>
        <v>-4.4392523364485447E-3</v>
      </c>
      <c r="F243" s="3">
        <f>(Master_Table!F243-Master_Table!F242)/Master_Table!F242</f>
        <v>8.5281785232037537E-3</v>
      </c>
      <c r="G243" s="3">
        <f>(Master_Table!G243-Master_Table!G242)/Master_Table!G242</f>
        <v>-5.5760487260873293E-3</v>
      </c>
      <c r="H243" s="3">
        <f>(Master_Table!H243-Master_Table!H242)/Master_Table!H242</f>
        <v>8.3185491819435867E-3</v>
      </c>
    </row>
    <row r="244" spans="1:8" x14ac:dyDescent="0.3">
      <c r="A244" s="1">
        <v>44183</v>
      </c>
      <c r="B244" s="3">
        <f>(Master_Table!B244-Master_Table!B243)/Master_Table!B243</f>
        <v>1.4446134476408439E-3</v>
      </c>
      <c r="C244" s="3">
        <f>(Master_Table!C244-Master_Table!C243)/Master_Table!C243</f>
        <v>2.9956064438822301E-3</v>
      </c>
      <c r="D244" s="3">
        <f>(Master_Table!D244-Master_Table!D243)/Master_Table!D243</f>
        <v>-2.1123333008858249E-2</v>
      </c>
      <c r="E244" s="3">
        <f>(Master_Table!E244-Master_Table!E243)/Master_Table!E243</f>
        <v>6.8059141046702114E-3</v>
      </c>
      <c r="F244" s="3">
        <f>(Master_Table!F244-Master_Table!F243)/Master_Table!F243</f>
        <v>8.0332605172292945E-3</v>
      </c>
      <c r="G244" s="3">
        <f>(Master_Table!G244-Master_Table!G243)/Master_Table!G243</f>
        <v>2.6397515527950232E-2</v>
      </c>
      <c r="H244" s="3">
        <f>(Master_Table!H244-Master_Table!H243)/Master_Table!H243</f>
        <v>2.1504535502033157E-3</v>
      </c>
    </row>
    <row r="245" spans="1:8" x14ac:dyDescent="0.3">
      <c r="A245" s="1">
        <v>44186</v>
      </c>
      <c r="B245" s="3">
        <f>(Master_Table!B245-Master_Table!B244)/Master_Table!B244</f>
        <v>-3.1404994713147345E-2</v>
      </c>
      <c r="C245" s="3">
        <f>(Master_Table!C245-Master_Table!C244)/Master_Table!C244</f>
        <v>-2.6028185217141182E-2</v>
      </c>
      <c r="D245" s="3">
        <f>(Master_Table!D245-Master_Table!D244)/Master_Table!D244</f>
        <v>-2.7417888396408619E-2</v>
      </c>
      <c r="E245" s="3">
        <f>(Master_Table!E245-Master_Table!E244)/Master_Table!E244</f>
        <v>-5.3846153846153898E-2</v>
      </c>
      <c r="F245" s="3">
        <f>(Master_Table!F245-Master_Table!F244)/Master_Table!F244</f>
        <v>-1.4278224397063931E-2</v>
      </c>
      <c r="G245" s="3">
        <f>(Master_Table!G245-Master_Table!G244)/Master_Table!G244</f>
        <v>-1.0505967389477223E-2</v>
      </c>
      <c r="H245" s="3">
        <f>(Master_Table!H245-Master_Table!H244)/Master_Table!H244</f>
        <v>-3.6440248137021611E-2</v>
      </c>
    </row>
    <row r="246" spans="1:8" x14ac:dyDescent="0.3">
      <c r="A246" s="1">
        <v>44187</v>
      </c>
      <c r="B246" s="3">
        <f>(Master_Table!B246-Master_Table!B245)/Master_Table!B245</f>
        <v>1.0346328141412295E-2</v>
      </c>
      <c r="C246" s="3">
        <f>(Master_Table!C246-Master_Table!C245)/Master_Table!C245</f>
        <v>-1.5445944871605739E-3</v>
      </c>
      <c r="D246" s="3">
        <f>(Master_Table!D246-Master_Table!D245)/Master_Table!D245</f>
        <v>3.3595279132952321E-4</v>
      </c>
      <c r="E246" s="3">
        <f>(Master_Table!E246-Master_Table!E245)/Master_Table!E245</f>
        <v>2.2172949002218136E-3</v>
      </c>
      <c r="F246" s="3">
        <f>(Master_Table!F246-Master_Table!F245)/Master_Table!F245</f>
        <v>1.856284240199986E-2</v>
      </c>
      <c r="G246" s="3">
        <f>(Master_Table!G246-Master_Table!G245)/Master_Table!G245</f>
        <v>3.6694130637900321E-2</v>
      </c>
      <c r="H246" s="3">
        <f>(Master_Table!H246-Master_Table!H245)/Master_Table!H245</f>
        <v>2.2553346560311081E-2</v>
      </c>
    </row>
    <row r="247" spans="1:8" x14ac:dyDescent="0.3">
      <c r="A247" s="1">
        <v>44188</v>
      </c>
      <c r="B247" s="3">
        <f>(Master_Table!B247-Master_Table!B246)/Master_Table!B246</f>
        <v>1.0010173544329259E-2</v>
      </c>
      <c r="C247" s="3">
        <f>(Master_Table!C247-Master_Table!C246)/Master_Table!C246</f>
        <v>3.6854617633342158E-3</v>
      </c>
      <c r="D247" s="3">
        <f>(Master_Table!D247-Master_Table!D246)/Master_Table!D246</f>
        <v>1.8544206760604245E-3</v>
      </c>
      <c r="E247" s="3">
        <f>(Master_Table!E247-Master_Table!E246)/Master_Table!E246</f>
        <v>2.1386430678466049E-2</v>
      </c>
      <c r="F247" s="3">
        <f>(Master_Table!F247-Master_Table!F246)/Master_Table!F246</f>
        <v>1.2619669277632724E-2</v>
      </c>
      <c r="G247" s="3">
        <f>(Master_Table!G247-Master_Table!G246)/Master_Table!G246</f>
        <v>2.666939778779185E-2</v>
      </c>
      <c r="H247" s="3">
        <f>(Master_Table!H247-Master_Table!H246)/Master_Table!H246</f>
        <v>1.6631028747920401E-3</v>
      </c>
    </row>
    <row r="248" spans="1:8" x14ac:dyDescent="0.3">
      <c r="A248" s="1">
        <v>44189</v>
      </c>
      <c r="B248" s="3">
        <f>(Master_Table!B248-Master_Table!B247)/Master_Table!B247</f>
        <v>1.089250134180321E-2</v>
      </c>
      <c r="C248" s="3">
        <f>(Master_Table!C248-Master_Table!C247)/Master_Table!C247</f>
        <v>2.5873499779004317E-2</v>
      </c>
      <c r="D248" s="3">
        <f>(Master_Table!D248-Master_Table!D247)/Master_Table!D247</f>
        <v>1.5594939660700819E-2</v>
      </c>
      <c r="E248" s="3">
        <f>(Master_Table!E248-Master_Table!E247)/Master_Table!E247</f>
        <v>4.0914560770156164E-3</v>
      </c>
      <c r="F248" s="3">
        <f>(Master_Table!F248-Master_Table!F247)/Master_Table!F247</f>
        <v>2.0627417275458841E-4</v>
      </c>
      <c r="G248" s="3">
        <f>(Master_Table!G248-Master_Table!G247)/Master_Table!G247</f>
        <v>-1.3566896771876622E-2</v>
      </c>
      <c r="H248" s="3">
        <f>(Master_Table!H248-Master_Table!H247)/Master_Table!H247</f>
        <v>-2.0556609740669742E-3</v>
      </c>
    </row>
    <row r="249" spans="1:8" x14ac:dyDescent="0.3">
      <c r="A249" s="1">
        <v>44193</v>
      </c>
      <c r="B249" s="3">
        <f>(Master_Table!B249-Master_Table!B248)/Master_Table!B248</f>
        <v>9.0150371838464451E-3</v>
      </c>
      <c r="C249" s="3">
        <f>(Master_Table!C249-Master_Table!C248)/Master_Table!C248</f>
        <v>4.5956694653114978E-3</v>
      </c>
      <c r="D249" s="3">
        <f>(Master_Table!D249-Master_Table!D248)/Master_Table!D248</f>
        <v>1.1265463103814341E-2</v>
      </c>
      <c r="E249" s="3">
        <f>(Master_Table!E249-Master_Table!E248)/Master_Table!E248</f>
        <v>4.3144774688399119E-3</v>
      </c>
      <c r="F249" s="3">
        <f>(Master_Table!F249-Master_Table!F248)/Master_Table!F248</f>
        <v>6.8915737192156955E-3</v>
      </c>
      <c r="G249" s="3">
        <f>(Master_Table!G249-Master_Table!G248)/Master_Table!G248</f>
        <v>3.4383722341329234E-3</v>
      </c>
      <c r="H249" s="3">
        <f>(Master_Table!H249-Master_Table!H248)/Master_Table!H248</f>
        <v>2.154967517033754E-2</v>
      </c>
    </row>
    <row r="250" spans="1:8" x14ac:dyDescent="0.3">
      <c r="A250" s="1">
        <v>44194</v>
      </c>
      <c r="B250" s="3">
        <f>(Master_Table!B250-Master_Table!B249)/Master_Table!B249</f>
        <v>4.281636536631753E-3</v>
      </c>
      <c r="C250" s="3">
        <f>(Master_Table!C250-Master_Table!C249)/Master_Table!C249</f>
        <v>-6.6200404680214452E-3</v>
      </c>
      <c r="D250" s="3">
        <f>(Master_Table!D250-Master_Table!D249)/Master_Table!D249</f>
        <v>1.0160784480679017E-2</v>
      </c>
      <c r="E250" s="3">
        <f>(Master_Table!E250-Master_Table!E249)/Master_Table!E249</f>
        <v>9.7852028639618688E-3</v>
      </c>
      <c r="F250" s="3">
        <f>(Master_Table!F250-Master_Table!F249)/Master_Table!F249</f>
        <v>3.7550351607834679E-4</v>
      </c>
      <c r="G250" s="3">
        <f>(Master_Table!G250-Master_Table!G249)/Master_Table!G249</f>
        <v>8.0625655083447559E-3</v>
      </c>
      <c r="H250" s="3">
        <f>(Master_Table!H250-Master_Table!H249)/Master_Table!H249</f>
        <v>-3.5287730727471549E-3</v>
      </c>
    </row>
    <row r="251" spans="1:8" x14ac:dyDescent="0.3">
      <c r="A251" s="1">
        <v>44195</v>
      </c>
      <c r="B251" s="3">
        <f>(Master_Table!B251-Master_Table!B250)/Master_Table!B250</f>
        <v>3.5420524525214504E-3</v>
      </c>
      <c r="C251" s="3">
        <f>(Master_Table!C251-Master_Table!C250)/Master_Table!C250</f>
        <v>2.7453671928620652E-3</v>
      </c>
      <c r="D251" s="3">
        <f>(Master_Table!D251-Master_Table!D250)/Master_Table!D250</f>
        <v>3.7087506848545106E-3</v>
      </c>
      <c r="E251" s="3">
        <f>(Master_Table!E251-Master_Table!E250)/Master_Table!E250</f>
        <v>-1.8908059560387882E-3</v>
      </c>
      <c r="F251" s="3">
        <f>(Master_Table!F251-Master_Table!F250)/Master_Table!F250</f>
        <v>-7.2342603651253433E-3</v>
      </c>
      <c r="G251" s="3">
        <f>(Master_Table!G251-Master_Table!G250)/Master_Table!G250</f>
        <v>-2.7993281612413022E-3</v>
      </c>
      <c r="H251" s="3">
        <f>(Master_Table!H251-Master_Table!H250)/Master_Table!H250</f>
        <v>5.6037669766899221E-3</v>
      </c>
    </row>
    <row r="252" spans="1:8" x14ac:dyDescent="0.3">
      <c r="A252" s="1">
        <v>44196</v>
      </c>
      <c r="B252" s="3">
        <f>(Master_Table!B252-Master_Table!B251)/Master_Table!B251</f>
        <v>-1.4304156430306758E-5</v>
      </c>
      <c r="C252" s="3">
        <f>(Master_Table!C252-Master_Table!C251)/Master_Table!C251</f>
        <v>-5.111390784040974E-3</v>
      </c>
      <c r="D252" s="3">
        <f>(Master_Table!D252-Master_Table!D251)/Master_Table!D251</f>
        <v>2.6593138970145381E-3</v>
      </c>
      <c r="E252" s="3">
        <f>(Master_Table!E252-Master_Table!E251)/Master_Table!E251</f>
        <v>-1.0182334833057095E-2</v>
      </c>
      <c r="F252" s="3">
        <f>(Master_Table!F252-Master_Table!F251)/Master_Table!F251</f>
        <v>-1.6000412470353755E-2</v>
      </c>
      <c r="G252" s="3">
        <f>(Master_Table!G252-Master_Table!G251)/Master_Table!G251</f>
        <v>7.218479307025987E-3</v>
      </c>
      <c r="H252" s="3">
        <f>(Master_Table!H252-Master_Table!H251)/Master_Table!H251</f>
        <v>-3.4441391587013239E-3</v>
      </c>
    </row>
    <row r="253" spans="1:8" x14ac:dyDescent="0.3">
      <c r="A253" s="1">
        <v>44197</v>
      </c>
      <c r="B253" s="3">
        <f>(Master_Table!B253-Master_Table!B252)/Master_Table!B252</f>
        <v>2.6284263414808589E-3</v>
      </c>
      <c r="C253" s="3">
        <f>(Master_Table!C253-Master_Table!C252)/Master_Table!C252</f>
        <v>1.0985474761147987E-3</v>
      </c>
      <c r="D253" s="3">
        <f>(Master_Table!D253-Master_Table!D252)/Master_Table!D252</f>
        <v>-7.8311487080698714E-3</v>
      </c>
      <c r="E253" s="3">
        <f>(Master_Table!E253-Master_Table!E252)/Master_Table!E252</f>
        <v>2.320574162679423E-2</v>
      </c>
      <c r="F253" s="3">
        <f>(Master_Table!F253-Master_Table!F252)/Master_Table!F252</f>
        <v>2.2880097808051697E-2</v>
      </c>
      <c r="G253" s="3">
        <f>(Master_Table!G253-Master_Table!G252)/Master_Table!G252</f>
        <v>3.7028189202102969E-3</v>
      </c>
      <c r="H253" s="3">
        <f>(Master_Table!H253-Master_Table!H252)/Master_Table!H252</f>
        <v>7.3004038521280613E-3</v>
      </c>
    </row>
    <row r="254" spans="1:8" x14ac:dyDescent="0.3">
      <c r="A254" s="1">
        <v>44200</v>
      </c>
      <c r="B254" s="3">
        <f>(Master_Table!B254-Master_Table!B253)/Master_Table!B253</f>
        <v>8.1606448621464236E-3</v>
      </c>
      <c r="C254" s="3">
        <f>(Master_Table!C254-Master_Table!C253)/Master_Table!C253</f>
        <v>1.6958921722938732E-3</v>
      </c>
      <c r="D254" s="3">
        <f>(Master_Table!D254-Master_Table!D253)/Master_Table!D253</f>
        <v>-6.3593899487871886E-3</v>
      </c>
      <c r="E254" s="3">
        <f>(Master_Table!E254-Master_Table!E253)/Master_Table!E253</f>
        <v>-2.1042787000233277E-3</v>
      </c>
      <c r="F254" s="3">
        <f>(Master_Table!F254-Master_Table!F253)/Master_Table!F253</f>
        <v>3.7974899684111607E-2</v>
      </c>
      <c r="G254" s="3">
        <f>(Master_Table!G254-Master_Table!G253)/Master_Table!G253</f>
        <v>2.2055615058114129E-2</v>
      </c>
      <c r="H254" s="3">
        <f>(Master_Table!H254-Master_Table!H253)/Master_Table!H253</f>
        <v>1.3569776407093222E-2</v>
      </c>
    </row>
    <row r="255" spans="1:8" x14ac:dyDescent="0.3">
      <c r="A255" s="1">
        <v>44201</v>
      </c>
      <c r="B255" s="3">
        <f>(Master_Table!B255-Master_Table!B254)/Master_Table!B254</f>
        <v>4.7124086351704435E-3</v>
      </c>
      <c r="C255" s="3">
        <f>(Master_Table!C255-Master_Table!C254)/Master_Table!C254</f>
        <v>-1.2437618262495722E-2</v>
      </c>
      <c r="D255" s="3">
        <f>(Master_Table!D255-Master_Table!D254)/Master_Table!D254</f>
        <v>7.5611690077028093E-3</v>
      </c>
      <c r="E255" s="3">
        <f>(Master_Table!E255-Master_Table!E254)/Master_Table!E254</f>
        <v>-9.1377694470478766E-3</v>
      </c>
      <c r="F255" s="3">
        <f>(Master_Table!F255-Master_Table!F254)/Master_Table!F254</f>
        <v>1.7618319103785286E-2</v>
      </c>
      <c r="G255" s="3">
        <f>(Master_Table!G255-Master_Table!G254)/Master_Table!G254</f>
        <v>4.3081699980593476E-3</v>
      </c>
      <c r="H255" s="3">
        <f>(Master_Table!H255-Master_Table!H254)/Master_Table!H254</f>
        <v>-6.313707591662829E-3</v>
      </c>
    </row>
    <row r="256" spans="1:8" x14ac:dyDescent="0.3">
      <c r="A256" s="1">
        <v>44202</v>
      </c>
      <c r="B256" s="3">
        <f>(Master_Table!B256-Master_Table!B255)/Master_Table!B255</f>
        <v>-3.7501320469030598E-3</v>
      </c>
      <c r="C256" s="3">
        <f>(Master_Table!C256-Master_Table!C255)/Master_Table!C255</f>
        <v>-2.6376236736248924E-2</v>
      </c>
      <c r="D256" s="3">
        <f>(Master_Table!D256-Master_Table!D255)/Master_Table!D255</f>
        <v>-4.3143427302623034E-3</v>
      </c>
      <c r="E256" s="3">
        <f>(Master_Table!E256-Master_Table!E255)/Master_Table!E255</f>
        <v>-2.861196500354686E-2</v>
      </c>
      <c r="F256" s="3">
        <f>(Master_Table!F256-Master_Table!F255)/Master_Table!F255</f>
        <v>-1.3417394115745232E-2</v>
      </c>
      <c r="G256" s="3">
        <f>(Master_Table!G256-Master_Table!G255)/Master_Table!G255</f>
        <v>-9.0431287679703549E-3</v>
      </c>
      <c r="H256" s="3">
        <f>(Master_Table!H256-Master_Table!H255)/Master_Table!H255</f>
        <v>5.8945112148817624E-3</v>
      </c>
    </row>
    <row r="257" spans="1:8" x14ac:dyDescent="0.3">
      <c r="A257" s="1">
        <v>44203</v>
      </c>
      <c r="B257" s="3">
        <f>(Master_Table!B257-Master_Table!B256)/Master_Table!B256</f>
        <v>-6.2914199876289731E-4</v>
      </c>
      <c r="C257" s="3">
        <f>(Master_Table!C257-Master_Table!C256)/Master_Table!C256</f>
        <v>-1.6111769647727404E-3</v>
      </c>
      <c r="D257" s="3">
        <f>(Master_Table!D257-Master_Table!D256)/Master_Table!D256</f>
        <v>-3.0204231415223307E-3</v>
      </c>
      <c r="E257" s="3">
        <f>(Master_Table!E257-Master_Table!E256)/Master_Table!E256</f>
        <v>-1.2658227848101238E-2</v>
      </c>
      <c r="F257" s="3">
        <f>(Master_Table!F257-Master_Table!F256)/Master_Table!F256</f>
        <v>-6.1281337047353161E-3</v>
      </c>
      <c r="G257" s="3">
        <f>(Master_Table!G257-Master_Table!G256)/Master_Table!G256</f>
        <v>-1.556040870446909E-2</v>
      </c>
      <c r="H257" s="3">
        <f>(Master_Table!H257-Master_Table!H256)/Master_Table!H256</f>
        <v>1.898782343987827E-2</v>
      </c>
    </row>
    <row r="258" spans="1:8" x14ac:dyDescent="0.3">
      <c r="A258" s="1">
        <v>44204</v>
      </c>
      <c r="B258" s="3">
        <f>(Master_Table!B258-Master_Table!B257)/Master_Table!B257</f>
        <v>1.484719554937804E-2</v>
      </c>
      <c r="C258" s="3">
        <f>(Master_Table!C258-Master_Table!C257)/Master_Table!C257</f>
        <v>1.1792099408666004E-2</v>
      </c>
      <c r="D258" s="3">
        <f>(Master_Table!D258-Master_Table!D257)/Master_Table!D257</f>
        <v>1.0872488922236152E-2</v>
      </c>
      <c r="E258" s="3">
        <f>(Master_Table!E258-Master_Table!E257)/Master_Table!E257</f>
        <v>-6.4102564102564655E-3</v>
      </c>
      <c r="F258" s="3">
        <f>(Master_Table!F258-Master_Table!F257)/Master_Table!F257</f>
        <v>2.9049063571616955E-2</v>
      </c>
      <c r="G258" s="3">
        <f>(Master_Table!G258-Master_Table!G257)/Master_Table!G257</f>
        <v>3.9575327813651161E-2</v>
      </c>
      <c r="H258" s="3">
        <f>(Master_Table!H258-Master_Table!H257)/Master_Table!H257</f>
        <v>2.5729116098435374E-2</v>
      </c>
    </row>
    <row r="259" spans="1:8" x14ac:dyDescent="0.3">
      <c r="A259" s="1">
        <v>44207</v>
      </c>
      <c r="B259" s="3">
        <f>(Master_Table!B259-Master_Table!B258)/Master_Table!B258</f>
        <v>9.5837181341372046E-3</v>
      </c>
      <c r="C259" s="3">
        <f>(Master_Table!C259-Master_Table!C258)/Master_Table!C258</f>
        <v>-1.8843419613561754E-2</v>
      </c>
      <c r="D259" s="3">
        <f>(Master_Table!D259-Master_Table!D258)/Master_Table!D258</f>
        <v>1.3822561445276948E-2</v>
      </c>
      <c r="E259" s="3">
        <f>(Master_Table!E259-Master_Table!E258)/Master_Table!E258</f>
        <v>4.9627791563275434E-3</v>
      </c>
      <c r="F259" s="3">
        <f>(Master_Table!F259-Master_Table!F258)/Master_Table!F258</f>
        <v>1.7799352750808975E-2</v>
      </c>
      <c r="G259" s="3">
        <f>(Master_Table!G259-Master_Table!G258)/Master_Table!G258</f>
        <v>4.8852983766481319E-2</v>
      </c>
      <c r="H259" s="3">
        <f>(Master_Table!H259-Master_Table!H258)/Master_Table!H258</f>
        <v>-1.7038007863696001E-2</v>
      </c>
    </row>
    <row r="260" spans="1:8" x14ac:dyDescent="0.3">
      <c r="A260" s="1">
        <v>44208</v>
      </c>
      <c r="B260" s="3">
        <f>(Master_Table!B260-Master_Table!B259)/Master_Table!B259</f>
        <v>5.4333005402233889E-3</v>
      </c>
      <c r="C260" s="3">
        <f>(Master_Table!C260-Master_Table!C259)/Master_Table!C259</f>
        <v>3.1513434430226868E-2</v>
      </c>
      <c r="D260" s="3">
        <f>(Master_Table!D260-Master_Table!D259)/Master_Table!D259</f>
        <v>2.0361365896784188E-2</v>
      </c>
      <c r="E260" s="3">
        <f>(Master_Table!E260-Master_Table!E259)/Master_Table!E259</f>
        <v>1.9506172839506116E-2</v>
      </c>
      <c r="F260" s="3">
        <f>(Master_Table!F260-Master_Table!F259)/Master_Table!F259</f>
        <v>-5.0370696847106336E-4</v>
      </c>
      <c r="G260" s="3">
        <f>(Master_Table!G260-Master_Table!G259)/Master_Table!G259</f>
        <v>-3.2335416363900925E-3</v>
      </c>
      <c r="H260" s="3">
        <f>(Master_Table!H260-Master_Table!H259)/Master_Table!H259</f>
        <v>-1.4814814814818184E-4</v>
      </c>
    </row>
    <row r="261" spans="1:8" x14ac:dyDescent="0.3">
      <c r="A261" s="1">
        <v>44209</v>
      </c>
      <c r="B261" s="3">
        <f>(Master_Table!B261-Master_Table!B260)/Master_Table!B260</f>
        <v>9.6131067844476149E-5</v>
      </c>
      <c r="C261" s="3">
        <f>(Master_Table!C261-Master_Table!C260)/Master_Table!C260</f>
        <v>-9.3205457247061696E-3</v>
      </c>
      <c r="D261" s="3">
        <f>(Master_Table!D261-Master_Table!D260)/Master_Table!D260</f>
        <v>-6.9856226139224653E-3</v>
      </c>
      <c r="E261" s="3">
        <f>(Master_Table!E261-Master_Table!E260)/Master_Table!E260</f>
        <v>2.3250181642044135E-2</v>
      </c>
      <c r="F261" s="3">
        <f>(Master_Table!F261-Master_Table!F260)/Master_Table!F260</f>
        <v>-5.0081106193993708E-3</v>
      </c>
      <c r="G261" s="3">
        <f>(Master_Table!G261-Master_Table!G260)/Master_Table!G260</f>
        <v>1.1226535447421243E-2</v>
      </c>
      <c r="H261" s="3">
        <f>(Master_Table!H261-Master_Table!H260)/Master_Table!H260</f>
        <v>2.0002963401985815E-3</v>
      </c>
    </row>
    <row r="262" spans="1:8" x14ac:dyDescent="0.3">
      <c r="A262" s="1">
        <v>44210</v>
      </c>
      <c r="B262" s="3">
        <f>(Master_Table!B262-Master_Table!B261)/Master_Table!B261</f>
        <v>2.1112472837001412E-3</v>
      </c>
      <c r="C262" s="3">
        <f>(Master_Table!C262-Master_Table!C261)/Master_Table!C261</f>
        <v>1.1237614762294321E-2</v>
      </c>
      <c r="D262" s="3">
        <f>(Master_Table!D262-Master_Table!D261)/Master_Table!D261</f>
        <v>-1.2951601908657744E-3</v>
      </c>
      <c r="E262" s="3">
        <f>(Master_Table!E262-Master_Table!E261)/Master_Table!E261</f>
        <v>1.3727810650887601E-2</v>
      </c>
      <c r="F262" s="3">
        <f>(Master_Table!F262-Master_Table!F261)/Master_Table!F261</f>
        <v>2.9044460975957202E-2</v>
      </c>
      <c r="G262" s="3">
        <f>(Master_Table!G262-Master_Table!G261)/Master_Table!G261</f>
        <v>-1.200302779079414E-2</v>
      </c>
      <c r="H262" s="3">
        <f>(Master_Table!H262-Master_Table!H261)/Master_Table!H261</f>
        <v>1.7818853974121928E-2</v>
      </c>
    </row>
    <row r="263" spans="1:8" x14ac:dyDescent="0.3">
      <c r="A263" s="1">
        <v>44211</v>
      </c>
      <c r="B263" s="3">
        <f>(Master_Table!B263-Master_Table!B262)/Master_Table!B262</f>
        <v>-1.1092384006138812E-2</v>
      </c>
      <c r="C263" s="3">
        <f>(Master_Table!C263-Master_Table!C262)/Master_Table!C262</f>
        <v>-1.1798150499455037E-2</v>
      </c>
      <c r="D263" s="3">
        <f>(Master_Table!D263-Master_Table!D262)/Master_Table!D262</f>
        <v>-1.433349259436154E-3</v>
      </c>
      <c r="E263" s="3">
        <f>(Master_Table!E263-Master_Table!E262)/Master_Table!E262</f>
        <v>1.7277609152463173E-2</v>
      </c>
      <c r="F263" s="3">
        <f>(Master_Table!F263-Master_Table!F262)/Master_Table!F262</f>
        <v>-5.337311963577048E-3</v>
      </c>
      <c r="G263" s="3">
        <f>(Master_Table!G263-Master_Table!G262)/Master_Table!G262</f>
        <v>-1.8642831083546117E-2</v>
      </c>
      <c r="H263" s="3">
        <f>(Master_Table!H263-Master_Table!H262)/Master_Table!H262</f>
        <v>-1.6308295801249324E-2</v>
      </c>
    </row>
    <row r="264" spans="1:8" x14ac:dyDescent="0.3">
      <c r="A264" s="1">
        <v>44214</v>
      </c>
      <c r="B264" s="3">
        <f>(Master_Table!B264-Master_Table!B263)/Master_Table!B263</f>
        <v>-1.0558623222042958E-2</v>
      </c>
      <c r="C264" s="3">
        <f>(Master_Table!C264-Master_Table!C263)/Master_Table!C263</f>
        <v>2.3991722287286688E-2</v>
      </c>
      <c r="D264" s="3">
        <f>(Master_Table!D264-Master_Table!D263)/Master_Table!D263</f>
        <v>1.1223513328776536E-2</v>
      </c>
      <c r="E264" s="3">
        <f>(Master_Table!E264-Master_Table!E263)/Master_Table!E263</f>
        <v>8.7215974294239419E-3</v>
      </c>
      <c r="F264" s="3">
        <f>(Master_Table!F264-Master_Table!F263)/Master_Table!F263</f>
        <v>-3.5876103731423783E-3</v>
      </c>
      <c r="G264" s="3">
        <f>(Master_Table!G264-Master_Table!G263)/Master_Table!G263</f>
        <v>-2.4461875906167583E-2</v>
      </c>
      <c r="H264" s="3">
        <f>(Master_Table!H264-Master_Table!H263)/Master_Table!H263</f>
        <v>-1.3366318354687542E-2</v>
      </c>
    </row>
    <row r="265" spans="1:8" x14ac:dyDescent="0.3">
      <c r="A265" s="1">
        <v>44215</v>
      </c>
      <c r="B265" s="3">
        <f>(Master_Table!B265-Master_Table!B264)/Master_Table!B264</f>
        <v>1.6794689559073778E-2</v>
      </c>
      <c r="C265" s="3">
        <f>(Master_Table!C265-Master_Table!C264)/Master_Table!C264</f>
        <v>1.6356307671807749E-2</v>
      </c>
      <c r="D265" s="3">
        <f>(Master_Table!D265-Master_Table!D264)/Master_Table!D264</f>
        <v>1.3991969826012774E-2</v>
      </c>
      <c r="E265" s="3">
        <f>(Master_Table!E265-Master_Table!E264)/Master_Table!E264</f>
        <v>-4.0955631399317667E-3</v>
      </c>
      <c r="F265" s="3">
        <f>(Master_Table!F265-Master_Table!F264)/Master_Table!F264</f>
        <v>1.2089702801272544E-2</v>
      </c>
      <c r="G265" s="3">
        <f>(Master_Table!G265-Master_Table!G264)/Master_Table!G264</f>
        <v>3.5059639495447097E-3</v>
      </c>
      <c r="H265" s="3">
        <f>(Master_Table!H265-Master_Table!H264)/Master_Table!H264</f>
        <v>2.5298454399161674E-2</v>
      </c>
    </row>
    <row r="266" spans="1:8" x14ac:dyDescent="0.3">
      <c r="A266" s="1">
        <v>44216</v>
      </c>
      <c r="B266" s="3">
        <f>(Master_Table!B266-Master_Table!B265)/Master_Table!B265</f>
        <v>8.5082793029478444E-3</v>
      </c>
      <c r="C266" s="3">
        <f>(Master_Table!C266-Master_Table!C265)/Master_Table!C265</f>
        <v>1.8999235223424123E-2</v>
      </c>
      <c r="D266" s="3">
        <f>(Master_Table!D266-Master_Table!D265)/Master_Table!D265</f>
        <v>-7.879369650427924E-3</v>
      </c>
      <c r="E266" s="3">
        <f>(Master_Table!E266-Master_Table!E265)/Master_Table!E265</f>
        <v>-5.4832076764906954E-3</v>
      </c>
      <c r="F266" s="3">
        <f>(Master_Table!F266-Master_Table!F265)/Master_Table!F265</f>
        <v>1.4751433741221322E-2</v>
      </c>
      <c r="G266" s="3">
        <f>(Master_Table!G266-Master_Table!G265)/Master_Table!G265</f>
        <v>1.7316674894618883E-2</v>
      </c>
      <c r="H266" s="3">
        <f>(Master_Table!H266-Master_Table!H265)/Master_Table!H265</f>
        <v>9.3440887688434372E-3</v>
      </c>
    </row>
    <row r="267" spans="1:8" x14ac:dyDescent="0.3">
      <c r="A267" s="1">
        <v>44217</v>
      </c>
      <c r="B267" s="3">
        <f>(Master_Table!B267-Master_Table!B266)/Master_Table!B266</f>
        <v>-3.7112402439107911E-3</v>
      </c>
      <c r="C267" s="3">
        <f>(Master_Table!C267-Master_Table!C266)/Master_Table!C266</f>
        <v>2.1754280629147908E-2</v>
      </c>
      <c r="D267" s="3">
        <f>(Master_Table!D267-Master_Table!D266)/Master_Table!D266</f>
        <v>-1.1529933481152896E-2</v>
      </c>
      <c r="E267" s="3">
        <f>(Master_Table!E267-Master_Table!E266)/Master_Table!E266</f>
        <v>-1.8148403399954133E-2</v>
      </c>
      <c r="F267" s="3">
        <f>(Master_Table!F267-Master_Table!F266)/Master_Table!F266</f>
        <v>-1.0562741779497181E-2</v>
      </c>
      <c r="G267" s="3">
        <f>(Master_Table!G267-Master_Table!G266)/Master_Table!G266</f>
        <v>1.8664377169733844E-4</v>
      </c>
      <c r="H267" s="3">
        <f>(Master_Table!H267-Master_Table!H266)/Master_Table!H266</f>
        <v>-8.2088742631903494E-3</v>
      </c>
    </row>
    <row r="268" spans="1:8" x14ac:dyDescent="0.3">
      <c r="A268" s="1">
        <v>44218</v>
      </c>
      <c r="B268" s="3">
        <f>(Master_Table!B268-Master_Table!B267)/Master_Table!B267</f>
        <v>-1.4972224792414213E-2</v>
      </c>
      <c r="C268" s="3">
        <f>(Master_Table!C268-Master_Table!C267)/Master_Table!C267</f>
        <v>-2.372557661231087E-2</v>
      </c>
      <c r="D268" s="3">
        <f>(Master_Table!D268-Master_Table!D267)/Master_Table!D267</f>
        <v>-2.1194447843169286E-2</v>
      </c>
      <c r="E268" s="3">
        <f>(Master_Table!E268-Master_Table!E267)/Master_Table!E267</f>
        <v>-1.4038371548900329E-2</v>
      </c>
      <c r="F268" s="3">
        <f>(Master_Table!F268-Master_Table!F267)/Master_Table!F267</f>
        <v>8.9344349924400934E-3</v>
      </c>
      <c r="G268" s="3">
        <f>(Master_Table!G268-Master_Table!G267)/Master_Table!G267</f>
        <v>8.5840113458226738E-4</v>
      </c>
      <c r="H268" s="3">
        <f>(Master_Table!H268-Master_Table!H267)/Master_Table!H267</f>
        <v>-6.7089622985488555E-3</v>
      </c>
    </row>
    <row r="269" spans="1:8" x14ac:dyDescent="0.3">
      <c r="A269" s="1">
        <v>44221</v>
      </c>
      <c r="B269" s="3">
        <f>(Master_Table!B269-Master_Table!B268)/Master_Table!B268</f>
        <v>-9.2541695948343654E-3</v>
      </c>
      <c r="C269" s="3">
        <f>(Master_Table!C269-Master_Table!C268)/Master_Table!C268</f>
        <v>-5.2978922364220644E-2</v>
      </c>
      <c r="D269" s="3">
        <f>(Master_Table!D269-Master_Table!D268)/Master_Table!D268</f>
        <v>1.3375371538098273E-2</v>
      </c>
      <c r="E269" s="3">
        <f>(Master_Table!E269-Master_Table!E268)/Master_Table!E268</f>
        <v>-1.3763644992880766E-2</v>
      </c>
      <c r="F269" s="3">
        <f>(Master_Table!F269-Master_Table!F268)/Master_Table!F268</f>
        <v>-3.5724016832671514E-3</v>
      </c>
      <c r="G269" s="3">
        <f>(Master_Table!G269-Master_Table!G268)/Master_Table!G268</f>
        <v>-1.1746280344557557E-2</v>
      </c>
      <c r="H269" s="3">
        <f>(Master_Table!H269-Master_Table!H268)/Master_Table!H268</f>
        <v>-5.8732838998601757E-4</v>
      </c>
    </row>
    <row r="270" spans="1:8" x14ac:dyDescent="0.3">
      <c r="A270" s="1">
        <v>44223</v>
      </c>
      <c r="B270" s="3">
        <f>(Master_Table!B270-Master_Table!B269)/Master_Table!B269</f>
        <v>-1.9060461131126676E-2</v>
      </c>
      <c r="C270" s="3">
        <f>(Master_Table!C270-Master_Table!C269)/Master_Table!C269</f>
        <v>-2.3698188586734455E-2</v>
      </c>
      <c r="D270" s="3">
        <f>(Master_Table!D270-Master_Table!D269)/Master_Table!D269</f>
        <v>-3.6403009827168022E-2</v>
      </c>
      <c r="E270" s="3">
        <f>(Master_Table!E270-Master_Table!E269)/Master_Table!E269</f>
        <v>1.3715110683349347E-2</v>
      </c>
      <c r="F270" s="3">
        <f>(Master_Table!F270-Master_Table!F269)/Master_Table!F269</f>
        <v>-9.1908972138668599E-3</v>
      </c>
      <c r="G270" s="3">
        <f>(Master_Table!G270-Master_Table!G269)/Master_Table!G269</f>
        <v>-1.8187306618368357E-2</v>
      </c>
      <c r="H270" s="3">
        <f>(Master_Table!H270-Master_Table!H269)/Master_Table!H269</f>
        <v>-1.0651583045618493E-3</v>
      </c>
    </row>
    <row r="271" spans="1:8" x14ac:dyDescent="0.3">
      <c r="A271" s="1">
        <v>44224</v>
      </c>
      <c r="B271" s="3">
        <f>(Master_Table!B271-Master_Table!B270)/Master_Table!B270</f>
        <v>-1.0735636298550257E-2</v>
      </c>
      <c r="C271" s="3">
        <f>(Master_Table!C271-Master_Table!C270)/Master_Table!C270</f>
        <v>-9.7419204836084565E-3</v>
      </c>
      <c r="D271" s="3">
        <f>(Master_Table!D271-Master_Table!D270)/Master_Table!D270</f>
        <v>-2.7067776118341474E-2</v>
      </c>
      <c r="E271" s="3">
        <f>(Master_Table!E271-Master_Table!E270)/Master_Table!E270</f>
        <v>-1.9226204604794735E-2</v>
      </c>
      <c r="F271" s="3">
        <f>(Master_Table!F271-Master_Table!F270)/Master_Table!F270</f>
        <v>-1.977890556722528E-2</v>
      </c>
      <c r="G271" s="3">
        <f>(Master_Table!G271-Master_Table!G270)/Master_Table!G270</f>
        <v>-1.9062259800153691E-2</v>
      </c>
      <c r="H271" s="3">
        <f>(Master_Table!H271-Master_Table!H270)/Master_Table!H270</f>
        <v>-1.0662940765525611E-2</v>
      </c>
    </row>
    <row r="272" spans="1:8" x14ac:dyDescent="0.3">
      <c r="A272" s="1">
        <v>44225</v>
      </c>
      <c r="B272" s="3">
        <f>(Master_Table!B272-Master_Table!B271)/Master_Table!B271</f>
        <v>-1.3240408031814534E-2</v>
      </c>
      <c r="C272" s="3">
        <f>(Master_Table!C272-Master_Table!C271)/Master_Table!C271</f>
        <v>-1.8431123946373699E-2</v>
      </c>
      <c r="D272" s="3">
        <f>(Master_Table!D272-Master_Table!D271)/Master_Table!D271</f>
        <v>1.3888482792900793E-2</v>
      </c>
      <c r="E272" s="3">
        <f>(Master_Table!E272-Master_Table!E271)/Master_Table!E271</f>
        <v>-1.6214908034849925E-2</v>
      </c>
      <c r="F272" s="3">
        <f>(Master_Table!F272-Master_Table!F271)/Master_Table!F271</f>
        <v>-2.6653736059188898E-2</v>
      </c>
      <c r="G272" s="3">
        <f>(Master_Table!G272-Master_Table!G271)/Master_Table!G271</f>
        <v>-2.9109857389124031E-2</v>
      </c>
      <c r="H272" s="3">
        <f>(Master_Table!H272-Master_Table!H271)/Master_Table!H271</f>
        <v>-7.9161556472292453E-3</v>
      </c>
    </row>
    <row r="273" spans="1:8" x14ac:dyDescent="0.3">
      <c r="A273" s="1">
        <v>44228</v>
      </c>
      <c r="B273" s="3">
        <f>(Master_Table!B273-Master_Table!B272)/Master_Table!B272</f>
        <v>4.7423466768368734E-2</v>
      </c>
      <c r="C273" s="3">
        <f>(Master_Table!C273-Master_Table!C272)/Master_Table!C272</f>
        <v>2.8955173898483514E-2</v>
      </c>
      <c r="D273" s="3">
        <f>(Master_Table!D273-Master_Table!D272)/Master_Table!D272</f>
        <v>6.2031376167954753E-2</v>
      </c>
      <c r="E273" s="3">
        <f>(Master_Table!E273-Master_Table!E272)/Master_Table!E272</f>
        <v>6.2484624846248407E-2</v>
      </c>
      <c r="F273" s="3">
        <f>(Master_Table!F273-Master_Table!F272)/Master_Table!F272</f>
        <v>8.9993089816317682E-3</v>
      </c>
      <c r="G273" s="3">
        <f>(Master_Table!G273-Master_Table!G272)/Master_Table!G272</f>
        <v>1.7634478027521196E-2</v>
      </c>
      <c r="H273" s="3">
        <f>(Master_Table!H273-Master_Table!H272)/Master_Table!H272</f>
        <v>8.5524837042031815E-2</v>
      </c>
    </row>
    <row r="274" spans="1:8" x14ac:dyDescent="0.3">
      <c r="A274" s="1">
        <v>44229</v>
      </c>
      <c r="B274" s="3">
        <f>(Master_Table!B274-Master_Table!B273)/Master_Table!B273</f>
        <v>2.5673612861664259E-2</v>
      </c>
      <c r="C274" s="3">
        <f>(Master_Table!C274-Master_Table!C273)/Master_Table!C273</f>
        <v>1.6098473841432832E-2</v>
      </c>
      <c r="D274" s="3">
        <f>(Master_Table!D274-Master_Table!D273)/Master_Table!D273</f>
        <v>5.675183968284149E-2</v>
      </c>
      <c r="E274" s="3">
        <f>(Master_Table!E274-Master_Table!E273)/Master_Table!E273</f>
        <v>1.0419078490391295E-2</v>
      </c>
      <c r="F274" s="3">
        <f>(Master_Table!F274-Master_Table!F273)/Master_Table!F273</f>
        <v>2.0418239444470961E-2</v>
      </c>
      <c r="G274" s="3">
        <f>(Master_Table!G274-Master_Table!G273)/Master_Table!G273</f>
        <v>8.2084225553175575E-3</v>
      </c>
      <c r="H274" s="3">
        <f>(Master_Table!H274-Master_Table!H273)/Master_Table!H273</f>
        <v>4.9245953687407348E-2</v>
      </c>
    </row>
    <row r="275" spans="1:8" x14ac:dyDescent="0.3">
      <c r="A275" s="1">
        <v>44230</v>
      </c>
      <c r="B275" s="3">
        <f>(Master_Table!B275-Master_Table!B274)/Master_Table!B274</f>
        <v>9.701082411411939E-3</v>
      </c>
      <c r="C275" s="3">
        <f>(Master_Table!C275-Master_Table!C274)/Master_Table!C274</f>
        <v>2.5166441693930835E-3</v>
      </c>
      <c r="D275" s="3">
        <f>(Master_Table!D275-Master_Table!D274)/Master_Table!D274</f>
        <v>9.1348253976411501E-3</v>
      </c>
      <c r="E275" s="3">
        <f>(Master_Table!E275-Master_Table!E274)/Master_Table!E274</f>
        <v>-6.6452795600366122E-3</v>
      </c>
      <c r="F275" s="3">
        <f>(Master_Table!F275-Master_Table!F274)/Master_Table!F274</f>
        <v>-1.0613557258579457E-3</v>
      </c>
      <c r="G275" s="3">
        <f>(Master_Table!G275-Master_Table!G274)/Master_Table!G274</f>
        <v>1.0540806293018753E-2</v>
      </c>
      <c r="H275" s="3">
        <f>(Master_Table!H275-Master_Table!H274)/Master_Table!H274</f>
        <v>5.4926983291671552E-3</v>
      </c>
    </row>
    <row r="276" spans="1:8" x14ac:dyDescent="0.3">
      <c r="A276" s="1">
        <v>44231</v>
      </c>
      <c r="B276" s="3">
        <f>(Master_Table!B276-Master_Table!B275)/Master_Table!B275</f>
        <v>7.1467449180016773E-3</v>
      </c>
      <c r="C276" s="3">
        <f>(Master_Table!C276-Master_Table!C275)/Master_Table!C275</f>
        <v>-3.2862456925078112E-3</v>
      </c>
      <c r="D276" s="3">
        <f>(Master_Table!D276-Master_Table!D275)/Master_Table!D275</f>
        <v>2.7245528041250065E-3</v>
      </c>
      <c r="E276" s="3">
        <f>(Master_Table!E276-Master_Table!E275)/Master_Table!E275</f>
        <v>6.0899653979238702E-2</v>
      </c>
      <c r="F276" s="3">
        <f>(Master_Table!F276-Master_Table!F275)/Master_Table!F275</f>
        <v>-3.6249433602601093E-3</v>
      </c>
      <c r="G276" s="3">
        <f>(Master_Table!G276-Master_Table!G275)/Master_Table!G275</f>
        <v>-4.1256373331258955E-3</v>
      </c>
      <c r="H276" s="3">
        <f>(Master_Table!H276-Master_Table!H275)/Master_Table!H275</f>
        <v>8.1776847338981386E-4</v>
      </c>
    </row>
    <row r="277" spans="1:8" x14ac:dyDescent="0.3">
      <c r="A277" s="1">
        <v>44232</v>
      </c>
      <c r="B277" s="3">
        <f>(Master_Table!B277-Master_Table!B276)/Master_Table!B276</f>
        <v>1.920023631060099E-3</v>
      </c>
      <c r="C277" s="3">
        <f>(Master_Table!C277-Master_Table!C276)/Master_Table!C276</f>
        <v>-2.8620492272467084E-4</v>
      </c>
      <c r="D277" s="3">
        <f>(Master_Table!D277-Master_Table!D276)/Master_Table!D276</f>
        <v>1.1719295572569507E-2</v>
      </c>
      <c r="E277" s="3">
        <f>(Master_Table!E277-Master_Table!E276)/Master_Table!E276</f>
        <v>1.9134594477060257E-2</v>
      </c>
      <c r="F277" s="3">
        <f>(Master_Table!F277-Master_Table!F276)/Master_Table!F276</f>
        <v>-9.5657764744625142E-3</v>
      </c>
      <c r="G277" s="3">
        <f>(Master_Table!G277-Master_Table!G276)/Master_Table!G276</f>
        <v>-5.6669402430921953E-3</v>
      </c>
      <c r="H277" s="3">
        <f>(Master_Table!H277-Master_Table!H276)/Master_Table!H276</f>
        <v>-8.6939469211661357E-3</v>
      </c>
    </row>
    <row r="278" spans="1:8" x14ac:dyDescent="0.3">
      <c r="A278" s="1">
        <v>44235</v>
      </c>
      <c r="B278" s="3">
        <f>(Master_Table!B278-Master_Table!B277)/Master_Table!B277</f>
        <v>1.2834815819890398E-2</v>
      </c>
      <c r="C278" s="3">
        <f>(Master_Table!C278-Master_Table!C277)/Master_Table!C277</f>
        <v>1.4394503292298941E-2</v>
      </c>
      <c r="D278" s="3">
        <f>(Master_Table!D278-Master_Table!D277)/Master_Table!D277</f>
        <v>4.7815064882908874E-3</v>
      </c>
      <c r="E278" s="3">
        <f>(Master_Table!E278-Master_Table!E277)/Master_Table!E277</f>
        <v>-5.3339022829101768E-3</v>
      </c>
      <c r="F278" s="3">
        <f>(Master_Table!F278-Master_Table!F277)/Master_Table!F277</f>
        <v>1.7780522174195314E-2</v>
      </c>
      <c r="G278" s="3">
        <f>(Master_Table!G278-Master_Table!G277)/Master_Table!G277</f>
        <v>2.4722899143149162E-2</v>
      </c>
      <c r="H278" s="3">
        <f>(Master_Table!H278-Master_Table!H277)/Master_Table!H277</f>
        <v>2.3277283217936005E-2</v>
      </c>
    </row>
    <row r="279" spans="1:8" x14ac:dyDescent="0.3">
      <c r="A279" s="1">
        <v>44236</v>
      </c>
      <c r="B279" s="3">
        <f>(Master_Table!B279-Master_Table!B278)/Master_Table!B278</f>
        <v>-4.300136281242144E-4</v>
      </c>
      <c r="C279" s="3">
        <f>(Master_Table!C279-Master_Table!C278)/Master_Table!C278</f>
        <v>2.4045517147953258E-3</v>
      </c>
      <c r="D279" s="3">
        <f>(Master_Table!D279-Master_Table!D278)/Master_Table!D278</f>
        <v>4.1092639546356788E-3</v>
      </c>
      <c r="E279" s="3">
        <f>(Master_Table!E279-Master_Table!E278)/Master_Table!E278</f>
        <v>-1.7589017589017566E-2</v>
      </c>
      <c r="F279" s="3">
        <f>(Master_Table!F279-Master_Table!F278)/Master_Table!F278</f>
        <v>-1.1574002053451922E-2</v>
      </c>
      <c r="G279" s="3">
        <f>(Master_Table!G279-Master_Table!G278)/Master_Table!G278</f>
        <v>1.5342717962487055E-3</v>
      </c>
      <c r="H279" s="3">
        <f>(Master_Table!H279-Master_Table!H278)/Master_Table!H278</f>
        <v>9.4406495682433887E-3</v>
      </c>
    </row>
    <row r="280" spans="1:8" x14ac:dyDescent="0.3">
      <c r="A280" s="1">
        <v>44237</v>
      </c>
      <c r="B280" s="3">
        <f>(Master_Table!B280-Master_Table!B279)/Master_Table!B279</f>
        <v>-1.8531632835401193E-4</v>
      </c>
      <c r="C280" s="3">
        <f>(Master_Table!C280-Master_Table!C279)/Master_Table!C279</f>
        <v>9.2798017906413743E-3</v>
      </c>
      <c r="D280" s="3">
        <f>(Master_Table!D280-Master_Table!D279)/Master_Table!D279</f>
        <v>-1.8671012040999094E-2</v>
      </c>
      <c r="E280" s="3">
        <f>(Master_Table!E280-Master_Table!E279)/Master_Table!E279</f>
        <v>-6.3318777292575923E-3</v>
      </c>
      <c r="F280" s="3">
        <f>(Master_Table!F280-Master_Table!F279)/Master_Table!F279</f>
        <v>1.1457710346564289E-2</v>
      </c>
      <c r="G280" s="3">
        <f>(Master_Table!G280-Master_Table!G279)/Master_Table!G279</f>
        <v>-6.9319443912526941E-3</v>
      </c>
      <c r="H280" s="3">
        <f>(Master_Table!H280-Master_Table!H279)/Master_Table!H279</f>
        <v>-8.6820517731176459E-3</v>
      </c>
    </row>
    <row r="281" spans="1:8" x14ac:dyDescent="0.3">
      <c r="A281" s="1">
        <v>44238</v>
      </c>
      <c r="B281" s="3">
        <f>(Master_Table!B281-Master_Table!B280)/Master_Table!B280</f>
        <v>4.4219375765398522E-3</v>
      </c>
      <c r="C281" s="3">
        <f>(Master_Table!C281-Master_Table!C280)/Master_Table!C280</f>
        <v>4.1230096296544179E-2</v>
      </c>
      <c r="D281" s="3">
        <f>(Master_Table!D281-Master_Table!D280)/Master_Table!D280</f>
        <v>-5.9449113333586105E-3</v>
      </c>
      <c r="E281" s="3">
        <f>(Master_Table!E281-Master_Table!E280)/Master_Table!E280</f>
        <v>-4.8341023950781046E-3</v>
      </c>
      <c r="F281" s="3">
        <f>(Master_Table!F281-Master_Table!F280)/Master_Table!F280</f>
        <v>-2.2718077988361442E-3</v>
      </c>
      <c r="G281" s="3">
        <f>(Master_Table!G281-Master_Table!G280)/Master_Table!G280</f>
        <v>-2.9695333590435088E-3</v>
      </c>
      <c r="H281" s="3">
        <f>(Master_Table!H281-Master_Table!H280)/Master_Table!H280</f>
        <v>-1.4392890491676536E-2</v>
      </c>
    </row>
    <row r="282" spans="1:8" x14ac:dyDescent="0.3">
      <c r="A282" s="1">
        <v>44239</v>
      </c>
      <c r="B282" s="3">
        <f>(Master_Table!B282-Master_Table!B281)/Master_Table!B281</f>
        <v>-6.5905241443852032E-4</v>
      </c>
      <c r="C282" s="3">
        <f>(Master_Table!C282-Master_Table!C281)/Master_Table!C281</f>
        <v>-6.8585635595944635E-3</v>
      </c>
      <c r="D282" s="3">
        <f>(Master_Table!D282-Master_Table!D281)/Master_Table!D281</f>
        <v>6.1079799035984334E-3</v>
      </c>
      <c r="E282" s="3">
        <f>(Master_Table!E282-Master_Table!E281)/Master_Table!E281</f>
        <v>-3.9743872819606979E-2</v>
      </c>
      <c r="F282" s="3">
        <f>(Master_Table!F282-Master_Table!F281)/Master_Table!F281</f>
        <v>-4.741110417966256E-3</v>
      </c>
      <c r="G282" s="3">
        <f>(Master_Table!G282-Master_Table!G281)/Master_Table!G281</f>
        <v>1.3267319073221569E-2</v>
      </c>
      <c r="H282" s="3">
        <f>(Master_Table!H282-Master_Table!H281)/Master_Table!H281</f>
        <v>-5.978438418817439E-3</v>
      </c>
    </row>
    <row r="283" spans="1:8" x14ac:dyDescent="0.3">
      <c r="A283" s="1">
        <v>44242</v>
      </c>
      <c r="B283" s="3">
        <f>(Master_Table!B283-Master_Table!B282)/Master_Table!B282</f>
        <v>9.9846339517124551E-3</v>
      </c>
      <c r="C283" s="3">
        <f>(Master_Table!C283-Master_Table!C282)/Master_Table!C282</f>
        <v>-4.4025292962427878E-3</v>
      </c>
      <c r="D283" s="3">
        <f>(Master_Table!D283-Master_Table!D282)/Master_Table!D282</f>
        <v>2.1900863106931436E-2</v>
      </c>
      <c r="E283" s="3">
        <f>(Master_Table!E283-Master_Table!E282)/Master_Table!E282</f>
        <v>5.2885720855369318E-3</v>
      </c>
      <c r="F283" s="3">
        <f>(Master_Table!F283-Master_Table!F282)/Master_Table!F282</f>
        <v>-1.5967782374326271E-2</v>
      </c>
      <c r="G283" s="3">
        <f>(Master_Table!G283-Master_Table!G282)/Master_Table!G282</f>
        <v>-1.1452130096187478E-4</v>
      </c>
      <c r="H283" s="3">
        <f>(Master_Table!H283-Master_Table!H282)/Master_Table!H282</f>
        <v>1.0714168337332096E-2</v>
      </c>
    </row>
    <row r="284" spans="1:8" x14ac:dyDescent="0.3">
      <c r="A284" s="1">
        <v>44243</v>
      </c>
      <c r="B284" s="3">
        <f>(Master_Table!B284-Master_Table!B283)/Master_Table!B283</f>
        <v>-8.1620926299568388E-5</v>
      </c>
      <c r="C284" s="3">
        <f>(Master_Table!C284-Master_Table!C283)/Master_Table!C283</f>
        <v>1.3233477120499465E-2</v>
      </c>
      <c r="D284" s="3">
        <f>(Master_Table!D284-Master_Table!D283)/Master_Table!D283</f>
        <v>6.2260476999590492E-3</v>
      </c>
      <c r="E284" s="3">
        <f>(Master_Table!E284-Master_Table!E283)/Master_Table!E283</f>
        <v>-1.6010978956998826E-3</v>
      </c>
      <c r="F284" s="3">
        <f>(Master_Table!F284-Master_Table!F283)/Master_Table!F283</f>
        <v>-9.8890074366609002E-3</v>
      </c>
      <c r="G284" s="3">
        <f>(Master_Table!G284-Master_Table!G283)/Master_Table!G283</f>
        <v>-1.4698583591035772E-2</v>
      </c>
      <c r="H284" s="3">
        <f>(Master_Table!H284-Master_Table!H283)/Master_Table!H283</f>
        <v>7.6740480603518053E-3</v>
      </c>
    </row>
    <row r="285" spans="1:8" x14ac:dyDescent="0.3">
      <c r="A285" s="1">
        <v>44244</v>
      </c>
      <c r="B285" s="3">
        <f>(Master_Table!B285-Master_Table!B284)/Master_Table!B284</f>
        <v>-6.8273315288195071E-3</v>
      </c>
      <c r="C285" s="3">
        <f>(Master_Table!C285-Master_Table!C284)/Master_Table!C284</f>
        <v>1.153101500743416E-2</v>
      </c>
      <c r="D285" s="3">
        <f>(Master_Table!D285-Master_Table!D284)/Master_Table!D284</f>
        <v>-2.4688466800606396E-2</v>
      </c>
      <c r="E285" s="3">
        <f>(Master_Table!E285-Master_Table!E284)/Master_Table!E284</f>
        <v>-2.2909507445589921E-3</v>
      </c>
      <c r="F285" s="3">
        <f>(Master_Table!F285-Master_Table!F284)/Master_Table!F284</f>
        <v>-1.1483530622748414E-2</v>
      </c>
      <c r="G285" s="3">
        <f>(Master_Table!G285-Master_Table!G284)/Master_Table!G284</f>
        <v>-7.0520768753875819E-3</v>
      </c>
      <c r="H285" s="3">
        <f>(Master_Table!H285-Master_Table!H284)/Master_Table!H284</f>
        <v>-7.0992932976226175E-4</v>
      </c>
    </row>
    <row r="286" spans="1:8" x14ac:dyDescent="0.3">
      <c r="A286" s="1">
        <v>44245</v>
      </c>
      <c r="B286" s="3">
        <f>(Master_Table!B286-Master_Table!B285)/Master_Table!B285</f>
        <v>-5.9143001795000892E-3</v>
      </c>
      <c r="C286" s="3">
        <f>(Master_Table!C286-Master_Table!C285)/Master_Table!C285</f>
        <v>-7.4657642891132504E-3</v>
      </c>
      <c r="D286" s="3">
        <f>(Master_Table!D286-Master_Table!D285)/Master_Table!D285</f>
        <v>-2.0296228894954943E-2</v>
      </c>
      <c r="E286" s="3">
        <f>(Master_Table!E286-Master_Table!E285)/Master_Table!E285</f>
        <v>5.051664753157264E-3</v>
      </c>
      <c r="F286" s="3">
        <f>(Master_Table!F286-Master_Table!F285)/Master_Table!F285</f>
        <v>-5.1251179590641373E-3</v>
      </c>
      <c r="G286" s="3">
        <f>(Master_Table!G286-Master_Table!G285)/Master_Table!G285</f>
        <v>8.7020994302662077E-3</v>
      </c>
      <c r="H286" s="3">
        <f>(Master_Table!H286-Master_Table!H285)/Master_Table!H285</f>
        <v>-1.5338909161365325E-2</v>
      </c>
    </row>
    <row r="287" spans="1:8" x14ac:dyDescent="0.3">
      <c r="A287" s="1">
        <v>44246</v>
      </c>
      <c r="B287" s="3">
        <f>(Master_Table!B287-Master_Table!B286)/Master_Table!B286</f>
        <v>-9.0747042618700858E-3</v>
      </c>
      <c r="C287" s="3">
        <f>(Master_Table!C287-Master_Table!C286)/Master_Table!C286</f>
        <v>6.0942477546105473E-3</v>
      </c>
      <c r="D287" s="3">
        <f>(Master_Table!D287-Master_Table!D286)/Master_Table!D286</f>
        <v>-9.7778695080106819E-3</v>
      </c>
      <c r="E287" s="3">
        <f>(Master_Table!E287-Master_Table!E286)/Master_Table!E286</f>
        <v>-1.3251085218185998E-2</v>
      </c>
      <c r="F287" s="3">
        <f>(Master_Table!F287-Master_Table!F286)/Master_Table!F286</f>
        <v>4.7426693051171769E-3</v>
      </c>
      <c r="G287" s="3">
        <f>(Master_Table!G287-Master_Table!G286)/Master_Table!G286</f>
        <v>-8.8978297032774262E-4</v>
      </c>
      <c r="H287" s="3">
        <f>(Master_Table!H287-Master_Table!H286)/Master_Table!H286</f>
        <v>-1.0363373999737607E-2</v>
      </c>
    </row>
    <row r="288" spans="1:8" x14ac:dyDescent="0.3">
      <c r="A288" s="1">
        <v>44249</v>
      </c>
      <c r="B288" s="3">
        <f>(Master_Table!B288-Master_Table!B287)/Master_Table!B287</f>
        <v>-2.0428187628281028E-2</v>
      </c>
      <c r="C288" s="3">
        <f>(Master_Table!C288-Master_Table!C287)/Master_Table!C287</f>
        <v>-3.4702587074159949E-2</v>
      </c>
      <c r="D288" s="3">
        <f>(Master_Table!D288-Master_Table!D287)/Master_Table!D287</f>
        <v>5.7839612318274902E-3</v>
      </c>
      <c r="E288" s="3">
        <f>(Master_Table!E288-Master_Table!E287)/Master_Table!E287</f>
        <v>-4.1213243806436574E-2</v>
      </c>
      <c r="F288" s="3">
        <f>(Master_Table!F288-Master_Table!F287)/Master_Table!F287</f>
        <v>-3.6915865032472323E-2</v>
      </c>
      <c r="G288" s="3">
        <f>(Master_Table!G288-Master_Table!G287)/Master_Table!G287</f>
        <v>-2.0212189266630459E-2</v>
      </c>
      <c r="H288" s="3">
        <f>(Master_Table!H288-Master_Table!H287)/Master_Table!H287</f>
        <v>-3.751325556733822E-2</v>
      </c>
    </row>
    <row r="289" spans="1:8" x14ac:dyDescent="0.3">
      <c r="A289" s="1">
        <v>44250</v>
      </c>
      <c r="B289" s="3">
        <f>(Master_Table!B289-Master_Table!B288)/Master_Table!B288</f>
        <v>2.1872891923382558E-3</v>
      </c>
      <c r="C289" s="3">
        <f>(Master_Table!C289-Master_Table!C288)/Master_Table!C288</f>
        <v>7.6354301511727812E-3</v>
      </c>
      <c r="D289" s="3">
        <f>(Master_Table!D289-Master_Table!D288)/Master_Table!D288</f>
        <v>-1.217490415500996E-2</v>
      </c>
      <c r="E289" s="3">
        <f>(Master_Table!E289-Master_Table!E288)/Master_Table!E288</f>
        <v>7.0031393383240209E-3</v>
      </c>
      <c r="F289" s="3">
        <f>(Master_Table!F289-Master_Table!F288)/Master_Table!F288</f>
        <v>7.351822745018507E-3</v>
      </c>
      <c r="G289" s="3">
        <f>(Master_Table!G289-Master_Table!G288)/Master_Table!G288</f>
        <v>9.0894720202328765E-4</v>
      </c>
      <c r="H289" s="3">
        <f>(Master_Table!H289-Master_Table!H288)/Master_Table!H288</f>
        <v>2.3481614102740606E-2</v>
      </c>
    </row>
    <row r="290" spans="1:8" x14ac:dyDescent="0.3">
      <c r="A290" s="1">
        <v>44251</v>
      </c>
      <c r="B290" s="3">
        <f>(Master_Table!B290-Master_Table!B289)/Master_Table!B289</f>
        <v>1.8643168930771479E-2</v>
      </c>
      <c r="C290" s="3">
        <f>(Master_Table!C290-Master_Table!C289)/Master_Table!C289</f>
        <v>1.8562874251496955E-2</v>
      </c>
      <c r="D290" s="3">
        <f>(Master_Table!D290-Master_Table!D289)/Master_Table!D289</f>
        <v>5.0545445009702719E-2</v>
      </c>
      <c r="E290" s="3">
        <f>(Master_Table!E290-Master_Table!E289)/Master_Table!E289</f>
        <v>1.6786570743405004E-3</v>
      </c>
      <c r="F290" s="3">
        <f>(Master_Table!F290-Master_Table!F289)/Master_Table!F289</f>
        <v>-1.0771089188645028E-2</v>
      </c>
      <c r="G290" s="3">
        <f>(Master_Table!G290-Master_Table!G289)/Master_Table!G289</f>
        <v>6.2778852607889178E-3</v>
      </c>
      <c r="H290" s="3">
        <f>(Master_Table!H290-Master_Table!H289)/Master_Table!H289</f>
        <v>2.7114310704433799E-2</v>
      </c>
    </row>
    <row r="291" spans="1:8" x14ac:dyDescent="0.3">
      <c r="A291" s="1">
        <v>44252</v>
      </c>
      <c r="B291" s="3">
        <f>(Master_Table!B291-Master_Table!B290)/Master_Table!B290</f>
        <v>7.6992390869043094E-3</v>
      </c>
      <c r="C291" s="3">
        <f>(Master_Table!C291-Master_Table!C290)/Master_Table!C290</f>
        <v>4.0436107102773816E-2</v>
      </c>
      <c r="D291" s="3">
        <f>(Master_Table!D291-Master_Table!D290)/Master_Table!D290</f>
        <v>-2.4961621506910387E-5</v>
      </c>
      <c r="E291" s="3">
        <f>(Master_Table!E291-Master_Table!E290)/Master_Table!E290</f>
        <v>1.4364376346660828E-3</v>
      </c>
      <c r="F291" s="3">
        <f>(Master_Table!F291-Master_Table!F290)/Master_Table!F290</f>
        <v>1.6010311726196626E-2</v>
      </c>
      <c r="G291" s="3">
        <f>(Master_Table!G291-Master_Table!G290)/Master_Table!G290</f>
        <v>1.9618614141097074E-4</v>
      </c>
      <c r="H291" s="3">
        <f>(Master_Table!H291-Master_Table!H290)/Master_Table!H290</f>
        <v>-1.3199266343508362E-2</v>
      </c>
    </row>
    <row r="292" spans="1:8" x14ac:dyDescent="0.3">
      <c r="A292" s="1">
        <v>44253</v>
      </c>
      <c r="B292" s="3">
        <f>(Master_Table!B292-Master_Table!B291)/Master_Table!B291</f>
        <v>-3.7635744021301799E-2</v>
      </c>
      <c r="C292" s="3">
        <f>(Master_Table!C292-Master_Table!C291)/Master_Table!C291</f>
        <v>-2.7296636462635405E-2</v>
      </c>
      <c r="D292" s="3">
        <f>(Master_Table!D292-Master_Table!D291)/Master_Table!D291</f>
        <v>-4.4819710188340238E-2</v>
      </c>
      <c r="E292" s="3">
        <f>(Master_Table!E292-Master_Table!E291)/Master_Table!E291</f>
        <v>-2.5340664594788485E-2</v>
      </c>
      <c r="F292" s="3">
        <f>(Master_Table!F292-Master_Table!F291)/Master_Table!F291</f>
        <v>-3.3719493873735518E-2</v>
      </c>
      <c r="G292" s="3">
        <f>(Master_Table!G292-Master_Table!G291)/Master_Table!G291</f>
        <v>-1.667255109646542E-2</v>
      </c>
      <c r="H292" s="3">
        <f>(Master_Table!H292-Master_Table!H291)/Master_Table!H291</f>
        <v>-4.2450794915198008E-2</v>
      </c>
    </row>
    <row r="293" spans="1:8" x14ac:dyDescent="0.3">
      <c r="A293" s="1">
        <v>44256</v>
      </c>
      <c r="B293" s="3">
        <f>(Master_Table!B293-Master_Table!B292)/Master_Table!B292</f>
        <v>1.5995429877177926E-2</v>
      </c>
      <c r="C293" s="3">
        <f>(Master_Table!C293-Master_Table!C292)/Master_Table!C292</f>
        <v>7.6150442010541044E-3</v>
      </c>
      <c r="D293" s="3">
        <f>(Master_Table!D293-Master_Table!D292)/Master_Table!D292</f>
        <v>1.5967594407421962E-2</v>
      </c>
      <c r="E293" s="3">
        <f>(Master_Table!E293-Master_Table!E292)/Master_Table!E292</f>
        <v>1.4961981849399125E-2</v>
      </c>
      <c r="F293" s="3">
        <f>(Master_Table!F293-Master_Table!F292)/Master_Table!F292</f>
        <v>1.0330649898075401E-2</v>
      </c>
      <c r="G293" s="3">
        <f>(Master_Table!G293-Master_Table!G292)/Master_Table!G292</f>
        <v>1.0931141785685826E-2</v>
      </c>
      <c r="H293" s="3">
        <f>(Master_Table!H293-Master_Table!H292)/Master_Table!H292</f>
        <v>2.1039861351819695E-2</v>
      </c>
    </row>
    <row r="294" spans="1:8" x14ac:dyDescent="0.3">
      <c r="A294" s="1">
        <v>44257</v>
      </c>
      <c r="B294" s="3">
        <f>(Master_Table!B294-Master_Table!B293)/Master_Table!B293</f>
        <v>1.0672998431736578E-2</v>
      </c>
      <c r="C294" s="3">
        <f>(Master_Table!C294-Master_Table!C293)/Master_Table!C293</f>
        <v>2.0544642669965371E-3</v>
      </c>
      <c r="D294" s="3">
        <f>(Master_Table!D294-Master_Table!D293)/Master_Table!D293</f>
        <v>5.9548307439036881E-3</v>
      </c>
      <c r="E294" s="3">
        <f>(Master_Table!E294-Master_Table!E293)/Master_Table!E293</f>
        <v>1.4499758337361043E-2</v>
      </c>
      <c r="F294" s="3">
        <f>(Master_Table!F294-Master_Table!F293)/Master_Table!F293</f>
        <v>2.8093153683058647E-2</v>
      </c>
      <c r="G294" s="3">
        <f>(Master_Table!G294-Master_Table!G293)/Master_Table!G293</f>
        <v>2.9597474348855565E-2</v>
      </c>
      <c r="H294" s="3">
        <f>(Master_Table!H294-Master_Table!H293)/Master_Table!H293</f>
        <v>8.6906338052077144E-3</v>
      </c>
    </row>
    <row r="295" spans="1:8" x14ac:dyDescent="0.3">
      <c r="A295" s="1">
        <v>44258</v>
      </c>
      <c r="B295" s="3">
        <f>(Master_Table!B295-Master_Table!B294)/Master_Table!B294</f>
        <v>2.1884698138627666E-2</v>
      </c>
      <c r="C295" s="3">
        <f>(Master_Table!C295-Master_Table!C294)/Master_Table!C294</f>
        <v>4.5628569635348025E-2</v>
      </c>
      <c r="D295" s="3">
        <f>(Master_Table!D295-Master_Table!D294)/Master_Table!D294</f>
        <v>1.19030876430353E-2</v>
      </c>
      <c r="E295" s="3">
        <f>(Master_Table!E295-Master_Table!E294)/Master_Table!E294</f>
        <v>2.3820867079553572E-4</v>
      </c>
      <c r="F295" s="3">
        <f>(Master_Table!F295-Master_Table!F294)/Master_Table!F294</f>
        <v>1.7546193889600346E-2</v>
      </c>
      <c r="G295" s="3">
        <f>(Master_Table!G295-Master_Table!G294)/Master_Table!G294</f>
        <v>2.9934840935224191E-2</v>
      </c>
      <c r="H295" s="3">
        <f>(Master_Table!H295-Master_Table!H294)/Master_Table!H294</f>
        <v>7.5724430384006992E-3</v>
      </c>
    </row>
    <row r="296" spans="1:8" x14ac:dyDescent="0.3">
      <c r="A296" s="1">
        <v>44259</v>
      </c>
      <c r="B296" s="3">
        <f>(Master_Table!B296-Master_Table!B295)/Master_Table!B295</f>
        <v>-1.0812955869234425E-2</v>
      </c>
      <c r="C296" s="3">
        <f>(Master_Table!C296-Master_Table!C295)/Master_Table!C295</f>
        <v>-1.1924769907963258E-2</v>
      </c>
      <c r="D296" s="3">
        <f>(Master_Table!D296-Master_Table!D295)/Master_Table!D295</f>
        <v>-2.1934147019432457E-2</v>
      </c>
      <c r="E296" s="3">
        <f>(Master_Table!E296-Master_Table!E295)/Master_Table!E295</f>
        <v>-1.1907597046915933E-3</v>
      </c>
      <c r="F296" s="3">
        <f>(Master_Table!F296-Master_Table!F295)/Master_Table!F295</f>
        <v>-3.0727991893040735E-3</v>
      </c>
      <c r="G296" s="3">
        <f>(Master_Table!G296-Master_Table!G295)/Master_Table!G295</f>
        <v>-9.8247180975773486E-3</v>
      </c>
      <c r="H296" s="3">
        <f>(Master_Table!H296-Master_Table!H295)/Master_Table!H295</f>
        <v>-2.2914022312779864E-2</v>
      </c>
    </row>
    <row r="297" spans="1:8" x14ac:dyDescent="0.3">
      <c r="A297" s="1">
        <v>44260</v>
      </c>
      <c r="B297" s="3">
        <f>(Master_Table!B297-Master_Table!B296)/Master_Table!B296</f>
        <v>-9.4590786267261008E-3</v>
      </c>
      <c r="C297" s="3">
        <f>(Master_Table!C297-Master_Table!C296)/Master_Table!C296</f>
        <v>1.316215778389831E-3</v>
      </c>
      <c r="D297" s="3">
        <f>(Master_Table!D297-Master_Table!D296)/Master_Table!D296</f>
        <v>-1.4210050381087714E-2</v>
      </c>
      <c r="E297" s="3">
        <f>(Master_Table!E297-Master_Table!E296)/Master_Table!E296</f>
        <v>-5.4840247973294105E-3</v>
      </c>
      <c r="F297" s="3">
        <f>(Master_Table!F297-Master_Table!F296)/Master_Table!F296</f>
        <v>-1.3657081024362933E-2</v>
      </c>
      <c r="G297" s="3">
        <f>(Master_Table!G297-Master_Table!G296)/Master_Table!G296</f>
        <v>-1.0260457774269828E-2</v>
      </c>
      <c r="H297" s="3">
        <f>(Master_Table!H297-Master_Table!H296)/Master_Table!H296</f>
        <v>6.4952823738550906E-4</v>
      </c>
    </row>
    <row r="298" spans="1:8" x14ac:dyDescent="0.3">
      <c r="A298" s="1">
        <v>44263</v>
      </c>
      <c r="B298" s="3">
        <f>(Master_Table!B298-Master_Table!B297)/Master_Table!B297</f>
        <v>1.2116668117096794E-3</v>
      </c>
      <c r="C298" s="3">
        <f>(Master_Table!C298-Master_Table!C297)/Master_Table!C297</f>
        <v>5.6826224999494473E-3</v>
      </c>
      <c r="D298" s="3">
        <f>(Master_Table!D298-Master_Table!D297)/Master_Table!D297</f>
        <v>-6.8667278207312395E-3</v>
      </c>
      <c r="E298" s="3">
        <f>(Master_Table!E298-Master_Table!E297)/Master_Table!E297</f>
        <v>-2.6372572524574985E-3</v>
      </c>
      <c r="F298" s="3">
        <f>(Master_Table!F298-Master_Table!F297)/Master_Table!F297</f>
        <v>-3.6568541081443583E-4</v>
      </c>
      <c r="G298" s="3">
        <f>(Master_Table!G298-Master_Table!G297)/Master_Table!G297</f>
        <v>1.4467988152198644E-2</v>
      </c>
      <c r="H298" s="3">
        <f>(Master_Table!H298-Master_Table!H297)/Master_Table!H297</f>
        <v>3.5290902258207843E-2</v>
      </c>
    </row>
    <row r="299" spans="1:8" x14ac:dyDescent="0.3">
      <c r="A299" s="1">
        <v>44264</v>
      </c>
      <c r="B299" s="3">
        <f>(Master_Table!B299-Master_Table!B298)/Master_Table!B298</f>
        <v>9.5077626669875306E-3</v>
      </c>
      <c r="C299" s="3">
        <f>(Master_Table!C299-Master_Table!C298)/Master_Table!C298</f>
        <v>-2.0108586366360155E-5</v>
      </c>
      <c r="D299" s="3">
        <f>(Master_Table!D299-Master_Table!D298)/Master_Table!D298</f>
        <v>2.8303380571609443E-2</v>
      </c>
      <c r="E299" s="3">
        <f>(Master_Table!E299-Master_Table!E298)/Master_Table!E298</f>
        <v>-9.6153846153840684E-4</v>
      </c>
      <c r="F299" s="3">
        <f>(Master_Table!F299-Master_Table!F298)/Master_Table!F298</f>
        <v>1.4632767422138713E-2</v>
      </c>
      <c r="G299" s="3">
        <f>(Master_Table!G299-Master_Table!G298)/Master_Table!G298</f>
        <v>7.336702227213142E-3</v>
      </c>
      <c r="H299" s="3">
        <f>(Master_Table!H299-Master_Table!H298)/Master_Table!H298</f>
        <v>-4.5538542766632066E-3</v>
      </c>
    </row>
    <row r="300" spans="1:8" x14ac:dyDescent="0.3">
      <c r="A300" s="1">
        <v>44265</v>
      </c>
      <c r="B300" s="3">
        <f>(Master_Table!B300-Master_Table!B299)/Master_Table!B299</f>
        <v>5.0601388226566811E-3</v>
      </c>
      <c r="C300" s="3">
        <f>(Master_Table!C300-Master_Table!C299)/Master_Table!C299</f>
        <v>-4.1525065856944593E-3</v>
      </c>
      <c r="D300" s="3">
        <f>(Master_Table!D300-Master_Table!D299)/Master_Table!D299</f>
        <v>-4.3243381966096821E-3</v>
      </c>
      <c r="E300" s="3">
        <f>(Master_Table!E300-Master_Table!E299)/Master_Table!E299</f>
        <v>-6.2560153994225759E-3</v>
      </c>
      <c r="F300" s="3">
        <f>(Master_Table!F300-Master_Table!F299)/Master_Table!F299</f>
        <v>6.5553352234549896E-3</v>
      </c>
      <c r="G300" s="3">
        <f>(Master_Table!G300-Master_Table!G299)/Master_Table!G299</f>
        <v>1.6796105681691605E-2</v>
      </c>
      <c r="H300" s="3">
        <f>(Master_Table!H300-Master_Table!H299)/Master_Table!H299</f>
        <v>1.0541669429158716E-2</v>
      </c>
    </row>
    <row r="301" spans="1:8" x14ac:dyDescent="0.3">
      <c r="A301" s="1">
        <v>44267</v>
      </c>
      <c r="B301" s="3">
        <f>(Master_Table!B301-Master_Table!B300)/Master_Table!B300</f>
        <v>-9.4795318554444577E-3</v>
      </c>
      <c r="C301" s="3">
        <f>(Master_Table!C301-Master_Table!C300)/Master_Table!C300</f>
        <v>-2.0324095108284108E-2</v>
      </c>
      <c r="D301" s="3">
        <f>(Master_Table!D301-Master_Table!D300)/Master_Table!D300</f>
        <v>-2.4357553419080084E-3</v>
      </c>
      <c r="E301" s="3">
        <f>(Master_Table!E301-Master_Table!E300)/Master_Table!E300</f>
        <v>-6.2953995157385536E-3</v>
      </c>
      <c r="F301" s="3">
        <f>(Master_Table!F301-Master_Table!F300)/Master_Table!F300</f>
        <v>-4.2332177339259843E-3</v>
      </c>
      <c r="G301" s="3">
        <f>(Master_Table!G301-Master_Table!G300)/Master_Table!G300</f>
        <v>4.8971238533785169E-3</v>
      </c>
      <c r="H301" s="3">
        <f>(Master_Table!H301-Master_Table!H300)/Master_Table!H300</f>
        <v>-6.6920351659887451E-3</v>
      </c>
    </row>
    <row r="302" spans="1:8" x14ac:dyDescent="0.3">
      <c r="A302" s="1">
        <v>44270</v>
      </c>
      <c r="B302" s="3">
        <f>(Master_Table!B302-Master_Table!B301)/Master_Table!B301</f>
        <v>-6.7494070567729065E-3</v>
      </c>
      <c r="C302" s="3">
        <f>(Master_Table!C302-Master_Table!C301)/Master_Table!C301</f>
        <v>-1.3428559650424691E-2</v>
      </c>
      <c r="D302" s="3">
        <f>(Master_Table!D302-Master_Table!D301)/Master_Table!D301</f>
        <v>-1.5011950132420394E-2</v>
      </c>
      <c r="E302" s="3">
        <f>(Master_Table!E302-Master_Table!E301)/Master_Table!E301</f>
        <v>1.2183235867446395E-3</v>
      </c>
      <c r="F302" s="3">
        <f>(Master_Table!F302-Master_Table!F301)/Master_Table!F301</f>
        <v>2.681535015288109E-3</v>
      </c>
      <c r="G302" s="3">
        <f>(Master_Table!G302-Master_Table!G301)/Master_Table!G301</f>
        <v>-9.0919009346474163E-4</v>
      </c>
      <c r="H302" s="3">
        <f>(Master_Table!H302-Master_Table!H301)/Master_Table!H301</f>
        <v>-1.9980184940554823E-2</v>
      </c>
    </row>
    <row r="303" spans="1:8" x14ac:dyDescent="0.3">
      <c r="A303" s="1">
        <v>44271</v>
      </c>
      <c r="B303" s="3">
        <f>(Master_Table!B303-Master_Table!B302)/Master_Table!B302</f>
        <v>-1.2759971867778073E-3</v>
      </c>
      <c r="C303" s="3">
        <f>(Master_Table!C303-Master_Table!C302)/Master_Table!C302</f>
        <v>-3.938200545289287E-3</v>
      </c>
      <c r="D303" s="3">
        <f>(Master_Table!D303-Master_Table!D302)/Master_Table!D302</f>
        <v>-1.0794433587345598E-2</v>
      </c>
      <c r="E303" s="3">
        <f>(Master_Table!E303-Master_Table!E302)/Master_Table!E302</f>
        <v>1.1681674373326872E-2</v>
      </c>
      <c r="F303" s="3">
        <f>(Master_Table!F303-Master_Table!F302)/Master_Table!F302</f>
        <v>1.4317629600639268E-2</v>
      </c>
      <c r="G303" s="3">
        <f>(Master_Table!G303-Master_Table!G302)/Master_Table!G302</f>
        <v>7.5713453698311676E-3</v>
      </c>
      <c r="H303" s="3">
        <f>(Master_Table!H303-Master_Table!H302)/Master_Table!H302</f>
        <v>-1.4793597304128084E-2</v>
      </c>
    </row>
    <row r="304" spans="1:8" x14ac:dyDescent="0.3">
      <c r="A304" s="1">
        <v>44272</v>
      </c>
      <c r="B304" s="3">
        <f>(Master_Table!B304-Master_Table!B303)/Master_Table!B303</f>
        <v>-1.2685733830970993E-2</v>
      </c>
      <c r="C304" s="3">
        <f>(Master_Table!C304-Master_Table!C303)/Master_Table!C303</f>
        <v>-2.1541236680929571E-2</v>
      </c>
      <c r="D304" s="3">
        <f>(Master_Table!D304-Master_Table!D303)/Master_Table!D303</f>
        <v>-1.1111111111111105E-2</v>
      </c>
      <c r="E304" s="3">
        <f>(Master_Table!E304-Master_Table!E303)/Master_Table!E303</f>
        <v>1.3230695212893915E-2</v>
      </c>
      <c r="F304" s="3">
        <f>(Master_Table!F304-Master_Table!F303)/Master_Table!F303</f>
        <v>9.3246089291157245E-4</v>
      </c>
      <c r="G304" s="3">
        <f>(Master_Table!G304-Master_Table!G303)/Master_Table!G303</f>
        <v>2.167630057803468E-3</v>
      </c>
      <c r="H304" s="3">
        <f>(Master_Table!H304-Master_Table!H303)/Master_Table!H303</f>
        <v>-1.6520727869749532E-2</v>
      </c>
    </row>
    <row r="305" spans="1:8" x14ac:dyDescent="0.3">
      <c r="A305" s="1">
        <v>44273</v>
      </c>
      <c r="B305" s="3">
        <f>(Master_Table!B305-Master_Table!B304)/Master_Table!B304</f>
        <v>-1.1102959657095427E-2</v>
      </c>
      <c r="C305" s="3">
        <f>(Master_Table!C305-Master_Table!C304)/Master_Table!C304</f>
        <v>-2.2497802739608577E-2</v>
      </c>
      <c r="D305" s="3">
        <f>(Master_Table!D305-Master_Table!D304)/Master_Table!D304</f>
        <v>-2.9095492209917574E-3</v>
      </c>
      <c r="E305" s="3">
        <f>(Master_Table!E305-Master_Table!E304)/Master_Table!E304</f>
        <v>3.3475783475783533E-2</v>
      </c>
      <c r="F305" s="3">
        <f>(Master_Table!F305-Master_Table!F304)/Master_Table!F304</f>
        <v>-2.4558698340802074E-2</v>
      </c>
      <c r="G305" s="3">
        <f>(Master_Table!G305-Master_Table!G304)/Master_Table!G304</f>
        <v>-3.597692862292725E-2</v>
      </c>
      <c r="H305" s="3">
        <f>(Master_Table!H305-Master_Table!H304)/Master_Table!H304</f>
        <v>-6.6427851006852718E-3</v>
      </c>
    </row>
    <row r="306" spans="1:8" x14ac:dyDescent="0.3">
      <c r="A306" s="1">
        <v>44274</v>
      </c>
      <c r="B306" s="3">
        <f>(Master_Table!B306-Master_Table!B305)/Master_Table!B305</f>
        <v>1.2786915650319218E-2</v>
      </c>
      <c r="C306" s="3">
        <f>(Master_Table!C306-Master_Table!C305)/Master_Table!C305</f>
        <v>3.6283292579962531E-2</v>
      </c>
      <c r="D306" s="3">
        <f>(Master_Table!D306-Master_Table!D305)/Master_Table!D305</f>
        <v>4.3568883211188179E-3</v>
      </c>
      <c r="E306" s="3">
        <f>(Master_Table!E306-Master_Table!E305)/Master_Table!E305</f>
        <v>2.4351022283482578E-2</v>
      </c>
      <c r="F306" s="3">
        <f>(Master_Table!F306-Master_Table!F305)/Master_Table!F305</f>
        <v>4.5117734233491909E-3</v>
      </c>
      <c r="G306" s="3">
        <f>(Master_Table!G306-Master_Table!G305)/Master_Table!G305</f>
        <v>5.496971056764742E-3</v>
      </c>
      <c r="H306" s="3">
        <f>(Master_Table!H306-Master_Table!H305)/Master_Table!H305</f>
        <v>-1.1798893634899454E-2</v>
      </c>
    </row>
    <row r="307" spans="1:8" x14ac:dyDescent="0.3">
      <c r="A307" s="1">
        <v>44277</v>
      </c>
      <c r="B307" s="3">
        <f>(Master_Table!B307-Master_Table!B306)/Master_Table!B306</f>
        <v>-5.1546391752579782E-4</v>
      </c>
      <c r="C307" s="3">
        <f>(Master_Table!C307-Master_Table!C306)/Master_Table!C306</f>
        <v>-9.4171921953697998E-3</v>
      </c>
      <c r="D307" s="3">
        <f>(Master_Table!D307-Master_Table!D306)/Master_Table!D306</f>
        <v>-1.8931837352220524E-2</v>
      </c>
      <c r="E307" s="3">
        <f>(Master_Table!E307-Master_Table!E306)/Master_Table!E306</f>
        <v>1.3680197353666794E-2</v>
      </c>
      <c r="F307" s="3">
        <f>(Master_Table!F307-Master_Table!F306)/Master_Table!F306</f>
        <v>2.6047472296898654E-2</v>
      </c>
      <c r="G307" s="3">
        <f>(Master_Table!G307-Master_Table!G306)/Master_Table!G306</f>
        <v>1.9599092565733132E-2</v>
      </c>
      <c r="H307" s="3">
        <f>(Master_Table!H307-Master_Table!H306)/Master_Table!H306</f>
        <v>-7.9362267493357282E-3</v>
      </c>
    </row>
    <row r="308" spans="1:8" x14ac:dyDescent="0.3">
      <c r="A308" s="1">
        <v>44278</v>
      </c>
      <c r="B308" s="3">
        <f>(Master_Table!B308-Master_Table!B307)/Master_Table!B307</f>
        <v>5.3167666458565433E-3</v>
      </c>
      <c r="C308" s="3">
        <f>(Master_Table!C308-Master_Table!C307)/Master_Table!C307</f>
        <v>1.2177145420752516E-2</v>
      </c>
      <c r="D308" s="3">
        <f>(Master_Table!D308-Master_Table!D307)/Master_Table!D307</f>
        <v>2.1098601160013698E-2</v>
      </c>
      <c r="E308" s="3">
        <f>(Master_Table!E308-Master_Table!E307)/Master_Table!E307</f>
        <v>-1.681415929203545E-2</v>
      </c>
      <c r="F308" s="3">
        <f>(Master_Table!F308-Master_Table!F307)/Master_Table!F307</f>
        <v>4.1378428897799495E-3</v>
      </c>
      <c r="G308" s="3">
        <f>(Master_Table!G308-Master_Table!G307)/Master_Table!G307</f>
        <v>5.4712576597607237E-4</v>
      </c>
      <c r="H308" s="3">
        <f>(Master_Table!H308-Master_Table!H307)/Master_Table!H307</f>
        <v>3.0713188814684867E-3</v>
      </c>
    </row>
    <row r="309" spans="1:8" x14ac:dyDescent="0.3">
      <c r="A309" s="1">
        <v>44279</v>
      </c>
      <c r="B309" s="3">
        <f>(Master_Table!B309-Master_Table!B308)/Master_Table!B308</f>
        <v>-1.7911203361514732E-2</v>
      </c>
      <c r="C309" s="3">
        <f>(Master_Table!C309-Master_Table!C308)/Master_Table!C308</f>
        <v>-1.9259587580995798E-2</v>
      </c>
      <c r="D309" s="3">
        <f>(Master_Table!D309-Master_Table!D308)/Master_Table!D308</f>
        <v>-1.4233971745900336E-2</v>
      </c>
      <c r="E309" s="3">
        <f>(Master_Table!E309-Master_Table!E308)/Master_Table!E308</f>
        <v>-2.8127812781278128E-2</v>
      </c>
      <c r="F309" s="3">
        <f>(Master_Table!F309-Master_Table!F308)/Master_Table!F308</f>
        <v>-6.8414688474511551E-3</v>
      </c>
      <c r="G309" s="3">
        <f>(Master_Table!G309-Master_Table!G308)/Master_Table!G308</f>
        <v>-1.2978017571360837E-2</v>
      </c>
      <c r="H309" s="3">
        <f>(Master_Table!H309-Master_Table!H308)/Master_Table!H308</f>
        <v>-2.5064976679602537E-2</v>
      </c>
    </row>
    <row r="310" spans="1:8" x14ac:dyDescent="0.3">
      <c r="A310" s="1">
        <v>44280</v>
      </c>
      <c r="B310" s="3">
        <f>(Master_Table!B310-Master_Table!B309)/Master_Table!B309</f>
        <v>-1.5430189561081557E-2</v>
      </c>
      <c r="C310" s="3">
        <f>(Master_Table!C310-Master_Table!C309)/Master_Table!C309</f>
        <v>-2.7277716204147096E-2</v>
      </c>
      <c r="D310" s="3">
        <f>(Master_Table!D310-Master_Table!D309)/Master_Table!D309</f>
        <v>-1.0439828624111845E-2</v>
      </c>
      <c r="E310" s="3">
        <f>(Master_Table!E310-Master_Table!E309)/Master_Table!E309</f>
        <v>-2.0143551748089811E-2</v>
      </c>
      <c r="F310" s="3">
        <f>(Master_Table!F310-Master_Table!F309)/Master_Table!F309</f>
        <v>-1.802249207010349E-2</v>
      </c>
      <c r="G310" s="3">
        <f>(Master_Table!G310-Master_Table!G309)/Master_Table!G309</f>
        <v>-1.4736842105263192E-2</v>
      </c>
      <c r="H310" s="3">
        <f>(Master_Table!H310-Master_Table!H309)/Master_Table!H309</f>
        <v>1.4242413176056808E-3</v>
      </c>
    </row>
    <row r="311" spans="1:8" x14ac:dyDescent="0.3">
      <c r="A311" s="1">
        <v>44281</v>
      </c>
      <c r="B311" s="3">
        <f>(Master_Table!B311-Master_Table!B310)/Master_Table!B310</f>
        <v>1.2733073180266504E-2</v>
      </c>
      <c r="C311" s="3">
        <f>(Master_Table!C311-Master_Table!C310)/Master_Table!C310</f>
        <v>1.604017788004084E-3</v>
      </c>
      <c r="D311" s="3">
        <f>(Master_Table!D311-Master_Table!D310)/Master_Table!D310</f>
        <v>1.9099553338996437E-2</v>
      </c>
      <c r="E311" s="3">
        <f>(Master_Table!E311-Master_Table!E310)/Master_Table!E310</f>
        <v>-3.3081285444233866E-3</v>
      </c>
      <c r="F311" s="3">
        <f>(Master_Table!F311-Master_Table!F310)/Master_Table!F310</f>
        <v>6.3624647209497133E-4</v>
      </c>
      <c r="G311" s="3">
        <f>(Master_Table!G311-Master_Table!G310)/Master_Table!G310</f>
        <v>1.7993702204229202E-3</v>
      </c>
      <c r="H311" s="3">
        <f>(Master_Table!H311-Master_Table!H310)/Master_Table!H310</f>
        <v>1.9838086208154072E-2</v>
      </c>
    </row>
    <row r="312" spans="1:8" x14ac:dyDescent="0.3">
      <c r="A312" s="1">
        <v>44285</v>
      </c>
      <c r="B312" s="3">
        <f>(Master_Table!B312-Master_Table!B311)/Master_Table!B311</f>
        <v>2.3284829017115597E-2</v>
      </c>
      <c r="C312" s="3">
        <f>(Master_Table!C312-Master_Table!C311)/Master_Table!C311</f>
        <v>1.7372960913599085E-2</v>
      </c>
      <c r="D312" s="3">
        <f>(Master_Table!D312-Master_Table!D311)/Master_Table!D311</f>
        <v>4.1839204087120205E-2</v>
      </c>
      <c r="E312" s="3">
        <f>(Master_Table!E312-Master_Table!E311)/Master_Table!E311</f>
        <v>1.730678046467523E-2</v>
      </c>
      <c r="F312" s="3">
        <f>(Master_Table!F312-Master_Table!F311)/Master_Table!F311</f>
        <v>2.9917177514021127E-2</v>
      </c>
      <c r="G312" s="3">
        <f>(Master_Table!G312-Master_Table!G311)/Master_Table!G311</f>
        <v>3.6745996108366943E-2</v>
      </c>
      <c r="H312" s="3">
        <f>(Master_Table!H312-Master_Table!H311)/Master_Table!H311</f>
        <v>1.8057641421726382E-2</v>
      </c>
    </row>
    <row r="313" spans="1:8" x14ac:dyDescent="0.3">
      <c r="A313" s="1">
        <v>44286</v>
      </c>
      <c r="B313" s="3">
        <f>(Master_Table!B313-Master_Table!B312)/Master_Table!B312</f>
        <v>-1.0400738290749112E-2</v>
      </c>
      <c r="C313" s="3">
        <f>(Master_Table!C313-Master_Table!C312)/Master_Table!C312</f>
        <v>-1.2907638195318932E-2</v>
      </c>
      <c r="D313" s="3">
        <f>(Master_Table!D313-Master_Table!D312)/Master_Table!D312</f>
        <v>-3.8649150880090764E-2</v>
      </c>
      <c r="E313" s="3">
        <f>(Master_Table!E313-Master_Table!E312)/Master_Table!E312</f>
        <v>1.8410626893497966E-2</v>
      </c>
      <c r="F313" s="3">
        <f>(Master_Table!F313-Master_Table!F312)/Master_Table!F312</f>
        <v>6.1103987589241028E-3</v>
      </c>
      <c r="G313" s="3">
        <f>(Master_Table!G313-Master_Table!G312)/Master_Table!G312</f>
        <v>-1.2452176423879304E-2</v>
      </c>
      <c r="H313" s="3">
        <f>(Master_Table!H313-Master_Table!H312)/Master_Table!H312</f>
        <v>-3.2664816831160575E-3</v>
      </c>
    </row>
    <row r="314" spans="1:8" x14ac:dyDescent="0.3">
      <c r="A314" s="1">
        <v>44287</v>
      </c>
      <c r="B314" s="3">
        <f>(Master_Table!B314-Master_Table!B313)/Master_Table!B313</f>
        <v>1.2024614211712146E-2</v>
      </c>
      <c r="C314" s="3">
        <f>(Master_Table!C314-Master_Table!C313)/Master_Table!C313</f>
        <v>9.3591562462194845E-3</v>
      </c>
      <c r="D314" s="3">
        <f>(Master_Table!D314-Master_Table!D313)/Master_Table!D313</f>
        <v>-4.6176356094877035E-3</v>
      </c>
      <c r="E314" s="3">
        <f>(Master_Table!E314-Master_Table!E313)/Master_Table!E313</f>
        <v>7.0938215102975353E-3</v>
      </c>
      <c r="F314" s="3">
        <f>(Master_Table!F314-Master_Table!F313)/Master_Table!F313</f>
        <v>-4.0436143933791427E-3</v>
      </c>
      <c r="G314" s="3">
        <f>(Master_Table!G314-Master_Table!G313)/Master_Table!G313</f>
        <v>1.2536091517122979E-2</v>
      </c>
      <c r="H314" s="3">
        <f>(Master_Table!H314-Master_Table!H313)/Master_Table!H313</f>
        <v>1.8112622454013544E-2</v>
      </c>
    </row>
    <row r="315" spans="1:8" x14ac:dyDescent="0.3">
      <c r="A315" s="1">
        <v>44291</v>
      </c>
      <c r="B315" s="3">
        <f>(Master_Table!B315-Master_Table!B314)/Master_Table!B314</f>
        <v>-1.5439873279367277E-2</v>
      </c>
      <c r="C315" s="3">
        <f>(Master_Table!C315-Master_Table!C314)/Master_Table!C314</f>
        <v>-1.4469698620584424E-2</v>
      </c>
      <c r="D315" s="3">
        <f>(Master_Table!D315-Master_Table!D314)/Master_Table!D314</f>
        <v>-2.4988874354375377E-2</v>
      </c>
      <c r="E315" s="3">
        <f>(Master_Table!E315-Master_Table!E314)/Master_Table!E314</f>
        <v>-3.4083162917518742E-2</v>
      </c>
      <c r="F315" s="3">
        <f>(Master_Table!F315-Master_Table!F314)/Master_Table!F314</f>
        <v>2.3349131121643E-2</v>
      </c>
      <c r="G315" s="3">
        <f>(Master_Table!G315-Master_Table!G314)/Master_Table!G314</f>
        <v>1.7831360092405463E-2</v>
      </c>
      <c r="H315" s="3">
        <f>(Master_Table!H315-Master_Table!H314)/Master_Table!H314</f>
        <v>-2.8243112280215948E-2</v>
      </c>
    </row>
    <row r="316" spans="1:8" x14ac:dyDescent="0.3">
      <c r="A316" s="1">
        <v>44292</v>
      </c>
      <c r="B316" s="3">
        <f>(Master_Table!B316-Master_Table!B315)/Master_Table!B315</f>
        <v>3.1220538605528651E-3</v>
      </c>
      <c r="C316" s="3">
        <f>(Master_Table!C316-Master_Table!C315)/Master_Table!C315</f>
        <v>-4.1680486456605655E-3</v>
      </c>
      <c r="D316" s="3">
        <f>(Master_Table!D316-Master_Table!D315)/Master_Table!D315</f>
        <v>-6.445366528354036E-3</v>
      </c>
      <c r="E316" s="3">
        <f>(Master_Table!E316-Master_Table!E315)/Master_Table!E315</f>
        <v>4.7047753469769141E-4</v>
      </c>
      <c r="F316" s="3">
        <f>(Master_Table!F316-Master_Table!F315)/Master_Table!F315</f>
        <v>7.9656673562010956E-3</v>
      </c>
      <c r="G316" s="3">
        <f>(Master_Table!G316-Master_Table!G315)/Master_Table!G315</f>
        <v>8.1566068515487875E-4</v>
      </c>
      <c r="H316" s="3">
        <f>(Master_Table!H316-Master_Table!H315)/Master_Table!H315</f>
        <v>-1.9945861233793666E-3</v>
      </c>
    </row>
    <row r="317" spans="1:8" x14ac:dyDescent="0.3">
      <c r="A317" s="1">
        <v>44293</v>
      </c>
      <c r="B317" s="3">
        <f>(Master_Table!B317-Master_Table!B316)/Master_Table!B316</f>
        <v>9.2314502673067917E-3</v>
      </c>
      <c r="C317" s="3">
        <f>(Master_Table!C317-Master_Table!C316)/Master_Table!C316</f>
        <v>9.3479733105369632E-3</v>
      </c>
      <c r="D317" s="3">
        <f>(Master_Table!D317-Master_Table!D316)/Master_Table!D316</f>
        <v>4.8166606342399457E-3</v>
      </c>
      <c r="E317" s="3">
        <f>(Master_Table!E317-Master_Table!E316)/Master_Table!E316</f>
        <v>5.4079473312955827E-3</v>
      </c>
      <c r="F317" s="3">
        <f>(Master_Table!F317-Master_Table!F316)/Master_Table!F316</f>
        <v>2.0522559500108046E-3</v>
      </c>
      <c r="G317" s="3">
        <f>(Master_Table!G317-Master_Table!G316)/Master_Table!G316</f>
        <v>1.357145388186109E-2</v>
      </c>
      <c r="H317" s="3">
        <f>(Master_Table!H317-Master_Table!H316)/Master_Table!H316</f>
        <v>2.2483940042827204E-3</v>
      </c>
    </row>
    <row r="318" spans="1:8" x14ac:dyDescent="0.3">
      <c r="A318" s="1">
        <v>44294</v>
      </c>
      <c r="B318" s="3">
        <f>(Master_Table!B318-Master_Table!B317)/Master_Table!B317</f>
        <v>3.6945688151399721E-3</v>
      </c>
      <c r="C318" s="3">
        <f>(Master_Table!C318-Master_Table!C317)/Master_Table!C317</f>
        <v>1.2539184952977908E-3</v>
      </c>
      <c r="D318" s="3">
        <f>(Master_Table!D318-Master_Table!D317)/Master_Table!D317</f>
        <v>-9.947353837628084E-3</v>
      </c>
      <c r="E318" s="3">
        <f>(Master_Table!E318-Master_Table!E317)/Master_Table!E317</f>
        <v>-2.5724976613658154E-3</v>
      </c>
      <c r="F318" s="3">
        <f>(Master_Table!F318-Master_Table!F317)/Master_Table!F317</f>
        <v>1.4045974200647985E-2</v>
      </c>
      <c r="G318" s="3">
        <f>(Master_Table!G318-Master_Table!G317)/Master_Table!G317</f>
        <v>6.7473080688014702E-3</v>
      </c>
      <c r="H318" s="3">
        <f>(Master_Table!H318-Master_Table!H317)/Master_Table!H317</f>
        <v>1.0682619378271552E-2</v>
      </c>
    </row>
    <row r="319" spans="1:8" x14ac:dyDescent="0.3">
      <c r="A319" s="1">
        <v>44295</v>
      </c>
      <c r="B319" s="3">
        <f>(Master_Table!B319-Master_Table!B318)/Master_Table!B318</f>
        <v>-2.618698651319697E-3</v>
      </c>
      <c r="C319" s="3">
        <f>(Master_Table!C319-Master_Table!C318)/Master_Table!C318</f>
        <v>-1.1622669698667378E-2</v>
      </c>
      <c r="D319" s="3">
        <f>(Master_Table!D319-Master_Table!D318)/Master_Table!D318</f>
        <v>-7.710391536760783E-3</v>
      </c>
      <c r="E319" s="3">
        <f>(Master_Table!E319-Master_Table!E318)/Master_Table!E318</f>
        <v>-7.0339976553343813E-4</v>
      </c>
      <c r="F319" s="3">
        <f>(Master_Table!F319-Master_Table!F318)/Master_Table!F318</f>
        <v>1.4770826111203494E-3</v>
      </c>
      <c r="G319" s="3">
        <f>(Master_Table!G319-Master_Table!G318)/Master_Table!G318</f>
        <v>8.3342014793210794E-4</v>
      </c>
      <c r="H319" s="3">
        <f>(Master_Table!H319-Master_Table!H318)/Master_Table!H318</f>
        <v>-1.0604939576507192E-2</v>
      </c>
    </row>
    <row r="320" spans="1:8" x14ac:dyDescent="0.3">
      <c r="A320" s="1">
        <v>44298</v>
      </c>
      <c r="B320" s="3">
        <f>(Master_Table!B320-Master_Table!B319)/Master_Table!B319</f>
        <v>-3.5325601539617932E-2</v>
      </c>
      <c r="C320" s="3">
        <f>(Master_Table!C320-Master_Table!C319)/Master_Table!C319</f>
        <v>-3.5767080503717935E-2</v>
      </c>
      <c r="D320" s="3">
        <f>(Master_Table!D320-Master_Table!D319)/Master_Table!D319</f>
        <v>-3.8470759120587741E-2</v>
      </c>
      <c r="E320" s="3">
        <f>(Master_Table!E320-Master_Table!E319)/Master_Table!E319</f>
        <v>-3.6602534021586031E-2</v>
      </c>
      <c r="F320" s="3">
        <f>(Master_Table!F320-Master_Table!F319)/Master_Table!F319</f>
        <v>-2.2785762660847263E-2</v>
      </c>
      <c r="G320" s="3">
        <f>(Master_Table!G320-Master_Table!G319)/Master_Table!G319</f>
        <v>-1.0617258249193266E-2</v>
      </c>
      <c r="H320" s="3">
        <f>(Master_Table!H320-Master_Table!H319)/Master_Table!H319</f>
        <v>-4.1984189160316092E-2</v>
      </c>
    </row>
    <row r="321" spans="1:8" x14ac:dyDescent="0.3">
      <c r="A321" s="1">
        <v>44299</v>
      </c>
      <c r="B321" s="3">
        <f>(Master_Table!B321-Master_Table!B320)/Master_Table!B320</f>
        <v>1.3556195321016297E-2</v>
      </c>
      <c r="C321" s="3">
        <f>(Master_Table!C321-Master_Table!C320)/Master_Table!C320</f>
        <v>1.0800779223773246E-2</v>
      </c>
      <c r="D321" s="3">
        <f>(Master_Table!D321-Master_Table!D320)/Master_Table!D320</f>
        <v>2.436091107754134E-2</v>
      </c>
      <c r="E321" s="3">
        <f>(Master_Table!E321-Master_Table!E320)/Master_Table!E320</f>
        <v>1.6561130053580016E-2</v>
      </c>
      <c r="F321" s="3">
        <f>(Master_Table!F321-Master_Table!F320)/Master_Table!F320</f>
        <v>-4.3892747686005144E-2</v>
      </c>
      <c r="G321" s="3">
        <f>(Master_Table!G321-Master_Table!G320)/Master_Table!G320</f>
        <v>-2.0059617745046401E-2</v>
      </c>
      <c r="H321" s="3">
        <f>(Master_Table!H321-Master_Table!H320)/Master_Table!H320</f>
        <v>2.1224398765936851E-2</v>
      </c>
    </row>
    <row r="322" spans="1:8" x14ac:dyDescent="0.3">
      <c r="A322" s="1">
        <v>44301</v>
      </c>
      <c r="B322" s="3">
        <f>(Master_Table!B322-Master_Table!B321)/Master_Table!B321</f>
        <v>5.2844575588771618E-3</v>
      </c>
      <c r="C322" s="3">
        <f>(Master_Table!C322-Master_Table!C321)/Master_Table!C321</f>
        <v>6.477363439388829E-3</v>
      </c>
      <c r="D322" s="3">
        <f>(Master_Table!D322-Master_Table!D321)/Master_Table!D321</f>
        <v>2.1247351239905957E-2</v>
      </c>
      <c r="E322" s="3">
        <f>(Master_Table!E322-Master_Table!E321)/Master_Table!E321</f>
        <v>-9.5831336847149017E-3</v>
      </c>
      <c r="F322" s="3">
        <f>(Master_Table!F322-Master_Table!F321)/Master_Table!F321</f>
        <v>3.7016156311914961E-2</v>
      </c>
      <c r="G322" s="3">
        <f>(Master_Table!G322-Master_Table!G321)/Master_Table!G321</f>
        <v>-2.6053036538668067E-2</v>
      </c>
      <c r="H322" s="3">
        <f>(Master_Table!H322-Master_Table!H321)/Master_Table!H321</f>
        <v>6.9156293222686575E-4</v>
      </c>
    </row>
    <row r="323" spans="1:8" x14ac:dyDescent="0.3">
      <c r="A323" s="1">
        <v>44302</v>
      </c>
      <c r="B323" s="3">
        <f>(Master_Table!B323-Master_Table!B322)/Master_Table!B322</f>
        <v>2.4963223822047627E-3</v>
      </c>
      <c r="C323" s="3">
        <f>(Master_Table!C323-Master_Table!C322)/Master_Table!C322</f>
        <v>-6.2770513721136633E-3</v>
      </c>
      <c r="D323" s="3">
        <f>(Master_Table!D323-Master_Table!D322)/Master_Table!D322</f>
        <v>-1.023441004934974E-3</v>
      </c>
      <c r="E323" s="3">
        <f>(Master_Table!E323-Master_Table!E322)/Master_Table!E322</f>
        <v>6.0474117077890669E-3</v>
      </c>
      <c r="F323" s="3">
        <f>(Master_Table!F323-Master_Table!F322)/Master_Table!F322</f>
        <v>-7.3937153419592503E-3</v>
      </c>
      <c r="G323" s="3">
        <f>(Master_Table!G323-Master_Table!G322)/Master_Table!G322</f>
        <v>-5.144221936432115E-3</v>
      </c>
      <c r="H323" s="3">
        <f>(Master_Table!H323-Master_Table!H322)/Master_Table!H322</f>
        <v>-1.127559742479904E-2</v>
      </c>
    </row>
    <row r="324" spans="1:8" x14ac:dyDescent="0.3">
      <c r="A324" s="1">
        <v>44305</v>
      </c>
      <c r="B324" s="3">
        <f>(Master_Table!B324-Master_Table!B323)/Master_Table!B323</f>
        <v>-1.7677018166146159E-2</v>
      </c>
      <c r="C324" s="3">
        <f>(Master_Table!C324-Master_Table!C323)/Master_Table!C323</f>
        <v>-1.5734744139377855E-2</v>
      </c>
      <c r="D324" s="3">
        <f>(Master_Table!D324-Master_Table!D323)/Master_Table!D323</f>
        <v>-1.1367623324678843E-2</v>
      </c>
      <c r="E324" s="3">
        <f>(Master_Table!E324-Master_Table!E323)/Master_Table!E323</f>
        <v>-1.1300793459966312E-2</v>
      </c>
      <c r="F324" s="3">
        <f>(Master_Table!F324-Master_Table!F323)/Master_Table!F323</f>
        <v>-1.0437694630924968E-2</v>
      </c>
      <c r="G324" s="3">
        <f>(Master_Table!G324-Master_Table!G323)/Master_Table!G323</f>
        <v>6.5004616805170489E-3</v>
      </c>
      <c r="H324" s="3">
        <f>(Master_Table!H324-Master_Table!H323)/Master_Table!H323</f>
        <v>-3.5831218040687222E-2</v>
      </c>
    </row>
    <row r="325" spans="1:8" x14ac:dyDescent="0.3">
      <c r="A325" s="1">
        <v>44306</v>
      </c>
      <c r="B325" s="3">
        <f>(Master_Table!B325-Master_Table!B324)/Master_Table!B324</f>
        <v>-4.3908366963916505E-3</v>
      </c>
      <c r="C325" s="3">
        <f>(Master_Table!C325-Master_Table!C324)/Master_Table!C324</f>
        <v>-2.8960659839673785E-4</v>
      </c>
      <c r="D325" s="3">
        <f>(Master_Table!D325-Master_Table!D324)/Master_Table!D324</f>
        <v>-1.4876854283483594E-2</v>
      </c>
      <c r="E325" s="3">
        <f>(Master_Table!E325-Master_Table!E324)/Master_Table!E324</f>
        <v>-9.9708171206224858E-3</v>
      </c>
      <c r="F325" s="3">
        <f>(Master_Table!F325-Master_Table!F324)/Master_Table!F324</f>
        <v>-5.4557530520589533E-3</v>
      </c>
      <c r="G325" s="3">
        <f>(Master_Table!G325-Master_Table!G324)/Master_Table!G324</f>
        <v>-8.2198818391985944E-3</v>
      </c>
      <c r="H325" s="3">
        <f>(Master_Table!H325-Master_Table!H324)/Master_Table!H324</f>
        <v>1.6063184402304517E-2</v>
      </c>
    </row>
    <row r="326" spans="1:8" x14ac:dyDescent="0.3">
      <c r="A326" s="1">
        <v>44308</v>
      </c>
      <c r="B326" s="3">
        <f>(Master_Table!B326-Master_Table!B325)/Master_Table!B325</f>
        <v>7.6767577851766878E-3</v>
      </c>
      <c r="C326" s="3">
        <f>(Master_Table!C326-Master_Table!C325)/Master_Table!C325</f>
        <v>2.7578535093106473E-3</v>
      </c>
      <c r="D326" s="3">
        <f>(Master_Table!D326-Master_Table!D325)/Master_Table!D325</f>
        <v>2.2349669294061687E-2</v>
      </c>
      <c r="E326" s="3">
        <f>(Master_Table!E326-Master_Table!E325)/Master_Table!E325</f>
        <v>1.1545074920167006E-2</v>
      </c>
      <c r="F326" s="3">
        <f>(Master_Table!F326-Master_Table!F325)/Master_Table!F325</f>
        <v>-8.1887710483216983E-3</v>
      </c>
      <c r="G326" s="3">
        <f>(Master_Table!G326-Master_Table!G325)/Master_Table!G325</f>
        <v>-1.8500018500018501E-4</v>
      </c>
      <c r="H326" s="3">
        <f>(Master_Table!H326-Master_Table!H325)/Master_Table!H325</f>
        <v>3.9804731505820165E-3</v>
      </c>
    </row>
    <row r="327" spans="1:8" x14ac:dyDescent="0.3">
      <c r="A327" s="1">
        <v>44309</v>
      </c>
      <c r="B327" s="3">
        <f>(Master_Table!B327-Master_Table!B326)/Master_Table!B326</f>
        <v>-4.49807894545033E-3</v>
      </c>
      <c r="C327" s="3">
        <f>(Master_Table!C327-Master_Table!C326)/Master_Table!C326</f>
        <v>-1.0746848168990721E-3</v>
      </c>
      <c r="D327" s="3">
        <f>(Master_Table!D327-Master_Table!D326)/Master_Table!D326</f>
        <v>-5.8634492868015562E-3</v>
      </c>
      <c r="E327" s="3">
        <f>(Master_Table!E327-Master_Table!E326)/Master_Table!E326</f>
        <v>-2.6711996114619297E-3</v>
      </c>
      <c r="F327" s="3">
        <f>(Master_Table!F327-Master_Table!F326)/Master_Table!F326</f>
        <v>-2.9819161215852833E-3</v>
      </c>
      <c r="G327" s="3">
        <f>(Master_Table!G327-Master_Table!G326)/Master_Table!G326</f>
        <v>-1.2804381614980353E-2</v>
      </c>
      <c r="H327" s="3">
        <f>(Master_Table!H327-Master_Table!H326)/Master_Table!H326</f>
        <v>-1.039796529024526E-2</v>
      </c>
    </row>
    <row r="328" spans="1:8" x14ac:dyDescent="0.3">
      <c r="A328" s="1">
        <v>44312</v>
      </c>
      <c r="B328" s="3">
        <f>(Master_Table!B328-Master_Table!B327)/Master_Table!B327</f>
        <v>1.0016490776670233E-2</v>
      </c>
      <c r="C328" s="3">
        <f>(Master_Table!C328-Master_Table!C327)/Master_Table!C327</f>
        <v>1.7595206145018649E-2</v>
      </c>
      <c r="D328" s="3">
        <f>(Master_Table!D328-Master_Table!D327)/Master_Table!D327</f>
        <v>-6.6069301877163299E-3</v>
      </c>
      <c r="E328" s="3">
        <f>(Master_Table!E328-Master_Table!E327)/Master_Table!E327</f>
        <v>-2.4348672997313343E-4</v>
      </c>
      <c r="F328" s="3">
        <f>(Master_Table!F328-Master_Table!F327)/Master_Table!F327</f>
        <v>-2.7978774722623632E-3</v>
      </c>
      <c r="G328" s="3">
        <f>(Master_Table!G328-Master_Table!G327)/Master_Table!G327</f>
        <v>7.3099415204678367E-3</v>
      </c>
      <c r="H328" s="3">
        <f>(Master_Table!H328-Master_Table!H327)/Master_Table!H327</f>
        <v>9.8268954569506375E-3</v>
      </c>
    </row>
    <row r="329" spans="1:8" x14ac:dyDescent="0.3">
      <c r="A329" s="1">
        <v>44313</v>
      </c>
      <c r="B329" s="3">
        <f>(Master_Table!B329-Master_Table!B328)/Master_Table!B328</f>
        <v>1.1601656886434192E-2</v>
      </c>
      <c r="C329" s="3">
        <f>(Master_Table!C329-Master_Table!C328)/Master_Table!C328</f>
        <v>2.6214971863809538E-2</v>
      </c>
      <c r="D329" s="3">
        <f>(Master_Table!D329-Master_Table!D328)/Master_Table!D328</f>
        <v>2.4120115319841262E-2</v>
      </c>
      <c r="E329" s="3">
        <f>(Master_Table!E329-Master_Table!E328)/Master_Table!E328</f>
        <v>4.8709206039938775E-4</v>
      </c>
      <c r="F329" s="3">
        <f>(Master_Table!F329-Master_Table!F328)/Master_Table!F328</f>
        <v>1.0061919504643904E-2</v>
      </c>
      <c r="G329" s="3">
        <f>(Master_Table!G329-Master_Table!G328)/Master_Table!G328</f>
        <v>3.6842692865915266E-3</v>
      </c>
      <c r="H329" s="3">
        <f>(Master_Table!H329-Master_Table!H328)/Master_Table!H328</f>
        <v>3.3498016318586718E-2</v>
      </c>
    </row>
    <row r="330" spans="1:8" x14ac:dyDescent="0.3">
      <c r="A330" s="1">
        <v>44314</v>
      </c>
      <c r="B330" s="3">
        <f>(Master_Table!B330-Master_Table!B329)/Master_Table!B329</f>
        <v>1.4433855067716278E-2</v>
      </c>
      <c r="C330" s="3">
        <f>(Master_Table!C330-Master_Table!C329)/Master_Table!C329</f>
        <v>4.3424798661806773E-3</v>
      </c>
      <c r="D330" s="3">
        <f>(Master_Table!D330-Master_Table!D329)/Master_Table!D329</f>
        <v>2.6492558113607373E-2</v>
      </c>
      <c r="E330" s="3">
        <f>(Master_Table!E330-Master_Table!E329)/Master_Table!E329</f>
        <v>4.8685491723463639E-4</v>
      </c>
      <c r="F330" s="3">
        <f>(Master_Table!F330-Master_Table!F329)/Master_Table!F329</f>
        <v>-2.5223499361430686E-3</v>
      </c>
      <c r="G330" s="3">
        <f>(Master_Table!G330-Master_Table!G329)/Master_Table!G329</f>
        <v>5.5617352614015575E-3</v>
      </c>
      <c r="H330" s="3">
        <f>(Master_Table!H330-Master_Table!H329)/Master_Table!H329</f>
        <v>-3.4404085032412267E-3</v>
      </c>
    </row>
    <row r="331" spans="1:8" x14ac:dyDescent="0.3">
      <c r="A331" s="1">
        <v>44315</v>
      </c>
      <c r="B331" s="3">
        <f>(Master_Table!B331-Master_Table!B330)/Master_Table!B330</f>
        <v>2.0417705211392451E-3</v>
      </c>
      <c r="C331" s="3">
        <f>(Master_Table!C331-Master_Table!C330)/Master_Table!C330</f>
        <v>1.3401277257536126E-2</v>
      </c>
      <c r="D331" s="3">
        <f>(Master_Table!D331-Master_Table!D330)/Master_Table!D330</f>
        <v>-2.9189350638772838E-3</v>
      </c>
      <c r="E331" s="3">
        <f>(Master_Table!E331-Master_Table!E330)/Master_Table!E330</f>
        <v>-5.8394160583941056E-3</v>
      </c>
      <c r="F331" s="3">
        <f>(Master_Table!F331-Master_Table!F330)/Master_Table!F330</f>
        <v>-2.8328158509650491E-3</v>
      </c>
      <c r="G331" s="3">
        <f>(Master_Table!G331-Master_Table!G330)/Master_Table!G330</f>
        <v>2.5811209439521317E-4</v>
      </c>
      <c r="H331" s="3">
        <f>(Master_Table!H331-Master_Table!H330)/Master_Table!H330</f>
        <v>-1.2537248346536812E-2</v>
      </c>
    </row>
    <row r="332" spans="1:8" x14ac:dyDescent="0.3">
      <c r="A332" s="1">
        <v>44316</v>
      </c>
      <c r="B332" s="3">
        <f>(Master_Table!B332-Master_Table!B331)/Master_Table!B331</f>
        <v>-1.7710760058812027E-2</v>
      </c>
      <c r="C332" s="3">
        <f>(Master_Table!C332-Master_Table!C331)/Master_Table!C331</f>
        <v>-1.4606325779838437E-2</v>
      </c>
      <c r="D332" s="3">
        <f>(Master_Table!D332-Master_Table!D331)/Master_Table!D331</f>
        <v>-4.0875793142888243E-2</v>
      </c>
      <c r="E332" s="3">
        <f>(Master_Table!E332-Master_Table!E331)/Master_Table!E331</f>
        <v>-8.3210964268233822E-3</v>
      </c>
      <c r="F332" s="3">
        <f>(Master_Table!F332-Master_Table!F331)/Master_Table!F331</f>
        <v>-2.5551721370676482E-2</v>
      </c>
      <c r="G332" s="3">
        <f>(Master_Table!G332-Master_Table!G331)/Master_Table!G331</f>
        <v>-1.4745456556198623E-3</v>
      </c>
      <c r="H332" s="3">
        <f>(Master_Table!H332-Master_Table!H331)/Master_Table!H331</f>
        <v>-1.3395650093843185E-2</v>
      </c>
    </row>
    <row r="333" spans="1:8" x14ac:dyDescent="0.3">
      <c r="A333" s="1">
        <v>44319</v>
      </c>
      <c r="B333" s="3">
        <f>(Master_Table!B333-Master_Table!B332)/Master_Table!B332</f>
        <v>2.0846006110266982E-4</v>
      </c>
      <c r="C333" s="3">
        <f>(Master_Table!C333-Master_Table!C332)/Master_Table!C332</f>
        <v>-1.7771936025448475E-2</v>
      </c>
      <c r="D333" s="3">
        <f>(Master_Table!D333-Master_Table!D332)/Master_Table!D332</f>
        <v>1.5190232822260791E-3</v>
      </c>
      <c r="E333" s="3">
        <f>(Master_Table!E333-Master_Table!E332)/Master_Table!E332</f>
        <v>-8.1441263573544219E-3</v>
      </c>
      <c r="F333" s="3">
        <f>(Master_Table!F333-Master_Table!F332)/Master_Table!F332</f>
        <v>4.4471529985337871E-4</v>
      </c>
      <c r="G333" s="3">
        <f>(Master_Table!G333-Master_Table!G332)/Master_Table!G332</f>
        <v>-1.6982316240262522E-3</v>
      </c>
      <c r="H333" s="3">
        <f>(Master_Table!H333-Master_Table!H332)/Master_Table!H332</f>
        <v>1.5293371628930243E-3</v>
      </c>
    </row>
    <row r="334" spans="1:8" x14ac:dyDescent="0.3">
      <c r="A334" s="1">
        <v>44320</v>
      </c>
      <c r="B334" s="3">
        <f>(Master_Table!B334-Master_Table!B333)/Master_Table!B333</f>
        <v>-9.4060809818130638E-3</v>
      </c>
      <c r="C334" s="3">
        <f>(Master_Table!C334-Master_Table!C333)/Master_Table!C333</f>
        <v>-2.1669459219359678E-2</v>
      </c>
      <c r="D334" s="3">
        <f>(Master_Table!D334-Master_Table!D333)/Master_Table!D333</f>
        <v>-1.8455781252214809E-2</v>
      </c>
      <c r="E334" s="3">
        <f>(Master_Table!E334-Master_Table!E333)/Master_Table!E333</f>
        <v>-6.7180890768847694E-3</v>
      </c>
      <c r="F334" s="3">
        <f>(Master_Table!F334-Master_Table!F333)/Master_Table!F333</f>
        <v>4.1982219295357264E-3</v>
      </c>
      <c r="G334" s="3">
        <f>(Master_Table!G334-Master_Table!G333)/Master_Table!G333</f>
        <v>-1.6752339040715849E-2</v>
      </c>
      <c r="H334" s="3">
        <f>(Master_Table!H334-Master_Table!H333)/Master_Table!H333</f>
        <v>-3.6499068901304217E-3</v>
      </c>
    </row>
    <row r="335" spans="1:8" x14ac:dyDescent="0.3">
      <c r="A335" s="1">
        <v>44321</v>
      </c>
      <c r="B335" s="3">
        <f>(Master_Table!B335-Master_Table!B334)/Master_Table!B334</f>
        <v>8.3709861000931512E-3</v>
      </c>
      <c r="C335" s="3">
        <f>(Master_Table!C335-Master_Table!C334)/Master_Table!C334</f>
        <v>1.8275862068965884E-3</v>
      </c>
      <c r="D335" s="3">
        <f>(Master_Table!D335-Master_Table!D334)/Master_Table!D334</f>
        <v>1.0267889378294317E-2</v>
      </c>
      <c r="E335" s="3">
        <f>(Master_Table!E335-Master_Table!E334)/Master_Table!E334</f>
        <v>9.0180360721443462E-3</v>
      </c>
      <c r="F335" s="3">
        <f>(Master_Table!F335-Master_Table!F334)/Master_Table!F334</f>
        <v>1.5066808754815909E-2</v>
      </c>
      <c r="G335" s="3">
        <f>(Master_Table!G335-Master_Table!G334)/Master_Table!G334</f>
        <v>9.1018504588535488E-3</v>
      </c>
      <c r="H335" s="3">
        <f>(Master_Table!H335-Master_Table!H334)/Master_Table!H334</f>
        <v>7.8498803827764801E-4</v>
      </c>
    </row>
    <row r="336" spans="1:8" x14ac:dyDescent="0.3">
      <c r="A336" s="1">
        <v>44322</v>
      </c>
      <c r="B336" s="3">
        <f>(Master_Table!B336-Master_Table!B335)/Master_Table!B335</f>
        <v>7.3163974182249032E-3</v>
      </c>
      <c r="C336" s="3">
        <f>(Master_Table!C336-Master_Table!C335)/Master_Table!C335</f>
        <v>5.6792758062849868E-3</v>
      </c>
      <c r="D336" s="3">
        <f>(Master_Table!D336-Master_Table!D335)/Master_Table!D335</f>
        <v>-1.215049459660228E-3</v>
      </c>
      <c r="E336" s="3">
        <f>(Master_Table!E336-Master_Table!E335)/Master_Table!E335</f>
        <v>6.7030784508440629E-3</v>
      </c>
      <c r="F336" s="3">
        <f>(Master_Table!F336-Master_Table!F335)/Master_Table!F335</f>
        <v>5.0877022967341801E-3</v>
      </c>
      <c r="G336" s="3">
        <f>(Master_Table!G336-Master_Table!G335)/Master_Table!G335</f>
        <v>1.4983227730152746E-2</v>
      </c>
      <c r="H336" s="3">
        <f>(Master_Table!H336-Master_Table!H335)/Master_Table!H335</f>
        <v>9.33776565943301E-4</v>
      </c>
    </row>
    <row r="337" spans="1:8" x14ac:dyDescent="0.3">
      <c r="A337" s="1">
        <v>44323</v>
      </c>
      <c r="B337" s="3">
        <f>(Master_Table!B337-Master_Table!B336)/Master_Table!B336</f>
        <v>6.6792078669999167E-3</v>
      </c>
      <c r="C337" s="3">
        <f>(Master_Table!C337-Master_Table!C336)/Master_Table!C336</f>
        <v>3.8788874438135378E-4</v>
      </c>
      <c r="D337" s="3">
        <f>(Master_Table!D337-Master_Table!D336)/Master_Table!D336</f>
        <v>9.889653790556837E-3</v>
      </c>
      <c r="E337" s="3">
        <f>(Master_Table!E337-Master_Table!E336)/Master_Table!E336</f>
        <v>1.2823674475955582E-2</v>
      </c>
      <c r="F337" s="3">
        <f>(Master_Table!F337-Master_Table!F336)/Master_Table!F336</f>
        <v>6.8938919153450238E-3</v>
      </c>
      <c r="G337" s="3">
        <f>(Master_Table!G337-Master_Table!G336)/Master_Table!G336</f>
        <v>-6.6465922444182987E-3</v>
      </c>
      <c r="H337" s="3">
        <f>(Master_Table!H337-Master_Table!H336)/Master_Table!H336</f>
        <v>2.0897081871781137E-3</v>
      </c>
    </row>
    <row r="338" spans="1:8" x14ac:dyDescent="0.3">
      <c r="A338" s="1">
        <v>44326</v>
      </c>
      <c r="B338" s="3">
        <f>(Master_Table!B338-Master_Table!B337)/Master_Table!B337</f>
        <v>8.0414756647541677E-3</v>
      </c>
      <c r="C338" s="3">
        <f>(Master_Table!C338-Master_Table!C337)/Master_Table!C337</f>
        <v>-2.873825380895883E-3</v>
      </c>
      <c r="D338" s="3">
        <f>(Master_Table!D338-Master_Table!D337)/Master_Table!D337</f>
        <v>3.5996712111334198E-3</v>
      </c>
      <c r="E338" s="3">
        <f>(Master_Table!E338-Master_Table!E337)/Master_Table!E337</f>
        <v>9.7394691989294887E-4</v>
      </c>
      <c r="F338" s="3">
        <f>(Master_Table!F338-Master_Table!F337)/Master_Table!F337</f>
        <v>4.0218328066647224E-3</v>
      </c>
      <c r="G338" s="3">
        <f>(Master_Table!G338-Master_Table!G337)/Master_Table!G337</f>
        <v>-9.6114746220102767E-3</v>
      </c>
      <c r="H338" s="3">
        <f>(Master_Table!H338-Master_Table!H337)/Master_Table!H337</f>
        <v>3.8951366649288714E-2</v>
      </c>
    </row>
    <row r="339" spans="1:8" x14ac:dyDescent="0.3">
      <c r="A339" s="1">
        <v>44327</v>
      </c>
      <c r="B339" s="3">
        <f>(Master_Table!B339-Master_Table!B338)/Master_Table!B338</f>
        <v>-6.1302271731019792E-3</v>
      </c>
      <c r="C339" s="3">
        <f>(Master_Table!C339-Master_Table!C338)/Master_Table!C338</f>
        <v>3.6026350702227654E-3</v>
      </c>
      <c r="D339" s="3">
        <f>(Master_Table!D339-Master_Table!D338)/Master_Table!D338</f>
        <v>-1.148045639403524E-2</v>
      </c>
      <c r="E339" s="3">
        <f>(Master_Table!E339-Master_Table!E338)/Master_Table!E338</f>
        <v>-7.5407443444417965E-3</v>
      </c>
      <c r="F339" s="3">
        <f>(Master_Table!F339-Master_Table!F338)/Master_Table!F338</f>
        <v>-7.2802416150055923E-3</v>
      </c>
      <c r="G339" s="3">
        <f>(Master_Table!G339-Master_Table!G338)/Master_Table!G338</f>
        <v>-6.6440222462766331E-3</v>
      </c>
      <c r="H339" s="3">
        <f>(Master_Table!H339-Master_Table!H338)/Master_Table!H338</f>
        <v>-8.1720430107527532E-3</v>
      </c>
    </row>
    <row r="340" spans="1:8" x14ac:dyDescent="0.3">
      <c r="A340" s="1">
        <v>44328</v>
      </c>
      <c r="B340" s="3">
        <f>(Master_Table!B340-Master_Table!B339)/Master_Table!B339</f>
        <v>-1.0386680807366631E-2</v>
      </c>
      <c r="C340" s="3">
        <f>(Master_Table!C340-Master_Table!C339)/Master_Table!C339</f>
        <v>-1.0336064546272904E-2</v>
      </c>
      <c r="D340" s="3">
        <f>(Master_Table!D340-Master_Table!D339)/Master_Table!D339</f>
        <v>-2.8855906175449366E-3</v>
      </c>
      <c r="E340" s="3">
        <f>(Master_Table!E340-Master_Table!E339)/Master_Table!E339</f>
        <v>-3.6764705882352941E-3</v>
      </c>
      <c r="F340" s="3">
        <f>(Master_Table!F340-Master_Table!F339)/Master_Table!F339</f>
        <v>-1.1208608211106129E-2</v>
      </c>
      <c r="G340" s="3">
        <f>(Master_Table!G340-Master_Table!G339)/Master_Table!G339</f>
        <v>-2.7430203284109951E-3</v>
      </c>
      <c r="H340" s="3">
        <f>(Master_Table!H340-Master_Table!H339)/Master_Table!H339</f>
        <v>1.2286788089043406E-3</v>
      </c>
    </row>
    <row r="341" spans="1:8" x14ac:dyDescent="0.3">
      <c r="A341" s="1">
        <v>44330</v>
      </c>
      <c r="B341" s="3">
        <f>(Master_Table!B341-Master_Table!B340)/Master_Table!B340</f>
        <v>-1.2724117987276376E-3</v>
      </c>
      <c r="C341" s="3">
        <f>(Master_Table!C341-Master_Table!C340)/Master_Table!C340</f>
        <v>1.262033070793598E-2</v>
      </c>
      <c r="D341" s="3">
        <f>(Master_Table!D341-Master_Table!D340)/Master_Table!D340</f>
        <v>-9.0399851004999143E-3</v>
      </c>
      <c r="E341" s="3">
        <f>(Master_Table!E341-Master_Table!E340)/Master_Table!E340</f>
        <v>4.4280442804428041E-2</v>
      </c>
      <c r="F341" s="3">
        <f>(Master_Table!F341-Master_Table!F340)/Master_Table!F340</f>
        <v>-1.1691929006347943E-2</v>
      </c>
      <c r="G341" s="3">
        <f>(Master_Table!G341-Master_Table!G340)/Master_Table!G340</f>
        <v>-7.9879427279577302E-3</v>
      </c>
      <c r="H341" s="3">
        <f>(Master_Table!H341-Master_Table!H340)/Master_Table!H340</f>
        <v>2.1800332058038004E-2</v>
      </c>
    </row>
    <row r="342" spans="1:8" x14ac:dyDescent="0.3">
      <c r="A342" s="1">
        <v>44333</v>
      </c>
      <c r="B342" s="3">
        <f>(Master_Table!B342-Master_Table!B341)/Master_Table!B341</f>
        <v>1.6715720339560449E-2</v>
      </c>
      <c r="C342" s="3">
        <f>(Master_Table!C342-Master_Table!C341)/Master_Table!C341</f>
        <v>1.1894473504662311E-2</v>
      </c>
      <c r="D342" s="3">
        <f>(Master_Table!D342-Master_Table!D341)/Master_Table!D341</f>
        <v>3.8513806563539081E-2</v>
      </c>
      <c r="E342" s="3">
        <f>(Master_Table!E342-Master_Table!E341)/Master_Table!E341</f>
        <v>1.6489988221436718E-3</v>
      </c>
      <c r="F342" s="3">
        <f>(Master_Table!F342-Master_Table!F341)/Master_Table!F341</f>
        <v>5.9806652466000325E-3</v>
      </c>
      <c r="G342" s="3">
        <f>(Master_Table!G342-Master_Table!G341)/Master_Table!G341</f>
        <v>9.8754178061379507E-3</v>
      </c>
      <c r="H342" s="3">
        <f>(Master_Table!H342-Master_Table!H341)/Master_Table!H341</f>
        <v>-2.0310844224655598E-2</v>
      </c>
    </row>
    <row r="343" spans="1:8" x14ac:dyDescent="0.3">
      <c r="A343" s="1">
        <v>44334</v>
      </c>
      <c r="B343" s="3">
        <f>(Master_Table!B343-Master_Table!B342)/Master_Table!B342</f>
        <v>1.2393496011230921E-2</v>
      </c>
      <c r="C343" s="3">
        <f>(Master_Table!C343-Master_Table!C342)/Master_Table!C342</f>
        <v>1.4080866653181369E-2</v>
      </c>
      <c r="D343" s="3">
        <f>(Master_Table!D343-Master_Table!D342)/Master_Table!D342</f>
        <v>2.5308349806498244E-2</v>
      </c>
      <c r="E343" s="3">
        <f>(Master_Table!E343-Master_Table!E342)/Master_Table!E342</f>
        <v>-1.1994355597365865E-2</v>
      </c>
      <c r="F343" s="3">
        <f>(Master_Table!F343-Master_Table!F342)/Master_Table!F342</f>
        <v>6.2057170779380019E-3</v>
      </c>
      <c r="G343" s="3">
        <f>(Master_Table!G343-Master_Table!G342)/Master_Table!G342</f>
        <v>7.9735218895741755E-3</v>
      </c>
      <c r="H343" s="3">
        <f>(Master_Table!H343-Master_Table!H342)/Master_Table!H342</f>
        <v>2.2029926086172671E-2</v>
      </c>
    </row>
    <row r="344" spans="1:8" x14ac:dyDescent="0.3">
      <c r="A344" s="1">
        <v>44335</v>
      </c>
      <c r="B344" s="3">
        <f>(Master_Table!B344-Master_Table!B343)/Master_Table!B343</f>
        <v>-5.159483985411847E-3</v>
      </c>
      <c r="C344" s="3">
        <f>(Master_Table!C344-Master_Table!C343)/Master_Table!C343</f>
        <v>4.5767351145291901E-3</v>
      </c>
      <c r="D344" s="3">
        <f>(Master_Table!D344-Master_Table!D343)/Master_Table!D343</f>
        <v>-1.2531906804974772E-2</v>
      </c>
      <c r="E344" s="3">
        <f>(Master_Table!E344-Master_Table!E343)/Master_Table!E343</f>
        <v>-1.0949773863365918E-2</v>
      </c>
      <c r="F344" s="3">
        <f>(Master_Table!F344-Master_Table!F343)/Master_Table!F343</f>
        <v>-2.2015022015022603E-3</v>
      </c>
      <c r="G344" s="3">
        <f>(Master_Table!G344-Master_Table!G343)/Master_Table!G343</f>
        <v>-2.2388059701492539E-3</v>
      </c>
      <c r="H344" s="3">
        <f>(Master_Table!H344-Master_Table!H343)/Master_Table!H343</f>
        <v>-9.7721018838636212E-3</v>
      </c>
    </row>
    <row r="345" spans="1:8" x14ac:dyDescent="0.3">
      <c r="A345" s="1">
        <v>44336</v>
      </c>
      <c r="B345" s="3">
        <f>(Master_Table!B345-Master_Table!B344)/Master_Table!B344</f>
        <v>-8.2567372913776894E-3</v>
      </c>
      <c r="C345" s="3">
        <f>(Master_Table!C345-Master_Table!C344)/Master_Table!C344</f>
        <v>-5.835502801923801E-3</v>
      </c>
      <c r="D345" s="3">
        <f>(Master_Table!D345-Master_Table!D344)/Master_Table!D344</f>
        <v>-1.7420836255138884E-2</v>
      </c>
      <c r="E345" s="3">
        <f>(Master_Table!E345-Master_Table!E344)/Master_Table!E344</f>
        <v>-3.6101083032490976E-3</v>
      </c>
      <c r="F345" s="3">
        <f>(Master_Table!F345-Master_Table!F344)/Master_Table!F344</f>
        <v>-7.138221933809215E-3</v>
      </c>
      <c r="G345" s="3">
        <f>(Master_Table!G345-Master_Table!G344)/Master_Table!G344</f>
        <v>1.7202692595362412E-3</v>
      </c>
      <c r="H345" s="3">
        <f>(Master_Table!H345-Master_Table!H344)/Master_Table!H344</f>
        <v>4.4889379742776405E-3</v>
      </c>
    </row>
    <row r="346" spans="1:8" x14ac:dyDescent="0.3">
      <c r="A346" s="1">
        <v>44337</v>
      </c>
      <c r="B346" s="3">
        <f>(Master_Table!B346-Master_Table!B345)/Master_Table!B345</f>
        <v>1.8063135438295189E-2</v>
      </c>
      <c r="C346" s="3">
        <f>(Master_Table!C346-Master_Table!C345)/Master_Table!C345</f>
        <v>8.6437424408863043E-3</v>
      </c>
      <c r="D346" s="3">
        <f>(Master_Table!D346-Master_Table!D345)/Master_Table!D345</f>
        <v>4.5016932075788475E-2</v>
      </c>
      <c r="E346" s="3">
        <f>(Master_Table!E346-Master_Table!E345)/Master_Table!E345</f>
        <v>9.9033816425121331E-3</v>
      </c>
      <c r="F346" s="3">
        <f>(Master_Table!F346-Master_Table!F345)/Master_Table!F345</f>
        <v>6.6993464052287578E-3</v>
      </c>
      <c r="G346" s="3">
        <f>(Master_Table!G346-Master_Table!G345)/Master_Table!G345</f>
        <v>1.13492122750691E-2</v>
      </c>
      <c r="H346" s="3">
        <f>(Master_Table!H346-Master_Table!H345)/Master_Table!H345</f>
        <v>5.8875687178577439E-3</v>
      </c>
    </row>
    <row r="347" spans="1:8" x14ac:dyDescent="0.3">
      <c r="A347" s="1">
        <v>44340</v>
      </c>
      <c r="B347" s="3">
        <f>(Master_Table!B347-Master_Table!B346)/Master_Table!B346</f>
        <v>1.4760828451497799E-3</v>
      </c>
      <c r="C347" s="3">
        <f>(Master_Table!C347-Master_Table!C346)/Master_Table!C346</f>
        <v>-8.4376581373346669E-3</v>
      </c>
      <c r="D347" s="3">
        <f>(Master_Table!D347-Master_Table!D346)/Master_Table!D346</f>
        <v>8.4494971812692447E-3</v>
      </c>
      <c r="E347" s="3">
        <f>(Master_Table!E347-Master_Table!E346)/Master_Table!E346</f>
        <v>1.1719684286055913E-2</v>
      </c>
      <c r="F347" s="3">
        <f>(Master_Table!F347-Master_Table!F346)/Master_Table!F346</f>
        <v>3.2462262619704593E-4</v>
      </c>
      <c r="G347" s="3">
        <f>(Master_Table!G347-Master_Table!G346)/Master_Table!G346</f>
        <v>-4.7619047619047953E-3</v>
      </c>
      <c r="H347" s="3">
        <f>(Master_Table!H347-Master_Table!H346)/Master_Table!H346</f>
        <v>1.7770882549980639E-2</v>
      </c>
    </row>
    <row r="348" spans="1:8" x14ac:dyDescent="0.3">
      <c r="A348" s="1">
        <v>44341</v>
      </c>
      <c r="B348" s="3">
        <f>(Master_Table!B348-Master_Table!B347)/Master_Table!B347</f>
        <v>7.0734387440204766E-4</v>
      </c>
      <c r="C348" s="3">
        <f>(Master_Table!C348-Master_Table!C347)/Master_Table!C347</f>
        <v>-1.1338547733954653E-2</v>
      </c>
      <c r="D348" s="3">
        <f>(Master_Table!D348-Master_Table!D347)/Master_Table!D347</f>
        <v>-2.0528482273270528E-2</v>
      </c>
      <c r="E348" s="3">
        <f>(Master_Table!E348-Master_Table!E347)/Master_Table!E347</f>
        <v>-2.8368794326240868E-3</v>
      </c>
      <c r="F348" s="3">
        <f>(Master_Table!F348-Master_Table!F347)/Master_Table!F347</f>
        <v>1.0546811617718643E-2</v>
      </c>
      <c r="G348" s="3">
        <f>(Master_Table!G348-Master_Table!G347)/Master_Table!G347</f>
        <v>1.005155595118872E-2</v>
      </c>
      <c r="H348" s="3">
        <f>(Master_Table!H348-Master_Table!H347)/Master_Table!H347</f>
        <v>5.335181015070186E-3</v>
      </c>
    </row>
    <row r="349" spans="1:8" x14ac:dyDescent="0.3">
      <c r="A349" s="1">
        <v>44342</v>
      </c>
      <c r="B349" s="3">
        <f>(Master_Table!B349-Master_Table!B348)/Master_Table!B348</f>
        <v>6.1150215833960719E-3</v>
      </c>
      <c r="C349" s="3">
        <f>(Master_Table!C349-Master_Table!C348)/Master_Table!C348</f>
        <v>3.5123943756803109E-3</v>
      </c>
      <c r="D349" s="3">
        <f>(Master_Table!D349-Master_Table!D348)/Master_Table!D348</f>
        <v>-1.2878911121955586E-3</v>
      </c>
      <c r="E349" s="3">
        <f>(Master_Table!E349-Master_Table!E348)/Master_Table!E348</f>
        <v>-1.4224751066856868E-3</v>
      </c>
      <c r="F349" s="3">
        <f>(Master_Table!F349-Master_Table!F348)/Master_Table!F348</f>
        <v>1.4290301862556198E-2</v>
      </c>
      <c r="G349" s="3">
        <f>(Master_Table!G349-Master_Table!G348)/Master_Table!G348</f>
        <v>2.6182432432432502E-2</v>
      </c>
      <c r="H349" s="3">
        <f>(Master_Table!H349-Master_Table!H348)/Master_Table!H348</f>
        <v>1.5128019573382986E-2</v>
      </c>
    </row>
    <row r="350" spans="1:8" x14ac:dyDescent="0.3">
      <c r="A350" s="1">
        <v>44343</v>
      </c>
      <c r="B350" s="3">
        <f>(Master_Table!B350-Master_Table!B349)/Master_Table!B349</f>
        <v>2.3788595198494023E-3</v>
      </c>
      <c r="C350" s="3">
        <f>(Master_Table!C350-Master_Table!C349)/Master_Table!C349</f>
        <v>3.0751682955739942E-3</v>
      </c>
      <c r="D350" s="3">
        <f>(Master_Table!D350-Master_Table!D349)/Master_Table!D349</f>
        <v>3.8007845905332696E-3</v>
      </c>
      <c r="E350" s="3">
        <f>(Master_Table!E350-Master_Table!E349)/Master_Table!E349</f>
        <v>2.6115859449193325E-3</v>
      </c>
      <c r="F350" s="3">
        <f>(Master_Table!F350-Master_Table!F349)/Master_Table!F349</f>
        <v>6.8070286528415383E-3</v>
      </c>
      <c r="G350" s="3">
        <f>(Master_Table!G350-Master_Table!G349)/Master_Table!G349</f>
        <v>3.5784576847378781E-3</v>
      </c>
      <c r="H350" s="3">
        <f>(Master_Table!H350-Master_Table!H349)/Master_Table!H349</f>
        <v>6.7553805417881847E-3</v>
      </c>
    </row>
    <row r="351" spans="1:8" x14ac:dyDescent="0.3">
      <c r="A351" s="1">
        <v>44344</v>
      </c>
      <c r="B351" s="3">
        <f>(Master_Table!B351-Master_Table!B350)/Master_Table!B350</f>
        <v>6.3763826090357687E-3</v>
      </c>
      <c r="C351" s="3">
        <f>(Master_Table!C351-Master_Table!C350)/Master_Table!C350</f>
        <v>6.0066219997547403E-2</v>
      </c>
      <c r="D351" s="3">
        <f>(Master_Table!D351-Master_Table!D350)/Master_Table!D350</f>
        <v>1.4023178136283119E-2</v>
      </c>
      <c r="E351" s="3">
        <f>(Master_Table!E351-Master_Table!E350)/Master_Table!E350</f>
        <v>8.2879469571394745E-3</v>
      </c>
      <c r="F351" s="3">
        <f>(Master_Table!F351-Master_Table!F350)/Master_Table!F350</f>
        <v>-1.1446540880503174E-2</v>
      </c>
      <c r="G351" s="3">
        <f>(Master_Table!G351-Master_Table!G350)/Master_Table!G350</f>
        <v>1.9967908718131252E-3</v>
      </c>
      <c r="H351" s="3">
        <f>(Master_Table!H351-Master_Table!H350)/Master_Table!H350</f>
        <v>-3.2032909599757227E-3</v>
      </c>
    </row>
    <row r="352" spans="1:8" x14ac:dyDescent="0.3">
      <c r="A352" s="1">
        <v>44347</v>
      </c>
      <c r="B352" s="3">
        <f>(Master_Table!B352-Master_Table!B351)/Master_Table!B351</f>
        <v>9.5331262369903209E-3</v>
      </c>
      <c r="C352" s="3">
        <f>(Master_Table!C352-Master_Table!C351)/Master_Table!C351</f>
        <v>3.1265446055800374E-2</v>
      </c>
      <c r="D352" s="3">
        <f>(Master_Table!D352-Master_Table!D351)/Master_Table!D351</f>
        <v>8.2415384205050939E-3</v>
      </c>
      <c r="E352" s="3">
        <f>(Master_Table!E352-Master_Table!E351)/Master_Table!E351</f>
        <v>1.7379051197745368E-2</v>
      </c>
      <c r="F352" s="3">
        <f>(Master_Table!F352-Master_Table!F351)/Master_Table!F351</f>
        <v>4.946558086270576E-3</v>
      </c>
      <c r="G352" s="3">
        <f>(Master_Table!G352-Master_Table!G351)/Master_Table!G351</f>
        <v>-8.0424184192733027E-3</v>
      </c>
      <c r="H352" s="3">
        <f>(Master_Table!H352-Master_Table!H351)/Master_Table!H351</f>
        <v>-7.0360598065082637E-3</v>
      </c>
    </row>
    <row r="353" spans="1:8" x14ac:dyDescent="0.3">
      <c r="A353" s="1">
        <v>44348</v>
      </c>
      <c r="B353" s="3">
        <f>(Master_Table!B353-Master_Table!B352)/Master_Table!B352</f>
        <v>-5.1017788844103169E-4</v>
      </c>
      <c r="C353" s="3">
        <f>(Master_Table!C353-Master_Table!C352)/Master_Table!C352</f>
        <v>3.9872733576716444E-3</v>
      </c>
      <c r="D353" s="3">
        <f>(Master_Table!D353-Master_Table!D352)/Master_Table!D352</f>
        <v>-2.7379503729960536E-3</v>
      </c>
      <c r="E353" s="3">
        <f>(Master_Table!E353-Master_Table!E352)/Master_Table!E352</f>
        <v>-6.2326869806093926E-3</v>
      </c>
      <c r="F353" s="3">
        <f>(Master_Table!F353-Master_Table!F352)/Master_Table!F352</f>
        <v>-1.9467261763449317E-3</v>
      </c>
      <c r="G353" s="3">
        <f>(Master_Table!G353-Master_Table!G352)/Master_Table!G352</f>
        <v>-4.6995515695066941E-3</v>
      </c>
      <c r="H353" s="3">
        <f>(Master_Table!H353-Master_Table!H352)/Master_Table!H352</f>
        <v>4.7353001294542793E-3</v>
      </c>
    </row>
    <row r="354" spans="1:8" x14ac:dyDescent="0.3">
      <c r="A354" s="1">
        <v>44349</v>
      </c>
      <c r="B354" s="3">
        <f>(Master_Table!B354-Master_Table!B353)/Master_Table!B353</f>
        <v>8.667820235831252E-5</v>
      </c>
      <c r="C354" s="3">
        <f>(Master_Table!C354-Master_Table!C353)/Master_Table!C353</f>
        <v>1.4910668034493681E-2</v>
      </c>
      <c r="D354" s="3">
        <f>(Master_Table!D354-Master_Table!D353)/Master_Table!D353</f>
        <v>-5.0930408371686296E-3</v>
      </c>
      <c r="E354" s="3">
        <f>(Master_Table!E354-Master_Table!E353)/Master_Table!E353</f>
        <v>-2.9036004645760744E-2</v>
      </c>
      <c r="F354" s="3">
        <f>(Master_Table!F354-Master_Table!F353)/Master_Table!F353</f>
        <v>-7.4690770694577167E-3</v>
      </c>
      <c r="G354" s="3">
        <f>(Master_Table!G354-Master_Table!G353)/Master_Table!G353</f>
        <v>-6.1634948096885482E-3</v>
      </c>
      <c r="H354" s="3">
        <f>(Master_Table!H354-Master_Table!H353)/Master_Table!H353</f>
        <v>-2.4412572474825458E-3</v>
      </c>
    </row>
    <row r="355" spans="1:8" x14ac:dyDescent="0.3">
      <c r="A355" s="1">
        <v>44350</v>
      </c>
      <c r="B355" s="3">
        <f>(Master_Table!B355-Master_Table!B354)/Master_Table!B354</f>
        <v>7.3284883347671213E-3</v>
      </c>
      <c r="C355" s="3">
        <f>(Master_Table!C355-Master_Table!C354)/Master_Table!C354</f>
        <v>3.8230201859468342E-3</v>
      </c>
      <c r="D355" s="3">
        <f>(Master_Table!D355-Master_Table!D354)/Master_Table!D354</f>
        <v>1.101142468638768E-2</v>
      </c>
      <c r="E355" s="3">
        <f>(Master_Table!E355-Master_Table!E354)/Master_Table!E354</f>
        <v>2.3923444976081996E-4</v>
      </c>
      <c r="F355" s="3">
        <f>(Master_Table!F355-Master_Table!F354)/Master_Table!F354</f>
        <v>3.7706306219943385E-3</v>
      </c>
      <c r="G355" s="3">
        <f>(Master_Table!G355-Master_Table!G354)/Master_Table!G354</f>
        <v>7.9788198600079779E-3</v>
      </c>
      <c r="H355" s="3">
        <f>(Master_Table!H355-Master_Table!H354)/Master_Table!H354</f>
        <v>2.7055504571564498E-2</v>
      </c>
    </row>
    <row r="356" spans="1:8" x14ac:dyDescent="0.3">
      <c r="A356" s="1">
        <v>44351</v>
      </c>
      <c r="B356" s="3">
        <f>(Master_Table!B356-Master_Table!B355)/Master_Table!B355</f>
        <v>-1.2810421692314297E-3</v>
      </c>
      <c r="C356" s="3">
        <f>(Master_Table!C356-Master_Table!C355)/Master_Table!C355</f>
        <v>-8.6737186325433254E-3</v>
      </c>
      <c r="D356" s="3">
        <f>(Master_Table!D356-Master_Table!D355)/Master_Table!D355</f>
        <v>-1.2895739659014456E-2</v>
      </c>
      <c r="E356" s="3">
        <f>(Master_Table!E356-Master_Table!E355)/Master_Table!E355</f>
        <v>-1.4350633819660912E-3</v>
      </c>
      <c r="F356" s="3">
        <f>(Master_Table!F356-Master_Table!F355)/Master_Table!F355</f>
        <v>7.9586152009550337E-4</v>
      </c>
      <c r="G356" s="3">
        <f>(Master_Table!G356-Master_Table!G355)/Master_Table!G355</f>
        <v>-2.8784226244018278E-3</v>
      </c>
      <c r="H356" s="3">
        <f>(Master_Table!H356-Master_Table!H355)/Master_Table!H355</f>
        <v>1.767217129430456E-2</v>
      </c>
    </row>
    <row r="357" spans="1:8" x14ac:dyDescent="0.3">
      <c r="A357" s="1">
        <v>44354</v>
      </c>
      <c r="B357" s="3">
        <f>(Master_Table!B357-Master_Table!B356)/Master_Table!B356</f>
        <v>5.1945565641900822E-3</v>
      </c>
      <c r="C357" s="3">
        <f>(Master_Table!C357-Master_Table!C356)/Master_Table!C356</f>
        <v>1.6845514064747116E-2</v>
      </c>
      <c r="D357" s="3">
        <f>(Master_Table!D357-Master_Table!D356)/Master_Table!D356</f>
        <v>-7.346949680074648E-4</v>
      </c>
      <c r="E357" s="3">
        <f>(Master_Table!E357-Master_Table!E356)/Master_Table!E356</f>
        <v>1.2934131736526891E-2</v>
      </c>
      <c r="F357" s="3">
        <f>(Master_Table!F357-Master_Table!F356)/Master_Table!F356</f>
        <v>1.2548707753479067E-2</v>
      </c>
      <c r="G357" s="3">
        <f>(Master_Table!G357-Master_Table!G356)/Master_Table!G356</f>
        <v>2.8867318586944754E-3</v>
      </c>
      <c r="H357" s="3">
        <f>(Master_Table!H357-Master_Table!H356)/Master_Table!H356</f>
        <v>1.3170303404767325E-2</v>
      </c>
    </row>
    <row r="358" spans="1:8" x14ac:dyDescent="0.3">
      <c r="A358" s="1">
        <v>44355</v>
      </c>
      <c r="B358" s="3">
        <f>(Master_Table!B358-Master_Table!B357)/Master_Table!B357</f>
        <v>-7.3325651598399354E-4</v>
      </c>
      <c r="C358" s="3">
        <f>(Master_Table!C358-Master_Table!C357)/Master_Table!C357</f>
        <v>-5.7463306563279451E-3</v>
      </c>
      <c r="D358" s="3">
        <f>(Master_Table!D358-Master_Table!D357)/Master_Table!D357</f>
        <v>-1.1202309975135679E-2</v>
      </c>
      <c r="E358" s="3">
        <f>(Master_Table!E358-Master_Table!E357)/Master_Table!E357</f>
        <v>1.0404350910380786E-2</v>
      </c>
      <c r="F358" s="3">
        <f>(Master_Table!F358-Master_Table!F357)/Master_Table!F357</f>
        <v>5.3248303593868666E-3</v>
      </c>
      <c r="G358" s="3">
        <f>(Master_Table!G358-Master_Table!G357)/Master_Table!G357</f>
        <v>1.6766811787140613E-2</v>
      </c>
      <c r="H358" s="3">
        <f>(Master_Table!H358-Master_Table!H357)/Master_Table!H357</f>
        <v>-5.5527025292077701E-3</v>
      </c>
    </row>
    <row r="359" spans="1:8" x14ac:dyDescent="0.3">
      <c r="A359" s="1">
        <v>44356</v>
      </c>
      <c r="B359" s="3">
        <f>(Master_Table!B359-Master_Table!B358)/Master_Table!B358</f>
        <v>-6.6549767790547712E-3</v>
      </c>
      <c r="C359" s="3">
        <f>(Master_Table!C359-Master_Table!C358)/Master_Table!C358</f>
        <v>-1.7875794562654836E-2</v>
      </c>
      <c r="D359" s="3">
        <f>(Master_Table!D359-Master_Table!D358)/Master_Table!D358</f>
        <v>-1.8521522820679275E-3</v>
      </c>
      <c r="E359" s="3">
        <f>(Master_Table!E359-Master_Table!E358)/Master_Table!E358</f>
        <v>-5.3826351509478386E-3</v>
      </c>
      <c r="F359" s="3">
        <f>(Master_Table!F359-Master_Table!F358)/Master_Table!F358</f>
        <v>3.124853522488291E-5</v>
      </c>
      <c r="G359" s="3">
        <f>(Master_Table!G359-Master_Table!G358)/Master_Table!G358</f>
        <v>1.6631869492904272E-3</v>
      </c>
      <c r="H359" s="3">
        <f>(Master_Table!H359-Master_Table!H358)/Master_Table!H358</f>
        <v>-1.9268631184843388E-2</v>
      </c>
    </row>
    <row r="360" spans="1:8" x14ac:dyDescent="0.3">
      <c r="A360" s="1">
        <v>44357</v>
      </c>
      <c r="B360" s="3">
        <f>(Master_Table!B360-Master_Table!B359)/Master_Table!B359</f>
        <v>6.5492617690041883E-3</v>
      </c>
      <c r="C360" s="3">
        <f>(Master_Table!C360-Master_Table!C359)/Master_Table!C359</f>
        <v>3.67669401397751E-3</v>
      </c>
      <c r="D360" s="3">
        <f>(Master_Table!D360-Master_Table!D359)/Master_Table!D359</f>
        <v>5.1468895179546418E-4</v>
      </c>
      <c r="E360" s="3">
        <f>(Master_Table!E360-Master_Table!E359)/Master_Table!E359</f>
        <v>-1.5058823529411711E-2</v>
      </c>
      <c r="F360" s="3">
        <f>(Master_Table!F360-Master_Table!F359)/Master_Table!F359</f>
        <v>5.1714709788298358E-3</v>
      </c>
      <c r="G360" s="3">
        <f>(Master_Table!G360-Master_Table!G359)/Master_Table!G359</f>
        <v>6.3590758143149866E-3</v>
      </c>
      <c r="H360" s="3">
        <f>(Master_Table!H360-Master_Table!H359)/Master_Table!H359</f>
        <v>2.6327914171005791E-4</v>
      </c>
    </row>
    <row r="361" spans="1:8" x14ac:dyDescent="0.3">
      <c r="A361" s="1">
        <v>44358</v>
      </c>
      <c r="B361" s="3">
        <f>(Master_Table!B361-Master_Table!B360)/Master_Table!B360</f>
        <v>3.9141554542422114E-3</v>
      </c>
      <c r="C361" s="3">
        <f>(Master_Table!C361-Master_Table!C360)/Master_Table!C360</f>
        <v>1.3805213284490392E-2</v>
      </c>
      <c r="D361" s="3">
        <f>(Master_Table!D361-Master_Table!D360)/Master_Table!D360</f>
        <v>3.5738943264427381E-3</v>
      </c>
      <c r="E361" s="3">
        <f>(Master_Table!E361-Master_Table!E360)/Master_Table!E360</f>
        <v>-6.6889632107023679E-3</v>
      </c>
      <c r="F361" s="3">
        <f>(Master_Table!F361-Master_Table!F360)/Master_Table!F360</f>
        <v>1.7719472767968165E-2</v>
      </c>
      <c r="G361" s="3">
        <f>(Master_Table!G361-Master_Table!G360)/Master_Table!G360</f>
        <v>1.5867443656533128E-2</v>
      </c>
      <c r="H361" s="3">
        <f>(Master_Table!H361-Master_Table!H360)/Master_Table!H360</f>
        <v>-1.0692899914456801E-2</v>
      </c>
    </row>
    <row r="362" spans="1:8" x14ac:dyDescent="0.3">
      <c r="A362" s="1">
        <v>44361</v>
      </c>
      <c r="B362" s="3">
        <f>(Master_Table!B362-Master_Table!B361)/Master_Table!B361</f>
        <v>7.9117178871282673E-4</v>
      </c>
      <c r="C362" s="3">
        <f>(Master_Table!C362-Master_Table!C361)/Master_Table!C361</f>
        <v>1.4353828849006042E-2</v>
      </c>
      <c r="D362" s="3">
        <f>(Master_Table!D362-Master_Table!D361)/Master_Table!D361</f>
        <v>-4.6403086344813434E-3</v>
      </c>
      <c r="E362" s="3">
        <f>(Master_Table!E362-Master_Table!E361)/Master_Table!E361</f>
        <v>-2.8860028860028587E-3</v>
      </c>
      <c r="F362" s="3">
        <f>(Master_Table!F362-Master_Table!F361)/Master_Table!F361</f>
        <v>7.7891135683295465E-4</v>
      </c>
      <c r="G362" s="3">
        <f>(Master_Table!G362-Master_Table!G361)/Master_Table!G361</f>
        <v>1.029787822240643E-2</v>
      </c>
      <c r="H362" s="3">
        <f>(Master_Table!H362-Master_Table!H361)/Master_Table!H361</f>
        <v>8.1811832784595123E-3</v>
      </c>
    </row>
    <row r="363" spans="1:8" x14ac:dyDescent="0.3">
      <c r="A363" s="1">
        <v>44362</v>
      </c>
      <c r="B363" s="3">
        <f>(Master_Table!B363-Master_Table!B362)/Master_Table!B362</f>
        <v>3.630188750841909E-3</v>
      </c>
      <c r="C363" s="3">
        <f>(Master_Table!C363-Master_Table!C362)/Master_Table!C362</f>
        <v>2.2668616233084984E-3</v>
      </c>
      <c r="D363" s="3">
        <f>(Master_Table!D363-Master_Table!D362)/Master_Table!D362</f>
        <v>7.3046117985065342E-3</v>
      </c>
      <c r="E363" s="3">
        <f>(Master_Table!E363-Master_Table!E362)/Master_Table!E362</f>
        <v>-1.20598166907863E-3</v>
      </c>
      <c r="F363" s="3">
        <f>(Master_Table!F363-Master_Table!F362)/Master_Table!F362</f>
        <v>-4.1509606726997756E-3</v>
      </c>
      <c r="G363" s="3">
        <f>(Master_Table!G363-Master_Table!G362)/Master_Table!G362</f>
        <v>8.2774661376386217E-3</v>
      </c>
      <c r="H363" s="3">
        <f>(Master_Table!H363-Master_Table!H362)/Master_Table!H362</f>
        <v>-3.2657100445324396E-3</v>
      </c>
    </row>
    <row r="364" spans="1:8" x14ac:dyDescent="0.3">
      <c r="A364" s="1">
        <v>44363</v>
      </c>
      <c r="B364" s="3">
        <f>(Master_Table!B364-Master_Table!B363)/Master_Table!B363</f>
        <v>-6.40862044520067E-3</v>
      </c>
      <c r="C364" s="3">
        <f>(Master_Table!C364-Master_Table!C363)/Master_Table!C363</f>
        <v>-1.7065815497287938E-2</v>
      </c>
      <c r="D364" s="3">
        <f>(Master_Table!D364-Master_Table!D363)/Master_Table!D363</f>
        <v>-3.7939941879237115E-3</v>
      </c>
      <c r="E364" s="3">
        <f>(Master_Table!E364-Master_Table!E363)/Master_Table!E363</f>
        <v>3.8638010142476838E-3</v>
      </c>
      <c r="F364" s="3">
        <f>(Master_Table!F364-Master_Table!F363)/Master_Table!F363</f>
        <v>3.5552831200673998E-3</v>
      </c>
      <c r="G364" s="3">
        <f>(Master_Table!G364-Master_Table!G363)/Master_Table!G363</f>
        <v>4.545762941854819E-3</v>
      </c>
      <c r="H364" s="3">
        <f>(Master_Table!H364-Master_Table!H363)/Master_Table!H363</f>
        <v>-1.3171829494307561E-2</v>
      </c>
    </row>
    <row r="365" spans="1:8" x14ac:dyDescent="0.3">
      <c r="A365" s="1">
        <v>44364</v>
      </c>
      <c r="B365" s="3">
        <f>(Master_Table!B365-Master_Table!B364)/Master_Table!B364</f>
        <v>-4.8295391484409209E-3</v>
      </c>
      <c r="C365" s="3">
        <f>(Master_Table!C365-Master_Table!C364)/Master_Table!C364</f>
        <v>1.8328336205437059E-3</v>
      </c>
      <c r="D365" s="3">
        <f>(Master_Table!D365-Master_Table!D364)/Master_Table!D364</f>
        <v>-1.246522432001731E-2</v>
      </c>
      <c r="E365" s="3">
        <f>(Master_Table!E365-Master_Table!E364)/Master_Table!E364</f>
        <v>-1.0584556170315076E-2</v>
      </c>
      <c r="F365" s="3">
        <f>(Master_Table!F365-Master_Table!F364)/Master_Table!F364</f>
        <v>1.3254539068822848E-2</v>
      </c>
      <c r="G365" s="3">
        <f>(Master_Table!G365-Master_Table!G364)/Master_Table!G364</f>
        <v>9.9284074024044624E-3</v>
      </c>
      <c r="H365" s="3">
        <f>(Master_Table!H365-Master_Table!H364)/Master_Table!H364</f>
        <v>-2.2469649205178995E-3</v>
      </c>
    </row>
    <row r="366" spans="1:8" x14ac:dyDescent="0.3">
      <c r="A366" s="1">
        <v>44365</v>
      </c>
      <c r="B366" s="3">
        <f>(Master_Table!B366-Master_Table!B365)/Master_Table!B365</f>
        <v>-5.1301987075718367E-4</v>
      </c>
      <c r="C366" s="3">
        <f>(Master_Table!C366-Master_Table!C365)/Master_Table!C365</f>
        <v>4.514044245587834E-3</v>
      </c>
      <c r="D366" s="3">
        <f>(Master_Table!D366-Master_Table!D365)/Master_Table!D365</f>
        <v>9.3404264048246484E-3</v>
      </c>
      <c r="E366" s="3">
        <f>(Master_Table!E366-Master_Table!E365)/Master_Table!E365</f>
        <v>-5.348893751519544E-3</v>
      </c>
      <c r="F366" s="3">
        <f>(Master_Table!F366-Master_Table!F365)/Master_Table!F365</f>
        <v>-6.1638158390474925E-3</v>
      </c>
      <c r="G366" s="3">
        <f>(Master_Table!G366-Master_Table!G365)/Master_Table!G365</f>
        <v>5.3500969705075905E-3</v>
      </c>
      <c r="H366" s="3">
        <f>(Master_Table!H366-Master_Table!H365)/Master_Table!H365</f>
        <v>-7.7644448926086213E-3</v>
      </c>
    </row>
    <row r="367" spans="1:8" x14ac:dyDescent="0.3">
      <c r="A367" s="1">
        <v>44368</v>
      </c>
      <c r="B367" s="3">
        <f>(Master_Table!B367-Master_Table!B366)/Master_Table!B366</f>
        <v>4.02656320237702E-3</v>
      </c>
      <c r="C367" s="3">
        <f>(Master_Table!C367-Master_Table!C366)/Master_Table!C366</f>
        <v>5.2064258777182702E-3</v>
      </c>
      <c r="D367" s="3">
        <f>(Master_Table!D367-Master_Table!D366)/Master_Table!D366</f>
        <v>6.01577107552239E-3</v>
      </c>
      <c r="E367" s="3">
        <f>(Master_Table!E367-Master_Table!E366)/Master_Table!E366</f>
        <v>-4.8887802493289038E-4</v>
      </c>
      <c r="F367" s="3">
        <f>(Master_Table!F367-Master_Table!F366)/Master_Table!F366</f>
        <v>-7.3393382464441428E-3</v>
      </c>
      <c r="G367" s="3">
        <f>(Master_Table!G367-Master_Table!G366)/Master_Table!G366</f>
        <v>-1.9956096587507486E-3</v>
      </c>
      <c r="H367" s="3">
        <f>(Master_Table!H367-Master_Table!H366)/Master_Table!H366</f>
        <v>-6.0636856368563993E-3</v>
      </c>
    </row>
    <row r="368" spans="1:8" x14ac:dyDescent="0.3">
      <c r="A368" s="1">
        <v>44369</v>
      </c>
      <c r="B368" s="3">
        <f>(Master_Table!B368-Master_Table!B367)/Master_Table!B367</f>
        <v>1.6670371193598578E-3</v>
      </c>
      <c r="C368" s="3">
        <f>(Master_Table!C368-Master_Table!C367)/Master_Table!C367</f>
        <v>-5.1400718822312182E-3</v>
      </c>
      <c r="D368" s="3">
        <f>(Master_Table!D368-Master_Table!D367)/Master_Table!D367</f>
        <v>-3.2861952861953595E-3</v>
      </c>
      <c r="E368" s="3">
        <f>(Master_Table!E368-Master_Table!E367)/Master_Table!E367</f>
        <v>3.1792614331132584E-3</v>
      </c>
      <c r="F368" s="3">
        <f>(Master_Table!F368-Master_Table!F367)/Master_Table!F367</f>
        <v>8.5851333598117724E-3</v>
      </c>
      <c r="G368" s="3">
        <f>(Master_Table!G368-Master_Table!G367)/Master_Table!G367</f>
        <v>7.6984603079383821E-3</v>
      </c>
      <c r="H368" s="3">
        <f>(Master_Table!H368-Master_Table!H367)/Master_Table!H367</f>
        <v>2.1914726832759683E-2</v>
      </c>
    </row>
    <row r="369" spans="1:8" x14ac:dyDescent="0.3">
      <c r="A369" s="1">
        <v>44370</v>
      </c>
      <c r="B369" s="3">
        <f>(Master_Table!B369-Master_Table!B368)/Master_Table!B368</f>
        <v>-5.4397616141763023E-3</v>
      </c>
      <c r="C369" s="3">
        <f>(Master_Table!C369-Master_Table!C368)/Master_Table!C368</f>
        <v>-9.1653222214523877E-3</v>
      </c>
      <c r="D369" s="3">
        <f>(Master_Table!D369-Master_Table!D368)/Master_Table!D368</f>
        <v>1.1485555225252315E-3</v>
      </c>
      <c r="E369" s="3">
        <f>(Master_Table!E369-Master_Table!E368)/Master_Table!E368</f>
        <v>-5.6070209653827684E-3</v>
      </c>
      <c r="F369" s="3">
        <f>(Master_Table!F369-Master_Table!F368)/Master_Table!F368</f>
        <v>-1.205622197988602E-2</v>
      </c>
      <c r="G369" s="3">
        <f>(Master_Table!G369-Master_Table!G368)/Master_Table!G368</f>
        <v>-5.7545391407876562E-3</v>
      </c>
      <c r="H369" s="3">
        <f>(Master_Table!H369-Master_Table!H368)/Master_Table!H368</f>
        <v>-1.330709711846321E-2</v>
      </c>
    </row>
    <row r="370" spans="1:8" x14ac:dyDescent="0.3">
      <c r="A370" s="1">
        <v>44371</v>
      </c>
      <c r="B370" s="3">
        <f>(Master_Table!B370-Master_Table!B369)/Master_Table!B369</f>
        <v>6.5978408804770843E-3</v>
      </c>
      <c r="C370" s="3">
        <f>(Master_Table!C370-Master_Table!C369)/Master_Table!C369</f>
        <v>-2.3504849810702635E-2</v>
      </c>
      <c r="D370" s="3">
        <f>(Master_Table!D370-Master_Table!D369)/Master_Table!D369</f>
        <v>1.3969308013119033E-2</v>
      </c>
      <c r="E370" s="3">
        <f>(Master_Table!E370-Master_Table!E369)/Master_Table!E369</f>
        <v>-3.4322137778866812E-3</v>
      </c>
      <c r="F370" s="3">
        <f>(Master_Table!F370-Master_Table!F369)/Master_Table!F369</f>
        <v>3.4402403875636173E-2</v>
      </c>
      <c r="G370" s="3">
        <f>(Master_Table!G370-Master_Table!G369)/Master_Table!G369</f>
        <v>3.7288361108339121E-2</v>
      </c>
      <c r="H370" s="3">
        <f>(Master_Table!H370-Master_Table!H369)/Master_Table!H369</f>
        <v>1.6765252661821838E-2</v>
      </c>
    </row>
    <row r="371" spans="1:8" x14ac:dyDescent="0.3">
      <c r="A371" s="1">
        <v>44372</v>
      </c>
      <c r="B371" s="3">
        <f>(Master_Table!B371-Master_Table!B370)/Master_Table!B370</f>
        <v>4.4267262807582836E-3</v>
      </c>
      <c r="C371" s="3">
        <f>(Master_Table!C371-Master_Table!C370)/Master_Table!C370</f>
        <v>-2.2781676453137448E-2</v>
      </c>
      <c r="D371" s="3">
        <f>(Master_Table!D371-Master_Table!D370)/Master_Table!D370</f>
        <v>5.8701381678779229E-3</v>
      </c>
      <c r="E371" s="3">
        <f>(Master_Table!E371-Master_Table!E370)/Master_Table!E370</f>
        <v>8.8560885608856641E-3</v>
      </c>
      <c r="F371" s="3">
        <f>(Master_Table!F371-Master_Table!F370)/Master_Table!F370</f>
        <v>2.1342186388428603E-3</v>
      </c>
      <c r="G371" s="3">
        <f>(Master_Table!G371-Master_Table!G370)/Master_Table!G370</f>
        <v>9.6203181118522316E-3</v>
      </c>
      <c r="H371" s="3">
        <f>(Master_Table!H371-Master_Table!H370)/Master_Table!H370</f>
        <v>1.3164455968883984E-2</v>
      </c>
    </row>
    <row r="372" spans="1:8" x14ac:dyDescent="0.3">
      <c r="A372" s="1">
        <v>44375</v>
      </c>
      <c r="B372" s="3">
        <f>(Master_Table!B372-Master_Table!B371)/Master_Table!B371</f>
        <v>-2.8782466969518097E-3</v>
      </c>
      <c r="C372" s="3">
        <f>(Master_Table!C372-Master_Table!C371)/Master_Table!C371</f>
        <v>-8.7619207135155551E-3</v>
      </c>
      <c r="D372" s="3">
        <f>(Master_Table!D372-Master_Table!D371)/Master_Table!D371</f>
        <v>-4.4596186165919045E-3</v>
      </c>
      <c r="E372" s="3">
        <f>(Master_Table!E372-Master_Table!E371)/Master_Table!E371</f>
        <v>-7.0714459887833061E-3</v>
      </c>
      <c r="F372" s="3">
        <f>(Master_Table!F372-Master_Table!F371)/Master_Table!F371</f>
        <v>-1.3029460482726036E-2</v>
      </c>
      <c r="G372" s="3">
        <f>(Master_Table!G372-Master_Table!G371)/Master_Table!G371</f>
        <v>-1.5245839156397478E-3</v>
      </c>
      <c r="H372" s="3">
        <f>(Master_Table!H372-Master_Table!H371)/Master_Table!H371</f>
        <v>-6.168586146930383E-3</v>
      </c>
    </row>
    <row r="373" spans="1:8" x14ac:dyDescent="0.3">
      <c r="A373" s="1">
        <v>44376</v>
      </c>
      <c r="B373" s="3">
        <f>(Master_Table!B373-Master_Table!B372)/Master_Table!B372</f>
        <v>-4.1891404832213068E-3</v>
      </c>
      <c r="C373" s="3">
        <f>(Master_Table!C373-Master_Table!C372)/Master_Table!C372</f>
        <v>8.5542295912985442E-4</v>
      </c>
      <c r="D373" s="3">
        <f>(Master_Table!D373-Master_Table!D372)/Master_Table!D372</f>
        <v>-4.1738668084540563E-3</v>
      </c>
      <c r="E373" s="3">
        <f>(Master_Table!E373-Master_Table!E372)/Master_Table!E372</f>
        <v>-1.4734774066796805E-3</v>
      </c>
      <c r="F373" s="3">
        <f>(Master_Table!F373-Master_Table!F372)/Master_Table!F372</f>
        <v>1.2287405409455035E-3</v>
      </c>
      <c r="G373" s="3">
        <f>(Master_Table!G373-Master_Table!G372)/Master_Table!G372</f>
        <v>-5.5668660134877215E-3</v>
      </c>
      <c r="H373" s="3">
        <f>(Master_Table!H373-Master_Table!H372)/Master_Table!H372</f>
        <v>-2.3440853114991942E-3</v>
      </c>
    </row>
    <row r="374" spans="1:8" x14ac:dyDescent="0.3">
      <c r="A374" s="1">
        <v>44377</v>
      </c>
      <c r="B374" s="3">
        <f>(Master_Table!B374-Master_Table!B373)/Master_Table!B373</f>
        <v>-1.7112795227467292E-3</v>
      </c>
      <c r="C374" s="3">
        <f>(Master_Table!C374-Master_Table!C373)/Master_Table!C373</f>
        <v>1.0952717603486293E-2</v>
      </c>
      <c r="D374" s="3">
        <f>(Master_Table!D374-Master_Table!D373)/Master_Table!D373</f>
        <v>-2.763094666025864E-3</v>
      </c>
      <c r="E374" s="3">
        <f>(Master_Table!E374-Master_Table!E373)/Master_Table!E373</f>
        <v>-2.951303492375911E-3</v>
      </c>
      <c r="F374" s="3">
        <f>(Master_Table!F374-Master_Table!F373)/Master_Table!F373</f>
        <v>1.4666926081686072E-3</v>
      </c>
      <c r="G374" s="3">
        <f>(Master_Table!G374-Master_Table!G373)/Master_Table!G373</f>
        <v>1.1356002687054157E-2</v>
      </c>
      <c r="H374" s="3">
        <f>(Master_Table!H374-Master_Table!H373)/Master_Table!H373</f>
        <v>-6.850221722152449E-3</v>
      </c>
    </row>
    <row r="375" spans="1:8" x14ac:dyDescent="0.3">
      <c r="A375" s="1">
        <v>44378</v>
      </c>
      <c r="B375" s="3">
        <f>(Master_Table!B375-Master_Table!B374)/Master_Table!B374</f>
        <v>-2.6396972299080877E-3</v>
      </c>
      <c r="C375" s="3">
        <f>(Master_Table!C375-Master_Table!C374)/Master_Table!C374</f>
        <v>-6.022398730808151E-3</v>
      </c>
      <c r="D375" s="3">
        <f>(Master_Table!D375-Master_Table!D374)/Master_Table!D374</f>
        <v>-7.4422091046594903E-3</v>
      </c>
      <c r="E375" s="3">
        <f>(Master_Table!E375-Master_Table!E374)/Master_Table!E374</f>
        <v>1.480019733596504E-3</v>
      </c>
      <c r="F375" s="3">
        <f>(Master_Table!F375-Master_Table!F374)/Master_Table!F374</f>
        <v>-1.2702682507658969E-3</v>
      </c>
      <c r="G375" s="3">
        <f>(Master_Table!G375-Master_Table!G374)/Master_Table!G374</f>
        <v>-1.2904858299595055E-2</v>
      </c>
      <c r="H375" s="3">
        <f>(Master_Table!H375-Master_Table!H374)/Master_Table!H374</f>
        <v>-5.497984072506748E-3</v>
      </c>
    </row>
    <row r="376" spans="1:8" x14ac:dyDescent="0.3">
      <c r="A376" s="1">
        <v>44379</v>
      </c>
      <c r="B376" s="3">
        <f>(Master_Table!B376-Master_Table!B375)/Master_Table!B375</f>
        <v>2.6913265306122915E-3</v>
      </c>
      <c r="C376" s="3">
        <f>(Master_Table!C376-Master_Table!C375)/Master_Table!C375</f>
        <v>1.4826948924731187E-2</v>
      </c>
      <c r="D376" s="3">
        <f>(Master_Table!D376-Master_Table!D375)/Master_Table!D375</f>
        <v>-4.2749450460533751E-3</v>
      </c>
      <c r="E376" s="3">
        <f>(Master_Table!E376-Master_Table!E375)/Master_Table!E375</f>
        <v>-2.9556650246305139E-3</v>
      </c>
      <c r="F376" s="3">
        <f>(Master_Table!F376-Master_Table!F375)/Master_Table!F375</f>
        <v>-4.8032320814006234E-3</v>
      </c>
      <c r="G376" s="3">
        <f>(Master_Table!G376-Master_Table!G375)/Master_Table!G375</f>
        <v>4.7423737503203426E-3</v>
      </c>
      <c r="H376" s="3">
        <f>(Master_Table!H376-Master_Table!H375)/Master_Table!H375</f>
        <v>-4.4562085371573166E-3</v>
      </c>
    </row>
    <row r="377" spans="1:8" x14ac:dyDescent="0.3">
      <c r="A377" s="1">
        <v>44382</v>
      </c>
      <c r="B377" s="3">
        <f>(Master_Table!B377-Master_Table!B376)/Master_Table!B376</f>
        <v>7.1332256300008666E-3</v>
      </c>
      <c r="C377" s="3">
        <f>(Master_Table!C377-Master_Table!C376)/Master_Table!C376</f>
        <v>9.9333636852778334E-3</v>
      </c>
      <c r="D377" s="3">
        <f>(Master_Table!D377-Master_Table!D376)/Master_Table!D376</f>
        <v>1.0171190205319886E-2</v>
      </c>
      <c r="E377" s="3">
        <f>(Master_Table!E377-Master_Table!E376)/Master_Table!E376</f>
        <v>6.175889328063241E-3</v>
      </c>
      <c r="F377" s="3">
        <f>(Master_Table!F377-Master_Table!F376)/Master_Table!F376</f>
        <v>-1.3381647596565332E-3</v>
      </c>
      <c r="G377" s="3">
        <f>(Master_Table!G377-Master_Table!G376)/Master_Table!G376</f>
        <v>7.1118765148616477E-3</v>
      </c>
      <c r="H377" s="3">
        <f>(Master_Table!H377-Master_Table!H376)/Master_Table!H376</f>
        <v>1.5010264867229801E-2</v>
      </c>
    </row>
    <row r="378" spans="1:8" x14ac:dyDescent="0.3">
      <c r="A378" s="1">
        <v>44383</v>
      </c>
      <c r="B378" s="3">
        <f>(Master_Table!B378-Master_Table!B377)/Master_Table!B377</f>
        <v>-1.0167768174885843E-3</v>
      </c>
      <c r="C378" s="3">
        <f>(Master_Table!C378-Master_Table!C377)/Master_Table!C377</f>
        <v>-1.1813040449161892E-2</v>
      </c>
      <c r="D378" s="3">
        <f>(Master_Table!D378-Master_Table!D377)/Master_Table!D377</f>
        <v>2.6251223403542228E-2</v>
      </c>
      <c r="E378" s="3">
        <f>(Master_Table!E378-Master_Table!E377)/Master_Table!E377</f>
        <v>-5.6469432850479043E-3</v>
      </c>
      <c r="F378" s="3">
        <f>(Master_Table!F378-Master_Table!F377)/Master_Table!F377</f>
        <v>-1.7675398976211929E-2</v>
      </c>
      <c r="G378" s="3">
        <f>(Master_Table!G378-Master_Table!G377)/Master_Table!G377</f>
        <v>-1.0608315652807246E-2</v>
      </c>
      <c r="H378" s="3">
        <f>(Master_Table!H378-Master_Table!H377)/Master_Table!H377</f>
        <v>-1.6247223051162475E-3</v>
      </c>
    </row>
    <row r="379" spans="1:8" x14ac:dyDescent="0.3">
      <c r="A379" s="1">
        <v>44384</v>
      </c>
      <c r="B379" s="3">
        <f>(Master_Table!B379-Master_Table!B378)/Master_Table!B378</f>
        <v>3.881592464400274E-3</v>
      </c>
      <c r="C379" s="3">
        <f>(Master_Table!C379-Master_Table!C378)/Master_Table!C378</f>
        <v>-6.9465324361593405E-3</v>
      </c>
      <c r="D379" s="3">
        <f>(Master_Table!D379-Master_Table!D378)/Master_Table!D378</f>
        <v>3.1223463322228575E-3</v>
      </c>
      <c r="E379" s="3">
        <f>(Master_Table!E379-Master_Table!E378)/Master_Table!E378</f>
        <v>6.1728395061728392E-3</v>
      </c>
      <c r="F379" s="3">
        <f>(Master_Table!F379-Master_Table!F378)/Master_Table!F378</f>
        <v>3.8776323452777597E-3</v>
      </c>
      <c r="G379" s="3">
        <f>(Master_Table!G379-Master_Table!G378)/Master_Table!G378</f>
        <v>1.5362949686338904E-3</v>
      </c>
      <c r="H379" s="3">
        <f>(Master_Table!H379-Master_Table!H378)/Master_Table!H378</f>
        <v>7.2733311192295222E-3</v>
      </c>
    </row>
    <row r="380" spans="1:8" x14ac:dyDescent="0.3">
      <c r="A380" s="1">
        <v>44385</v>
      </c>
      <c r="B380" s="3">
        <f>(Master_Table!B380-Master_Table!B379)/Master_Table!B379</f>
        <v>-9.5562559628203387E-3</v>
      </c>
      <c r="C380" s="3">
        <f>(Master_Table!C380-Master_Table!C379)/Master_Table!C379</f>
        <v>-8.2688633445046084E-3</v>
      </c>
      <c r="D380" s="3">
        <f>(Master_Table!D380-Master_Table!D379)/Master_Table!D379</f>
        <v>-1.2372369243592415E-2</v>
      </c>
      <c r="E380" s="3">
        <f>(Master_Table!E380-Master_Table!E379)/Master_Table!E379</f>
        <v>-8.5889570552147246E-3</v>
      </c>
      <c r="F380" s="3">
        <f>(Master_Table!F380-Master_Table!F379)/Master_Table!F379</f>
        <v>-5.0229774500373499E-3</v>
      </c>
      <c r="G380" s="3">
        <f>(Master_Table!G380-Master_Table!G379)/Master_Table!G379</f>
        <v>-2.4606928288379835E-3</v>
      </c>
      <c r="H380" s="3">
        <f>(Master_Table!H380-Master_Table!H379)/Master_Table!H379</f>
        <v>-1.0386099113060107E-2</v>
      </c>
    </row>
    <row r="381" spans="1:8" x14ac:dyDescent="0.3">
      <c r="A381" s="1">
        <v>44386</v>
      </c>
      <c r="B381" s="3">
        <f>(Master_Table!B381-Master_Table!B380)/Master_Table!B380</f>
        <v>-2.4224467347834337E-3</v>
      </c>
      <c r="C381" s="3">
        <f>(Master_Table!C381-Master_Table!C380)/Master_Table!C380</f>
        <v>-1.0222236258935284E-2</v>
      </c>
      <c r="D381" s="3">
        <f>(Master_Table!D381-Master_Table!D380)/Master_Table!D380</f>
        <v>-1.2131761479020025E-2</v>
      </c>
      <c r="E381" s="3">
        <f>(Master_Table!E381-Master_Table!E380)/Master_Table!E380</f>
        <v>-3.2178217821782458E-3</v>
      </c>
      <c r="F381" s="3">
        <f>(Master_Table!F381-Master_Table!F380)/Master_Table!F380</f>
        <v>-1.5451895043731751E-2</v>
      </c>
      <c r="G381" s="3">
        <f>(Master_Table!G381-Master_Table!G380)/Master_Table!G380</f>
        <v>1.3775428479898069E-3</v>
      </c>
      <c r="H381" s="3">
        <f>(Master_Table!H381-Master_Table!H380)/Master_Table!H380</f>
        <v>-7.3299127074041208E-4</v>
      </c>
    </row>
    <row r="382" spans="1:8" x14ac:dyDescent="0.3">
      <c r="A382" s="1">
        <v>44389</v>
      </c>
      <c r="B382" s="3">
        <f>(Master_Table!B382-Master_Table!B381)/Master_Table!B381</f>
        <v>1.7845989113953598E-4</v>
      </c>
      <c r="C382" s="3">
        <f>(Master_Table!C382-Master_Table!C381)/Master_Table!C381</f>
        <v>6.2222127677678991E-3</v>
      </c>
      <c r="D382" s="3">
        <f>(Master_Table!D382-Master_Table!D381)/Master_Table!D381</f>
        <v>-9.9981311904317072E-3</v>
      </c>
      <c r="E382" s="3">
        <f>(Master_Table!E382-Master_Table!E381)/Master_Table!E381</f>
        <v>-1.2416190712689348E-3</v>
      </c>
      <c r="F382" s="3">
        <f>(Master_Table!F382-Master_Table!F381)/Master_Table!F381</f>
        <v>-4.6911771581753291E-3</v>
      </c>
      <c r="G382" s="3">
        <f>(Master_Table!G382-Master_Table!G381)/Master_Table!G381</f>
        <v>-9.6295348390813117E-3</v>
      </c>
      <c r="H382" s="3">
        <f>(Master_Table!H382-Master_Table!H381)/Master_Table!H381</f>
        <v>7.6687116564423251E-4</v>
      </c>
    </row>
    <row r="383" spans="1:8" x14ac:dyDescent="0.3">
      <c r="A383" s="1">
        <v>44390</v>
      </c>
      <c r="B383" s="3">
        <f>(Master_Table!B383-Master_Table!B382)/Master_Table!B382</f>
        <v>7.6309853051756875E-3</v>
      </c>
      <c r="C383" s="3">
        <f>(Master_Table!C383-Master_Table!C382)/Master_Table!C382</f>
        <v>7.4944769193366302E-3</v>
      </c>
      <c r="D383" s="3">
        <f>(Master_Table!D383-Master_Table!D382)/Master_Table!D382</f>
        <v>9.9912357581068804E-3</v>
      </c>
      <c r="E383" s="3">
        <f>(Master_Table!E383-Master_Table!E382)/Master_Table!E382</f>
        <v>3.7294878170064647E-3</v>
      </c>
      <c r="F383" s="3">
        <f>(Master_Table!F383-Master_Table!F382)/Master_Table!F382</f>
        <v>-1.7381228273463804E-3</v>
      </c>
      <c r="G383" s="3">
        <f>(Master_Table!G383-Master_Table!G382)/Master_Table!G382</f>
        <v>-1.873566560067102E-3</v>
      </c>
      <c r="H383" s="3">
        <f>(Master_Table!H383-Master_Table!H382)/Master_Table!H382</f>
        <v>8.5623854739296408E-3</v>
      </c>
    </row>
    <row r="384" spans="1:8" x14ac:dyDescent="0.3">
      <c r="A384" s="1">
        <v>44391</v>
      </c>
      <c r="B384" s="3">
        <f>(Master_Table!B384-Master_Table!B383)/Master_Table!B383</f>
        <v>2.6308549962529518E-3</v>
      </c>
      <c r="C384" s="3">
        <f>(Master_Table!C384-Master_Table!C383)/Master_Table!C383</f>
        <v>-6.525935873761989E-3</v>
      </c>
      <c r="D384" s="3">
        <f>(Master_Table!D384-Master_Table!D383)/Master_Table!D383</f>
        <v>-1.8022588310681509E-3</v>
      </c>
      <c r="E384" s="3">
        <f>(Master_Table!E384-Master_Table!E383)/Master_Table!E383</f>
        <v>1.1146891255883081E-2</v>
      </c>
      <c r="F384" s="3">
        <f>(Master_Table!F384-Master_Table!F383)/Master_Table!F383</f>
        <v>8.4704553654060318E-3</v>
      </c>
      <c r="G384" s="3">
        <f>(Master_Table!G384-Master_Table!G383)/Master_Table!G383</f>
        <v>2.0680280915240004E-2</v>
      </c>
      <c r="H384" s="3">
        <f>(Master_Table!H384-Master_Table!H383)/Master_Table!H383</f>
        <v>2.0547040169133283E-2</v>
      </c>
    </row>
    <row r="385" spans="1:8" x14ac:dyDescent="0.3">
      <c r="A385" s="1">
        <v>44392</v>
      </c>
      <c r="B385" s="3">
        <f>(Master_Table!B385-Master_Table!B384)/Master_Table!B384</f>
        <v>4.4310723825923505E-3</v>
      </c>
      <c r="C385" s="3">
        <f>(Master_Table!C385-Master_Table!C384)/Master_Table!C384</f>
        <v>-1.7530890273523795E-3</v>
      </c>
      <c r="D385" s="3">
        <f>(Master_Table!D385-Master_Table!D384)/Master_Table!D384</f>
        <v>1.4377231814473526E-2</v>
      </c>
      <c r="E385" s="3">
        <f>(Master_Table!E385-Master_Table!E384)/Master_Table!E384</f>
        <v>1.0534051935325849E-2</v>
      </c>
      <c r="F385" s="3">
        <f>(Master_Table!F385-Master_Table!F384)/Master_Table!F384</f>
        <v>-3.6085921824206696E-3</v>
      </c>
      <c r="G385" s="3">
        <f>(Master_Table!G385-Master_Table!G384)/Master_Table!G384</f>
        <v>2.4732069249793031E-3</v>
      </c>
      <c r="H385" s="3">
        <f>(Master_Table!H385-Master_Table!H384)/Master_Table!H384</f>
        <v>4.1852786948922034E-2</v>
      </c>
    </row>
    <row r="386" spans="1:8" x14ac:dyDescent="0.3">
      <c r="A386" s="1">
        <v>44393</v>
      </c>
      <c r="B386" s="3">
        <f>(Master_Table!B386-Master_Table!B385)/Master_Table!B385</f>
        <v>-5.0238002537087662E-5</v>
      </c>
      <c r="C386" s="3">
        <f>(Master_Table!C386-Master_Table!C385)/Master_Table!C385</f>
        <v>1.4430197621768002E-2</v>
      </c>
      <c r="D386" s="3">
        <f>(Master_Table!D386-Master_Table!D385)/Master_Table!D385</f>
        <v>1.094322706536834E-3</v>
      </c>
      <c r="E386" s="3">
        <f>(Master_Table!E386-Master_Table!E385)/Master_Table!E385</f>
        <v>8.0000000000000279E-3</v>
      </c>
      <c r="F386" s="3">
        <f>(Master_Table!F386-Master_Table!F385)/Master_Table!F385</f>
        <v>-2.5445292620864006E-3</v>
      </c>
      <c r="G386" s="3">
        <f>(Master_Table!G386-Master_Table!G385)/Master_Table!G385</f>
        <v>-1.6036184210526258E-2</v>
      </c>
      <c r="H386" s="3">
        <f>(Master_Table!H386-Master_Table!H385)/Master_Table!H385</f>
        <v>5.8408674309504407E-3</v>
      </c>
    </row>
    <row r="387" spans="1:8" x14ac:dyDescent="0.3">
      <c r="A387" s="1">
        <v>44396</v>
      </c>
      <c r="B387" s="3">
        <f>(Master_Table!B387-Master_Table!B386)/Master_Table!B386</f>
        <v>-1.0738912543803459E-2</v>
      </c>
      <c r="C387" s="3">
        <f>(Master_Table!C387-Master_Table!C386)/Master_Table!C386</f>
        <v>-6.3615885199399536E-3</v>
      </c>
      <c r="D387" s="3">
        <f>(Master_Table!D387-Master_Table!D386)/Master_Table!D386</f>
        <v>-3.374204849267079E-2</v>
      </c>
      <c r="E387" s="3">
        <f>(Master_Table!E387-Master_Table!E386)/Master_Table!E386</f>
        <v>-7.2150072150074882E-4</v>
      </c>
      <c r="F387" s="3">
        <f>(Master_Table!F387-Master_Table!F386)/Master_Table!F386</f>
        <v>-3.1926881181921474E-3</v>
      </c>
      <c r="G387" s="3">
        <f>(Master_Table!G387-Master_Table!G386)/Master_Table!G386</f>
        <v>-8.8398855636632485E-3</v>
      </c>
      <c r="H387" s="3">
        <f>(Master_Table!H387-Master_Table!H386)/Master_Table!H386</f>
        <v>-5.6525096525097086E-3</v>
      </c>
    </row>
    <row r="388" spans="1:8" x14ac:dyDescent="0.3">
      <c r="A388" s="1">
        <v>44397</v>
      </c>
      <c r="B388" s="3">
        <f>(Master_Table!B388-Master_Table!B387)/Master_Table!B387</f>
        <v>-7.6369315151976385E-3</v>
      </c>
      <c r="C388" s="3">
        <f>(Master_Table!C388-Master_Table!C387)/Master_Table!C387</f>
        <v>-2.4559709481726298E-3</v>
      </c>
      <c r="D388" s="3">
        <f>(Master_Table!D388-Master_Table!D387)/Master_Table!D387</f>
        <v>-1.8932217481974167E-2</v>
      </c>
      <c r="E388" s="3">
        <f>(Master_Table!E388-Master_Table!E387)/Master_Table!E387</f>
        <v>-4.5728038507821351E-3</v>
      </c>
      <c r="F388" s="3">
        <f>(Master_Table!F388-Master_Table!F387)/Master_Table!F387</f>
        <v>6.6570369905169487E-3</v>
      </c>
      <c r="G388" s="3">
        <f>(Master_Table!G388-Master_Table!G387)/Master_Table!G387</f>
        <v>5.4160991113705054E-3</v>
      </c>
      <c r="H388" s="3">
        <f>(Master_Table!H388-Master_Table!H387)/Master_Table!H387</f>
        <v>-1.1959493041749503E-2</v>
      </c>
    </row>
    <row r="389" spans="1:8" x14ac:dyDescent="0.3">
      <c r="A389" s="1">
        <v>44399</v>
      </c>
      <c r="B389" s="3">
        <f>(Master_Table!B389-Master_Table!B388)/Master_Table!B388</f>
        <v>1.2279220322285483E-2</v>
      </c>
      <c r="C389" s="3">
        <f>(Master_Table!C389-Master_Table!C388)/Master_Table!C388</f>
        <v>1.2846681536972267E-2</v>
      </c>
      <c r="D389" s="3">
        <f>(Master_Table!D389-Master_Table!D388)/Master_Table!D388</f>
        <v>3.8483981216482564E-3</v>
      </c>
      <c r="E389" s="3">
        <f>(Master_Table!E389-Master_Table!E388)/Master_Table!E388</f>
        <v>9.6711798839452907E-4</v>
      </c>
      <c r="F389" s="3">
        <f>(Master_Table!F389-Master_Table!F388)/Master_Table!F388</f>
        <v>3.2909102252167092E-3</v>
      </c>
      <c r="G389" s="3">
        <f>(Master_Table!G389-Master_Table!G388)/Master_Table!G388</f>
        <v>2.5902390245476012E-2</v>
      </c>
      <c r="H389" s="3">
        <f>(Master_Table!H389-Master_Table!H388)/Master_Table!H388</f>
        <v>3.2571446536925952E-2</v>
      </c>
    </row>
    <row r="390" spans="1:8" x14ac:dyDescent="0.3">
      <c r="A390" s="1">
        <v>44400</v>
      </c>
      <c r="B390" s="3">
        <f>(Master_Table!B390-Master_Table!B389)/Master_Table!B389</f>
        <v>2.0222383018253863E-3</v>
      </c>
      <c r="C390" s="3">
        <f>(Master_Table!C390-Master_Table!C389)/Master_Table!C389</f>
        <v>-7.07422219913774E-3</v>
      </c>
      <c r="D390" s="3">
        <f>(Master_Table!D390-Master_Table!D389)/Master_Table!D389</f>
        <v>-4.1104421839317888E-3</v>
      </c>
      <c r="E390" s="3">
        <f>(Master_Table!E390-Master_Table!E389)/Master_Table!E389</f>
        <v>2.6086956521739157E-2</v>
      </c>
      <c r="F390" s="3">
        <f>(Master_Table!F390-Master_Table!F389)/Master_Table!F389</f>
        <v>-1.0881900290702195E-3</v>
      </c>
      <c r="G390" s="3">
        <f>(Master_Table!G390-Master_Table!G389)/Master_Table!G389</f>
        <v>1.5721292919129669E-4</v>
      </c>
      <c r="H390" s="3">
        <f>(Master_Table!H390-Master_Table!H389)/Master_Table!H389</f>
        <v>-1.8512316170873604E-2</v>
      </c>
    </row>
    <row r="391" spans="1:8" x14ac:dyDescent="0.3">
      <c r="A391" s="1">
        <v>44403</v>
      </c>
      <c r="B391" s="3">
        <f>(Master_Table!B391-Master_Table!B390)/Master_Table!B390</f>
        <v>-1.9929301433836638E-3</v>
      </c>
      <c r="C391" s="3">
        <f>(Master_Table!C391-Master_Table!C390)/Master_Table!C390</f>
        <v>-1.3705222631402768E-2</v>
      </c>
      <c r="D391" s="3">
        <f>(Master_Table!D391-Master_Table!D390)/Master_Table!D390</f>
        <v>-5.6838711470580498E-3</v>
      </c>
      <c r="E391" s="3">
        <f>(Master_Table!E391-Master_Table!E390)/Master_Table!E390</f>
        <v>-5.8851224105461392E-3</v>
      </c>
      <c r="F391" s="3">
        <f>(Master_Table!F391-Master_Table!F390)/Master_Table!F390</f>
        <v>-4.7621270834305139E-3</v>
      </c>
      <c r="G391" s="3">
        <f>(Master_Table!G391-Master_Table!G390)/Master_Table!G390</f>
        <v>8.4567260838127861E-3</v>
      </c>
      <c r="H391" s="3">
        <f>(Master_Table!H391-Master_Table!H390)/Master_Table!H390</f>
        <v>-8.7792771831860343E-3</v>
      </c>
    </row>
    <row r="392" spans="1:8" x14ac:dyDescent="0.3">
      <c r="A392" s="1">
        <v>44404</v>
      </c>
      <c r="B392" s="3">
        <f>(Master_Table!B392-Master_Table!B391)/Master_Table!B391</f>
        <v>-4.9290812634878306E-3</v>
      </c>
      <c r="C392" s="3">
        <f>(Master_Table!C392-Master_Table!C391)/Master_Table!C391</f>
        <v>-1.051191208604702E-2</v>
      </c>
      <c r="D392" s="3">
        <f>(Master_Table!D392-Master_Table!D391)/Master_Table!D391</f>
        <v>3.6338732896337095E-3</v>
      </c>
      <c r="E392" s="3">
        <f>(Master_Table!E392-Master_Table!E391)/Master_Table!E391</f>
        <v>-1.1839924224484964E-2</v>
      </c>
      <c r="F392" s="3">
        <f>(Master_Table!F392-Master_Table!F391)/Master_Table!F391</f>
        <v>-4.5659958405655466E-3</v>
      </c>
      <c r="G392" s="3">
        <f>(Master_Table!G392-Master_Table!G391)/Master_Table!G391</f>
        <v>-8.4169836024698317E-4</v>
      </c>
      <c r="H392" s="3">
        <f>(Master_Table!H392-Master_Table!H391)/Master_Table!H391</f>
        <v>6.6662493740611492E-3</v>
      </c>
    </row>
    <row r="393" spans="1:8" x14ac:dyDescent="0.3">
      <c r="A393" s="1">
        <v>44405</v>
      </c>
      <c r="B393" s="3">
        <f>(Master_Table!B393-Master_Table!B392)/Master_Table!B392</f>
        <v>-2.3529112911164795E-3</v>
      </c>
      <c r="C393" s="3">
        <f>(Master_Table!C393-Master_Table!C392)/Master_Table!C392</f>
        <v>-8.5974936483604672E-3</v>
      </c>
      <c r="D393" s="3">
        <f>(Master_Table!D393-Master_Table!D392)/Master_Table!D392</f>
        <v>-1.559693074684238E-2</v>
      </c>
      <c r="E393" s="3">
        <f>(Master_Table!E393-Master_Table!E392)/Master_Table!E392</f>
        <v>2.1567217828899529E-3</v>
      </c>
      <c r="F393" s="3">
        <f>(Master_Table!F393-Master_Table!F392)/Master_Table!F392</f>
        <v>4.665483278091194E-3</v>
      </c>
      <c r="G393" s="3">
        <f>(Master_Table!G393-Master_Table!G392)/Master_Table!G392</f>
        <v>1.9032167483073567E-3</v>
      </c>
      <c r="H393" s="3">
        <f>(Master_Table!H393-Master_Table!H392)/Master_Table!H392</f>
        <v>-8.7362039483910806E-3</v>
      </c>
    </row>
    <row r="394" spans="1:8" x14ac:dyDescent="0.3">
      <c r="A394" s="1">
        <v>44406</v>
      </c>
      <c r="B394" s="3">
        <f>(Master_Table!B394-Master_Table!B393)/Master_Table!B393</f>
        <v>4.3954574967854342E-3</v>
      </c>
      <c r="C394" s="3">
        <f>(Master_Table!C394-Master_Table!C393)/Master_Table!C393</f>
        <v>7.8070090072555739E-3</v>
      </c>
      <c r="D394" s="3">
        <f>(Master_Table!D394-Master_Table!D393)/Master_Table!D393</f>
        <v>6.6488421112199535E-4</v>
      </c>
      <c r="E394" s="3">
        <f>(Master_Table!E394-Master_Table!E393)/Master_Table!E393</f>
        <v>-1.4586322333811493E-2</v>
      </c>
      <c r="F394" s="3">
        <f>(Master_Table!F394-Master_Table!F393)/Master_Table!F393</f>
        <v>-6.2542998311339044E-4</v>
      </c>
      <c r="G394" s="3">
        <f>(Master_Table!G394-Master_Table!G393)/Master_Table!G393</f>
        <v>7.1001494768311484E-3</v>
      </c>
      <c r="H394" s="3">
        <f>(Master_Table!H394-Master_Table!H393)/Master_Table!H393</f>
        <v>1.129092961987175E-3</v>
      </c>
    </row>
    <row r="395" spans="1:8" x14ac:dyDescent="0.3">
      <c r="A395" s="1">
        <v>44407</v>
      </c>
      <c r="B395" s="3">
        <f>(Master_Table!B395-Master_Table!B394)/Master_Table!B394</f>
        <v>-9.7601475430105335E-4</v>
      </c>
      <c r="C395" s="3">
        <f>(Master_Table!C395-Master_Table!C394)/Master_Table!C394</f>
        <v>-8.7443537225196377E-3</v>
      </c>
      <c r="D395" s="3">
        <f>(Master_Table!D395-Master_Table!D394)/Master_Table!D394</f>
        <v>5.7820628817010179E-3</v>
      </c>
      <c r="E395" s="3">
        <f>(Master_Table!E395-Master_Table!E394)/Master_Table!E394</f>
        <v>-5.3385100703713792E-3</v>
      </c>
      <c r="F395" s="3">
        <f>(Master_Table!F395-Master_Table!F394)/Master_Table!F394</f>
        <v>-8.8710182114025791E-3</v>
      </c>
      <c r="G395" s="3">
        <f>(Master_Table!G395-Master_Table!G394)/Master_Table!G394</f>
        <v>-4.0197897340754482E-3</v>
      </c>
      <c r="H395" s="3">
        <f>(Master_Table!H395-Master_Table!H394)/Master_Table!H394</f>
        <v>3.4147869674185749E-3</v>
      </c>
    </row>
    <row r="396" spans="1:8" x14ac:dyDescent="0.3">
      <c r="A396" s="1">
        <v>44410</v>
      </c>
      <c r="B396" s="3">
        <f>(Master_Table!B396-Master_Table!B395)/Master_Table!B395</f>
        <v>7.7459628688610624E-3</v>
      </c>
      <c r="C396" s="3">
        <f>(Master_Table!C396-Master_Table!C395)/Master_Table!C395</f>
        <v>1.8281595012339249E-2</v>
      </c>
      <c r="D396" s="3">
        <f>(Master_Table!D396-Master_Table!D395)/Master_Table!D395</f>
        <v>-2.6565464895637078E-3</v>
      </c>
      <c r="E396" s="3">
        <f>(Master_Table!E396-Master_Table!E395)/Master_Table!E395</f>
        <v>1.1466211271041828E-2</v>
      </c>
      <c r="F396" s="3">
        <f>(Master_Table!F396-Master_Table!F395)/Master_Table!F395</f>
        <v>1.6401206017458925E-2</v>
      </c>
      <c r="G396" s="3">
        <f>(Master_Table!G396-Master_Table!G395)/Master_Table!G395</f>
        <v>1.3070475007761536E-2</v>
      </c>
      <c r="H396" s="3">
        <f>(Master_Table!H396-Master_Table!H395)/Master_Table!H395</f>
        <v>7.8054263323862746E-3</v>
      </c>
    </row>
    <row r="397" spans="1:8" x14ac:dyDescent="0.3">
      <c r="A397" s="1">
        <v>44411</v>
      </c>
      <c r="B397" s="3">
        <f>(Master_Table!B397-Master_Table!B396)/Master_Table!B396</f>
        <v>1.5460980853186805E-2</v>
      </c>
      <c r="C397" s="3">
        <f>(Master_Table!C397-Master_Table!C396)/Master_Table!C396</f>
        <v>7.3556767328890943E-3</v>
      </c>
      <c r="D397" s="3">
        <f>(Master_Table!D397-Master_Table!D396)/Master_Table!D396</f>
        <v>8.4700377698857104E-3</v>
      </c>
      <c r="E397" s="3">
        <f>(Master_Table!E397-Master_Table!E396)/Master_Table!E396</f>
        <v>1.2542209358417725E-2</v>
      </c>
      <c r="F397" s="3">
        <f>(Master_Table!F397-Master_Table!F396)/Master_Table!F396</f>
        <v>2.0345405976268868E-2</v>
      </c>
      <c r="G397" s="3">
        <f>(Master_Table!G397-Master_Table!G396)/Master_Table!G396</f>
        <v>1.4495418467101891E-2</v>
      </c>
      <c r="H397" s="3">
        <f>(Master_Table!H397-Master_Table!H396)/Master_Table!H396</f>
        <v>1.2639796771894956E-2</v>
      </c>
    </row>
    <row r="398" spans="1:8" x14ac:dyDescent="0.3">
      <c r="A398" s="1">
        <v>44412</v>
      </c>
      <c r="B398" s="3">
        <f>(Master_Table!B398-Master_Table!B397)/Master_Table!B397</f>
        <v>7.9382545758876228E-3</v>
      </c>
      <c r="C398" s="3">
        <f>(Master_Table!C398-Master_Table!C397)/Master_Table!C397</f>
        <v>7.6607329400964347E-3</v>
      </c>
      <c r="D398" s="3">
        <f>(Master_Table!D398-Master_Table!D397)/Master_Table!D397</f>
        <v>2.1325656469667522E-2</v>
      </c>
      <c r="E398" s="3">
        <f>(Master_Table!E398-Master_Table!E397)/Master_Table!E397</f>
        <v>-6.1934254406860951E-3</v>
      </c>
      <c r="F398" s="3">
        <f>(Master_Table!F398-Master_Table!F397)/Master_Table!F397</f>
        <v>-3.3334348077567878E-3</v>
      </c>
      <c r="G398" s="3">
        <f>(Master_Table!G398-Master_Table!G397)/Master_Table!G397</f>
        <v>-3.5947317544707861E-3</v>
      </c>
      <c r="H398" s="3">
        <f>(Master_Table!H398-Master_Table!H397)/Master_Table!H397</f>
        <v>-6.8222840884754575E-3</v>
      </c>
    </row>
    <row r="399" spans="1:8" x14ac:dyDescent="0.3">
      <c r="A399" s="1">
        <v>44413</v>
      </c>
      <c r="B399" s="3">
        <f>(Master_Table!B399-Master_Table!B398)/Master_Table!B398</f>
        <v>2.201884517922669E-3</v>
      </c>
      <c r="C399" s="3">
        <f>(Master_Table!C399-Master_Table!C398)/Master_Table!C398</f>
        <v>1.450337714016431E-2</v>
      </c>
      <c r="D399" s="3">
        <f>(Master_Table!D399-Master_Table!D398)/Master_Table!D398</f>
        <v>1.3340995854028981E-2</v>
      </c>
      <c r="E399" s="3">
        <f>(Master_Table!E399-Master_Table!E398)/Master_Table!E398</f>
        <v>3.1879194630872514E-2</v>
      </c>
      <c r="F399" s="3">
        <f>(Master_Table!F399-Master_Table!F398)/Master_Table!F398</f>
        <v>3.0544143924006173E-3</v>
      </c>
      <c r="G399" s="3">
        <f>(Master_Table!G399-Master_Table!G398)/Master_Table!G398</f>
        <v>2.6072457177504652E-3</v>
      </c>
      <c r="H399" s="3">
        <f>(Master_Table!H399-Master_Table!H398)/Master_Table!H398</f>
        <v>2.5874815179891849E-3</v>
      </c>
    </row>
    <row r="400" spans="1:8" x14ac:dyDescent="0.3">
      <c r="A400" s="1">
        <v>44414</v>
      </c>
      <c r="B400" s="3">
        <f>(Master_Table!B400-Master_Table!B399)/Master_Table!B399</f>
        <v>-3.46126937758519E-3</v>
      </c>
      <c r="C400" s="3">
        <f>(Master_Table!C400-Master_Table!C399)/Master_Table!C399</f>
        <v>-2.1180842279108159E-2</v>
      </c>
      <c r="D400" s="3">
        <f>(Master_Table!D400-Master_Table!D399)/Master_Table!D399</f>
        <v>5.2526398228415379E-3</v>
      </c>
      <c r="E400" s="3">
        <f>(Master_Table!E400-Master_Table!E399)/Master_Table!E399</f>
        <v>-4.6457607433217189E-3</v>
      </c>
      <c r="F400" s="3">
        <f>(Master_Table!F400-Master_Table!F399)/Master_Table!F399</f>
        <v>7.871618020980943E-3</v>
      </c>
      <c r="G400" s="3">
        <f>(Master_Table!G400-Master_Table!G399)/Master_Table!G399</f>
        <v>-2.0259441807020709E-3</v>
      </c>
      <c r="H400" s="3">
        <f>(Master_Table!H400-Master_Table!H399)/Master_Table!H399</f>
        <v>-1.0476834214083925E-2</v>
      </c>
    </row>
    <row r="401" spans="1:8" x14ac:dyDescent="0.3">
      <c r="A401" s="1">
        <v>44417</v>
      </c>
      <c r="B401" s="3">
        <f>(Master_Table!B401-Master_Table!B400)/Master_Table!B400</f>
        <v>1.2347427670554168E-3</v>
      </c>
      <c r="C401" s="3">
        <f>(Master_Table!C401-Master_Table!C400)/Master_Table!C400</f>
        <v>-5.6945206057282425E-3</v>
      </c>
      <c r="D401" s="3">
        <f>(Master_Table!D401-Master_Table!D400)/Master_Table!D400</f>
        <v>7.5355622120434852E-3</v>
      </c>
      <c r="E401" s="3">
        <f>(Master_Table!E401-Master_Table!E400)/Master_Table!E400</f>
        <v>-2.100350058343004E-3</v>
      </c>
      <c r="F401" s="3">
        <f>(Master_Table!F401-Master_Table!F400)/Master_Table!F400</f>
        <v>3.8975164662516273E-3</v>
      </c>
      <c r="G401" s="3">
        <f>(Master_Table!G401-Master_Table!G400)/Master_Table!G400</f>
        <v>7.9384317052477935E-3</v>
      </c>
      <c r="H401" s="3">
        <f>(Master_Table!H401-Master_Table!H400)/Master_Table!H400</f>
        <v>-8.0106809078770852E-3</v>
      </c>
    </row>
    <row r="402" spans="1:8" x14ac:dyDescent="0.3">
      <c r="A402" s="1">
        <v>44418</v>
      </c>
      <c r="B402" s="3">
        <f>(Master_Table!B402-Master_Table!B401)/Master_Table!B401</f>
        <v>1.3439330801285725E-3</v>
      </c>
      <c r="C402" s="3">
        <f>(Master_Table!C402-Master_Table!C401)/Master_Table!C401</f>
        <v>5.2498727303581004E-3</v>
      </c>
      <c r="D402" s="3">
        <f>(Master_Table!D402-Master_Table!D401)/Master_Table!D401</f>
        <v>2.4930674061433506E-3</v>
      </c>
      <c r="E402" s="3">
        <f>(Master_Table!E402-Master_Table!E401)/Master_Table!E401</f>
        <v>-1.8475210477081463E-2</v>
      </c>
      <c r="F402" s="3">
        <f>(Master_Table!F402-Master_Table!F401)/Master_Table!F401</f>
        <v>3.3707527011166442E-3</v>
      </c>
      <c r="G402" s="3">
        <f>(Master_Table!G402-Master_Table!G401)/Master_Table!G401</f>
        <v>8.386941622076623E-3</v>
      </c>
      <c r="H402" s="3">
        <f>(Master_Table!H402-Master_Table!H401)/Master_Table!H401</f>
        <v>-5.6339791542771292E-3</v>
      </c>
    </row>
    <row r="403" spans="1:8" x14ac:dyDescent="0.3">
      <c r="A403" s="1">
        <v>44419</v>
      </c>
      <c r="B403" s="3">
        <f>(Master_Table!B403-Master_Table!B402)/Master_Table!B402</f>
        <v>1.3206307086563573E-4</v>
      </c>
      <c r="C403" s="3">
        <f>(Master_Table!C403-Master_Table!C402)/Master_Table!C402</f>
        <v>1.4000400915776015E-2</v>
      </c>
      <c r="D403" s="3">
        <f>(Master_Table!D403-Master_Table!D402)/Master_Table!D402</f>
        <v>-8.4181129064433008E-3</v>
      </c>
      <c r="E403" s="3">
        <f>(Master_Table!E403-Master_Table!E402)/Master_Table!E402</f>
        <v>-5.7183702644745711E-3</v>
      </c>
      <c r="F403" s="3">
        <f>(Master_Table!F403-Master_Table!F402)/Master_Table!F402</f>
        <v>3.0894747892857397E-3</v>
      </c>
      <c r="G403" s="3">
        <f>(Master_Table!G403-Master_Table!G402)/Master_Table!G402</f>
        <v>1.7886421225217142E-4</v>
      </c>
      <c r="H403" s="3">
        <f>(Master_Table!H403-Master_Table!H402)/Master_Table!H402</f>
        <v>-3.242154301363021E-3</v>
      </c>
    </row>
    <row r="404" spans="1:8" x14ac:dyDescent="0.3">
      <c r="A404" s="1">
        <v>44420</v>
      </c>
      <c r="B404" s="3">
        <f>(Master_Table!B404-Master_Table!B403)/Master_Table!B403</f>
        <v>5.045371493497498E-3</v>
      </c>
      <c r="C404" s="3">
        <f>(Master_Table!C404-Master_Table!C403)/Master_Table!C403</f>
        <v>-3.2046613255645E-3</v>
      </c>
      <c r="D404" s="3">
        <f>(Master_Table!D404-Master_Table!D403)/Master_Table!D403</f>
        <v>4.318553686864659E-3</v>
      </c>
      <c r="E404" s="3">
        <f>(Master_Table!E404-Master_Table!E403)/Master_Table!E403</f>
        <v>1.1981787682722263E-3</v>
      </c>
      <c r="F404" s="3">
        <f>(Master_Table!F404-Master_Table!F403)/Master_Table!F403</f>
        <v>2.2576400932959101E-3</v>
      </c>
      <c r="G404" s="3">
        <f>(Master_Table!G404-Master_Table!G403)/Master_Table!G403</f>
        <v>7.1830943936097014E-3</v>
      </c>
      <c r="H404" s="3">
        <f>(Master_Table!H404-Master_Table!H403)/Master_Table!H403</f>
        <v>2.5358428598496869E-2</v>
      </c>
    </row>
    <row r="405" spans="1:8" x14ac:dyDescent="0.3">
      <c r="A405" s="1">
        <v>44421</v>
      </c>
      <c r="B405" s="3">
        <f>(Master_Table!B405-Master_Table!B404)/Master_Table!B404</f>
        <v>1.0064530321918244E-2</v>
      </c>
      <c r="C405" s="3">
        <f>(Master_Table!C405-Master_Table!C404)/Master_Table!C404</f>
        <v>1.6648921734410602E-2</v>
      </c>
      <c r="D405" s="3">
        <f>(Master_Table!D405-Master_Table!D404)/Master_Table!D404</f>
        <v>1.6518882538325948E-2</v>
      </c>
      <c r="E405" s="3">
        <f>(Master_Table!E405-Master_Table!E404)/Master_Table!E404</f>
        <v>1.2206797510770622E-2</v>
      </c>
      <c r="F405" s="3">
        <f>(Master_Table!F405-Master_Table!F404)/Master_Table!F404</f>
        <v>3.3310956962780663E-2</v>
      </c>
      <c r="G405" s="3">
        <f>(Master_Table!G405-Master_Table!G404)/Master_Table!G404</f>
        <v>1.3375946969697051E-2</v>
      </c>
      <c r="H405" s="3">
        <f>(Master_Table!H405-Master_Table!H404)/Master_Table!H404</f>
        <v>2.7687948504727614E-2</v>
      </c>
    </row>
    <row r="406" spans="1:8" x14ac:dyDescent="0.3">
      <c r="A406" s="1">
        <v>44424</v>
      </c>
      <c r="B406" s="3">
        <f>(Master_Table!B406-Master_Table!B405)/Master_Table!B405</f>
        <v>2.0539533307924042E-3</v>
      </c>
      <c r="C406" s="3">
        <f>(Master_Table!C406-Master_Table!C405)/Master_Table!C405</f>
        <v>1.298807971498093E-2</v>
      </c>
      <c r="D406" s="3">
        <f>(Master_Table!D406-Master_Table!D405)/Master_Table!D405</f>
        <v>2.8769984629733463E-3</v>
      </c>
      <c r="E406" s="3">
        <f>(Master_Table!E406-Master_Table!E405)/Master_Table!E405</f>
        <v>-2.6010877275950955E-3</v>
      </c>
      <c r="F406" s="3">
        <f>(Master_Table!F406-Master_Table!F405)/Master_Table!F405</f>
        <v>2.7574060172084447E-3</v>
      </c>
      <c r="G406" s="3">
        <f>(Master_Table!G406-Master_Table!G405)/Master_Table!G405</f>
        <v>-4.5555425768017488E-3</v>
      </c>
      <c r="H406" s="3">
        <f>(Master_Table!H406-Master_Table!H405)/Master_Table!H405</f>
        <v>-7.3723327739152371E-3</v>
      </c>
    </row>
    <row r="407" spans="1:8" x14ac:dyDescent="0.3">
      <c r="A407" s="1">
        <v>44425</v>
      </c>
      <c r="B407" s="3">
        <f>(Master_Table!B407-Master_Table!B406)/Master_Table!B406</f>
        <v>3.1123494766965793E-3</v>
      </c>
      <c r="C407" s="3">
        <f>(Master_Table!C407-Master_Table!C406)/Master_Table!C406</f>
        <v>-4.2569580993696106E-3</v>
      </c>
      <c r="D407" s="3">
        <f>(Master_Table!D407-Master_Table!D406)/Master_Table!D406</f>
        <v>-1.0413937647366953E-2</v>
      </c>
      <c r="E407" s="3">
        <f>(Master_Table!E407-Master_Table!E406)/Master_Table!E406</f>
        <v>-8.0606922712186668E-3</v>
      </c>
      <c r="F407" s="3">
        <f>(Master_Table!F407-Master_Table!F406)/Master_Table!F406</f>
        <v>2.3063965792769942E-2</v>
      </c>
      <c r="G407" s="3">
        <f>(Master_Table!G407-Master_Table!G406)/Master_Table!G406</f>
        <v>2.1855198310255806E-2</v>
      </c>
      <c r="H407" s="3">
        <f>(Master_Table!H407-Master_Table!H406)/Master_Table!H406</f>
        <v>-1.0476420506008038E-2</v>
      </c>
    </row>
    <row r="408" spans="1:8" x14ac:dyDescent="0.3">
      <c r="A408" s="1">
        <v>44426</v>
      </c>
      <c r="B408" s="3">
        <f>(Master_Table!B408-Master_Table!B407)/Master_Table!B407</f>
        <v>-2.7536022534397461E-3</v>
      </c>
      <c r="C408" s="3">
        <f>(Master_Table!C408-Master_Table!C407)/Master_Table!C407</f>
        <v>3.8781783758474577E-3</v>
      </c>
      <c r="D408" s="3">
        <f>(Master_Table!D408-Master_Table!D407)/Master_Table!D407</f>
        <v>-1.0986829042293215E-3</v>
      </c>
      <c r="E408" s="3">
        <f>(Master_Table!E408-Master_Table!E407)/Master_Table!E407</f>
        <v>-1.1950286806883365E-3</v>
      </c>
      <c r="F408" s="3">
        <f>(Master_Table!F408-Master_Table!F407)/Master_Table!F407</f>
        <v>2.1108624984168532E-3</v>
      </c>
      <c r="G408" s="3">
        <f>(Master_Table!G408-Master_Table!G407)/Master_Table!G407</f>
        <v>-4.708179025636635E-3</v>
      </c>
      <c r="H408" s="3">
        <f>(Master_Table!H408-Master_Table!H407)/Master_Table!H407</f>
        <v>-3.6003051106026488E-3</v>
      </c>
    </row>
    <row r="409" spans="1:8" x14ac:dyDescent="0.3">
      <c r="A409" s="1">
        <v>44428</v>
      </c>
      <c r="B409" s="3">
        <f>(Master_Table!B409-Master_Table!B408)/Master_Table!B408</f>
        <v>-7.1429218080916032E-3</v>
      </c>
      <c r="C409" s="3">
        <f>(Master_Table!C409-Master_Table!C408)/Master_Table!C408</f>
        <v>-1.1234701844397392E-2</v>
      </c>
      <c r="D409" s="3">
        <f>(Master_Table!D409-Master_Table!D408)/Master_Table!D408</f>
        <v>1.1661498502557519E-3</v>
      </c>
      <c r="E409" s="3">
        <f>(Master_Table!E409-Master_Table!E408)/Master_Table!E408</f>
        <v>-2.3929169657804715E-4</v>
      </c>
      <c r="F409" s="3">
        <f>(Master_Table!F409-Master_Table!F408)/Master_Table!F408</f>
        <v>-2.9489826010031648E-4</v>
      </c>
      <c r="G409" s="3">
        <f>(Master_Table!G409-Master_Table!G408)/Master_Table!G408</f>
        <v>-2.8844212408780175E-4</v>
      </c>
      <c r="H409" s="3">
        <f>(Master_Table!H409-Master_Table!H408)/Master_Table!H408</f>
        <v>-2.4037725449367671E-2</v>
      </c>
    </row>
    <row r="410" spans="1:8" x14ac:dyDescent="0.3">
      <c r="A410" s="1">
        <v>44431</v>
      </c>
      <c r="B410" s="3">
        <f>(Master_Table!B410-Master_Table!B409)/Master_Table!B409</f>
        <v>2.7932281693565987E-3</v>
      </c>
      <c r="C410" s="3">
        <f>(Master_Table!C410-Master_Table!C409)/Master_Table!C409</f>
        <v>6.563092857509078E-3</v>
      </c>
      <c r="D410" s="3">
        <f>(Master_Table!D410-Master_Table!D409)/Master_Table!D409</f>
        <v>6.4990072799470128E-3</v>
      </c>
      <c r="E410" s="3">
        <f>(Master_Table!E410-Master_Table!E409)/Master_Table!E409</f>
        <v>-1.2446146481570101E-2</v>
      </c>
      <c r="F410" s="3">
        <f>(Master_Table!F410-Master_Table!F409)/Master_Table!F409</f>
        <v>2.1885096221379432E-2</v>
      </c>
      <c r="G410" s="3">
        <f>(Master_Table!G410-Master_Table!G409)/Master_Table!G409</f>
        <v>3.3468940246400383E-3</v>
      </c>
      <c r="H410" s="3">
        <f>(Master_Table!H410-Master_Table!H409)/Master_Table!H409</f>
        <v>-8.0635040160642012E-3</v>
      </c>
    </row>
    <row r="411" spans="1:8" x14ac:dyDescent="0.3">
      <c r="A411" s="1">
        <v>44432</v>
      </c>
      <c r="B411" s="3">
        <f>(Master_Table!B411-Master_Table!B410)/Master_Table!B410</f>
        <v>7.7683380363652672E-3</v>
      </c>
      <c r="C411" s="3">
        <f>(Master_Table!C411-Master_Table!C410)/Master_Table!C410</f>
        <v>9.8823289694870819E-3</v>
      </c>
      <c r="D411" s="3">
        <f>(Master_Table!D411-Master_Table!D410)/Master_Table!D410</f>
        <v>2.2461566786339003E-2</v>
      </c>
      <c r="E411" s="3">
        <f>(Master_Table!E411-Master_Table!E410)/Master_Table!E410</f>
        <v>-2.6660203587009759E-3</v>
      </c>
      <c r="F411" s="3">
        <f>(Master_Table!F411-Master_Table!F410)/Master_Table!F410</f>
        <v>-6.6531038653984366E-3</v>
      </c>
      <c r="G411" s="3">
        <f>(Master_Table!G411-Master_Table!G410)/Master_Table!G410</f>
        <v>-1.0294751976995019E-2</v>
      </c>
      <c r="H411" s="3">
        <f>(Master_Table!H411-Master_Table!H410)/Master_Table!H410</f>
        <v>1.5846908113237357E-2</v>
      </c>
    </row>
    <row r="412" spans="1:8" x14ac:dyDescent="0.3">
      <c r="A412" s="1">
        <v>44433</v>
      </c>
      <c r="B412" s="3">
        <f>(Master_Table!B412-Master_Table!B411)/Master_Table!B411</f>
        <v>6.0452582317787565E-4</v>
      </c>
      <c r="C412" s="3">
        <f>(Master_Table!C412-Master_Table!C411)/Master_Table!C411</f>
        <v>8.6557377049180737E-3</v>
      </c>
      <c r="D412" s="3">
        <f>(Master_Table!D412-Master_Table!D411)/Master_Table!D411</f>
        <v>-9.2605692677722839E-4</v>
      </c>
      <c r="E412" s="3">
        <f>(Master_Table!E412-Master_Table!E411)/Master_Table!E411</f>
        <v>3.1591737545565283E-3</v>
      </c>
      <c r="F412" s="3">
        <f>(Master_Table!F412-Master_Table!F411)/Master_Table!F411</f>
        <v>1.2675744492416745E-2</v>
      </c>
      <c r="G412" s="3">
        <f>(Master_Table!G412-Master_Table!G411)/Master_Table!G411</f>
        <v>8.5422901473109492E-3</v>
      </c>
      <c r="H412" s="3">
        <f>(Master_Table!H412-Master_Table!H411)/Master_Table!H411</f>
        <v>-7.4729106987171503E-3</v>
      </c>
    </row>
    <row r="413" spans="1:8" x14ac:dyDescent="0.3">
      <c r="A413" s="1">
        <v>44434</v>
      </c>
      <c r="B413" s="3">
        <f>(Master_Table!B413-Master_Table!B412)/Master_Table!B412</f>
        <v>1.3525983414138559E-4</v>
      </c>
      <c r="C413" s="3">
        <f>(Master_Table!C413-Master_Table!C412)/Master_Table!C412</f>
        <v>1.2642149165358097E-2</v>
      </c>
      <c r="D413" s="3">
        <f>(Master_Table!D413-Master_Table!D412)/Master_Table!D412</f>
        <v>-1.6735970750672072E-3</v>
      </c>
      <c r="E413" s="3">
        <f>(Master_Table!E413-Master_Table!E412)/Master_Table!E412</f>
        <v>-8.7209302325581949E-3</v>
      </c>
      <c r="F413" s="3">
        <f>(Master_Table!F413-Master_Table!F412)/Master_Table!F412</f>
        <v>3.5118884941240528E-3</v>
      </c>
      <c r="G413" s="3">
        <f>(Master_Table!G413-Master_Table!G412)/Master_Table!G412</f>
        <v>-4.5230618535910287E-3</v>
      </c>
      <c r="H413" s="3">
        <f>(Master_Table!H413-Master_Table!H412)/Master_Table!H412</f>
        <v>1.2234910277324918E-3</v>
      </c>
    </row>
    <row r="414" spans="1:8" x14ac:dyDescent="0.3">
      <c r="A414" s="1">
        <v>44435</v>
      </c>
      <c r="B414" s="3">
        <f>(Master_Table!B414-Master_Table!B413)/Master_Table!B413</f>
        <v>4.1053321231719411E-3</v>
      </c>
      <c r="C414" s="3">
        <f>(Master_Table!C414-Master_Table!C413)/Master_Table!C413</f>
        <v>-1.3728801841042069E-3</v>
      </c>
      <c r="D414" s="3">
        <f>(Master_Table!D414-Master_Table!D413)/Master_Table!D413</f>
        <v>-4.0878435013605588E-3</v>
      </c>
      <c r="E414" s="3">
        <f>(Master_Table!E414-Master_Table!E413)/Master_Table!E413</f>
        <v>6.3538611925709259E-3</v>
      </c>
      <c r="F414" s="3">
        <f>(Master_Table!F414-Master_Table!F413)/Master_Table!F413</f>
        <v>1.315413211323997E-2</v>
      </c>
      <c r="G414" s="3">
        <f>(Master_Table!G414-Master_Table!G413)/Master_Table!G413</f>
        <v>-1.0939399201250269E-2</v>
      </c>
      <c r="H414" s="3">
        <f>(Master_Table!H414-Master_Table!H413)/Master_Table!H413</f>
        <v>2.6539244869183711E-2</v>
      </c>
    </row>
    <row r="415" spans="1:8" x14ac:dyDescent="0.3">
      <c r="A415" s="1">
        <v>44438</v>
      </c>
      <c r="B415" s="3">
        <f>(Master_Table!B415-Master_Table!B414)/Master_Table!B414</f>
        <v>1.3519742355673594E-2</v>
      </c>
      <c r="C415" s="3">
        <f>(Master_Table!C415-Master_Table!C414)/Master_Table!C414</f>
        <v>1.9236855639514116E-2</v>
      </c>
      <c r="D415" s="3">
        <f>(Master_Table!D415-Master_Table!D414)/Master_Table!D414</f>
        <v>1.2792956105140484E-2</v>
      </c>
      <c r="E415" s="3">
        <f>(Master_Table!E415-Master_Table!E414)/Master_Table!E414</f>
        <v>1.019912578921804E-2</v>
      </c>
      <c r="F415" s="3">
        <f>(Master_Table!F415-Master_Table!F414)/Master_Table!F414</f>
        <v>-5.0669999865596569E-3</v>
      </c>
      <c r="G415" s="3">
        <f>(Master_Table!G415-Master_Table!G414)/Master_Table!G414</f>
        <v>-6.2909644194756552E-3</v>
      </c>
      <c r="H415" s="3">
        <f>(Master_Table!H415-Master_Table!H414)/Master_Table!H414</f>
        <v>1.3430193516879312E-2</v>
      </c>
    </row>
    <row r="416" spans="1:8" x14ac:dyDescent="0.3">
      <c r="A416" s="1">
        <v>44439</v>
      </c>
      <c r="B416" s="3">
        <f>(Master_Table!B416-Master_Table!B415)/Master_Table!B415</f>
        <v>1.1880539009689385E-2</v>
      </c>
      <c r="C416" s="3">
        <f>(Master_Table!C416-Master_Table!C415)/Master_Table!C415</f>
        <v>-5.3273558266134988E-3</v>
      </c>
      <c r="D416" s="3">
        <f>(Master_Table!D416-Master_Table!D415)/Master_Table!D415</f>
        <v>8.3868163338362781E-3</v>
      </c>
      <c r="E416" s="3">
        <f>(Master_Table!E416-Master_Table!E415)/Master_Table!E415</f>
        <v>1.586538461538467E-2</v>
      </c>
      <c r="F416" s="3">
        <f>(Master_Table!F416-Master_Table!F415)/Master_Table!F415</f>
        <v>2.3005430524410241E-2</v>
      </c>
      <c r="G416" s="3">
        <f>(Master_Table!G416-Master_Table!G415)/Master_Table!G415</f>
        <v>4.9468507994464778E-3</v>
      </c>
      <c r="H416" s="3">
        <f>(Master_Table!H416-Master_Table!H415)/Master_Table!H415</f>
        <v>7.2887175471357977E-3</v>
      </c>
    </row>
    <row r="417" spans="1:8" x14ac:dyDescent="0.3">
      <c r="A417" s="1">
        <v>44440</v>
      </c>
      <c r="B417" s="3">
        <f>(Master_Table!B417-Master_Table!B416)/Master_Table!B416</f>
        <v>-3.2657802267076455E-3</v>
      </c>
      <c r="C417" s="3">
        <f>(Master_Table!C417-Master_Table!C416)/Master_Table!C416</f>
        <v>3.9608210411300488E-3</v>
      </c>
      <c r="D417" s="3">
        <f>(Master_Table!D417-Master_Table!D416)/Master_Table!D416</f>
        <v>-1.4580216547911572E-3</v>
      </c>
      <c r="E417" s="3">
        <f>(Master_Table!E417-Master_Table!E416)/Master_Table!E416</f>
        <v>-8.51869380028401E-3</v>
      </c>
      <c r="F417" s="3">
        <f>(Master_Table!F417-Master_Table!F416)/Master_Table!F416</f>
        <v>-1.888312271388768E-2</v>
      </c>
      <c r="G417" s="3">
        <f>(Master_Table!G417-Master_Table!G416)/Master_Table!G416</f>
        <v>-1.6818541416390779E-2</v>
      </c>
      <c r="H417" s="3">
        <f>(Master_Table!H417-Master_Table!H416)/Master_Table!H416</f>
        <v>8.4918072000957096E-3</v>
      </c>
    </row>
    <row r="418" spans="1:8" x14ac:dyDescent="0.3">
      <c r="A418" s="1">
        <v>44441</v>
      </c>
      <c r="B418" s="3">
        <f>(Master_Table!B418-Master_Table!B417)/Master_Table!B417</f>
        <v>9.246760852060696E-3</v>
      </c>
      <c r="C418" s="3">
        <f>(Master_Table!C418-Master_Table!C417)/Master_Table!C417</f>
        <v>1.2049363521523752E-2</v>
      </c>
      <c r="D418" s="3">
        <f>(Master_Table!D418-Master_Table!D417)/Master_Table!D417</f>
        <v>6.2722990388399307E-3</v>
      </c>
      <c r="E418" s="3">
        <f>(Master_Table!E418-Master_Table!E417)/Master_Table!E417</f>
        <v>1.1933174224343676E-3</v>
      </c>
      <c r="F418" s="3">
        <f>(Master_Table!F418-Master_Table!F417)/Master_Table!F417</f>
        <v>3.2786443962906683E-2</v>
      </c>
      <c r="G418" s="3">
        <f>(Master_Table!G418-Master_Table!G417)/Master_Table!G417</f>
        <v>6.7650126657725577E-3</v>
      </c>
      <c r="H418" s="3">
        <f>(Master_Table!H418-Master_Table!H417)/Master_Table!H417</f>
        <v>-1.1859582542697193E-4</v>
      </c>
    </row>
    <row r="419" spans="1:8" x14ac:dyDescent="0.3">
      <c r="A419" s="1">
        <v>44442</v>
      </c>
      <c r="B419" s="3">
        <f>(Master_Table!B419-Master_Table!B418)/Master_Table!B418</f>
        <v>5.1902762828452279E-3</v>
      </c>
      <c r="C419" s="3">
        <f>(Master_Table!C419-Master_Table!C418)/Master_Table!C418</f>
        <v>4.1008161305808963E-2</v>
      </c>
      <c r="D419" s="3">
        <f>(Master_Table!D419-Master_Table!D418)/Master_Table!D418</f>
        <v>-8.1511109989526234E-3</v>
      </c>
      <c r="E419" s="3">
        <f>(Master_Table!E419-Master_Table!E418)/Master_Table!E418</f>
        <v>4.0524433849820941E-3</v>
      </c>
      <c r="F419" s="3">
        <f>(Master_Table!F419-Master_Table!F418)/Master_Table!F418</f>
        <v>1.381377467909085E-3</v>
      </c>
      <c r="G419" s="3">
        <f>(Master_Table!G419-Master_Table!G418)/Master_Table!G418</f>
        <v>6.8379610443432496E-3</v>
      </c>
      <c r="H419" s="3">
        <f>(Master_Table!H419-Master_Table!H418)/Master_Table!H418</f>
        <v>3.1431621397224256E-3</v>
      </c>
    </row>
    <row r="420" spans="1:8" x14ac:dyDescent="0.3">
      <c r="A420" s="1">
        <v>44445</v>
      </c>
      <c r="B420" s="3">
        <f>(Master_Table!B420-Master_Table!B419)/Master_Table!B419</f>
        <v>3.1286799510494775E-3</v>
      </c>
      <c r="C420" s="3">
        <f>(Master_Table!C420-Master_Table!C419)/Master_Table!C419</f>
        <v>1.5532046374779718E-2</v>
      </c>
      <c r="D420" s="3">
        <f>(Master_Table!D420-Master_Table!D419)/Master_Table!D419</f>
        <v>-6.5643008892338874E-3</v>
      </c>
      <c r="E420" s="3">
        <f>(Master_Table!E420-Master_Table!E419)/Master_Table!E419</f>
        <v>-6.1728395061727585E-3</v>
      </c>
      <c r="F420" s="3">
        <f>(Master_Table!F420-Master_Table!F419)/Master_Table!F419</f>
        <v>2.5897632774169563E-3</v>
      </c>
      <c r="G420" s="3">
        <f>(Master_Table!G420-Master_Table!G419)/Master_Table!G419</f>
        <v>1.7493311380942581E-2</v>
      </c>
      <c r="H420" s="3">
        <f>(Master_Table!H420-Master_Table!H419)/Master_Table!H419</f>
        <v>1.5962163759976622E-3</v>
      </c>
    </row>
    <row r="421" spans="1:8" x14ac:dyDescent="0.3">
      <c r="A421" s="1">
        <v>44446</v>
      </c>
      <c r="B421" s="3">
        <f>(Master_Table!B421-Master_Table!B420)/Master_Table!B420</f>
        <v>-9.034515301131747E-4</v>
      </c>
      <c r="C421" s="3">
        <f>(Master_Table!C421-Master_Table!C420)/Master_Table!C420</f>
        <v>6.3121565778121299E-3</v>
      </c>
      <c r="D421" s="3">
        <f>(Master_Table!D421-Master_Table!D420)/Master_Table!D420</f>
        <v>2.2665864184092687E-3</v>
      </c>
      <c r="E421" s="3">
        <f>(Master_Table!E421-Master_Table!E420)/Master_Table!E420</f>
        <v>1.1705685618729042E-2</v>
      </c>
      <c r="F421" s="3">
        <f>(Master_Table!F421-Master_Table!F420)/Master_Table!F420</f>
        <v>-9.3717549325025729E-3</v>
      </c>
      <c r="G421" s="3">
        <f>(Master_Table!G421-Master_Table!G420)/Master_Table!G420</f>
        <v>-1.3725150254276466E-2</v>
      </c>
      <c r="H421" s="3">
        <f>(Master_Table!H421-Master_Table!H420)/Master_Table!H420</f>
        <v>-7.3781135639239756E-3</v>
      </c>
    </row>
    <row r="422" spans="1:8" x14ac:dyDescent="0.3">
      <c r="A422" s="1">
        <v>44447</v>
      </c>
      <c r="B422" s="3">
        <f>(Master_Table!B422-Master_Table!B421)/Master_Table!B421</f>
        <v>-4.9533178590139128E-4</v>
      </c>
      <c r="C422" s="3">
        <f>(Master_Table!C422-Master_Table!C421)/Master_Table!C421</f>
        <v>-3.9169675090251965E-3</v>
      </c>
      <c r="D422" s="3">
        <f>(Master_Table!D422-Master_Table!D421)/Master_Table!D421</f>
        <v>4.5484744723259304E-3</v>
      </c>
      <c r="E422" s="3">
        <f>(Master_Table!E422-Master_Table!E421)/Master_Table!E421</f>
        <v>-2.3612750885478157E-3</v>
      </c>
      <c r="F422" s="3">
        <f>(Master_Table!F422-Master_Table!F421)/Master_Table!F421</f>
        <v>-1.0941062396813334E-2</v>
      </c>
      <c r="G422" s="3">
        <f>(Master_Table!G422-Master_Table!G421)/Master_Table!G421</f>
        <v>-7.8516391761638826E-3</v>
      </c>
      <c r="H422" s="3">
        <f>(Master_Table!H422-Master_Table!H421)/Master_Table!H421</f>
        <v>-9.0087411547839034E-3</v>
      </c>
    </row>
    <row r="423" spans="1:8" x14ac:dyDescent="0.3">
      <c r="A423" s="1">
        <v>44448</v>
      </c>
      <c r="B423" s="3">
        <f>(Master_Table!B423-Master_Table!B422)/Master_Table!B422</f>
        <v>9.0759789091537728E-4</v>
      </c>
      <c r="C423" s="3">
        <f>(Master_Table!C423-Master_Table!C422)/Master_Table!C422</f>
        <v>-2.3648587427288542E-3</v>
      </c>
      <c r="D423" s="3">
        <f>(Master_Table!D423-Master_Table!D422)/Master_Table!D422</f>
        <v>-4.9475986975986803E-3</v>
      </c>
      <c r="E423" s="3">
        <f>(Master_Table!E423-Master_Table!E422)/Master_Table!E422</f>
        <v>6.6272189349112698E-3</v>
      </c>
      <c r="F423" s="3">
        <f>(Master_Table!F423-Master_Table!F422)/Master_Table!F422</f>
        <v>4.5705655578077179E-3</v>
      </c>
      <c r="G423" s="3">
        <f>(Master_Table!G423-Master_Table!G422)/Master_Table!G422</f>
        <v>-9.7445740439987651E-4</v>
      </c>
      <c r="H423" s="3">
        <f>(Master_Table!H423-Master_Table!H422)/Master_Table!H422</f>
        <v>2.1001470102907202E-3</v>
      </c>
    </row>
    <row r="424" spans="1:8" x14ac:dyDescent="0.3">
      <c r="A424" s="1">
        <v>44452</v>
      </c>
      <c r="B424" s="3">
        <f>(Master_Table!B424-Master_Table!B423)/Master_Table!B423</f>
        <v>-8.0314348633364868E-4</v>
      </c>
      <c r="C424" s="3">
        <f>(Master_Table!C424-Master_Table!C423)/Master_Table!C423</f>
        <v>-2.2278733935788542E-2</v>
      </c>
      <c r="D424" s="3">
        <f>(Master_Table!D424-Master_Table!D423)/Master_Table!D423</f>
        <v>-8.3210839138492879E-3</v>
      </c>
      <c r="E424" s="3">
        <f>(Master_Table!E424-Master_Table!E423)/Master_Table!E423</f>
        <v>7.0538443451681164E-3</v>
      </c>
      <c r="F424" s="3">
        <f>(Master_Table!F424-Master_Table!F423)/Master_Table!F423</f>
        <v>1.4229572189692414E-2</v>
      </c>
      <c r="G424" s="3">
        <f>(Master_Table!G424-Master_Table!G423)/Master_Table!G423</f>
        <v>1.7734689051796047E-4</v>
      </c>
      <c r="H424" s="3">
        <f>(Master_Table!H424-Master_Table!H423)/Master_Table!H423</f>
        <v>9.8799437142605968E-4</v>
      </c>
    </row>
    <row r="425" spans="1:8" x14ac:dyDescent="0.3">
      <c r="A425" s="1">
        <v>44453</v>
      </c>
      <c r="B425" s="3">
        <f>(Master_Table!B425-Master_Table!B424)/Master_Table!B424</f>
        <v>1.4231963722897748E-3</v>
      </c>
      <c r="C425" s="3">
        <f>(Master_Table!C425-Master_Table!C424)/Master_Table!C424</f>
        <v>-1.3097759447108107E-3</v>
      </c>
      <c r="D425" s="3">
        <f>(Master_Table!D425-Master_Table!D424)/Master_Table!D424</f>
        <v>-4.498350175293887E-3</v>
      </c>
      <c r="E425" s="3">
        <f>(Master_Table!E425-Master_Table!E424)/Master_Table!E424</f>
        <v>9.1057669857575931E-3</v>
      </c>
      <c r="F425" s="3">
        <f>(Master_Table!F425-Master_Table!F424)/Master_Table!F424</f>
        <v>1.0545203947625101E-2</v>
      </c>
      <c r="G425" s="3">
        <f>(Master_Table!G425-Master_Table!G424)/Master_Table!G424</f>
        <v>-3.3985460133577634E-3</v>
      </c>
      <c r="H425" s="3">
        <f>(Master_Table!H425-Master_Table!H424)/Master_Table!H424</f>
        <v>1.4805288030148949E-2</v>
      </c>
    </row>
    <row r="426" spans="1:8" x14ac:dyDescent="0.3">
      <c r="A426" s="1">
        <v>44454</v>
      </c>
      <c r="B426" s="3">
        <f>(Master_Table!B426-Master_Table!B425)/Master_Table!B425</f>
        <v>8.0235903337169574E-3</v>
      </c>
      <c r="C426" s="3">
        <f>(Master_Table!C426-Master_Table!C425)/Master_Table!C425</f>
        <v>4.1577140943717646E-3</v>
      </c>
      <c r="D426" s="3">
        <f>(Master_Table!D426-Master_Table!D425)/Master_Table!D425</f>
        <v>-1.1264323169547545E-3</v>
      </c>
      <c r="E426" s="3">
        <f>(Master_Table!E426-Master_Table!E425)/Master_Table!E425</f>
        <v>-4.6274872744097326E-4</v>
      </c>
      <c r="F426" s="3">
        <f>(Master_Table!F426-Master_Table!F425)/Master_Table!F425</f>
        <v>1.7666435060089063E-2</v>
      </c>
      <c r="G426" s="3">
        <f>(Master_Table!G426-Master_Table!G425)/Master_Table!G425</f>
        <v>1.5004596269608251E-2</v>
      </c>
      <c r="H426" s="3">
        <f>(Master_Table!H426-Master_Table!H425)/Master_Table!H425</f>
        <v>1.2113531197500636E-2</v>
      </c>
    </row>
    <row r="427" spans="1:8" x14ac:dyDescent="0.3">
      <c r="A427" s="1">
        <v>44455</v>
      </c>
      <c r="B427" s="3">
        <f>(Master_Table!B427-Master_Table!B426)/Master_Table!B426</f>
        <v>6.2815898900935403E-3</v>
      </c>
      <c r="C427" s="3">
        <f>(Master_Table!C427-Master_Table!C426)/Master_Table!C426</f>
        <v>2.0980381259378733E-2</v>
      </c>
      <c r="D427" s="3">
        <f>(Master_Table!D427-Master_Table!D426)/Master_Table!D426</f>
        <v>8.5031368279151059E-3</v>
      </c>
      <c r="E427" s="3">
        <f>(Master_Table!E427-Master_Table!E426)/Master_Table!E426</f>
        <v>6.8287037037037035E-2</v>
      </c>
      <c r="F427" s="3">
        <f>(Master_Table!F427-Master_Table!F426)/Master_Table!F426</f>
        <v>-1.2959755218672162E-2</v>
      </c>
      <c r="G427" s="3">
        <f>(Master_Table!G427-Master_Table!G426)/Master_Table!G426</f>
        <v>-5.3755587367437232E-3</v>
      </c>
      <c r="H427" s="3">
        <f>(Master_Table!H427-Master_Table!H426)/Master_Table!H426</f>
        <v>2.4752475247524753E-3</v>
      </c>
    </row>
    <row r="428" spans="1:8" x14ac:dyDescent="0.3">
      <c r="A428" s="1">
        <v>44456</v>
      </c>
      <c r="B428" s="3">
        <f>(Master_Table!B428-Master_Table!B427)/Master_Table!B427</f>
        <v>-2.5156697580758698E-3</v>
      </c>
      <c r="C428" s="3">
        <f>(Master_Table!C428-Master_Table!C427)/Master_Table!C427</f>
        <v>-1.5504930912785823E-2</v>
      </c>
      <c r="D428" s="3">
        <f>(Master_Table!D428-Master_Table!D427)/Master_Table!D427</f>
        <v>1.4228060253971582E-2</v>
      </c>
      <c r="E428" s="3">
        <f>(Master_Table!E428-Master_Table!E427)/Master_Table!E427</f>
        <v>1.7334777898158427E-3</v>
      </c>
      <c r="F428" s="3">
        <f>(Master_Table!F428-Master_Table!F427)/Master_Table!F427</f>
        <v>-1.9329797863346466E-2</v>
      </c>
      <c r="G428" s="3">
        <f>(Master_Table!G428-Master_Table!G427)/Master_Table!G427</f>
        <v>-6.4326626523718879E-3</v>
      </c>
      <c r="H428" s="3">
        <f>(Master_Table!H428-Master_Table!H427)/Master_Table!H427</f>
        <v>-2.9339143064632998E-3</v>
      </c>
    </row>
    <row r="429" spans="1:8" x14ac:dyDescent="0.3">
      <c r="A429" s="1">
        <v>44459</v>
      </c>
      <c r="B429" s="3">
        <f>(Master_Table!B429-Master_Table!B428)/Master_Table!B428</f>
        <v>-1.0705055117528142E-2</v>
      </c>
      <c r="C429" s="3">
        <f>(Master_Table!C429-Master_Table!C428)/Master_Table!C428</f>
        <v>1.5942643345557169E-3</v>
      </c>
      <c r="D429" s="3">
        <f>(Master_Table!D429-Master_Table!D428)/Master_Table!D428</f>
        <v>-1.4091824967368306E-2</v>
      </c>
      <c r="E429" s="3">
        <f>(Master_Table!E429-Master_Table!E428)/Master_Table!E428</f>
        <v>1.1248107289638739E-2</v>
      </c>
      <c r="F429" s="3">
        <f>(Master_Table!F429-Master_Table!F428)/Master_Table!F428</f>
        <v>-1.1364081664641795E-3</v>
      </c>
      <c r="G429" s="3">
        <f>(Master_Table!G429-Master_Table!G428)/Master_Table!G428</f>
        <v>-2.0398510021876932E-3</v>
      </c>
      <c r="H429" s="3">
        <f>(Master_Table!H429-Master_Table!H428)/Master_Table!H428</f>
        <v>-6.904789651555842E-3</v>
      </c>
    </row>
    <row r="430" spans="1:8" x14ac:dyDescent="0.3">
      <c r="A430" s="1">
        <v>44460</v>
      </c>
      <c r="B430" s="3">
        <f>(Master_Table!B430-Master_Table!B429)/Master_Table!B429</f>
        <v>9.4901965292666247E-3</v>
      </c>
      <c r="C430" s="3">
        <f>(Master_Table!C430-Master_Table!C429)/Master_Table!C429</f>
        <v>4.3151434854214899E-3</v>
      </c>
      <c r="D430" s="3">
        <f>(Master_Table!D430-Master_Table!D429)/Master_Table!D429</f>
        <v>-5.0643324464325432E-3</v>
      </c>
      <c r="E430" s="3">
        <f>(Master_Table!E430-Master_Table!E429)/Master_Table!E429</f>
        <v>3.3155080213903745E-2</v>
      </c>
      <c r="F430" s="3">
        <f>(Master_Table!F430-Master_Table!F429)/Master_Table!F429</f>
        <v>1.0317771675166685E-2</v>
      </c>
      <c r="G430" s="3">
        <f>(Master_Table!G430-Master_Table!G429)/Master_Table!G429</f>
        <v>1.8129573125574037E-2</v>
      </c>
      <c r="H430" s="3">
        <f>(Master_Table!H430-Master_Table!H429)/Master_Table!H429</f>
        <v>9.7104467978995999E-3</v>
      </c>
    </row>
    <row r="431" spans="1:8" x14ac:dyDescent="0.3">
      <c r="A431" s="1">
        <v>44461</v>
      </c>
      <c r="B431" s="3">
        <f>(Master_Table!B431-Master_Table!B430)/Master_Table!B430</f>
        <v>-8.7404623619169485E-4</v>
      </c>
      <c r="C431" s="3">
        <f>(Master_Table!C431-Master_Table!C430)/Master_Table!C430</f>
        <v>1.073692696690977E-2</v>
      </c>
      <c r="D431" s="3">
        <f>(Master_Table!D431-Master_Table!D430)/Master_Table!D430</f>
        <v>-1.1756346489244764E-2</v>
      </c>
      <c r="E431" s="3">
        <f>(Master_Table!E431-Master_Table!E430)/Master_Table!E430</f>
        <v>8.2815734989648039E-3</v>
      </c>
      <c r="F431" s="3">
        <f>(Master_Table!F431-Master_Table!F430)/Master_Table!F430</f>
        <v>-2.0709561345596687E-4</v>
      </c>
      <c r="G431" s="3">
        <f>(Master_Table!G431-Master_Table!G430)/Master_Table!G430</f>
        <v>-9.0197561756231168E-4</v>
      </c>
      <c r="H431" s="3">
        <f>(Master_Table!H431-Master_Table!H430)/Master_Table!H430</f>
        <v>-5.8109128944157122E-3</v>
      </c>
    </row>
    <row r="432" spans="1:8" x14ac:dyDescent="0.3">
      <c r="A432" s="1">
        <v>44462</v>
      </c>
      <c r="B432" s="3">
        <f>(Master_Table!B432-Master_Table!B431)/Master_Table!B431</f>
        <v>1.5746595503985047E-2</v>
      </c>
      <c r="C432" s="3">
        <f>(Master_Table!C432-Master_Table!C431)/Master_Table!C431</f>
        <v>2.4436226524545027E-2</v>
      </c>
      <c r="D432" s="3">
        <f>(Master_Table!D432-Master_Table!D431)/Master_Table!D431</f>
        <v>2.3661677233806012E-2</v>
      </c>
      <c r="E432" s="3">
        <f>(Master_Table!E432-Master_Table!E431)/Master_Table!E431</f>
        <v>-4.1067761806981521E-3</v>
      </c>
      <c r="F432" s="3">
        <f>(Master_Table!F432-Master_Table!F431)/Master_Table!F431</f>
        <v>1.8383542845306134E-3</v>
      </c>
      <c r="G432" s="3">
        <f>(Master_Table!G432-Master_Table!G431)/Master_Table!G431</f>
        <v>1.4939716931679109E-2</v>
      </c>
      <c r="H432" s="3">
        <f>(Master_Table!H432-Master_Table!H431)/Master_Table!H431</f>
        <v>3.4367876556198461E-2</v>
      </c>
    </row>
    <row r="433" spans="1:8" x14ac:dyDescent="0.3">
      <c r="A433" s="1">
        <v>44463</v>
      </c>
      <c r="B433" s="3">
        <f>(Master_Table!B433-Master_Table!B432)/Master_Table!B432</f>
        <v>1.6972498940972173E-3</v>
      </c>
      <c r="C433" s="3">
        <f>(Master_Table!C433-Master_Table!C432)/Master_Table!C432</f>
        <v>-2.8931908267270509E-3</v>
      </c>
      <c r="D433" s="3">
        <f>(Master_Table!D433-Master_Table!D432)/Master_Table!D432</f>
        <v>2.0100887555073124E-2</v>
      </c>
      <c r="E433" s="3">
        <f>(Master_Table!E433-Master_Table!E432)/Master_Table!E432</f>
        <v>-1.6701030927835099E-2</v>
      </c>
      <c r="F433" s="3">
        <f>(Master_Table!F433-Master_Table!F432)/Master_Table!F432</f>
        <v>5.2981844026624852E-4</v>
      </c>
      <c r="G433" s="3">
        <f>(Master_Table!G433-Master_Table!G432)/Master_Table!G432</f>
        <v>1.2223465610742851E-2</v>
      </c>
      <c r="H433" s="3">
        <f>(Master_Table!H433-Master_Table!H432)/Master_Table!H432</f>
        <v>-5.3681414929086595E-4</v>
      </c>
    </row>
    <row r="434" spans="1:8" x14ac:dyDescent="0.3">
      <c r="A434" s="1">
        <v>44466</v>
      </c>
      <c r="B434" s="3">
        <f>(Master_Table!B434-Master_Table!B433)/Master_Table!B433</f>
        <v>1.0642349830830423E-4</v>
      </c>
      <c r="C434" s="3">
        <f>(Master_Table!C434-Master_Table!C433)/Master_Table!C433</f>
        <v>1.6814999511965752E-2</v>
      </c>
      <c r="D434" s="3">
        <f>(Master_Table!D434-Master_Table!D433)/Master_Table!D433</f>
        <v>1.4697229559709072E-2</v>
      </c>
      <c r="E434" s="3">
        <f>(Master_Table!E434-Master_Table!E433)/Master_Table!E433</f>
        <v>1.0484378276368212E-3</v>
      </c>
      <c r="F434" s="3">
        <f>(Master_Table!F434-Master_Table!F433)/Master_Table!F433</f>
        <v>-8.8729884018289365E-3</v>
      </c>
      <c r="G434" s="3">
        <f>(Master_Table!G434-Master_Table!G433)/Master_Table!G433</f>
        <v>-2.4208407744422608E-2</v>
      </c>
      <c r="H434" s="3">
        <f>(Master_Table!H434-Master_Table!H433)/Master_Table!H433</f>
        <v>-1.6480565371024786E-2</v>
      </c>
    </row>
    <row r="435" spans="1:8" x14ac:dyDescent="0.3">
      <c r="A435" s="1">
        <v>44467</v>
      </c>
      <c r="B435" s="3">
        <f>(Master_Table!B435-Master_Table!B434)/Master_Table!B434</f>
        <v>-5.9646823596619459E-3</v>
      </c>
      <c r="C435" s="3">
        <f>(Master_Table!C435-Master_Table!C434)/Master_Table!C434</f>
        <v>9.3549287908405703E-3</v>
      </c>
      <c r="D435" s="3">
        <f>(Master_Table!D435-Master_Table!D434)/Master_Table!D434</f>
        <v>-6.1811407350745697E-3</v>
      </c>
      <c r="E435" s="3">
        <f>(Master_Table!E435-Master_Table!E434)/Master_Table!E434</f>
        <v>-3.9798910766652229E-3</v>
      </c>
      <c r="F435" s="3">
        <f>(Master_Table!F435-Master_Table!F434)/Master_Table!F434</f>
        <v>-1.5064048267504068E-2</v>
      </c>
      <c r="G435" s="3">
        <f>(Master_Table!G435-Master_Table!G434)/Master_Table!G434</f>
        <v>-1.9783284431920622E-2</v>
      </c>
      <c r="H435" s="3">
        <f>(Master_Table!H435-Master_Table!H434)/Master_Table!H434</f>
        <v>-1.4083697401700496E-3</v>
      </c>
    </row>
    <row r="436" spans="1:8" x14ac:dyDescent="0.3">
      <c r="A436" s="1">
        <v>44468</v>
      </c>
      <c r="B436" s="3">
        <f>(Master_Table!B436-Master_Table!B435)/Master_Table!B435</f>
        <v>-2.1015742086699387E-3</v>
      </c>
      <c r="C436" s="3">
        <f>(Master_Table!C436-Master_Table!C435)/Master_Table!C435</f>
        <v>-7.9281366717388925E-3</v>
      </c>
      <c r="D436" s="3">
        <f>(Master_Table!D436-Master_Table!D435)/Master_Table!D435</f>
        <v>-1.3121958486443461E-2</v>
      </c>
      <c r="E436" s="3">
        <f>(Master_Table!E436-Master_Table!E435)/Master_Table!E435</f>
        <v>1.4721345951629625E-3</v>
      </c>
      <c r="F436" s="3">
        <f>(Master_Table!F436-Master_Table!F435)/Master_Table!F435</f>
        <v>3.3737745260177554E-3</v>
      </c>
      <c r="G436" s="3">
        <f>(Master_Table!G436-Master_Table!G435)/Master_Table!G435</f>
        <v>3.0525754252860478E-3</v>
      </c>
      <c r="H436" s="3">
        <f>(Master_Table!H436-Master_Table!H435)/Master_Table!H435</f>
        <v>-9.2968367728751642E-3</v>
      </c>
    </row>
    <row r="437" spans="1:8" x14ac:dyDescent="0.3">
      <c r="A437" s="1">
        <v>44469</v>
      </c>
      <c r="B437" s="3">
        <f>(Master_Table!B437-Master_Table!B436)/Master_Table!B436</f>
        <v>-5.2593541976025376E-3</v>
      </c>
      <c r="C437" s="3">
        <f>(Master_Table!C437-Master_Table!C436)/Master_Table!C436</f>
        <v>-3.4074964922830939E-3</v>
      </c>
      <c r="D437" s="3">
        <f>(Master_Table!D437-Master_Table!D436)/Master_Table!D436</f>
        <v>6.9186741304478835E-4</v>
      </c>
      <c r="E437" s="3">
        <f>(Master_Table!E437-Master_Table!E436)/Master_Table!E436</f>
        <v>-8.1898362032758864E-3</v>
      </c>
      <c r="F437" s="3">
        <f>(Master_Table!F437-Master_Table!F436)/Master_Table!F436</f>
        <v>-4.3118225691605554E-3</v>
      </c>
      <c r="G437" s="3">
        <f>(Master_Table!G437-Master_Table!G436)/Master_Table!G436</f>
        <v>-1.0075343477618529E-2</v>
      </c>
      <c r="H437" s="3">
        <f>(Master_Table!H437-Master_Table!H436)/Master_Table!H436</f>
        <v>-1.0488088320743728E-2</v>
      </c>
    </row>
    <row r="438" spans="1:8" x14ac:dyDescent="0.3">
      <c r="A438" s="1">
        <v>44470</v>
      </c>
      <c r="B438" s="3">
        <f>(Master_Table!B438-Master_Table!B437)/Master_Table!B437</f>
        <v>-4.8870057298866327E-3</v>
      </c>
      <c r="C438" s="3">
        <f>(Master_Table!C438-Master_Table!C437)/Master_Table!C437</f>
        <v>1.7664136556017891E-3</v>
      </c>
      <c r="D438" s="3">
        <f>(Master_Table!D438-Master_Table!D437)/Master_Table!D437</f>
        <v>-7.6807039597737445E-3</v>
      </c>
      <c r="E438" s="3">
        <f>(Master_Table!E438-Master_Table!E437)/Master_Table!E437</f>
        <v>-3.3876773237349624E-3</v>
      </c>
      <c r="F438" s="3">
        <f>(Master_Table!F438-Master_Table!F437)/Master_Table!F437</f>
        <v>-1.2011495013971571E-2</v>
      </c>
      <c r="G438" s="3">
        <f>(Master_Table!G438-Master_Table!G437)/Master_Table!G437</f>
        <v>-5.9992836676217489E-3</v>
      </c>
      <c r="H438" s="3">
        <f>(Master_Table!H438-Master_Table!H437)/Master_Table!H437</f>
        <v>-3.5526586218033143E-3</v>
      </c>
    </row>
    <row r="439" spans="1:8" x14ac:dyDescent="0.3">
      <c r="A439" s="1">
        <v>44473</v>
      </c>
      <c r="B439" s="3">
        <f>(Master_Table!B439-Master_Table!B438)/Master_Table!B438</f>
        <v>9.0805125470210697E-3</v>
      </c>
      <c r="C439" s="3">
        <f>(Master_Table!C439-Master_Table!C438)/Master_Table!C438</f>
        <v>1.2858115539726617E-2</v>
      </c>
      <c r="D439" s="3">
        <f>(Master_Table!D439-Master_Table!D438)/Master_Table!D438</f>
        <v>1.9255374403019823E-3</v>
      </c>
      <c r="E439" s="3">
        <f>(Master_Table!E439-Master_Table!E438)/Master_Table!E438</f>
        <v>5.3112385808370514E-3</v>
      </c>
      <c r="F439" s="3">
        <f>(Master_Table!F439-Master_Table!F438)/Master_Table!F438</f>
        <v>1.1554340249852652E-2</v>
      </c>
      <c r="G439" s="3">
        <f>(Master_Table!G439-Master_Table!G438)/Master_Table!G438</f>
        <v>8.167432363450685E-3</v>
      </c>
      <c r="H439" s="3">
        <f>(Master_Table!H439-Master_Table!H438)/Master_Table!H438</f>
        <v>1.0813836996876604E-2</v>
      </c>
    </row>
    <row r="440" spans="1:8" x14ac:dyDescent="0.3">
      <c r="A440" s="1">
        <v>44474</v>
      </c>
      <c r="B440" s="3">
        <f>(Master_Table!B440-Master_Table!B439)/Master_Table!B439</f>
        <v>7.4076167596975493E-3</v>
      </c>
      <c r="C440" s="3">
        <f>(Master_Table!C440-Master_Table!C439)/Master_Table!C439</f>
        <v>2.0753074609371768E-2</v>
      </c>
      <c r="D440" s="3">
        <f>(Master_Table!D440-Master_Table!D439)/Master_Table!D439</f>
        <v>6.1195331959388961E-3</v>
      </c>
      <c r="E440" s="3">
        <f>(Master_Table!E440-Master_Table!E439)/Master_Table!E439</f>
        <v>-8.0304311073542082E-3</v>
      </c>
      <c r="F440" s="3">
        <f>(Master_Table!F440-Master_Table!F439)/Master_Table!F439</f>
        <v>1.5901200540640818E-2</v>
      </c>
      <c r="G440" s="3">
        <f>(Master_Table!G440-Master_Table!G439)/Master_Table!G439</f>
        <v>8.3693224125092804E-3</v>
      </c>
      <c r="H440" s="3">
        <f>(Master_Table!H440-Master_Table!H439)/Master_Table!H439</f>
        <v>8.453578195598574E-4</v>
      </c>
    </row>
    <row r="441" spans="1:8" x14ac:dyDescent="0.3">
      <c r="A441" s="1">
        <v>44475</v>
      </c>
      <c r="B441" s="3">
        <f>(Master_Table!B441-Master_Table!B440)/Master_Table!B440</f>
        <v>-9.8921014683850724E-3</v>
      </c>
      <c r="C441" s="3">
        <f>(Master_Table!C441-Master_Table!C440)/Master_Table!C440</f>
        <v>-1.8912689232431959E-2</v>
      </c>
      <c r="D441" s="3">
        <f>(Master_Table!D441-Master_Table!D440)/Master_Table!D440</f>
        <v>1.2189758089852398E-2</v>
      </c>
      <c r="E441" s="3">
        <f>(Master_Table!E441-Master_Table!E440)/Master_Table!E440</f>
        <v>-1.4699616531742602E-2</v>
      </c>
      <c r="F441" s="3">
        <f>(Master_Table!F441-Master_Table!F440)/Master_Table!F440</f>
        <v>-5.8435290741658862E-3</v>
      </c>
      <c r="G441" s="3">
        <f>(Master_Table!G441-Master_Table!G440)/Master_Table!G440</f>
        <v>-1.1371691871455578E-2</v>
      </c>
      <c r="H441" s="3">
        <f>(Master_Table!H441-Master_Table!H440)/Master_Table!H440</f>
        <v>-1.2611405603774736E-2</v>
      </c>
    </row>
    <row r="442" spans="1:8" x14ac:dyDescent="0.3">
      <c r="A442" s="1">
        <v>44476</v>
      </c>
      <c r="B442" s="3">
        <f>(Master_Table!B442-Master_Table!B441)/Master_Table!B441</f>
        <v>8.1803241527824179E-3</v>
      </c>
      <c r="C442" s="3">
        <f>(Master_Table!C442-Master_Table!C441)/Master_Table!C441</f>
        <v>4.905377843182855E-3</v>
      </c>
      <c r="D442" s="3">
        <f>(Master_Table!D442-Master_Table!D441)/Master_Table!D441</f>
        <v>-2.7313923893476258E-3</v>
      </c>
      <c r="E442" s="3">
        <f>(Master_Table!E442-Master_Table!E441)/Master_Table!E441</f>
        <v>7.3513513513513021E-3</v>
      </c>
      <c r="F442" s="3">
        <f>(Master_Table!F442-Master_Table!F441)/Master_Table!F441</f>
        <v>2.151722690178173E-2</v>
      </c>
      <c r="G442" s="3">
        <f>(Master_Table!G442-Master_Table!G441)/Master_Table!G441</f>
        <v>1.0426936751217499E-2</v>
      </c>
      <c r="H442" s="3">
        <f>(Master_Table!H442-Master_Table!H441)/Master_Table!H441</f>
        <v>1.0265183917878583E-2</v>
      </c>
    </row>
    <row r="443" spans="1:8" x14ac:dyDescent="0.3">
      <c r="A443" s="1">
        <v>44477</v>
      </c>
      <c r="B443" s="3">
        <f>(Master_Table!B443-Master_Table!B442)/Master_Table!B442</f>
        <v>5.8936445882178928E-3</v>
      </c>
      <c r="C443" s="3">
        <f>(Master_Table!C443-Master_Table!C442)/Master_Table!C442</f>
        <v>3.8426294650121082E-2</v>
      </c>
      <c r="D443" s="3">
        <f>(Master_Table!D443-Master_Table!D442)/Master_Table!D442</f>
        <v>-4.8677248677248281E-3</v>
      </c>
      <c r="E443" s="3">
        <f>(Master_Table!E443-Master_Table!E442)/Master_Table!E442</f>
        <v>-5.3659583601631256E-3</v>
      </c>
      <c r="F443" s="3">
        <f>(Master_Table!F443-Master_Table!F442)/Master_Table!F442</f>
        <v>1.0981530478563539E-2</v>
      </c>
      <c r="G443" s="3">
        <f>(Master_Table!G443-Master_Table!G442)/Master_Table!G442</f>
        <v>1.9426374926079189E-2</v>
      </c>
      <c r="H443" s="3">
        <f>(Master_Table!H443-Master_Table!H442)/Master_Table!H442</f>
        <v>8.4382025752576979E-3</v>
      </c>
    </row>
    <row r="444" spans="1:8" x14ac:dyDescent="0.3">
      <c r="A444" s="1">
        <v>44480</v>
      </c>
      <c r="B444" s="3">
        <f>(Master_Table!B444-Master_Table!B443)/Master_Table!B443</f>
        <v>2.8359560105503151E-3</v>
      </c>
      <c r="C444" s="3">
        <f>(Master_Table!C444-Master_Table!C443)/Master_Table!C443</f>
        <v>-6.9604803061292268E-3</v>
      </c>
      <c r="D444" s="3">
        <f>(Master_Table!D444-Master_Table!D443)/Master_Table!D443</f>
        <v>1.9428528536042201E-2</v>
      </c>
      <c r="E444" s="3">
        <f>(Master_Table!E444-Master_Table!E443)/Master_Table!E443</f>
        <v>2.7406128614587928E-2</v>
      </c>
      <c r="F444" s="3">
        <f>(Master_Table!F444-Master_Table!F443)/Master_Table!F443</f>
        <v>-6.3534613088054109E-2</v>
      </c>
      <c r="G444" s="3">
        <f>(Master_Table!G444-Master_Table!G443)/Master_Table!G443</f>
        <v>-1.9085187226266707E-2</v>
      </c>
      <c r="H444" s="3">
        <f>(Master_Table!H444-Master_Table!H443)/Master_Table!H443</f>
        <v>-5.7907232613353407E-3</v>
      </c>
    </row>
    <row r="445" spans="1:8" x14ac:dyDescent="0.3">
      <c r="A445" s="1">
        <v>44481</v>
      </c>
      <c r="B445" s="3">
        <f>(Master_Table!B445-Master_Table!B444)/Master_Table!B444</f>
        <v>2.5632524330002032E-3</v>
      </c>
      <c r="C445" s="3">
        <f>(Master_Table!C445-Master_Table!C444)/Master_Table!C444</f>
        <v>5.7054114207887247E-3</v>
      </c>
      <c r="D445" s="3">
        <f>(Master_Table!D445-Master_Table!D444)/Master_Table!D444</f>
        <v>-2.5648262913103093E-3</v>
      </c>
      <c r="E445" s="3">
        <f>(Master_Table!E445-Master_Table!E444)/Master_Table!E444</f>
        <v>1.3652593992858642E-2</v>
      </c>
      <c r="F445" s="3">
        <f>(Master_Table!F445-Master_Table!F444)/Master_Table!F444</f>
        <v>-8.88593444757977E-3</v>
      </c>
      <c r="G445" s="3">
        <f>(Master_Table!G445-Master_Table!G444)/Master_Table!G444</f>
        <v>-3.4300245424169575E-3</v>
      </c>
      <c r="H445" s="3">
        <f>(Master_Table!H445-Master_Table!H444)/Master_Table!H444</f>
        <v>7.5717863591353858E-4</v>
      </c>
    </row>
    <row r="446" spans="1:8" x14ac:dyDescent="0.3">
      <c r="A446" s="1">
        <v>44482</v>
      </c>
      <c r="B446" s="3">
        <f>(Master_Table!B446-Master_Table!B445)/Master_Table!B445</f>
        <v>9.4375540172132125E-3</v>
      </c>
      <c r="C446" s="3">
        <f>(Master_Table!C446-Master_Table!C445)/Master_Table!C445</f>
        <v>1.0181752120166084E-2</v>
      </c>
      <c r="D446" s="3">
        <f>(Master_Table!D446-Master_Table!D445)/Master_Table!D445</f>
        <v>6.0163881985284906E-3</v>
      </c>
      <c r="E446" s="3">
        <f>(Master_Table!E446-Master_Table!E445)/Master_Table!E445</f>
        <v>3.2739328636551913E-2</v>
      </c>
      <c r="F446" s="3">
        <f>(Master_Table!F446-Master_Table!F445)/Master_Table!F445</f>
        <v>6.4333328770683411E-4</v>
      </c>
      <c r="G446" s="3">
        <f>(Master_Table!G446-Master_Table!G445)/Master_Table!G445</f>
        <v>1.4271726552532388E-2</v>
      </c>
      <c r="H446" s="3">
        <f>(Master_Table!H446-Master_Table!H445)/Master_Table!H445</f>
        <v>1.9700849726457869E-2</v>
      </c>
    </row>
    <row r="447" spans="1:8" x14ac:dyDescent="0.3">
      <c r="A447" s="1">
        <v>44483</v>
      </c>
      <c r="B447" s="3">
        <f>(Master_Table!B447-Master_Table!B446)/Master_Table!B446</f>
        <v>9.7347447244896159E-3</v>
      </c>
      <c r="C447" s="3">
        <f>(Master_Table!C447-Master_Table!C446)/Master_Table!C446</f>
        <v>2.0190955759736024E-3</v>
      </c>
      <c r="D447" s="3">
        <f>(Master_Table!D447-Master_Table!D446)/Master_Table!D446</f>
        <v>2.9278315212738704E-2</v>
      </c>
      <c r="E447" s="3">
        <f>(Master_Table!E447-Master_Table!E446)/Master_Table!E446</f>
        <v>2.9494382022472003E-2</v>
      </c>
      <c r="F447" s="3">
        <f>(Master_Table!F447-Master_Table!F446)/Master_Table!F446</f>
        <v>-1.1969249288684614E-2</v>
      </c>
      <c r="G447" s="3">
        <f>(Master_Table!G447-Master_Table!G446)/Master_Table!G446</f>
        <v>3.8322021998595567E-3</v>
      </c>
      <c r="H447" s="3">
        <f>(Master_Table!H447-Master_Table!H446)/Master_Table!H446</f>
        <v>2.1260808766873092E-2</v>
      </c>
    </row>
    <row r="448" spans="1:8" x14ac:dyDescent="0.3">
      <c r="A448" s="1">
        <v>44487</v>
      </c>
      <c r="B448" s="3">
        <f>(Master_Table!B448-Master_Table!B447)/Master_Table!B447</f>
        <v>7.5523964544634125E-3</v>
      </c>
      <c r="C448" s="3">
        <f>(Master_Table!C448-Master_Table!C447)/Master_Table!C447</f>
        <v>2.667667381851689E-3</v>
      </c>
      <c r="D448" s="3">
        <f>(Master_Table!D448-Master_Table!D447)/Master_Table!D447</f>
        <v>-1.0135335844393452E-2</v>
      </c>
      <c r="E448" s="3">
        <f>(Master_Table!E448-Master_Table!E447)/Master_Table!E447</f>
        <v>2.3387253946599101E-2</v>
      </c>
      <c r="F448" s="3">
        <f>(Master_Table!F448-Master_Table!F447)/Master_Table!F447</f>
        <v>9.8852261556993098E-3</v>
      </c>
      <c r="G448" s="3">
        <f>(Master_Table!G448-Master_Table!G447)/Master_Table!G447</f>
        <v>4.452863179367629E-2</v>
      </c>
      <c r="H448" s="3">
        <f>(Master_Table!H448-Master_Table!H447)/Master_Table!H447</f>
        <v>-4.7504610741625722E-4</v>
      </c>
    </row>
    <row r="449" spans="1:8" x14ac:dyDescent="0.3">
      <c r="A449" s="1">
        <v>44488</v>
      </c>
      <c r="B449" s="3">
        <f>(Master_Table!B449-Master_Table!B448)/Master_Table!B448</f>
        <v>-3.1552655862271996E-3</v>
      </c>
      <c r="C449" s="3">
        <f>(Master_Table!C449-Master_Table!C448)/Master_Table!C448</f>
        <v>8.9580655134818415E-3</v>
      </c>
      <c r="D449" s="3">
        <f>(Master_Table!D449-Master_Table!D448)/Master_Table!D448</f>
        <v>1.1007346233254859E-2</v>
      </c>
      <c r="E449" s="3">
        <f>(Master_Table!E449-Master_Table!E448)/Master_Table!E448</f>
        <v>-6.3226052180537118E-2</v>
      </c>
      <c r="F449" s="3">
        <f>(Master_Table!F449-Master_Table!F448)/Master_Table!F448</f>
        <v>-3.5644270183567989E-3</v>
      </c>
      <c r="G449" s="3">
        <f>(Master_Table!G449-Master_Table!G448)/Master_Table!G448</f>
        <v>1.6739670228496498E-2</v>
      </c>
      <c r="H449" s="3">
        <f>(Master_Table!H449-Master_Table!H448)/Master_Table!H448</f>
        <v>3.2206659397802512E-2</v>
      </c>
    </row>
    <row r="450" spans="1:8" x14ac:dyDescent="0.3">
      <c r="A450" s="1">
        <v>44489</v>
      </c>
      <c r="B450" s="3">
        <f>(Master_Table!B450-Master_Table!B449)/Master_Table!B449</f>
        <v>-8.2606040040720165E-3</v>
      </c>
      <c r="C450" s="3">
        <f>(Master_Table!C450-Master_Table!C449)/Master_Table!C449</f>
        <v>-1.1515478964897121E-2</v>
      </c>
      <c r="D450" s="3">
        <f>(Master_Table!D450-Master_Table!D449)/Master_Table!D449</f>
        <v>-8.7859899079845375E-3</v>
      </c>
      <c r="E450" s="3">
        <f>(Master_Table!E450-Master_Table!E449)/Master_Table!E449</f>
        <v>2.6428135799959574E-3</v>
      </c>
      <c r="F450" s="3">
        <f>(Master_Table!F450-Master_Table!F449)/Master_Table!F449</f>
        <v>-6.9617379579819715E-3</v>
      </c>
      <c r="G450" s="3">
        <f>(Master_Table!G450-Master_Table!G449)/Master_Table!G449</f>
        <v>-1.0866284334440184E-2</v>
      </c>
      <c r="H450" s="3">
        <f>(Master_Table!H450-Master_Table!H449)/Master_Table!H449</f>
        <v>-2.1315782346090252E-2</v>
      </c>
    </row>
    <row r="451" spans="1:8" x14ac:dyDescent="0.3">
      <c r="A451" s="1">
        <v>44490</v>
      </c>
      <c r="B451" s="3">
        <f>(Master_Table!B451-Master_Table!B450)/Master_Table!B450</f>
        <v>-4.8449081930955953E-3</v>
      </c>
      <c r="C451" s="3">
        <f>(Master_Table!C451-Master_Table!C450)/Master_Table!C450</f>
        <v>-2.8846702942592044E-2</v>
      </c>
      <c r="D451" s="3">
        <f>(Master_Table!D451-Master_Table!D450)/Master_Table!D450</f>
        <v>1.4613403605438428E-3</v>
      </c>
      <c r="E451" s="3">
        <f>(Master_Table!E451-Master_Table!E450)/Master_Table!E450</f>
        <v>-7.7047850770478737E-3</v>
      </c>
      <c r="F451" s="3">
        <f>(Master_Table!F451-Master_Table!F450)/Master_Table!F450</f>
        <v>-2.1156324036742981E-2</v>
      </c>
      <c r="G451" s="3">
        <f>(Master_Table!G451-Master_Table!G450)/Master_Table!G450</f>
        <v>-2.7020279080089783E-2</v>
      </c>
      <c r="H451" s="3">
        <f>(Master_Table!H451-Master_Table!H450)/Master_Table!H450</f>
        <v>-5.2582055681632003E-4</v>
      </c>
    </row>
    <row r="452" spans="1:8" x14ac:dyDescent="0.3">
      <c r="A452" s="1">
        <v>44491</v>
      </c>
      <c r="B452" s="3">
        <f>(Master_Table!B452-Master_Table!B451)/Master_Table!B451</f>
        <v>-3.4767109873967629E-3</v>
      </c>
      <c r="C452" s="3">
        <f>(Master_Table!C452-Master_Table!C451)/Master_Table!C451</f>
        <v>1.8648723570474763E-3</v>
      </c>
      <c r="D452" s="3">
        <f>(Master_Table!D452-Master_Table!D451)/Master_Table!D451</f>
        <v>2.6552800602819304E-3</v>
      </c>
      <c r="E452" s="3">
        <f>(Master_Table!E452-Master_Table!E451)/Master_Table!E451</f>
        <v>-3.3101757253780117E-2</v>
      </c>
      <c r="F452" s="3">
        <f>(Master_Table!F452-Master_Table!F451)/Master_Table!F451</f>
        <v>-9.5258315640481504E-3</v>
      </c>
      <c r="G452" s="3">
        <f>(Master_Table!G452-Master_Table!G451)/Master_Table!G451</f>
        <v>-1.9302597439626E-2</v>
      </c>
      <c r="H452" s="3">
        <f>(Master_Table!H452-Master_Table!H451)/Master_Table!H451</f>
        <v>-7.4761179565277589E-3</v>
      </c>
    </row>
    <row r="453" spans="1:8" x14ac:dyDescent="0.3">
      <c r="A453" s="1">
        <v>44494</v>
      </c>
      <c r="B453" s="3">
        <f>(Master_Table!B453-Master_Table!B452)/Master_Table!B452</f>
        <v>5.7963334050974602E-4</v>
      </c>
      <c r="C453" s="3">
        <f>(Master_Table!C453-Master_Table!C452)/Master_Table!C452</f>
        <v>-9.7430092650820591E-3</v>
      </c>
      <c r="D453" s="3">
        <f>(Master_Table!D453-Master_Table!D452)/Master_Table!D452</f>
        <v>-1.4135919550513437E-2</v>
      </c>
      <c r="E453" s="3">
        <f>(Master_Table!E453-Master_Table!E452)/Master_Table!E452</f>
        <v>-1.3524936601859631E-2</v>
      </c>
      <c r="F453" s="3">
        <f>(Master_Table!F453-Master_Table!F452)/Master_Table!F452</f>
        <v>-1.6862683453134862E-3</v>
      </c>
      <c r="G453" s="3">
        <f>(Master_Table!G453-Master_Table!G452)/Master_Table!G452</f>
        <v>-7.1229212699151067E-3</v>
      </c>
      <c r="H453" s="3">
        <f>(Master_Table!H453-Master_Table!H452)/Master_Table!H452</f>
        <v>-4.5194587808619945E-3</v>
      </c>
    </row>
    <row r="454" spans="1:8" x14ac:dyDescent="0.3">
      <c r="A454" s="1">
        <v>44495</v>
      </c>
      <c r="B454" s="3">
        <f>(Master_Table!B454-Master_Table!B453)/Master_Table!B453</f>
        <v>7.8894810597283371E-3</v>
      </c>
      <c r="C454" s="3">
        <f>(Master_Table!C454-Master_Table!C453)/Master_Table!C453</f>
        <v>2.2776728787583796E-2</v>
      </c>
      <c r="D454" s="3">
        <f>(Master_Table!D454-Master_Table!D453)/Master_Table!D453</f>
        <v>-2.5652194956681724E-3</v>
      </c>
      <c r="E454" s="3">
        <f>(Master_Table!E454-Master_Table!E453)/Master_Table!E453</f>
        <v>1.4138817480719721E-2</v>
      </c>
      <c r="F454" s="3">
        <f>(Master_Table!F454-Master_Table!F453)/Master_Table!F453</f>
        <v>-2.9631114101260855E-3</v>
      </c>
      <c r="G454" s="3">
        <f>(Master_Table!G454-Master_Table!G453)/Master_Table!G453</f>
        <v>-2.2546923955374127E-3</v>
      </c>
      <c r="H454" s="3">
        <f>(Master_Table!H454-Master_Table!H453)/Master_Table!H453</f>
        <v>6.7819409802986905E-3</v>
      </c>
    </row>
    <row r="455" spans="1:8" x14ac:dyDescent="0.3">
      <c r="A455" s="1">
        <v>44496</v>
      </c>
      <c r="B455" s="3">
        <f>(Master_Table!B455-Master_Table!B454)/Master_Table!B454</f>
        <v>-3.1447745834337283E-3</v>
      </c>
      <c r="C455" s="3">
        <f>(Master_Table!C455-Master_Table!C454)/Master_Table!C454</f>
        <v>-1.264973963723061E-2</v>
      </c>
      <c r="D455" s="3">
        <f>(Master_Table!D455-Master_Table!D454)/Master_Table!D454</f>
        <v>-6.0170807453416584E-3</v>
      </c>
      <c r="E455" s="3">
        <f>(Master_Table!E455-Master_Table!E454)/Master_Table!E454</f>
        <v>7.3933248838191808E-3</v>
      </c>
      <c r="F455" s="3">
        <f>(Master_Table!F455-Master_Table!F454)/Master_Table!F454</f>
        <v>2.053063802905901E-3</v>
      </c>
      <c r="G455" s="3">
        <f>(Master_Table!G455-Master_Table!G454)/Master_Table!G454</f>
        <v>1.4820684392792157E-2</v>
      </c>
      <c r="H455" s="3">
        <f>(Master_Table!H455-Master_Table!H454)/Master_Table!H454</f>
        <v>-6.5135699373695451E-3</v>
      </c>
    </row>
    <row r="456" spans="1:8" x14ac:dyDescent="0.3">
      <c r="A456" s="1">
        <v>44497</v>
      </c>
      <c r="B456" s="3">
        <f>(Master_Table!B456-Master_Table!B455)/Master_Table!B455</f>
        <v>-1.9422380490858562E-2</v>
      </c>
      <c r="C456" s="3">
        <f>(Master_Table!C456-Master_Table!C455)/Master_Table!C455</f>
        <v>-1.0958789250828124E-2</v>
      </c>
      <c r="D456" s="3">
        <f>(Master_Table!D456-Master_Table!D455)/Master_Table!D455</f>
        <v>-2.9950205038078454E-2</v>
      </c>
      <c r="E456" s="3">
        <f>(Master_Table!E456-Master_Table!E455)/Master_Table!E455</f>
        <v>-5.5986579995806231E-2</v>
      </c>
      <c r="F456" s="3">
        <f>(Master_Table!F456-Master_Table!F455)/Master_Table!F455</f>
        <v>-1.9514291854717359E-2</v>
      </c>
      <c r="G456" s="3">
        <f>(Master_Table!G456-Master_Table!G455)/Master_Table!G455</f>
        <v>-1.4488562422279392E-2</v>
      </c>
      <c r="H456" s="3">
        <f>(Master_Table!H456-Master_Table!H455)/Master_Table!H455</f>
        <v>1.6642851138942618E-2</v>
      </c>
    </row>
    <row r="457" spans="1:8" x14ac:dyDescent="0.3">
      <c r="A457" s="1">
        <v>44498</v>
      </c>
      <c r="B457" s="3">
        <f>(Master_Table!B457-Master_Table!B456)/Master_Table!B456</f>
        <v>-1.0393537638774085E-2</v>
      </c>
      <c r="C457" s="3">
        <f>(Master_Table!C457-Master_Table!C456)/Master_Table!C456</f>
        <v>-2.3991590227029923E-2</v>
      </c>
      <c r="D457" s="3">
        <f>(Master_Table!D457-Master_Table!D456)/Master_Table!D456</f>
        <v>-6.7436652323796748E-3</v>
      </c>
      <c r="E457" s="3">
        <f>(Master_Table!E457-Master_Table!E456)/Master_Table!E456</f>
        <v>-8.4406930253221046E-3</v>
      </c>
      <c r="F457" s="3">
        <f>(Master_Table!F457-Master_Table!F456)/Master_Table!F456</f>
        <v>-6.9849341691874071E-3</v>
      </c>
      <c r="G457" s="3">
        <f>(Master_Table!G457-Master_Table!G456)/Master_Table!G456</f>
        <v>-2.1216033804800805E-2</v>
      </c>
      <c r="H457" s="3">
        <f>(Master_Table!H457-Master_Table!H456)/Master_Table!H456</f>
        <v>-2.6236736943640572E-2</v>
      </c>
    </row>
    <row r="458" spans="1:8" x14ac:dyDescent="0.3">
      <c r="A458" s="1">
        <v>44501</v>
      </c>
      <c r="B458" s="3">
        <f>(Master_Table!B458-Master_Table!B457)/Master_Table!B457</f>
        <v>1.4599655380227651E-2</v>
      </c>
      <c r="C458" s="3">
        <f>(Master_Table!C458-Master_Table!C457)/Master_Table!C457</f>
        <v>6.0801890070186703E-4</v>
      </c>
      <c r="D458" s="3">
        <f>(Master_Table!D458-Master_Table!D457)/Master_Table!D457</f>
        <v>1.418691257315118E-2</v>
      </c>
      <c r="E458" s="3">
        <f>(Master_Table!E458-Master_Table!E457)/Master_Table!E457</f>
        <v>1.6353046594982105E-2</v>
      </c>
      <c r="F458" s="3">
        <f>(Master_Table!F458-Master_Table!F457)/Master_Table!F457</f>
        <v>2.3147671253035122E-2</v>
      </c>
      <c r="G458" s="3">
        <f>(Master_Table!G458-Master_Table!G457)/Master_Table!G457</f>
        <v>1.9367411182731196E-2</v>
      </c>
      <c r="H458" s="3">
        <f>(Master_Table!H458-Master_Table!H457)/Master_Table!H457</f>
        <v>1.6245436277700628E-2</v>
      </c>
    </row>
    <row r="459" spans="1:8" x14ac:dyDescent="0.3">
      <c r="A459" s="1">
        <v>44502</v>
      </c>
      <c r="B459" s="3">
        <f>(Master_Table!B459-Master_Table!B458)/Master_Table!B458</f>
        <v>-2.2699829611844474E-3</v>
      </c>
      <c r="C459" s="3">
        <f>(Master_Table!C459-Master_Table!C458)/Master_Table!C458</f>
        <v>-1.4574905814337022E-2</v>
      </c>
      <c r="D459" s="3">
        <f>(Master_Table!D459-Master_Table!D458)/Master_Table!D458</f>
        <v>8.9925811205758663E-4</v>
      </c>
      <c r="E459" s="3">
        <f>(Master_Table!E459-Master_Table!E458)/Master_Table!E458</f>
        <v>-5.5102490632576596E-3</v>
      </c>
      <c r="F459" s="3">
        <f>(Master_Table!F459-Master_Table!F458)/Master_Table!F458</f>
        <v>2.2437003797030628E-3</v>
      </c>
      <c r="G459" s="3">
        <f>(Master_Table!G459-Master_Table!G458)/Master_Table!G458</f>
        <v>-1.264668686215031E-3</v>
      </c>
      <c r="H459" s="3">
        <f>(Master_Table!H459-Master_Table!H458)/Master_Table!H458</f>
        <v>1.1306987495474522E-2</v>
      </c>
    </row>
    <row r="460" spans="1:8" x14ac:dyDescent="0.3">
      <c r="A460" s="1">
        <v>44503</v>
      </c>
      <c r="B460" s="3">
        <f>(Master_Table!B460-Master_Table!B459)/Master_Table!B459</f>
        <v>-3.3400507016901494E-3</v>
      </c>
      <c r="C460" s="3">
        <f>(Master_Table!C460-Master_Table!C459)/Master_Table!C459</f>
        <v>-6.8799055664690006E-3</v>
      </c>
      <c r="D460" s="3">
        <f>(Master_Table!D460-Master_Table!D459)/Master_Table!D459</f>
        <v>-1.5747834984651481E-2</v>
      </c>
      <c r="E460" s="3">
        <f>(Master_Table!E460-Master_Table!E459)/Master_Table!E459</f>
        <v>-1.3962765957446834E-2</v>
      </c>
      <c r="F460" s="3">
        <f>(Master_Table!F460-Master_Table!F459)/Master_Table!F459</f>
        <v>2.3104299408760066E-3</v>
      </c>
      <c r="G460" s="3">
        <f>(Master_Table!G460-Master_Table!G459)/Master_Table!G459</f>
        <v>2.7092290476470396E-3</v>
      </c>
      <c r="H460" s="3">
        <f>(Master_Table!H460-Master_Table!H459)/Master_Table!H459</f>
        <v>4.067413873819288E-2</v>
      </c>
    </row>
    <row r="461" spans="1:8" x14ac:dyDescent="0.3">
      <c r="A461" s="1">
        <v>44504</v>
      </c>
      <c r="B461" s="3">
        <f>(Master_Table!B461-Master_Table!B460)/Master_Table!B460</f>
        <v>4.9132883135529657E-3</v>
      </c>
      <c r="C461" s="3">
        <f>(Master_Table!C461-Master_Table!C460)/Master_Table!C460</f>
        <v>6.1381255654702448E-3</v>
      </c>
      <c r="D461" s="3">
        <f>(Master_Table!D461-Master_Table!D460)/Master_Table!D460</f>
        <v>7.9111516811197439E-3</v>
      </c>
      <c r="E461" s="3">
        <f>(Master_Table!E461-Master_Table!E460)/Master_Table!E460</f>
        <v>1.8431108114183064E-2</v>
      </c>
      <c r="F461" s="3">
        <f>(Master_Table!F461-Master_Table!F460)/Master_Table!F460</f>
        <v>4.6961128212470735E-3</v>
      </c>
      <c r="G461" s="3">
        <f>(Master_Table!G461-Master_Table!G460)/Master_Table!G460</f>
        <v>3.6417033773862234E-3</v>
      </c>
      <c r="H461" s="3">
        <f>(Master_Table!H461-Master_Table!H460)/Master_Table!H460</f>
        <v>1.0293728499603094E-2</v>
      </c>
    </row>
    <row r="462" spans="1:8" x14ac:dyDescent="0.3">
      <c r="A462" s="1">
        <v>44508</v>
      </c>
      <c r="B462" s="3">
        <f>(Master_Table!B462-Master_Table!B461)/Master_Table!B461</f>
        <v>8.4697044115020544E-3</v>
      </c>
      <c r="C462" s="3">
        <f>(Master_Table!C462-Master_Table!C461)/Master_Table!C461</f>
        <v>1.2430573922243514E-3</v>
      </c>
      <c r="D462" s="3">
        <f>(Master_Table!D462-Master_Table!D461)/Master_Table!D461</f>
        <v>3.9496855345911774E-3</v>
      </c>
      <c r="E462" s="3">
        <f>(Master_Table!E462-Master_Table!E461)/Master_Table!E461</f>
        <v>1.4345619068638269E-2</v>
      </c>
      <c r="F462" s="3">
        <f>(Master_Table!F462-Master_Table!F461)/Master_Table!F461</f>
        <v>-1.6815584341556128E-3</v>
      </c>
      <c r="G462" s="3">
        <f>(Master_Table!G462-Master_Table!G461)/Master_Table!G461</f>
        <v>1.6854918944226579E-2</v>
      </c>
      <c r="H462" s="3">
        <f>(Master_Table!H462-Master_Table!H461)/Master_Table!H461</f>
        <v>8.172031745200193E-3</v>
      </c>
    </row>
    <row r="463" spans="1:8" x14ac:dyDescent="0.3">
      <c r="A463" s="1">
        <v>44509</v>
      </c>
      <c r="B463" s="3">
        <f>(Master_Table!B463-Master_Table!B462)/Master_Table!B462</f>
        <v>-1.3448782553109836E-3</v>
      </c>
      <c r="C463" s="3">
        <f>(Master_Table!C463-Master_Table!C462)/Master_Table!C462</f>
        <v>7.8893379471872537E-3</v>
      </c>
      <c r="D463" s="3">
        <f>(Master_Table!D463-Master_Table!D462)/Master_Table!D462</f>
        <v>-1.7503194928208118E-2</v>
      </c>
      <c r="E463" s="3">
        <f>(Master_Table!E463-Master_Table!E462)/Master_Table!E462</f>
        <v>-4.5691906005222421E-3</v>
      </c>
      <c r="F463" s="3">
        <f>(Master_Table!F463-Master_Table!F462)/Master_Table!F462</f>
        <v>8.4219541788589484E-4</v>
      </c>
      <c r="G463" s="3">
        <f>(Master_Table!G463-Master_Table!G462)/Master_Table!G462</f>
        <v>2.8776978417266188E-3</v>
      </c>
      <c r="H463" s="3">
        <f>(Master_Table!H463-Master_Table!H462)/Master_Table!H462</f>
        <v>9.8984178119560177E-3</v>
      </c>
    </row>
    <row r="464" spans="1:8" x14ac:dyDescent="0.3">
      <c r="A464" s="1">
        <v>44510</v>
      </c>
      <c r="B464" s="3">
        <f>(Master_Table!B464-Master_Table!B463)/Master_Table!B463</f>
        <v>-1.4990925086938649E-3</v>
      </c>
      <c r="C464" s="3">
        <f>(Master_Table!C464-Master_Table!C463)/Master_Table!C463</f>
        <v>1.1182262136685642E-2</v>
      </c>
      <c r="D464" s="3">
        <f>(Master_Table!D464-Master_Table!D463)/Master_Table!D463</f>
        <v>-1.0813981662139465E-2</v>
      </c>
      <c r="E464" s="3">
        <f>(Master_Table!E464-Master_Table!E463)/Master_Table!E463</f>
        <v>9.1803278688524347E-3</v>
      </c>
      <c r="F464" s="3">
        <f>(Master_Table!F464-Master_Table!F463)/Master_Table!F463</f>
        <v>-6.1043443534813694E-3</v>
      </c>
      <c r="G464" s="3">
        <f>(Master_Table!G464-Master_Table!G463)/Master_Table!G463</f>
        <v>-1.3486370157818704E-3</v>
      </c>
      <c r="H464" s="3">
        <f>(Master_Table!H464-Master_Table!H463)/Master_Table!H463</f>
        <v>3.3700349866228555E-3</v>
      </c>
    </row>
    <row r="465" spans="1:8" x14ac:dyDescent="0.3">
      <c r="A465" s="1">
        <v>44511</v>
      </c>
      <c r="B465" s="3">
        <f>(Master_Table!B465-Master_Table!B464)/Master_Table!B464</f>
        <v>-7.9701618453478992E-3</v>
      </c>
      <c r="C465" s="3">
        <f>(Master_Table!C465-Master_Table!C464)/Master_Table!C464</f>
        <v>1.8315809481022323E-3</v>
      </c>
      <c r="D465" s="3">
        <f>(Master_Table!D465-Master_Table!D464)/Master_Table!D464</f>
        <v>-4.4605448052701929E-3</v>
      </c>
      <c r="E465" s="3">
        <f>(Master_Table!E465-Master_Table!E464)/Master_Table!E464</f>
        <v>-3.6820446177171077E-3</v>
      </c>
      <c r="F465" s="3">
        <f>(Master_Table!F465-Master_Table!F464)/Master_Table!F464</f>
        <v>1.1193066039088585E-3</v>
      </c>
      <c r="G465" s="3">
        <f>(Master_Table!G465-Master_Table!G464)/Master_Table!G464</f>
        <v>-3.9364422607247283E-3</v>
      </c>
      <c r="H465" s="3">
        <f>(Master_Table!H465-Master_Table!H464)/Master_Table!H464</f>
        <v>-9.4608107068687251E-3</v>
      </c>
    </row>
    <row r="466" spans="1:8" x14ac:dyDescent="0.3">
      <c r="A466" s="1">
        <v>44512</v>
      </c>
      <c r="B466" s="3">
        <f>(Master_Table!B466-Master_Table!B465)/Master_Table!B465</f>
        <v>1.2820584549279467E-2</v>
      </c>
      <c r="C466" s="3">
        <f>(Master_Table!C466-Master_Table!C465)/Master_Table!C465</f>
        <v>1.5082917237989298E-2</v>
      </c>
      <c r="D466" s="3">
        <f>(Master_Table!D466-Master_Table!D465)/Master_Table!D465</f>
        <v>3.0301853074861528E-3</v>
      </c>
      <c r="E466" s="3">
        <f>(Master_Table!E466-Master_Table!E465)/Master_Table!E465</f>
        <v>1.2608695652173938E-2</v>
      </c>
      <c r="F466" s="3">
        <f>(Master_Table!F466-Master_Table!F465)/Master_Table!F465</f>
        <v>1.0850868642853152E-2</v>
      </c>
      <c r="G466" s="3">
        <f>(Master_Table!G466-Master_Table!G465)/Master_Table!G465</f>
        <v>2.7058212657935784E-2</v>
      </c>
      <c r="H466" s="3">
        <f>(Master_Table!H466-Master_Table!H465)/Master_Table!H465</f>
        <v>1.4624424082414452E-2</v>
      </c>
    </row>
    <row r="467" spans="1:8" x14ac:dyDescent="0.3">
      <c r="A467" s="1">
        <v>44515</v>
      </c>
      <c r="B467" s="3">
        <f>(Master_Table!B467-Master_Table!B466)/Master_Table!B466</f>
        <v>3.7010951374795144E-4</v>
      </c>
      <c r="C467" s="3">
        <f>(Master_Table!C467-Master_Table!C466)/Master_Table!C466</f>
        <v>-5.8959459000236412E-3</v>
      </c>
      <c r="D467" s="3">
        <f>(Master_Table!D467-Master_Table!D466)/Master_Table!D466</f>
        <v>2.7370024658843026E-3</v>
      </c>
      <c r="E467" s="3">
        <f>(Master_Table!E467-Master_Table!E466)/Master_Table!E466</f>
        <v>2.2327179046801152E-2</v>
      </c>
      <c r="F467" s="3">
        <f>(Master_Table!F467-Master_Table!F466)/Master_Table!F466</f>
        <v>7.7281944385360389E-3</v>
      </c>
      <c r="G467" s="3">
        <f>(Master_Table!G467-Master_Table!G466)/Master_Table!G466</f>
        <v>3.9040557240759719E-3</v>
      </c>
      <c r="H467" s="3">
        <f>(Master_Table!H467-Master_Table!H466)/Master_Table!H466</f>
        <v>-6.5818005561366823E-3</v>
      </c>
    </row>
    <row r="468" spans="1:8" x14ac:dyDescent="0.3">
      <c r="A468" s="1">
        <v>44516</v>
      </c>
      <c r="B468" s="3">
        <f>(Master_Table!B468-Master_Table!B467)/Master_Table!B467</f>
        <v>-6.0879816891181125E-3</v>
      </c>
      <c r="C468" s="3">
        <f>(Master_Table!C468-Master_Table!C467)/Master_Table!C467</f>
        <v>-2.3236535799135191E-2</v>
      </c>
      <c r="D468" s="3">
        <f>(Master_Table!D468-Master_Table!D467)/Master_Table!D467</f>
        <v>-5.935443999536512E-3</v>
      </c>
      <c r="E468" s="3">
        <f>(Master_Table!E468-Master_Table!E467)/Master_Table!E467</f>
        <v>-1.1129777404451936E-2</v>
      </c>
      <c r="F468" s="3">
        <f>(Master_Table!F468-Master_Table!F467)/Master_Table!F467</f>
        <v>8.7242844679591056E-4</v>
      </c>
      <c r="G468" s="3">
        <f>(Master_Table!G468-Master_Table!G467)/Master_Table!G467</f>
        <v>2.8816831267660034E-3</v>
      </c>
      <c r="H468" s="3">
        <f>(Master_Table!H468-Master_Table!H467)/Master_Table!H467</f>
        <v>4.237179322564906E-3</v>
      </c>
    </row>
    <row r="469" spans="1:8" x14ac:dyDescent="0.3">
      <c r="A469" s="1">
        <v>44517</v>
      </c>
      <c r="B469" s="3">
        <f>(Master_Table!B469-Master_Table!B468)/Master_Table!B468</f>
        <v>-5.5863593937507923E-3</v>
      </c>
      <c r="C469" s="3">
        <f>(Master_Table!C469-Master_Table!C468)/Master_Table!C468</f>
        <v>-2.1409510477273744E-2</v>
      </c>
      <c r="D469" s="3">
        <f>(Master_Table!D469-Master_Table!D468)/Master_Table!D468</f>
        <v>-1.111283804787074E-2</v>
      </c>
      <c r="E469" s="3">
        <f>(Master_Table!E469-Master_Table!E468)/Master_Table!E468</f>
        <v>1.720110426842222E-2</v>
      </c>
      <c r="F469" s="3">
        <f>(Master_Table!F469-Master_Table!F468)/Master_Table!F468</f>
        <v>-9.7008210549994374E-3</v>
      </c>
      <c r="G469" s="3">
        <f>(Master_Table!G469-Master_Table!G468)/Master_Table!G468</f>
        <v>-2.7060201975115266E-3</v>
      </c>
      <c r="H469" s="3">
        <f>(Master_Table!H469-Master_Table!H468)/Master_Table!H468</f>
        <v>-1.2274331304658434E-3</v>
      </c>
    </row>
    <row r="470" spans="1:8" x14ac:dyDescent="0.3">
      <c r="A470" s="1">
        <v>44518</v>
      </c>
      <c r="B470" s="3">
        <f>(Master_Table!B470-Master_Table!B469)/Master_Table!B469</f>
        <v>-7.4782176309387679E-3</v>
      </c>
      <c r="C470" s="3">
        <f>(Master_Table!C470-Master_Table!C469)/Master_Table!C469</f>
        <v>3.7729776124740965E-3</v>
      </c>
      <c r="D470" s="3">
        <f>(Master_Table!D470-Master_Table!D469)/Master_Table!D469</f>
        <v>5.6188605108054533E-3</v>
      </c>
      <c r="E470" s="3">
        <f>(Master_Table!E470-Master_Table!E469)/Master_Table!E469</f>
        <v>-8.350730688935281E-3</v>
      </c>
      <c r="F470" s="3">
        <f>(Master_Table!F470-Master_Table!F469)/Master_Table!F469</f>
        <v>-1.3117919304920716E-2</v>
      </c>
      <c r="G470" s="3">
        <f>(Master_Table!G470-Master_Table!G469)/Master_Table!G469</f>
        <v>-4.5036224789504345E-3</v>
      </c>
      <c r="H470" s="3">
        <f>(Master_Table!H470-Master_Table!H469)/Master_Table!H469</f>
        <v>-2.8624097496031588E-2</v>
      </c>
    </row>
    <row r="471" spans="1:8" x14ac:dyDescent="0.3">
      <c r="A471" s="1">
        <v>44522</v>
      </c>
      <c r="B471" s="3">
        <f>(Master_Table!B471-Master_Table!B470)/Master_Table!B470</f>
        <v>-1.9603372962262451E-2</v>
      </c>
      <c r="C471" s="3">
        <f>(Master_Table!C471-Master_Table!C470)/Master_Table!C470</f>
        <v>-4.4286096018526788E-2</v>
      </c>
      <c r="D471" s="3">
        <f>(Master_Table!D471-Master_Table!D470)/Master_Table!D470</f>
        <v>-1.562927362950807E-2</v>
      </c>
      <c r="E471" s="3">
        <f>(Master_Table!E471-Master_Table!E470)/Master_Table!E470</f>
        <v>-2.7789473684210503E-2</v>
      </c>
      <c r="F471" s="3">
        <f>(Master_Table!F471-Master_Table!F470)/Master_Table!F470</f>
        <v>-4.9774146215150125E-3</v>
      </c>
      <c r="G471" s="3">
        <f>(Master_Table!G471-Master_Table!G470)/Master_Table!G470</f>
        <v>-1.1239743733842868E-2</v>
      </c>
      <c r="H471" s="3">
        <f>(Master_Table!H471-Master_Table!H470)/Master_Table!H470</f>
        <v>-1.7132314180284661E-2</v>
      </c>
    </row>
    <row r="472" spans="1:8" x14ac:dyDescent="0.3">
      <c r="A472" s="1">
        <v>44523</v>
      </c>
      <c r="B472" s="3">
        <f>(Master_Table!B472-Master_Table!B471)/Master_Table!B471</f>
        <v>4.9837654414909543E-3</v>
      </c>
      <c r="C472" s="3">
        <f>(Master_Table!C472-Master_Table!C471)/Master_Table!C471</f>
        <v>9.3477977222315156E-3</v>
      </c>
      <c r="D472" s="3">
        <f>(Master_Table!D472-Master_Table!D471)/Master_Table!D471</f>
        <v>1.3231188557671144E-4</v>
      </c>
      <c r="E472" s="3">
        <f>(Master_Table!E472-Master_Table!E471)/Master_Table!E471</f>
        <v>3.0316154179297903E-3</v>
      </c>
      <c r="F472" s="3">
        <f>(Master_Table!F472-Master_Table!F471)/Master_Table!F471</f>
        <v>1.6915336571824858E-3</v>
      </c>
      <c r="G472" s="3">
        <f>(Master_Table!G472-Master_Table!G471)/Master_Table!G471</f>
        <v>-1.2788450608161873E-2</v>
      </c>
      <c r="H472" s="3">
        <f>(Master_Table!H472-Master_Table!H471)/Master_Table!H471</f>
        <v>1.1718959506570077E-2</v>
      </c>
    </row>
    <row r="473" spans="1:8" x14ac:dyDescent="0.3">
      <c r="A473" s="1">
        <v>44524</v>
      </c>
      <c r="B473" s="3">
        <f>(Master_Table!B473-Master_Table!B472)/Master_Table!B472</f>
        <v>-5.0447485767009907E-3</v>
      </c>
      <c r="C473" s="3">
        <f>(Master_Table!C473-Master_Table!C472)/Master_Table!C472</f>
        <v>-1.444123322961016E-2</v>
      </c>
      <c r="D473" s="3">
        <f>(Master_Table!D473-Master_Table!D472)/Master_Table!D472</f>
        <v>1.6536797682202436E-3</v>
      </c>
      <c r="E473" s="3">
        <f>(Master_Table!E473-Master_Table!E472)/Master_Table!E472</f>
        <v>-1.6839378238341994E-2</v>
      </c>
      <c r="F473" s="3">
        <f>(Master_Table!F473-Master_Table!F472)/Master_Table!F472</f>
        <v>-6.0474850256187684E-3</v>
      </c>
      <c r="G473" s="3">
        <f>(Master_Table!G473-Master_Table!G472)/Master_Table!G472</f>
        <v>-2.3547699925154063E-2</v>
      </c>
      <c r="H473" s="3">
        <f>(Master_Table!H473-Master_Table!H472)/Master_Table!H472</f>
        <v>-1.2643464892517248E-2</v>
      </c>
    </row>
    <row r="474" spans="1:8" x14ac:dyDescent="0.3">
      <c r="A474" s="1">
        <v>44525</v>
      </c>
      <c r="B474" s="3">
        <f>(Master_Table!B474-Master_Table!B473)/Master_Table!B473</f>
        <v>6.9594976758608632E-3</v>
      </c>
      <c r="C474" s="3">
        <f>(Master_Table!C474-Master_Table!C473)/Master_Table!C473</f>
        <v>6.0194684130151686E-2</v>
      </c>
      <c r="D474" s="3">
        <f>(Master_Table!D474-Master_Table!D473)/Master_Table!D473</f>
        <v>5.2037932218612871E-3</v>
      </c>
      <c r="E474" s="3">
        <f>(Master_Table!E474-Master_Table!E473)/Master_Table!E473</f>
        <v>1.5810276679841997E-2</v>
      </c>
      <c r="F474" s="3">
        <f>(Master_Table!F474-Master_Table!F473)/Master_Table!F473</f>
        <v>7.5508959428452612E-4</v>
      </c>
      <c r="G474" s="3">
        <f>(Master_Table!G474-Master_Table!G473)/Master_Table!G473</f>
        <v>1.556603773584911E-2</v>
      </c>
      <c r="H474" s="3">
        <f>(Master_Table!H474-Master_Table!H473)/Master_Table!H473</f>
        <v>-6.7651006711408907E-3</v>
      </c>
    </row>
    <row r="475" spans="1:8" x14ac:dyDescent="0.3">
      <c r="A475" s="1">
        <v>44526</v>
      </c>
      <c r="B475" s="3">
        <f>(Master_Table!B475-Master_Table!B474)/Master_Table!B474</f>
        <v>-2.9071209637180087E-2</v>
      </c>
      <c r="C475" s="3">
        <f>(Master_Table!C475-Master_Table!C474)/Master_Table!C474</f>
        <v>-3.2228133118891326E-2</v>
      </c>
      <c r="D475" s="3">
        <f>(Master_Table!D475-Master_Table!D474)/Master_Table!D474</f>
        <v>-2.3624323330004752E-2</v>
      </c>
      <c r="E475" s="3">
        <f>(Master_Table!E475-Master_Table!E474)/Master_Table!E474</f>
        <v>-3.156074362300048E-2</v>
      </c>
      <c r="F475" s="3">
        <f>(Master_Table!F475-Master_Table!F474)/Master_Table!F474</f>
        <v>2.7568995037575614E-4</v>
      </c>
      <c r="G475" s="3">
        <f>(Master_Table!G475-Master_Table!G474)/Master_Table!G474</f>
        <v>-1.7852995819786343E-2</v>
      </c>
      <c r="H475" s="3">
        <f>(Master_Table!H475-Master_Table!H474)/Master_Table!H474</f>
        <v>-3.8785880317855015E-2</v>
      </c>
    </row>
    <row r="476" spans="1:8" x14ac:dyDescent="0.3">
      <c r="A476" s="1">
        <v>44529</v>
      </c>
      <c r="B476" s="3">
        <f>(Master_Table!B476-Master_Table!B475)/Master_Table!B475</f>
        <v>1.6151341001794267E-3</v>
      </c>
      <c r="C476" s="3">
        <f>(Master_Table!C476-Master_Table!C475)/Master_Table!C475</f>
        <v>1.1980094051043135E-2</v>
      </c>
      <c r="D476" s="3">
        <f>(Master_Table!D476-Master_Table!D475)/Master_Table!D475</f>
        <v>7.6167406809311911E-3</v>
      </c>
      <c r="E476" s="3">
        <f>(Master_Table!E476-Master_Table!E475)/Master_Table!E475</f>
        <v>-1.1160714285714286E-2</v>
      </c>
      <c r="F476" s="3">
        <f>(Master_Table!F476-Master_Table!F475)/Master_Table!F475</f>
        <v>1.600011604798587E-2</v>
      </c>
      <c r="G476" s="3">
        <f>(Master_Table!G476-Master_Table!G475)/Master_Table!G475</f>
        <v>2.7783524960835974E-3</v>
      </c>
      <c r="H476" s="3">
        <f>(Master_Table!H476-Master_Table!H475)/Master_Table!H475</f>
        <v>-6.1299665382561035E-3</v>
      </c>
    </row>
    <row r="477" spans="1:8" x14ac:dyDescent="0.3">
      <c r="A477" s="1">
        <v>44530</v>
      </c>
      <c r="B477" s="3">
        <f>(Master_Table!B477-Master_Table!B476)/Master_Table!B476</f>
        <v>-4.1485990049226129E-3</v>
      </c>
      <c r="C477" s="3">
        <f>(Master_Table!C477-Master_Table!C476)/Master_Table!C476</f>
        <v>-1.4788814999954771E-2</v>
      </c>
      <c r="D477" s="3">
        <f>(Master_Table!D477-Master_Table!D476)/Master_Table!D476</f>
        <v>-5.1284790854212725E-3</v>
      </c>
      <c r="E477" s="3">
        <f>(Master_Table!E477-Master_Table!E476)/Master_Table!E476</f>
        <v>-1.5801354401805611E-3</v>
      </c>
      <c r="F477" s="3">
        <f>(Master_Table!F477-Master_Table!F476)/Master_Table!F476</f>
        <v>7.7527127355796945E-3</v>
      </c>
      <c r="G477" s="3">
        <f>(Master_Table!G477-Master_Table!G476)/Master_Table!G476</f>
        <v>9.6088660948508171E-3</v>
      </c>
      <c r="H477" s="3">
        <f>(Master_Table!H477-Master_Table!H476)/Master_Table!H476</f>
        <v>-1.4146272457207527E-3</v>
      </c>
    </row>
    <row r="478" spans="1:8" x14ac:dyDescent="0.3">
      <c r="A478" s="1">
        <v>44531</v>
      </c>
      <c r="B478" s="3">
        <f>(Master_Table!B478-Master_Table!B477)/Master_Table!B477</f>
        <v>1.0816571670827684E-2</v>
      </c>
      <c r="C478" s="3">
        <f>(Master_Table!C478-Master_Table!C477)/Master_Table!C477</f>
        <v>2.5607209583470535E-2</v>
      </c>
      <c r="D478" s="3">
        <f>(Master_Table!D478-Master_Table!D477)/Master_Table!D477</f>
        <v>7.4370402190840328E-3</v>
      </c>
      <c r="E478" s="3">
        <f>(Master_Table!E478-Master_Table!E477)/Master_Table!E477</f>
        <v>3.3913633280578791E-3</v>
      </c>
      <c r="F478" s="3">
        <f>(Master_Table!F478-Master_Table!F477)/Master_Table!F477</f>
        <v>1.3785189068189249E-2</v>
      </c>
      <c r="G478" s="3">
        <f>(Master_Table!G478-Master_Table!G477)/Master_Table!G477</f>
        <v>1.3137535398359268E-3</v>
      </c>
      <c r="H478" s="3">
        <f>(Master_Table!H478-Master_Table!H477)/Master_Table!H477</f>
        <v>1.2041365632525853E-2</v>
      </c>
    </row>
    <row r="479" spans="1:8" x14ac:dyDescent="0.3">
      <c r="A479" s="1">
        <v>44532</v>
      </c>
      <c r="B479" s="3">
        <f>(Master_Table!B479-Master_Table!B478)/Master_Table!B478</f>
        <v>1.3674571413592436E-2</v>
      </c>
      <c r="C479" s="3">
        <f>(Master_Table!C479-Master_Table!C478)/Master_Table!C478</f>
        <v>6.4294899271324889E-3</v>
      </c>
      <c r="D479" s="3">
        <f>(Master_Table!D479-Master_Table!D478)/Master_Table!D478</f>
        <v>1.4018068917730433E-2</v>
      </c>
      <c r="E479" s="3">
        <f>(Master_Table!E479-Master_Table!E478)/Master_Table!E478</f>
        <v>1.5998197386209927E-2</v>
      </c>
      <c r="F479" s="3">
        <f>(Master_Table!F479-Master_Table!F478)/Master_Table!F478</f>
        <v>1.8195539158141847E-2</v>
      </c>
      <c r="G479" s="3">
        <f>(Master_Table!G479-Master_Table!G478)/Master_Table!G478</f>
        <v>1.9447198087351979E-2</v>
      </c>
      <c r="H479" s="3">
        <f>(Master_Table!H479-Master_Table!H478)/Master_Table!H478</f>
        <v>1.7917133258678866E-3</v>
      </c>
    </row>
    <row r="480" spans="1:8" x14ac:dyDescent="0.3">
      <c r="A480" s="1">
        <v>44533</v>
      </c>
      <c r="B480" s="3">
        <f>(Master_Table!B480-Master_Table!B479)/Master_Table!B479</f>
        <v>-1.177761878902292E-2</v>
      </c>
      <c r="C480" s="3">
        <f>(Master_Table!C480-Master_Table!C479)/Master_Table!C479</f>
        <v>-3.004329926178299E-2</v>
      </c>
      <c r="D480" s="3">
        <f>(Master_Table!D480-Master_Table!D479)/Master_Table!D479</f>
        <v>-7.9896974953350165E-3</v>
      </c>
      <c r="E480" s="3">
        <f>(Master_Table!E480-Master_Table!E479)/Master_Table!E479</f>
        <v>-1.6855178531825162E-2</v>
      </c>
      <c r="F480" s="3">
        <f>(Master_Table!F480-Master_Table!F479)/Master_Table!F479</f>
        <v>-6.7254110735959617E-4</v>
      </c>
      <c r="G480" s="3">
        <f>(Master_Table!G480-Master_Table!G479)/Master_Table!G479</f>
        <v>-7.2644072644072908E-3</v>
      </c>
      <c r="H480" s="3">
        <f>(Master_Table!H480-Master_Table!H479)/Master_Table!H479</f>
        <v>6.7348535658394559E-3</v>
      </c>
    </row>
    <row r="481" spans="1:8" x14ac:dyDescent="0.3">
      <c r="A481" s="1">
        <v>44536</v>
      </c>
      <c r="B481" s="3">
        <f>(Master_Table!B481-Master_Table!B480)/Master_Table!B480</f>
        <v>-1.6540964254769853E-2</v>
      </c>
      <c r="C481" s="3">
        <f>(Master_Table!C481-Master_Table!C480)/Master_Table!C480</f>
        <v>-1.8963025302329E-2</v>
      </c>
      <c r="D481" s="3">
        <f>(Master_Table!D481-Master_Table!D480)/Master_Table!D480</f>
        <v>-6.4511855874950386E-3</v>
      </c>
      <c r="E481" s="3">
        <f>(Master_Table!E481-Master_Table!E480)/Master_Table!E480</f>
        <v>-1.6918565305662079E-2</v>
      </c>
      <c r="F481" s="3">
        <f>(Master_Table!F481-Master_Table!F480)/Master_Table!F480</f>
        <v>-2.8581631391723476E-2</v>
      </c>
      <c r="G481" s="3">
        <f>(Master_Table!G481-Master_Table!G480)/Master_Table!G480</f>
        <v>-2.3191495491342803E-2</v>
      </c>
      <c r="H481" s="3">
        <f>(Master_Table!H481-Master_Table!H480)/Master_Table!H480</f>
        <v>-1.0326162387231039E-2</v>
      </c>
    </row>
    <row r="482" spans="1:8" x14ac:dyDescent="0.3">
      <c r="A482" s="1">
        <v>44537</v>
      </c>
      <c r="B482" s="3">
        <f>(Master_Table!B482-Master_Table!B481)/Master_Table!B481</f>
        <v>1.5636594775976037E-2</v>
      </c>
      <c r="C482" s="3">
        <f>(Master_Table!C482-Master_Table!C481)/Master_Table!C481</f>
        <v>8.1495640822416039E-3</v>
      </c>
      <c r="D482" s="3">
        <f>(Master_Table!D482-Master_Table!D481)/Master_Table!D481</f>
        <v>1.4572750423316487E-2</v>
      </c>
      <c r="E482" s="3">
        <f>(Master_Table!E482-Master_Table!E481)/Master_Table!E481</f>
        <v>1.2620468104635154E-2</v>
      </c>
      <c r="F482" s="3">
        <f>(Master_Table!F482-Master_Table!F481)/Master_Table!F481</f>
        <v>1.3601402556271888E-2</v>
      </c>
      <c r="G482" s="3">
        <f>(Master_Table!G482-Master_Table!G481)/Master_Table!G481</f>
        <v>9.6443107414617684E-3</v>
      </c>
      <c r="H482" s="3">
        <f>(Master_Table!H482-Master_Table!H481)/Master_Table!H481</f>
        <v>8.6668723529575737E-3</v>
      </c>
    </row>
    <row r="483" spans="1:8" x14ac:dyDescent="0.3">
      <c r="A483" s="1">
        <v>44538</v>
      </c>
      <c r="B483" s="3">
        <f>(Master_Table!B483-Master_Table!B482)/Master_Table!B482</f>
        <v>1.7060902268771026E-2</v>
      </c>
      <c r="C483" s="3">
        <f>(Master_Table!C483-Master_Table!C482)/Master_Table!C482</f>
        <v>1.5223966185406853E-2</v>
      </c>
      <c r="D483" s="3">
        <f>(Master_Table!D483-Master_Table!D482)/Master_Table!D482</f>
        <v>1.8410954583683754E-2</v>
      </c>
      <c r="E483" s="3">
        <f>(Master_Table!E483-Master_Table!E482)/Master_Table!E482</f>
        <v>1.9487876727849459E-2</v>
      </c>
      <c r="F483" s="3">
        <f>(Master_Table!F483-Master_Table!F482)/Master_Table!F482</f>
        <v>1.1828706932626613E-2</v>
      </c>
      <c r="G483" s="3">
        <f>(Master_Table!G483-Master_Table!G482)/Master_Table!G482</f>
        <v>2.4362457278064919E-2</v>
      </c>
      <c r="H483" s="3">
        <f>(Master_Table!H483-Master_Table!H482)/Master_Table!H482</f>
        <v>1.4988042934208357E-2</v>
      </c>
    </row>
    <row r="484" spans="1:8" x14ac:dyDescent="0.3">
      <c r="A484" s="1">
        <v>44539</v>
      </c>
      <c r="B484" s="3">
        <f>(Master_Table!B484-Master_Table!B483)/Master_Table!B483</f>
        <v>2.6960889537628496E-3</v>
      </c>
      <c r="C484" s="3">
        <f>(Master_Table!C484-Master_Table!C483)/Master_Table!C483</f>
        <v>1.5861157928301239E-2</v>
      </c>
      <c r="D484" s="3">
        <f>(Master_Table!D484-Master_Table!D483)/Master_Table!D483</f>
        <v>-1.7342606810586286E-2</v>
      </c>
      <c r="E484" s="3">
        <f>(Master_Table!E484-Master_Table!E483)/Master_Table!E483</f>
        <v>4.6454767726161444E-2</v>
      </c>
      <c r="F484" s="3">
        <f>(Master_Table!F484-Master_Table!F483)/Master_Table!F483</f>
        <v>-6.9342965066586035E-3</v>
      </c>
      <c r="G484" s="3">
        <f>(Master_Table!G484-Master_Table!G483)/Master_Table!G483</f>
        <v>5.7604015170959234E-3</v>
      </c>
      <c r="H484" s="3">
        <f>(Master_Table!H484-Master_Table!H483)/Master_Table!H483</f>
        <v>2.9999178104709461E-2</v>
      </c>
    </row>
    <row r="485" spans="1:8" x14ac:dyDescent="0.3">
      <c r="A485" s="1">
        <v>44540</v>
      </c>
      <c r="B485" s="3">
        <f>(Master_Table!B485-Master_Table!B484)/Master_Table!B484</f>
        <v>-3.168377876158826E-4</v>
      </c>
      <c r="C485" s="3">
        <f>(Master_Table!C485-Master_Table!C484)/Master_Table!C484</f>
        <v>1.0133983821499373E-3</v>
      </c>
      <c r="D485" s="3">
        <f>(Master_Table!D485-Master_Table!D484)/Master_Table!D484</f>
        <v>-2.8101322337924788E-3</v>
      </c>
      <c r="E485" s="3">
        <f>(Master_Table!E485-Master_Table!E484)/Master_Table!E484</f>
        <v>2.9736618521664765E-3</v>
      </c>
      <c r="F485" s="3">
        <f>(Master_Table!F485-Master_Table!F484)/Master_Table!F484</f>
        <v>9.7313805788853142E-3</v>
      </c>
      <c r="G485" s="3">
        <f>(Master_Table!G485-Master_Table!G484)/Master_Table!G484</f>
        <v>-2.3816949729224221E-3</v>
      </c>
      <c r="H485" s="3">
        <f>(Master_Table!H485-Master_Table!H484)/Master_Table!H484</f>
        <v>-3.4046175125012576E-3</v>
      </c>
    </row>
    <row r="486" spans="1:8" x14ac:dyDescent="0.3">
      <c r="A486" s="1">
        <v>44543</v>
      </c>
      <c r="B486" s="3">
        <f>(Master_Table!B486-Master_Table!B485)/Master_Table!B485</f>
        <v>-8.1690108672685217E-3</v>
      </c>
      <c r="C486" s="3">
        <f>(Master_Table!C486-Master_Table!C485)/Master_Table!C485</f>
        <v>-2.0050349850831945E-2</v>
      </c>
      <c r="D486" s="3">
        <f>(Master_Table!D486-Master_Table!D485)/Master_Table!D485</f>
        <v>-7.4928561081920239E-3</v>
      </c>
      <c r="E486" s="3">
        <f>(Master_Table!E486-Master_Table!E485)/Master_Table!E485</f>
        <v>-6.3532401524777635E-3</v>
      </c>
      <c r="F486" s="3">
        <f>(Master_Table!F486-Master_Table!F485)/Master_Table!F485</f>
        <v>-7.4653541575011246E-3</v>
      </c>
      <c r="G486" s="3">
        <f>(Master_Table!G486-Master_Table!G485)/Master_Table!G485</f>
        <v>-8.2989910473212497E-3</v>
      </c>
      <c r="H486" s="3">
        <f>(Master_Table!H486-Master_Table!H485)/Master_Table!H485</f>
        <v>-6.3520871143376159E-3</v>
      </c>
    </row>
    <row r="487" spans="1:8" x14ac:dyDescent="0.3">
      <c r="A487" s="1">
        <v>44544</v>
      </c>
      <c r="B487" s="3">
        <f>(Master_Table!B487-Master_Table!B486)/Master_Table!B486</f>
        <v>-2.4959336720739595E-3</v>
      </c>
      <c r="C487" s="3">
        <f>(Master_Table!C487-Master_Table!C486)/Master_Table!C486</f>
        <v>-1.2241614174308036E-2</v>
      </c>
      <c r="D487" s="3">
        <f>(Master_Table!D487-Master_Table!D486)/Master_Table!D486</f>
        <v>-5.7582592543452722E-3</v>
      </c>
      <c r="E487" s="3">
        <f>(Master_Table!E487-Master_Table!E486)/Master_Table!E486</f>
        <v>-2.557544757033248E-2</v>
      </c>
      <c r="F487" s="3">
        <f>(Master_Table!F487-Master_Table!F486)/Master_Table!F486</f>
        <v>3.9200476500491988E-3</v>
      </c>
      <c r="G487" s="3">
        <f>(Master_Table!G487-Master_Table!G486)/Master_Table!G486</f>
        <v>4.2988565041698909E-3</v>
      </c>
      <c r="H487" s="3">
        <f>(Master_Table!H487-Master_Table!H486)/Master_Table!H486</f>
        <v>2.2562449637389447E-3</v>
      </c>
    </row>
    <row r="488" spans="1:8" x14ac:dyDescent="0.3">
      <c r="A488" s="1">
        <v>44545</v>
      </c>
      <c r="B488" s="3">
        <f>(Master_Table!B488-Master_Table!B487)/Master_Table!B487</f>
        <v>-5.9740604563374095E-3</v>
      </c>
      <c r="C488" s="3">
        <f>(Master_Table!C488-Master_Table!C487)/Master_Table!C487</f>
        <v>-2.9155328483368419E-3</v>
      </c>
      <c r="D488" s="3">
        <f>(Master_Table!D488-Master_Table!D487)/Master_Table!D487</f>
        <v>-1.6280559410697493E-3</v>
      </c>
      <c r="E488" s="3">
        <f>(Master_Table!E488-Master_Table!E487)/Master_Table!E487</f>
        <v>-1.9903762029746207E-2</v>
      </c>
      <c r="F488" s="3">
        <f>(Master_Table!F488-Master_Table!F487)/Master_Table!F487</f>
        <v>-1.4749710248910058E-2</v>
      </c>
      <c r="G488" s="3">
        <f>(Master_Table!G488-Master_Table!G487)/Master_Table!G487</f>
        <v>-1.0244556687498243E-2</v>
      </c>
      <c r="H488" s="3">
        <f>(Master_Table!H488-Master_Table!H487)/Master_Table!H487</f>
        <v>8.0934769791498676E-3</v>
      </c>
    </row>
    <row r="489" spans="1:8" x14ac:dyDescent="0.3">
      <c r="A489" s="1">
        <v>44546</v>
      </c>
      <c r="B489" s="3">
        <f>(Master_Table!B489-Master_Table!B488)/Master_Table!B488</f>
        <v>1.5678167860917231E-3</v>
      </c>
      <c r="C489" s="3">
        <f>(Master_Table!C489-Master_Table!C488)/Master_Table!C488</f>
        <v>1.2930834424053454E-2</v>
      </c>
      <c r="D489" s="3">
        <f>(Master_Table!D489-Master_Table!D488)/Master_Table!D488</f>
        <v>6.6832411046152072E-5</v>
      </c>
      <c r="E489" s="3">
        <f>(Master_Table!E489-Master_Table!E488)/Master_Table!E488</f>
        <v>-5.1327828609685593E-3</v>
      </c>
      <c r="F489" s="3">
        <f>(Master_Table!F489-Master_Table!F488)/Master_Table!F488</f>
        <v>3.1509515873793885E-3</v>
      </c>
      <c r="G489" s="3">
        <f>(Master_Table!G489-Master_Table!G488)/Master_Table!G488</f>
        <v>2.1566140006919539E-2</v>
      </c>
      <c r="H489" s="3">
        <f>(Master_Table!H489-Master_Table!H488)/Master_Table!H488</f>
        <v>-3.6686516376009484E-3</v>
      </c>
    </row>
    <row r="490" spans="1:8" x14ac:dyDescent="0.3">
      <c r="A490" s="1">
        <v>44547</v>
      </c>
      <c r="B490" s="3">
        <f>(Master_Table!B490-Master_Table!B489)/Master_Table!B489</f>
        <v>-1.5259386377866974E-2</v>
      </c>
      <c r="C490" s="3">
        <f>(Master_Table!C490-Master_Table!C489)/Master_Table!C489</f>
        <v>-2.63929618768328E-2</v>
      </c>
      <c r="D490" s="3">
        <f>(Master_Table!D490-Master_Table!D489)/Master_Table!D489</f>
        <v>-1.8030179499859671E-2</v>
      </c>
      <c r="E490" s="3">
        <f>(Master_Table!E490-Master_Table!E489)/Master_Table!E489</f>
        <v>-2.2207267833109095E-2</v>
      </c>
      <c r="F490" s="3">
        <f>(Master_Table!F490-Master_Table!F489)/Master_Table!F489</f>
        <v>7.6781326781326788E-4</v>
      </c>
      <c r="G490" s="3">
        <f>(Master_Table!G490-Master_Table!G489)/Master_Table!G489</f>
        <v>2.7799729058478214E-2</v>
      </c>
      <c r="H490" s="3">
        <f>(Master_Table!H490-Master_Table!H489)/Master_Table!H489</f>
        <v>-1.4301723677891126E-2</v>
      </c>
    </row>
    <row r="491" spans="1:8" x14ac:dyDescent="0.3">
      <c r="A491" s="1">
        <v>44550</v>
      </c>
      <c r="B491" s="3">
        <f>(Master_Table!B491-Master_Table!B490)/Master_Table!B490</f>
        <v>-2.1842545274709746E-2</v>
      </c>
      <c r="C491" s="3">
        <f>(Master_Table!C491-Master_Table!C490)/Master_Table!C490</f>
        <v>-2.6957831325301298E-2</v>
      </c>
      <c r="D491" s="3">
        <f>(Master_Table!D491-Master_Table!D490)/Master_Table!D490</f>
        <v>-3.2176398530012383E-2</v>
      </c>
      <c r="E491" s="3">
        <f>(Master_Table!E491-Master_Table!E490)/Master_Table!E490</f>
        <v>-2.5464556090846448E-2</v>
      </c>
      <c r="F491" s="3">
        <f>(Master_Table!F491-Master_Table!F490)/Master_Table!F490</f>
        <v>-7.6582922984641064E-3</v>
      </c>
      <c r="G491" s="3">
        <f>(Master_Table!G491-Master_Table!G490)/Master_Table!G490</f>
        <v>-1.2054809566960386E-2</v>
      </c>
      <c r="H491" s="3">
        <f>(Master_Table!H491-Master_Table!H490)/Master_Table!H490</f>
        <v>-2.5851334524389584E-2</v>
      </c>
    </row>
    <row r="492" spans="1:8" x14ac:dyDescent="0.3">
      <c r="A492" s="1">
        <v>44551</v>
      </c>
      <c r="B492" s="3">
        <f>(Master_Table!B492-Master_Table!B491)/Master_Table!B491</f>
        <v>9.4286814893282736E-3</v>
      </c>
      <c r="C492" s="3">
        <f>(Master_Table!C492-Master_Table!C491)/Master_Table!C491</f>
        <v>1.4877727905897026E-2</v>
      </c>
      <c r="D492" s="3">
        <f>(Master_Table!D492-Master_Table!D491)/Master_Table!D491</f>
        <v>1.132112620594615E-2</v>
      </c>
      <c r="E492" s="3">
        <f>(Master_Table!E492-Master_Table!E491)/Master_Table!E491</f>
        <v>4.7080979284366435E-4</v>
      </c>
      <c r="F492" s="3">
        <f>(Master_Table!F492-Master_Table!F491)/Master_Table!F491</f>
        <v>1.4450785796620678E-2</v>
      </c>
      <c r="G492" s="3">
        <f>(Master_Table!G492-Master_Table!G491)/Master_Table!G491</f>
        <v>7.0598699205068746E-3</v>
      </c>
      <c r="H492" s="3">
        <f>(Master_Table!H492-Master_Table!H491)/Master_Table!H491</f>
        <v>1.5672326117764774E-2</v>
      </c>
    </row>
    <row r="493" spans="1:8" x14ac:dyDescent="0.3">
      <c r="A493" s="1">
        <v>44552</v>
      </c>
      <c r="B493" s="3">
        <f>(Master_Table!B493-Master_Table!B492)/Master_Table!B492</f>
        <v>1.1007194030117864E-2</v>
      </c>
      <c r="C493" s="3">
        <f>(Master_Table!C493-Master_Table!C492)/Master_Table!C492</f>
        <v>2.3733724765045525E-2</v>
      </c>
      <c r="D493" s="3">
        <f>(Master_Table!D493-Master_Table!D492)/Master_Table!D492</f>
        <v>2.3640333189636239E-3</v>
      </c>
      <c r="E493" s="3">
        <f>(Master_Table!E493-Master_Table!E492)/Master_Table!E492</f>
        <v>-2.352941176470588E-3</v>
      </c>
      <c r="F493" s="3">
        <f>(Master_Table!F493-Master_Table!F492)/Master_Table!F492</f>
        <v>6.2217664828311996E-3</v>
      </c>
      <c r="G493" s="3">
        <f>(Master_Table!G493-Master_Table!G492)/Master_Table!G492</f>
        <v>7.2311768602341233E-3</v>
      </c>
      <c r="H493" s="3">
        <f>(Master_Table!H493-Master_Table!H492)/Master_Table!H492</f>
        <v>2.3774999316024212E-2</v>
      </c>
    </row>
    <row r="494" spans="1:8" x14ac:dyDescent="0.3">
      <c r="A494" s="1">
        <v>44553</v>
      </c>
      <c r="B494" s="3">
        <f>(Master_Table!B494-Master_Table!B493)/Master_Table!B493</f>
        <v>6.9092828559547412E-3</v>
      </c>
      <c r="C494" s="3">
        <f>(Master_Table!C494-Master_Table!C493)/Master_Table!C493</f>
        <v>-3.5380432758545474E-4</v>
      </c>
      <c r="D494" s="3">
        <f>(Master_Table!D494-Master_Table!D493)/Master_Table!D493</f>
        <v>-7.6303047959927657E-4</v>
      </c>
      <c r="E494" s="3">
        <f>(Master_Table!E494-Master_Table!E493)/Master_Table!E493</f>
        <v>2.5000000000000053E-2</v>
      </c>
      <c r="F494" s="3">
        <f>(Master_Table!F494-Master_Table!F493)/Master_Table!F493</f>
        <v>8.79983474488737E-3</v>
      </c>
      <c r="G494" s="3">
        <f>(Master_Table!G494-Master_Table!G493)/Master_Table!G493</f>
        <v>1.8030361155258322E-2</v>
      </c>
      <c r="H494" s="3">
        <f>(Master_Table!H494-Master_Table!H493)/Master_Table!H493</f>
        <v>3.9818278995189978E-3</v>
      </c>
    </row>
    <row r="495" spans="1:8" x14ac:dyDescent="0.3">
      <c r="A495" s="1">
        <v>44554</v>
      </c>
      <c r="B495" s="3">
        <f>(Master_Table!B495-Master_Table!B494)/Master_Table!B494</f>
        <v>-4.0327776671390736E-3</v>
      </c>
      <c r="C495" s="3">
        <f>(Master_Table!C495-Master_Table!C494)/Master_Table!C494</f>
        <v>3.1853659445260558E-3</v>
      </c>
      <c r="D495" s="3">
        <f>(Master_Table!D495-Master_Table!D494)/Master_Table!D494</f>
        <v>-3.6098075694888272E-3</v>
      </c>
      <c r="E495" s="3">
        <f>(Master_Table!E495-Master_Table!E494)/Master_Table!E494</f>
        <v>3.2213529682466112E-3</v>
      </c>
      <c r="F495" s="3">
        <f>(Master_Table!F495-Master_Table!F494)/Master_Table!F494</f>
        <v>2.2387855953259271E-3</v>
      </c>
      <c r="G495" s="3">
        <f>(Master_Table!G495-Master_Table!G494)/Master_Table!G494</f>
        <v>3.1761412575366556E-3</v>
      </c>
      <c r="H495" s="3">
        <f>(Master_Table!H495-Master_Table!H494)/Master_Table!H494</f>
        <v>-1.0141339934520458E-2</v>
      </c>
    </row>
    <row r="496" spans="1:8" x14ac:dyDescent="0.3">
      <c r="A496" s="1">
        <v>44557</v>
      </c>
      <c r="B496" s="3">
        <f>(Master_Table!B496-Master_Table!B495)/Master_Table!B495</f>
        <v>4.8518709108284937E-3</v>
      </c>
      <c r="C496" s="3">
        <f>(Master_Table!C496-Master_Table!C495)/Master_Table!C495</f>
        <v>-1.0677015634863369E-3</v>
      </c>
      <c r="D496" s="3">
        <f>(Master_Table!D496-Master_Table!D495)/Master_Table!D495</f>
        <v>8.2768999247555316E-3</v>
      </c>
      <c r="E496" s="3">
        <f>(Master_Table!E496-Master_Table!E495)/Master_Table!E495</f>
        <v>-2.0642201834861862E-3</v>
      </c>
      <c r="F496" s="3">
        <f>(Master_Table!F496-Master_Table!F495)/Master_Table!F495</f>
        <v>6.864801547304426E-3</v>
      </c>
      <c r="G496" s="3">
        <f>(Master_Table!G496-Master_Table!G495)/Master_Table!G495</f>
        <v>1.4220552723370492E-3</v>
      </c>
      <c r="H496" s="3">
        <f>(Master_Table!H496-Master_Table!H495)/Master_Table!H495</f>
        <v>3.6570936861352876E-3</v>
      </c>
    </row>
    <row r="497" spans="1:8" x14ac:dyDescent="0.3">
      <c r="A497" s="1">
        <v>44558</v>
      </c>
      <c r="B497" s="3">
        <f>(Master_Table!B497-Master_Table!B496)/Master_Table!B496</f>
        <v>8.6034091740434561E-3</v>
      </c>
      <c r="C497" s="3">
        <f>(Master_Table!C497-Master_Table!C496)/Master_Table!C496</f>
        <v>1.1868801873727828E-2</v>
      </c>
      <c r="D497" s="3">
        <f>(Master_Table!D497-Master_Table!D496)/Master_Table!D496</f>
        <v>6.8960751796572819E-3</v>
      </c>
      <c r="E497" s="3">
        <f>(Master_Table!E497-Master_Table!E496)/Master_Table!E496</f>
        <v>1.1491611123879567E-2</v>
      </c>
      <c r="F497" s="3">
        <f>(Master_Table!F497-Master_Table!F496)/Master_Table!F496</f>
        <v>2.8273044560483411E-3</v>
      </c>
      <c r="G497" s="3">
        <f>(Master_Table!G497-Master_Table!G496)/Master_Table!G496</f>
        <v>1.1708597915494418E-2</v>
      </c>
      <c r="H497" s="3">
        <f>(Master_Table!H497-Master_Table!H496)/Master_Table!H496</f>
        <v>1.7843746650948428E-2</v>
      </c>
    </row>
    <row r="498" spans="1:8" x14ac:dyDescent="0.3">
      <c r="A498" s="1">
        <v>44559</v>
      </c>
      <c r="B498" s="3">
        <f>(Master_Table!B498-Master_Table!B497)/Master_Table!B497</f>
        <v>-1.1402376220388758E-3</v>
      </c>
      <c r="C498" s="3">
        <f>(Master_Table!C498-Master_Table!C497)/Master_Table!C497</f>
        <v>1.7176448975841745E-3</v>
      </c>
      <c r="D498" s="3">
        <f>(Master_Table!D498-Master_Table!D497)/Master_Table!D497</f>
        <v>-4.7626236978273477E-3</v>
      </c>
      <c r="E498" s="3">
        <f>(Master_Table!E498-Master_Table!E497)/Master_Table!E497</f>
        <v>-1.4996591683708298E-2</v>
      </c>
      <c r="F498" s="3">
        <f>(Master_Table!F498-Master_Table!F497)/Master_Table!F497</f>
        <v>-3.1970430723989593E-3</v>
      </c>
      <c r="G498" s="3">
        <f>(Master_Table!G498-Master_Table!G497)/Master_Table!G497</f>
        <v>-1.2976694915254477E-3</v>
      </c>
      <c r="H498" s="3">
        <f>(Master_Table!H498-Master_Table!H497)/Master_Table!H497</f>
        <v>-2.44801263490397E-3</v>
      </c>
    </row>
    <row r="499" spans="1:8" x14ac:dyDescent="0.3">
      <c r="A499" s="1">
        <v>44560</v>
      </c>
      <c r="B499" s="3">
        <f>(Master_Table!B499-Master_Table!B498)/Master_Table!B498</f>
        <v>-5.6060324394652012E-4</v>
      </c>
      <c r="C499" s="3">
        <f>(Master_Table!C499-Master_Table!C498)/Master_Table!C498</f>
        <v>-1.806394821056883E-2</v>
      </c>
      <c r="D499" s="3">
        <f>(Master_Table!D499-Master_Table!D498)/Master_Table!D498</f>
        <v>5.2680935569285776E-3</v>
      </c>
      <c r="E499" s="3">
        <f>(Master_Table!E499-Master_Table!E498)/Master_Table!E498</f>
        <v>-3.4602076124567475E-3</v>
      </c>
      <c r="F499" s="3">
        <f>(Master_Table!F499-Master_Table!F498)/Master_Table!F498</f>
        <v>1.0569193709908838E-2</v>
      </c>
      <c r="G499" s="3">
        <f>(Master_Table!G499-Master_Table!G498)/Master_Table!G498</f>
        <v>3.8715494152899445E-3</v>
      </c>
      <c r="H499" s="3">
        <f>(Master_Table!H499-Master_Table!H498)/Master_Table!H498</f>
        <v>-4.8288782753251516E-3</v>
      </c>
    </row>
    <row r="500" spans="1:8" x14ac:dyDescent="0.3">
      <c r="A500" s="1">
        <v>44561</v>
      </c>
      <c r="B500" s="3">
        <f>(Master_Table!B500-Master_Table!B499)/Master_Table!B499</f>
        <v>8.7247405392365442E-3</v>
      </c>
      <c r="C500" s="3">
        <f>(Master_Table!C500-Master_Table!C499)/Master_Table!C499</f>
        <v>3.8286626761419563E-3</v>
      </c>
      <c r="D500" s="3">
        <f>(Master_Table!D500-Master_Table!D499)/Master_Table!D499</f>
        <v>1.2236946799462176E-2</v>
      </c>
      <c r="E500" s="3">
        <f>(Master_Table!E500-Master_Table!E499)/Master_Table!E499</f>
        <v>9.4907407407407926E-3</v>
      </c>
      <c r="F500" s="3">
        <f>(Master_Table!F500-Master_Table!F499)/Master_Table!F499</f>
        <v>1.232005356545004E-3</v>
      </c>
      <c r="G500" s="3">
        <f>(Master_Table!G500-Master_Table!G499)/Master_Table!G499</f>
        <v>-2.6943497899991598E-3</v>
      </c>
      <c r="H500" s="3">
        <f>(Master_Table!H500-Master_Table!H499)/Master_Table!H499</f>
        <v>5.4091318873628067E-3</v>
      </c>
    </row>
    <row r="501" spans="1:8" x14ac:dyDescent="0.3">
      <c r="A501" s="1">
        <v>44564</v>
      </c>
      <c r="B501" s="3">
        <f>(Master_Table!B501-Master_Table!B500)/Master_Table!B500</f>
        <v>1.5653406553513528E-2</v>
      </c>
      <c r="C501" s="3">
        <f>(Master_Table!C501-Master_Table!C500)/Master_Table!C500</f>
        <v>1.5079490590435115E-2</v>
      </c>
      <c r="D501" s="3">
        <f>(Master_Table!D501-Master_Table!D500)/Master_Table!D500</f>
        <v>2.7213834602770229E-2</v>
      </c>
      <c r="E501" s="3">
        <f>(Master_Table!E501-Master_Table!E500)/Master_Table!E500</f>
        <v>4.8154093097912539E-3</v>
      </c>
      <c r="F501" s="3">
        <f>(Master_Table!F501-Master_Table!F500)/Master_Table!F500</f>
        <v>2.1239316810892531E-2</v>
      </c>
      <c r="G501" s="3">
        <f>(Master_Table!G501-Master_Table!G500)/Master_Table!G500</f>
        <v>5.6681234273606388E-3</v>
      </c>
      <c r="H501" s="3">
        <f>(Master_Table!H501-Master_Table!H500)/Master_Table!H500</f>
        <v>1.4214884751305352E-2</v>
      </c>
    </row>
    <row r="502" spans="1:8" x14ac:dyDescent="0.3">
      <c r="A502" s="1">
        <v>44565</v>
      </c>
      <c r="B502" s="3">
        <f>(Master_Table!B502-Master_Table!B501)/Master_Table!B501</f>
        <v>1.0186829459255477E-2</v>
      </c>
      <c r="C502" s="3">
        <f>(Master_Table!C502-Master_Table!C501)/Master_Table!C501</f>
        <v>2.2562730255319827E-2</v>
      </c>
      <c r="D502" s="3">
        <f>(Master_Table!D502-Master_Table!D501)/Master_Table!D501</f>
        <v>5.8579834815419961E-3</v>
      </c>
      <c r="E502" s="3">
        <f>(Master_Table!E502-Master_Table!E501)/Master_Table!E501</f>
        <v>5.2487448653583098E-3</v>
      </c>
      <c r="F502" s="3">
        <f>(Master_Table!F502-Master_Table!F501)/Master_Table!F501</f>
        <v>1.7549603824242026E-2</v>
      </c>
      <c r="G502" s="3">
        <f>(Master_Table!G502-Master_Table!G501)/Master_Table!G501</f>
        <v>3.6872185203721218E-4</v>
      </c>
      <c r="H502" s="3">
        <f>(Master_Table!H502-Master_Table!H501)/Master_Table!H501</f>
        <v>7.644902098447641E-3</v>
      </c>
    </row>
    <row r="503" spans="1:8" x14ac:dyDescent="0.3">
      <c r="A503" s="1">
        <v>44566</v>
      </c>
      <c r="B503" s="3">
        <f>(Master_Table!B503-Master_Table!B502)/Master_Table!B502</f>
        <v>6.7395852346920151E-3</v>
      </c>
      <c r="C503" s="3">
        <f>(Master_Table!C503-Master_Table!C502)/Master_Table!C502</f>
        <v>4.6782577522853806E-3</v>
      </c>
      <c r="D503" s="3">
        <f>(Master_Table!D503-Master_Table!D502)/Master_Table!D502</f>
        <v>2.3741441276004121E-2</v>
      </c>
      <c r="E503" s="3">
        <f>(Master_Table!E503-Master_Table!E502)/Master_Table!E502</f>
        <v>1.3620885357548756E-3</v>
      </c>
      <c r="F503" s="3">
        <f>(Master_Table!F503-Master_Table!F502)/Master_Table!F502</f>
        <v>-6.1265203681061028E-3</v>
      </c>
      <c r="G503" s="3">
        <f>(Master_Table!G503-Master_Table!G502)/Master_Table!G502</f>
        <v>-2.8697048679672484E-2</v>
      </c>
      <c r="H503" s="3">
        <f>(Master_Table!H503-Master_Table!H502)/Master_Table!H502</f>
        <v>5.7030786302288737E-3</v>
      </c>
    </row>
    <row r="504" spans="1:8" x14ac:dyDescent="0.3">
      <c r="A504" s="1">
        <v>44567</v>
      </c>
      <c r="B504" s="3">
        <f>(Master_Table!B504-Master_Table!B503)/Master_Table!B503</f>
        <v>-1.0005439254682559E-2</v>
      </c>
      <c r="C504" s="3">
        <f>(Master_Table!C504-Master_Table!C503)/Master_Table!C503</f>
        <v>-2.1498278353642139E-2</v>
      </c>
      <c r="D504" s="3">
        <f>(Master_Table!D504-Master_Table!D503)/Master_Table!D503</f>
        <v>-1.6041410414104118E-2</v>
      </c>
      <c r="E504" s="3">
        <f>(Master_Table!E504-Master_Table!E503)/Master_Table!E503</f>
        <v>-8.3881206075720818E-3</v>
      </c>
      <c r="F504" s="3">
        <f>(Master_Table!F504-Master_Table!F503)/Master_Table!F503</f>
        <v>-1.3856693300871548E-2</v>
      </c>
      <c r="G504" s="3">
        <f>(Master_Table!G504-Master_Table!G503)/Master_Table!G503</f>
        <v>-1.4555606754668981E-2</v>
      </c>
      <c r="H504" s="3">
        <f>(Master_Table!H504-Master_Table!H503)/Master_Table!H503</f>
        <v>-1.2367853843785236E-2</v>
      </c>
    </row>
    <row r="505" spans="1:8" x14ac:dyDescent="0.3">
      <c r="A505" s="1">
        <v>44568</v>
      </c>
      <c r="B505" s="3">
        <f>(Master_Table!B505-Master_Table!B504)/Master_Table!B504</f>
        <v>3.7642497703694526E-3</v>
      </c>
      <c r="C505" s="3">
        <f>(Master_Table!C505-Master_Table!C504)/Master_Table!C504</f>
        <v>8.0680450716550962E-3</v>
      </c>
      <c r="D505" s="3">
        <f>(Master_Table!D505-Master_Table!D504)/Master_Table!D504</f>
        <v>7.0185947184749024E-3</v>
      </c>
      <c r="E505" s="3">
        <f>(Master_Table!E505-Master_Table!E504)/Master_Table!E504</f>
        <v>-1.3717421124827753E-3</v>
      </c>
      <c r="F505" s="3">
        <f>(Master_Table!F505-Master_Table!F504)/Master_Table!F504</f>
        <v>1.2094709057243086E-2</v>
      </c>
      <c r="G505" s="3">
        <f>(Master_Table!G505-Master_Table!G504)/Master_Table!G504</f>
        <v>-1.9254043349103312E-3</v>
      </c>
      <c r="H505" s="3">
        <f>(Master_Table!H505-Master_Table!H504)/Master_Table!H504</f>
        <v>-1.0184463497012164E-2</v>
      </c>
    </row>
    <row r="506" spans="1:8" x14ac:dyDescent="0.3">
      <c r="A506" s="1">
        <v>44571</v>
      </c>
      <c r="B506" s="3">
        <f>(Master_Table!B506-Master_Table!B505)/Master_Table!B505</f>
        <v>1.0700230734251323E-2</v>
      </c>
      <c r="C506" s="3">
        <f>(Master_Table!C506-Master_Table!C505)/Master_Table!C505</f>
        <v>8.2295594924810937E-4</v>
      </c>
      <c r="D506" s="3">
        <f>(Master_Table!D506-Master_Table!D505)/Master_Table!D505</f>
        <v>5.547294239348243E-3</v>
      </c>
      <c r="E506" s="3">
        <f>(Master_Table!E506-Master_Table!E505)/Master_Table!E505</f>
        <v>2.243589743589746E-2</v>
      </c>
      <c r="F506" s="3">
        <f>(Master_Table!F506-Master_Table!F505)/Master_Table!F505</f>
        <v>6.8379395354871957E-3</v>
      </c>
      <c r="G506" s="3">
        <f>(Master_Table!G506-Master_Table!G505)/Master_Table!G505</f>
        <v>2.0090392989031609E-2</v>
      </c>
      <c r="H506" s="3">
        <f>(Master_Table!H506-Master_Table!H505)/Master_Table!H505</f>
        <v>2.5303165520499667E-2</v>
      </c>
    </row>
    <row r="507" spans="1:8" x14ac:dyDescent="0.3">
      <c r="A507" s="1">
        <v>44572</v>
      </c>
      <c r="B507" s="3">
        <f>(Master_Table!B507-Master_Table!B506)/Master_Table!B506</f>
        <v>2.9133547738470576E-3</v>
      </c>
      <c r="C507" s="3">
        <f>(Master_Table!C507-Master_Table!C506)/Master_Table!C506</f>
        <v>7.2017204611992871E-3</v>
      </c>
      <c r="D507" s="3">
        <f>(Master_Table!D507-Master_Table!D506)/Master_Table!D506</f>
        <v>4.3336248135384045E-3</v>
      </c>
      <c r="E507" s="3">
        <f>(Master_Table!E507-Master_Table!E506)/Master_Table!E506</f>
        <v>-6.0456784594716644E-3</v>
      </c>
      <c r="F507" s="3">
        <f>(Master_Table!F507-Master_Table!F506)/Master_Table!F506</f>
        <v>9.2915963246002244E-3</v>
      </c>
      <c r="G507" s="3">
        <f>(Master_Table!G507-Master_Table!G506)/Master_Table!G506</f>
        <v>2.6205592327434332E-3</v>
      </c>
      <c r="H507" s="3">
        <f>(Master_Table!H507-Master_Table!H506)/Master_Table!H506</f>
        <v>4.1216527571553852E-3</v>
      </c>
    </row>
    <row r="508" spans="1:8" x14ac:dyDescent="0.3">
      <c r="A508" s="1">
        <v>44573</v>
      </c>
      <c r="B508" s="3">
        <f>(Master_Table!B508-Master_Table!B507)/Master_Table!B507</f>
        <v>8.6731373662128994E-3</v>
      </c>
      <c r="C508" s="3">
        <f>(Master_Table!C508-Master_Table!C507)/Master_Table!C507</f>
        <v>2.6689992374287892E-2</v>
      </c>
      <c r="D508" s="3">
        <f>(Master_Table!D508-Master_Table!D507)/Master_Table!D507</f>
        <v>-5.915417216168813E-3</v>
      </c>
      <c r="E508" s="3">
        <f>(Master_Table!E508-Master_Table!E507)/Master_Table!E507</f>
        <v>3.6044154088759241E-3</v>
      </c>
      <c r="F508" s="3">
        <f>(Master_Table!F508-Master_Table!F507)/Master_Table!F507</f>
        <v>-1.4300671620827906E-2</v>
      </c>
      <c r="G508" s="3">
        <f>(Master_Table!G508-Master_Table!G507)/Master_Table!G507</f>
        <v>1.1775167061866855E-2</v>
      </c>
      <c r="H508" s="3">
        <f>(Master_Table!H508-Master_Table!H507)/Master_Table!H507</f>
        <v>6.6542589807000755E-3</v>
      </c>
    </row>
    <row r="509" spans="1:8" x14ac:dyDescent="0.3">
      <c r="A509" s="1">
        <v>44574</v>
      </c>
      <c r="B509" s="3">
        <f>(Master_Table!B509-Master_Table!B508)/Master_Table!B508</f>
        <v>2.4955593319917931E-3</v>
      </c>
      <c r="C509" s="3">
        <f>(Master_Table!C509-Master_Table!C508)/Master_Table!C508</f>
        <v>5.6361412093671945E-3</v>
      </c>
      <c r="D509" s="3">
        <f>(Master_Table!D509-Master_Table!D508)/Master_Table!D508</f>
        <v>-1.8405698167158212E-2</v>
      </c>
      <c r="E509" s="3">
        <f>(Master_Table!E509-Master_Table!E508)/Master_Table!E508</f>
        <v>5.3872053872053363E-3</v>
      </c>
      <c r="F509" s="3">
        <f>(Master_Table!F509-Master_Table!F508)/Master_Table!F508</f>
        <v>9.8448146325034319E-3</v>
      </c>
      <c r="G509" s="3">
        <f>(Master_Table!G509-Master_Table!G508)/Master_Table!G508</f>
        <v>1.0306532797145015E-2</v>
      </c>
      <c r="H509" s="3">
        <f>(Master_Table!H509-Master_Table!H508)/Master_Table!H508</f>
        <v>2.2388815722824459E-2</v>
      </c>
    </row>
    <row r="510" spans="1:8" x14ac:dyDescent="0.3">
      <c r="A510" s="1">
        <v>44575</v>
      </c>
      <c r="B510" s="3">
        <f>(Master_Table!B510-Master_Table!B509)/Master_Table!B509</f>
        <v>-1.1228077862608159E-4</v>
      </c>
      <c r="C510" s="3">
        <f>(Master_Table!C510-Master_Table!C509)/Master_Table!C509</f>
        <v>1.4597905895642905E-3</v>
      </c>
      <c r="D510" s="3">
        <f>(Master_Table!D510-Master_Table!D509)/Master_Table!D509</f>
        <v>1.1232121768796673E-2</v>
      </c>
      <c r="E510" s="3">
        <f>(Master_Table!E510-Master_Table!E509)/Master_Table!E509</f>
        <v>-6.0281312793033911E-3</v>
      </c>
      <c r="F510" s="3">
        <f>(Master_Table!F510-Master_Table!F509)/Master_Table!F509</f>
        <v>1.8022524949331691E-2</v>
      </c>
      <c r="G510" s="3">
        <f>(Master_Table!G510-Master_Table!G509)/Master_Table!G509</f>
        <v>1.7160480809784877E-2</v>
      </c>
      <c r="H510" s="3">
        <f>(Master_Table!H510-Master_Table!H509)/Master_Table!H509</f>
        <v>1.3054894966309903E-2</v>
      </c>
    </row>
    <row r="511" spans="1:8" x14ac:dyDescent="0.3">
      <c r="A511" s="1">
        <v>44578</v>
      </c>
      <c r="B511" s="3">
        <f>(Master_Table!B511-Master_Table!B510)/Master_Table!B510</f>
        <v>2.8675896635305888E-3</v>
      </c>
      <c r="C511" s="3">
        <f>(Master_Table!C511-Master_Table!C510)/Master_Table!C510</f>
        <v>5.2146148039530346E-3</v>
      </c>
      <c r="D511" s="3">
        <f>(Master_Table!D511-Master_Table!D510)/Master_Table!D510</f>
        <v>-1.5311551137985564E-2</v>
      </c>
      <c r="E511" s="3">
        <f>(Master_Table!E511-Master_Table!E510)/Master_Table!E510</f>
        <v>8.9847259658580418E-3</v>
      </c>
      <c r="F511" s="3">
        <f>(Master_Table!F511-Master_Table!F510)/Master_Table!F510</f>
        <v>1.2852336731222358E-2</v>
      </c>
      <c r="G511" s="3">
        <f>(Master_Table!G511-Master_Table!G510)/Master_Table!G510</f>
        <v>5.2608391427165059E-3</v>
      </c>
      <c r="H511" s="3">
        <f>(Master_Table!H511-Master_Table!H510)/Master_Table!H510</f>
        <v>1.2055263479643032E-2</v>
      </c>
    </row>
    <row r="512" spans="1:8" x14ac:dyDescent="0.3">
      <c r="A512" s="1">
        <v>44579</v>
      </c>
      <c r="B512" s="3">
        <f>(Master_Table!B512-Master_Table!B511)/Master_Table!B511</f>
        <v>-1.0653754349167816E-2</v>
      </c>
      <c r="C512" s="3">
        <f>(Master_Table!C512-Master_Table!C511)/Master_Table!C511</f>
        <v>-1.1928806946674208E-2</v>
      </c>
      <c r="D512" s="3">
        <f>(Master_Table!D512-Master_Table!D511)/Master_Table!D511</f>
        <v>5.0997548955011521E-3</v>
      </c>
      <c r="E512" s="3">
        <f>(Master_Table!E512-Master_Table!E511)/Master_Table!E511</f>
        <v>-1.7141585040071215E-2</v>
      </c>
      <c r="F512" s="3">
        <f>(Master_Table!F512-Master_Table!F511)/Master_Table!F511</f>
        <v>-7.1034920318973366E-3</v>
      </c>
      <c r="G512" s="3">
        <f>(Master_Table!G512-Master_Table!G511)/Master_Table!G511</f>
        <v>-9.6674400618716166E-3</v>
      </c>
      <c r="H512" s="3">
        <f>(Master_Table!H512-Master_Table!H511)/Master_Table!H511</f>
        <v>-2.2808543539190124E-2</v>
      </c>
    </row>
    <row r="513" spans="1:8" x14ac:dyDescent="0.3">
      <c r="A513" s="1">
        <v>44580</v>
      </c>
      <c r="B513" s="3">
        <f>(Master_Table!B513-Master_Table!B512)/Master_Table!B512</f>
        <v>-9.6422192838863593E-3</v>
      </c>
      <c r="C513" s="3">
        <f>(Master_Table!C513-Master_Table!C512)/Master_Table!C512</f>
        <v>-7.8621846390312171E-5</v>
      </c>
      <c r="D513" s="3">
        <f>(Master_Table!D513-Master_Table!D512)/Master_Table!D512</f>
        <v>-7.0667208579706922E-3</v>
      </c>
      <c r="E513" s="3">
        <f>(Master_Table!E513-Master_Table!E512)/Master_Table!E512</f>
        <v>-1.8120045300113509E-3</v>
      </c>
      <c r="F513" s="3">
        <f>(Master_Table!F513-Master_Table!F512)/Master_Table!F512</f>
        <v>-1.9032225730466552E-2</v>
      </c>
      <c r="G513" s="3">
        <f>(Master_Table!G513-Master_Table!G512)/Master_Table!G512</f>
        <v>-2.7957828973057423E-2</v>
      </c>
      <c r="H513" s="3">
        <f>(Master_Table!H513-Master_Table!H512)/Master_Table!H512</f>
        <v>-6.4286420729895886E-4</v>
      </c>
    </row>
    <row r="514" spans="1:8" x14ac:dyDescent="0.3">
      <c r="A514" s="1">
        <v>44581</v>
      </c>
      <c r="B514" s="3">
        <f>(Master_Table!B514-Master_Table!B513)/Master_Table!B513</f>
        <v>-1.0112384605093064E-2</v>
      </c>
      <c r="C514" s="3">
        <f>(Master_Table!C514-Master_Table!C513)/Master_Table!C513</f>
        <v>-1.7507840961708314E-2</v>
      </c>
      <c r="D514" s="3">
        <f>(Master_Table!D514-Master_Table!D513)/Master_Table!D513</f>
        <v>-6.2191353949349517E-3</v>
      </c>
      <c r="E514" s="3">
        <f>(Master_Table!E514-Master_Table!E513)/Master_Table!E513</f>
        <v>-7.2611754027682978E-3</v>
      </c>
      <c r="F514" s="3">
        <f>(Master_Table!F514-Master_Table!F513)/Master_Table!F513</f>
        <v>-2.2505204807581752E-2</v>
      </c>
      <c r="G514" s="3">
        <f>(Master_Table!G514-Master_Table!G513)/Master_Table!G513</f>
        <v>-2.3218446211938571E-2</v>
      </c>
      <c r="H514" s="3">
        <f>(Master_Table!H514-Master_Table!H513)/Master_Table!H513</f>
        <v>-8.6100252362809101E-3</v>
      </c>
    </row>
    <row r="515" spans="1:8" x14ac:dyDescent="0.3">
      <c r="A515" s="1">
        <v>44582</v>
      </c>
      <c r="B515" s="3">
        <f>(Master_Table!B515-Master_Table!B514)/Master_Table!B514</f>
        <v>-7.8757673030353404E-3</v>
      </c>
      <c r="C515" s="3">
        <f>(Master_Table!C515-Master_Table!C514)/Master_Table!C514</f>
        <v>1.6005833237007591E-4</v>
      </c>
      <c r="D515" s="3">
        <f>(Master_Table!D515-Master_Table!D514)/Master_Table!D514</f>
        <v>8.3440734491051025E-3</v>
      </c>
      <c r="E515" s="3">
        <f>(Master_Table!E515-Master_Table!E514)/Master_Table!E514</f>
        <v>-7.7714285714285194E-3</v>
      </c>
      <c r="F515" s="3">
        <f>(Master_Table!F515-Master_Table!F514)/Master_Table!F514</f>
        <v>1.8162574642954666E-3</v>
      </c>
      <c r="G515" s="3">
        <f>(Master_Table!G515-Master_Table!G514)/Master_Table!G514</f>
        <v>-2.0836760432088611E-2</v>
      </c>
      <c r="H515" s="3">
        <f>(Master_Table!H515-Master_Table!H514)/Master_Table!H514</f>
        <v>-2.3683553780883475E-2</v>
      </c>
    </row>
    <row r="516" spans="1:8" x14ac:dyDescent="0.3">
      <c r="A516" s="1">
        <v>44585</v>
      </c>
      <c r="B516" s="3">
        <f>(Master_Table!B516-Master_Table!B515)/Master_Table!B515</f>
        <v>-2.6567861430481256E-2</v>
      </c>
      <c r="C516" s="3">
        <f>(Master_Table!C516-Master_Table!C515)/Master_Table!C515</f>
        <v>-4.033713559216541E-2</v>
      </c>
      <c r="D516" s="3">
        <f>(Master_Table!D516-Master_Table!D515)/Master_Table!D515</f>
        <v>-2.296715025497088E-2</v>
      </c>
      <c r="E516" s="3">
        <f>(Master_Table!E516-Master_Table!E515)/Master_Table!E515</f>
        <v>-2.4187975120939873E-2</v>
      </c>
      <c r="F516" s="3">
        <f>(Master_Table!F516-Master_Table!F515)/Master_Table!F515</f>
        <v>-1.6212338593974199E-2</v>
      </c>
      <c r="G516" s="3">
        <f>(Master_Table!G516-Master_Table!G515)/Master_Table!G515</f>
        <v>-2.7384219073752641E-2</v>
      </c>
      <c r="H516" s="3">
        <f>(Master_Table!H516-Master_Table!H515)/Master_Table!H515</f>
        <v>-2.8705810178676346E-2</v>
      </c>
    </row>
    <row r="517" spans="1:8" x14ac:dyDescent="0.3">
      <c r="A517" s="1">
        <v>44586</v>
      </c>
      <c r="B517" s="3">
        <f>(Master_Table!B517-Master_Table!B516)/Master_Table!B516</f>
        <v>7.5135138287141714E-3</v>
      </c>
      <c r="C517" s="3">
        <f>(Master_Table!C517-Master_Table!C516)/Master_Table!C516</f>
        <v>-1.9547896979804774E-3</v>
      </c>
      <c r="D517" s="3">
        <f>(Master_Table!D517-Master_Table!D516)/Master_Table!D516</f>
        <v>9.4405783028528323E-4</v>
      </c>
      <c r="E517" s="3">
        <f>(Master_Table!E517-Master_Table!E516)/Master_Table!E516</f>
        <v>1.1803588290840415E-2</v>
      </c>
      <c r="F517" s="3">
        <f>(Master_Table!F517-Master_Table!F516)/Master_Table!F516</f>
        <v>-3.8447770692187627E-4</v>
      </c>
      <c r="G517" s="3">
        <f>(Master_Table!G517-Master_Table!G516)/Master_Table!G516</f>
        <v>-8.4350529709810371E-3</v>
      </c>
      <c r="H517" s="3">
        <f>(Master_Table!H517-Master_Table!H516)/Master_Table!H516</f>
        <v>1.3369124690773126E-2</v>
      </c>
    </row>
    <row r="518" spans="1:8" x14ac:dyDescent="0.3">
      <c r="A518" s="1">
        <v>44588</v>
      </c>
      <c r="B518" s="3">
        <f>(Master_Table!B518-Master_Table!B517)/Master_Table!B517</f>
        <v>-9.7118003003828154E-3</v>
      </c>
      <c r="C518" s="3">
        <f>(Master_Table!C518-Master_Table!C517)/Master_Table!C517</f>
        <v>-1.4814952334097631E-2</v>
      </c>
      <c r="D518" s="3">
        <f>(Master_Table!D518-Master_Table!D517)/Master_Table!D517</f>
        <v>-8.811878520035522E-3</v>
      </c>
      <c r="E518" s="3">
        <f>(Master_Table!E518-Master_Table!E517)/Master_Table!E517</f>
        <v>1.3999066728883946E-3</v>
      </c>
      <c r="F518" s="3">
        <f>(Master_Table!F518-Master_Table!F517)/Master_Table!F517</f>
        <v>-3.2003501419135806E-2</v>
      </c>
      <c r="G518" s="3">
        <f>(Master_Table!G518-Master_Table!G517)/Master_Table!G517</f>
        <v>-2.5288157245303939E-2</v>
      </c>
      <c r="H518" s="3">
        <f>(Master_Table!H518-Master_Table!H517)/Master_Table!H517</f>
        <v>-7.5053238456344708E-3</v>
      </c>
    </row>
    <row r="519" spans="1:8" x14ac:dyDescent="0.3">
      <c r="A519" s="1">
        <v>44589</v>
      </c>
      <c r="B519" s="3">
        <f>(Master_Table!B519-Master_Table!B518)/Master_Table!B518</f>
        <v>-4.7924769800385895E-4</v>
      </c>
      <c r="C519" s="3">
        <f>(Master_Table!C519-Master_Table!C518)/Master_Table!C518</f>
        <v>-9.6105829478105947E-4</v>
      </c>
      <c r="D519" s="3">
        <f>(Master_Table!D519-Master_Table!D518)/Master_Table!D518</f>
        <v>-7.9250720461095658E-3</v>
      </c>
      <c r="E519" s="3">
        <f>(Master_Table!E519-Master_Table!E518)/Master_Table!E518</f>
        <v>1.3979496738117428E-2</v>
      </c>
      <c r="F519" s="3">
        <f>(Master_Table!F519-Master_Table!F518)/Master_Table!F518</f>
        <v>1.1180379530040469E-2</v>
      </c>
      <c r="G519" s="3">
        <f>(Master_Table!G519-Master_Table!G518)/Master_Table!G518</f>
        <v>4.5275825092339671E-3</v>
      </c>
      <c r="H519" s="3">
        <f>(Master_Table!H519-Master_Table!H518)/Master_Table!H518</f>
        <v>-6.9602532904204702E-3</v>
      </c>
    </row>
    <row r="520" spans="1:8" x14ac:dyDescent="0.3">
      <c r="A520" s="1">
        <v>44592</v>
      </c>
      <c r="B520" s="3">
        <f>(Master_Table!B520-Master_Table!B519)/Master_Table!B519</f>
        <v>1.3910694394498744E-2</v>
      </c>
      <c r="C520" s="3">
        <f>(Master_Table!C520-Master_Table!C519)/Master_Table!C519</f>
        <v>2.1729494204525059E-2</v>
      </c>
      <c r="D520" s="3">
        <f>(Master_Table!D520-Master_Table!D519)/Master_Table!D519</f>
        <v>1.5346460037544082E-2</v>
      </c>
      <c r="E520" s="3">
        <f>(Master_Table!E520-Master_Table!E519)/Master_Table!E519</f>
        <v>1.1948529411764681E-2</v>
      </c>
      <c r="F520" s="3">
        <f>(Master_Table!F520-Master_Table!F519)/Master_Table!F519</f>
        <v>1.2520155553447735E-2</v>
      </c>
      <c r="G520" s="3">
        <f>(Master_Table!G520-Master_Table!G519)/Master_Table!G519</f>
        <v>2.9652473016249556E-2</v>
      </c>
      <c r="H520" s="3">
        <f>(Master_Table!H520-Master_Table!H519)/Master_Table!H519</f>
        <v>6.1394956654634084E-3</v>
      </c>
    </row>
    <row r="521" spans="1:8" x14ac:dyDescent="0.3">
      <c r="A521" s="1">
        <v>44593</v>
      </c>
      <c r="B521" s="3">
        <f>(Master_Table!B521-Master_Table!B520)/Master_Table!B520</f>
        <v>1.3667938303964568E-2</v>
      </c>
      <c r="C521" s="3">
        <f>(Master_Table!C521-Master_Table!C520)/Master_Table!C520</f>
        <v>-3.3137951723818879E-3</v>
      </c>
      <c r="D521" s="3">
        <f>(Master_Table!D521-Master_Table!D520)/Master_Table!D520</f>
        <v>7.5977382221562402E-3</v>
      </c>
      <c r="E521" s="3">
        <f>(Master_Table!E521-Master_Table!E520)/Master_Table!E520</f>
        <v>3.428701180744783E-2</v>
      </c>
      <c r="F521" s="3">
        <f>(Master_Table!F521-Master_Table!F520)/Master_Table!F520</f>
        <v>1.7236533957845458E-2</v>
      </c>
      <c r="G521" s="3">
        <f>(Master_Table!G521-Master_Table!G520)/Master_Table!G520</f>
        <v>2.0648542794608864E-2</v>
      </c>
      <c r="H521" s="3">
        <f>(Master_Table!H521-Master_Table!H520)/Master_Table!H520</f>
        <v>4.2583280955373955E-2</v>
      </c>
    </row>
    <row r="522" spans="1:8" x14ac:dyDescent="0.3">
      <c r="A522" s="1">
        <v>44594</v>
      </c>
      <c r="B522" s="3">
        <f>(Master_Table!B522-Master_Table!B521)/Master_Table!B521</f>
        <v>1.1557816104705989E-2</v>
      </c>
      <c r="C522" s="3">
        <f>(Master_Table!C522-Master_Table!C521)/Master_Table!C521</f>
        <v>2.0374898125509796E-3</v>
      </c>
      <c r="D522" s="3">
        <f>(Master_Table!D522-Master_Table!D521)/Master_Table!D521</f>
        <v>2.2849030322511597E-2</v>
      </c>
      <c r="E522" s="3">
        <f>(Master_Table!E522-Master_Table!E521)/Master_Table!E521</f>
        <v>1.9319429198682792E-2</v>
      </c>
      <c r="F522" s="3">
        <f>(Master_Table!F522-Master_Table!F521)/Master_Table!F521</f>
        <v>1.4615920960888196E-2</v>
      </c>
      <c r="G522" s="3">
        <f>(Master_Table!G522-Master_Table!G521)/Master_Table!G521</f>
        <v>8.4929883468299171E-3</v>
      </c>
      <c r="H522" s="3">
        <f>(Master_Table!H522-Master_Table!H521)/Master_Table!H521</f>
        <v>-3.9186134137151243E-3</v>
      </c>
    </row>
    <row r="523" spans="1:8" x14ac:dyDescent="0.3">
      <c r="A523" s="1">
        <v>44595</v>
      </c>
      <c r="B523" s="3">
        <f>(Master_Table!B523-Master_Table!B522)/Master_Table!B522</f>
        <v>-1.2362204724409407E-2</v>
      </c>
      <c r="C523" s="3">
        <f>(Master_Table!C523-Master_Table!C522)/Master_Table!C522</f>
        <v>-1.2920995230877313E-2</v>
      </c>
      <c r="D523" s="3">
        <f>(Master_Table!D523-Master_Table!D522)/Master_Table!D522</f>
        <v>-1.0357470210815872E-2</v>
      </c>
      <c r="E523" s="3">
        <f>(Master_Table!E523-Master_Table!E522)/Master_Table!E522</f>
        <v>9.9073874650010031E-3</v>
      </c>
      <c r="F523" s="3">
        <f>(Master_Table!F523-Master_Table!F522)/Master_Table!F522</f>
        <v>-8.1945957159898115E-3</v>
      </c>
      <c r="G523" s="3">
        <f>(Master_Table!G523-Master_Table!G522)/Master_Table!G522</f>
        <v>-2.7166918471266274E-2</v>
      </c>
      <c r="H523" s="3">
        <f>(Master_Table!H523-Master_Table!H522)/Master_Table!H522</f>
        <v>-2.4738992283250091E-2</v>
      </c>
    </row>
    <row r="524" spans="1:8" x14ac:dyDescent="0.3">
      <c r="A524" s="1">
        <v>44596</v>
      </c>
      <c r="B524" s="3">
        <f>(Master_Table!B524-Master_Table!B523)/Master_Table!B523</f>
        <v>-2.4999715265202819E-3</v>
      </c>
      <c r="C524" s="3">
        <f>(Master_Table!C524-Master_Table!C523)/Master_Table!C523</f>
        <v>-9.1106575029495096E-3</v>
      </c>
      <c r="D524" s="3">
        <f>(Master_Table!D524-Master_Table!D523)/Master_Table!D523</f>
        <v>5.715873456912701E-3</v>
      </c>
      <c r="E524" s="3">
        <f>(Master_Table!E524-Master_Table!E523)/Master_Table!E523</f>
        <v>-6.3979526551493824E-4</v>
      </c>
      <c r="F524" s="3">
        <f>(Master_Table!F524-Master_Table!F523)/Master_Table!F523</f>
        <v>-2.5362129373005852E-3</v>
      </c>
      <c r="G524" s="3">
        <f>(Master_Table!G524-Master_Table!G523)/Master_Table!G523</f>
        <v>1.4667395243162145E-3</v>
      </c>
      <c r="H524" s="3">
        <f>(Master_Table!H524-Master_Table!H523)/Master_Table!H523</f>
        <v>7.3953404183797243E-3</v>
      </c>
    </row>
    <row r="525" spans="1:8" x14ac:dyDescent="0.3">
      <c r="A525" s="1">
        <v>44599</v>
      </c>
      <c r="B525" s="3">
        <f>(Master_Table!B525-Master_Table!B524)/Master_Table!B524</f>
        <v>-1.7281046796412527E-2</v>
      </c>
      <c r="C525" s="3">
        <f>(Master_Table!C525-Master_Table!C524)/Master_Table!C524</f>
        <v>-6.0949681077250607E-3</v>
      </c>
      <c r="D525" s="3">
        <f>(Master_Table!D525-Master_Table!D524)/Master_Table!D524</f>
        <v>-3.6652589756745749E-2</v>
      </c>
      <c r="E525" s="3">
        <f>(Master_Table!E525-Master_Table!E524)/Master_Table!E524</f>
        <v>-1.7498932991890835E-2</v>
      </c>
      <c r="F525" s="3">
        <f>(Master_Table!F525-Master_Table!F524)/Master_Table!F524</f>
        <v>-9.4104694749534961E-3</v>
      </c>
      <c r="G525" s="3">
        <f>(Master_Table!G525-Master_Table!G524)/Master_Table!G524</f>
        <v>-1.4990523232439211E-2</v>
      </c>
      <c r="H525" s="3">
        <f>(Master_Table!H525-Master_Table!H524)/Master_Table!H524</f>
        <v>-3.2572704638209424E-2</v>
      </c>
    </row>
    <row r="526" spans="1:8" x14ac:dyDescent="0.3">
      <c r="A526" s="1">
        <v>44600</v>
      </c>
      <c r="B526" s="3">
        <f>(Master_Table!B526-Master_Table!B525)/Master_Table!B525</f>
        <v>3.0876748617373159E-3</v>
      </c>
      <c r="C526" s="3">
        <f>(Master_Table!C526-Master_Table!C525)/Master_Table!C525</f>
        <v>1.6809279330671292E-2</v>
      </c>
      <c r="D526" s="3">
        <f>(Master_Table!D526-Master_Table!D525)/Master_Table!D525</f>
        <v>-4.2881529532263381E-3</v>
      </c>
      <c r="E526" s="3">
        <f>(Master_Table!E526-Master_Table!E525)/Master_Table!E525</f>
        <v>4.5612510860122127E-3</v>
      </c>
      <c r="F526" s="3">
        <f>(Master_Table!F526-Master_Table!F525)/Master_Table!F525</f>
        <v>-9.4072505953956553E-3</v>
      </c>
      <c r="G526" s="3">
        <f>(Master_Table!G526-Master_Table!G525)/Master_Table!G525</f>
        <v>1.34110787172009E-3</v>
      </c>
      <c r="H526" s="3">
        <f>(Master_Table!H526-Master_Table!H525)/Master_Table!H525</f>
        <v>-4.7227381268241395E-3</v>
      </c>
    </row>
    <row r="527" spans="1:8" x14ac:dyDescent="0.3">
      <c r="A527" s="1">
        <v>44601</v>
      </c>
      <c r="B527" s="3">
        <f>(Master_Table!B527-Master_Table!B526)/Master_Table!B526</f>
        <v>1.1412107084425227E-2</v>
      </c>
      <c r="C527" s="3">
        <f>(Master_Table!C527-Master_Table!C526)/Master_Table!C526</f>
        <v>1.1650521748887343E-2</v>
      </c>
      <c r="D527" s="3">
        <f>(Master_Table!D527-Master_Table!D526)/Master_Table!D526</f>
        <v>2.4454471890386967E-2</v>
      </c>
      <c r="E527" s="3">
        <f>(Master_Table!E527-Master_Table!E526)/Master_Table!E526</f>
        <v>-4.7567567567567319E-3</v>
      </c>
      <c r="F527" s="3">
        <f>(Master_Table!F527-Master_Table!F526)/Master_Table!F526</f>
        <v>4.5679787361926471E-3</v>
      </c>
      <c r="G527" s="3">
        <f>(Master_Table!G527-Master_Table!G526)/Master_Table!G526</f>
        <v>1.16461887847202E-2</v>
      </c>
      <c r="H527" s="3">
        <f>(Master_Table!H527-Master_Table!H526)/Master_Table!H526</f>
        <v>7.0377479206654115E-3</v>
      </c>
    </row>
    <row r="528" spans="1:8" x14ac:dyDescent="0.3">
      <c r="A528" s="1">
        <v>44602</v>
      </c>
      <c r="B528" s="3">
        <f>(Master_Table!B528-Master_Table!B527)/Master_Table!B527</f>
        <v>8.1339685520905695E-3</v>
      </c>
      <c r="C528" s="3">
        <f>(Master_Table!C528-Master_Table!C527)/Master_Table!C527</f>
        <v>-1.0259348947262578E-3</v>
      </c>
      <c r="D528" s="3">
        <f>(Master_Table!D528-Master_Table!D527)/Master_Table!D527</f>
        <v>1.8368275899001141E-2</v>
      </c>
      <c r="E528" s="3">
        <f>(Master_Table!E528-Master_Table!E527)/Master_Table!E527</f>
        <v>9.1244840321529196E-3</v>
      </c>
      <c r="F528" s="3">
        <f>(Master_Table!F528-Master_Table!F527)/Master_Table!F527</f>
        <v>2.6060017816542068E-3</v>
      </c>
      <c r="G528" s="3">
        <f>(Master_Table!G528-Master_Table!G527)/Master_Table!G527</f>
        <v>1.859206815172967E-2</v>
      </c>
      <c r="H528" s="3">
        <f>(Master_Table!H528-Master_Table!H527)/Master_Table!H527</f>
        <v>6.4591274883524169E-3</v>
      </c>
    </row>
    <row r="529" spans="1:8" x14ac:dyDescent="0.3">
      <c r="A529" s="1">
        <v>44603</v>
      </c>
      <c r="B529" s="3">
        <f>(Master_Table!B529-Master_Table!B528)/Master_Table!B528</f>
        <v>-1.3126318808804946E-2</v>
      </c>
      <c r="C529" s="3">
        <f>(Master_Table!C529-Master_Table!C528)/Master_Table!C528</f>
        <v>-1.9522033992393809E-3</v>
      </c>
      <c r="D529" s="3">
        <f>(Master_Table!D529-Master_Table!D528)/Master_Table!D528</f>
        <v>-4.1017011542607796E-3</v>
      </c>
      <c r="E529" s="3">
        <f>(Master_Table!E529-Master_Table!E528)/Master_Table!E528</f>
        <v>8.6114101184063996E-4</v>
      </c>
      <c r="F529" s="3">
        <f>(Master_Table!F529-Master_Table!F528)/Master_Table!F528</f>
        <v>-1.9998143408436909E-2</v>
      </c>
      <c r="G529" s="3">
        <f>(Master_Table!G529-Master_Table!G528)/Master_Table!G528</f>
        <v>-2.7266048824593131E-2</v>
      </c>
      <c r="H529" s="3">
        <f>(Master_Table!H529-Master_Table!H528)/Master_Table!H528</f>
        <v>-1.5649658074697526E-2</v>
      </c>
    </row>
    <row r="530" spans="1:8" x14ac:dyDescent="0.3">
      <c r="A530" s="1">
        <v>44606</v>
      </c>
      <c r="B530" s="3">
        <f>(Master_Table!B530-Master_Table!B529)/Master_Table!B529</f>
        <v>-3.0616267859969251E-2</v>
      </c>
      <c r="C530" s="3">
        <f>(Master_Table!C530-Master_Table!C529)/Master_Table!C529</f>
        <v>-1.5926283002076595E-2</v>
      </c>
      <c r="D530" s="3">
        <f>(Master_Table!D530-Master_Table!D529)/Master_Table!D529</f>
        <v>-2.9727803152308767E-2</v>
      </c>
      <c r="E530" s="3">
        <f>(Master_Table!E530-Master_Table!E529)/Master_Table!E529</f>
        <v>-5.592600559260056E-2</v>
      </c>
      <c r="F530" s="3">
        <f>(Master_Table!F530-Master_Table!F529)/Master_Table!F529</f>
        <v>1.0500818684961957E-2</v>
      </c>
      <c r="G530" s="3">
        <f>(Master_Table!G530-Master_Table!G529)/Master_Table!G529</f>
        <v>-2.2743776686902643E-2</v>
      </c>
      <c r="H530" s="3">
        <f>(Master_Table!H530-Master_Table!H529)/Master_Table!H529</f>
        <v>-3.8610554442217768E-2</v>
      </c>
    </row>
    <row r="531" spans="1:8" x14ac:dyDescent="0.3">
      <c r="A531" s="1">
        <v>44607</v>
      </c>
      <c r="B531" s="3">
        <f>(Master_Table!B531-Master_Table!B530)/Master_Table!B530</f>
        <v>3.0259220557152106E-2</v>
      </c>
      <c r="C531" s="3">
        <f>(Master_Table!C531-Master_Table!C530)/Master_Table!C530</f>
        <v>3.3950675433803687E-2</v>
      </c>
      <c r="D531" s="3">
        <f>(Master_Table!D531-Master_Table!D530)/Master_Table!D530</f>
        <v>2.9931158335827598E-2</v>
      </c>
      <c r="E531" s="3">
        <f>(Master_Table!E531-Master_Table!E530)/Master_Table!E530</f>
        <v>1.6176805650489914E-2</v>
      </c>
      <c r="F531" s="3">
        <f>(Master_Table!F531-Master_Table!F530)/Master_Table!F530</f>
        <v>2.2510880482089102E-2</v>
      </c>
      <c r="G531" s="3">
        <f>(Master_Table!G531-Master_Table!G530)/Master_Table!G530</f>
        <v>3.3319462608488858E-2</v>
      </c>
      <c r="H531" s="3">
        <f>(Master_Table!H531-Master_Table!H530)/Master_Table!H530</f>
        <v>4.2829349638688133E-2</v>
      </c>
    </row>
    <row r="532" spans="1:8" x14ac:dyDescent="0.3">
      <c r="A532" s="1">
        <v>44608</v>
      </c>
      <c r="B532" s="3">
        <f>(Master_Table!B532-Master_Table!B531)/Master_Table!B531</f>
        <v>-1.7432696823791451E-3</v>
      </c>
      <c r="C532" s="3">
        <f>(Master_Table!C532-Master_Table!C531)/Master_Table!C531</f>
        <v>-2.0681863736583955E-3</v>
      </c>
      <c r="D532" s="3">
        <f>(Master_Table!D532-Master_Table!D531)/Master_Table!D531</f>
        <v>-1.3605981347916472E-3</v>
      </c>
      <c r="E532" s="3">
        <f>(Master_Table!E532-Master_Table!E531)/Master_Table!E531</f>
        <v>-1.1210762331838565E-3</v>
      </c>
      <c r="F532" s="3">
        <f>(Master_Table!F532-Master_Table!F531)/Master_Table!F531</f>
        <v>-1.2310754885013024E-3</v>
      </c>
      <c r="G532" s="3">
        <f>(Master_Table!G532-Master_Table!G531)/Master_Table!G531</f>
        <v>-2.8476916438947477E-3</v>
      </c>
      <c r="H532" s="3">
        <f>(Master_Table!H532-Master_Table!H531)/Master_Table!H531</f>
        <v>-8.1820846992350475E-3</v>
      </c>
    </row>
    <row r="533" spans="1:8" x14ac:dyDescent="0.3">
      <c r="A533" s="1">
        <v>44609</v>
      </c>
      <c r="B533" s="3">
        <f>(Master_Table!B533-Master_Table!B532)/Master_Table!B532</f>
        <v>-1.0160372239093292E-3</v>
      </c>
      <c r="C533" s="3">
        <f>(Master_Table!C533-Master_Table!C532)/Master_Table!C532</f>
        <v>1.2663081684637334E-2</v>
      </c>
      <c r="D533" s="3">
        <f>(Master_Table!D533-Master_Table!D532)/Master_Table!D532</f>
        <v>-6.0979642587865096E-3</v>
      </c>
      <c r="E533" s="3">
        <f>(Master_Table!E533-Master_Table!E532)/Master_Table!E532</f>
        <v>-4.4893378226709007E-4</v>
      </c>
      <c r="F533" s="3">
        <f>(Master_Table!F533-Master_Table!F532)/Master_Table!F532</f>
        <v>-7.5791350869371622E-3</v>
      </c>
      <c r="G533" s="3">
        <f>(Master_Table!G533-Master_Table!G532)/Master_Table!G532</f>
        <v>-4.9039404603934689E-3</v>
      </c>
      <c r="H533" s="3">
        <f>(Master_Table!H533-Master_Table!H532)/Master_Table!H532</f>
        <v>4.2994571935293172E-3</v>
      </c>
    </row>
    <row r="534" spans="1:8" x14ac:dyDescent="0.3">
      <c r="A534" s="1">
        <v>44610</v>
      </c>
      <c r="B534" s="3">
        <f>(Master_Table!B534-Master_Table!B533)/Master_Table!B533</f>
        <v>-1.6354033031679019E-3</v>
      </c>
      <c r="C534" s="3">
        <f>(Master_Table!C534-Master_Table!C533)/Master_Table!C533</f>
        <v>-7.8165852251213253E-3</v>
      </c>
      <c r="D534" s="3">
        <f>(Master_Table!D534-Master_Table!D533)/Master_Table!D533</f>
        <v>3.8861827570602879E-3</v>
      </c>
      <c r="E534" s="3">
        <f>(Master_Table!E534-Master_Table!E533)/Master_Table!E533</f>
        <v>-3.3685156074556477E-3</v>
      </c>
      <c r="F534" s="3">
        <f>(Master_Table!F534-Master_Table!F533)/Master_Table!F533</f>
        <v>2.5632894667301604E-3</v>
      </c>
      <c r="G534" s="3">
        <f>(Master_Table!G534-Master_Table!G533)/Master_Table!G533</f>
        <v>-1.0349025974025922E-2</v>
      </c>
      <c r="H534" s="3">
        <f>(Master_Table!H534-Master_Table!H533)/Master_Table!H533</f>
        <v>7.7058917964359522E-3</v>
      </c>
    </row>
    <row r="535" spans="1:8" x14ac:dyDescent="0.3">
      <c r="A535" s="1">
        <v>44613</v>
      </c>
      <c r="B535" s="3">
        <f>(Master_Table!B535-Master_Table!B534)/Master_Table!B534</f>
        <v>-4.0315345299628868E-3</v>
      </c>
      <c r="C535" s="3">
        <f>(Master_Table!C535-Master_Table!C534)/Master_Table!C534</f>
        <v>-1.0104406138971832E-2</v>
      </c>
      <c r="D535" s="3">
        <f>(Master_Table!D535-Master_Table!D534)/Master_Table!D534</f>
        <v>6.4430597905342883E-3</v>
      </c>
      <c r="E535" s="3">
        <f>(Master_Table!E535-Master_Table!E534)/Master_Table!E534</f>
        <v>-1.7575484452456085E-2</v>
      </c>
      <c r="F535" s="3">
        <f>(Master_Table!F535-Master_Table!F534)/Master_Table!F534</f>
        <v>-1.9636785365982234E-2</v>
      </c>
      <c r="G535" s="3">
        <f>(Master_Table!G535-Master_Table!G534)/Master_Table!G534</f>
        <v>1.3913705732446761E-2</v>
      </c>
      <c r="H535" s="3">
        <f>(Master_Table!H535-Master_Table!H534)/Master_Table!H534</f>
        <v>-1.0169401518772166E-2</v>
      </c>
    </row>
    <row r="536" spans="1:8" x14ac:dyDescent="0.3">
      <c r="A536" s="1">
        <v>44614</v>
      </c>
      <c r="B536" s="3">
        <f>(Master_Table!B536-Master_Table!B535)/Master_Table!B535</f>
        <v>-6.6514981126483495E-3</v>
      </c>
      <c r="C536" s="3">
        <f>(Master_Table!C536-Master_Table!C535)/Master_Table!C535</f>
        <v>-4.5438272794867266E-3</v>
      </c>
      <c r="D536" s="3">
        <f>(Master_Table!D536-Master_Table!D535)/Master_Table!D535</f>
        <v>-7.481953738342313E-3</v>
      </c>
      <c r="E536" s="3">
        <f>(Master_Table!E536-Master_Table!E535)/Master_Table!E535</f>
        <v>-1.4449541284403697E-2</v>
      </c>
      <c r="F536" s="3">
        <f>(Master_Table!F536-Master_Table!F535)/Master_Table!F535</f>
        <v>-3.5758455664892184E-2</v>
      </c>
      <c r="G536" s="3">
        <f>(Master_Table!G536-Master_Table!G535)/Master_Table!G535</f>
        <v>2.1089732478187227E-3</v>
      </c>
      <c r="H536" s="3">
        <f>(Master_Table!H536-Master_Table!H535)/Master_Table!H535</f>
        <v>-1.0461654014324419E-2</v>
      </c>
    </row>
    <row r="537" spans="1:8" x14ac:dyDescent="0.3">
      <c r="A537" s="1">
        <v>44615</v>
      </c>
      <c r="B537" s="3">
        <f>(Master_Table!B537-Master_Table!B536)/Master_Table!B536</f>
        <v>-1.6937550461614494E-3</v>
      </c>
      <c r="C537" s="3">
        <f>(Master_Table!C537-Master_Table!C536)/Master_Table!C536</f>
        <v>-6.2612961528530518E-3</v>
      </c>
      <c r="D537" s="3">
        <f>(Master_Table!D537-Master_Table!D536)/Master_Table!D536</f>
        <v>-6.4898869246695148E-3</v>
      </c>
      <c r="E537" s="3">
        <f>(Master_Table!E537-Master_Table!E536)/Master_Table!E536</f>
        <v>5.1198510588782607E-3</v>
      </c>
      <c r="F537" s="3">
        <f>(Master_Table!F537-Master_Table!F536)/Master_Table!F536</f>
        <v>-6.301583760874389E-3</v>
      </c>
      <c r="G537" s="3">
        <f>(Master_Table!G537-Master_Table!G536)/Master_Table!G536</f>
        <v>4.9009715455357915E-3</v>
      </c>
      <c r="H537" s="3">
        <f>(Master_Table!H537-Master_Table!H536)/Master_Table!H536</f>
        <v>-1.3093334056222771E-2</v>
      </c>
    </row>
    <row r="538" spans="1:8" x14ac:dyDescent="0.3">
      <c r="A538" s="1">
        <v>44616</v>
      </c>
      <c r="B538" s="3">
        <f>(Master_Table!B538-Master_Table!B537)/Master_Table!B537</f>
        <v>-4.7781049917219716E-2</v>
      </c>
      <c r="C538" s="3">
        <f>(Master_Table!C538-Master_Table!C537)/Master_Table!C537</f>
        <v>-4.9830650025518529E-2</v>
      </c>
      <c r="D538" s="3">
        <f>(Master_Table!D538-Master_Table!D537)/Master_Table!D537</f>
        <v>-5.430208792529953E-2</v>
      </c>
      <c r="E538" s="3">
        <f>(Master_Table!E538-Master_Table!E537)/Master_Table!E537</f>
        <v>-3.4498726557073346E-2</v>
      </c>
      <c r="F538" s="3">
        <f>(Master_Table!F538-Master_Table!F537)/Master_Table!F537</f>
        <v>-4.5499186261855347E-2</v>
      </c>
      <c r="G538" s="3">
        <f>(Master_Table!G538-Master_Table!G537)/Master_Table!G537</f>
        <v>-3.7123102963536631E-2</v>
      </c>
      <c r="H538" s="3">
        <f>(Master_Table!H538-Master_Table!H537)/Master_Table!H537</f>
        <v>-3.4582211723342332E-2</v>
      </c>
    </row>
    <row r="539" spans="1:8" x14ac:dyDescent="0.3">
      <c r="A539" s="1">
        <v>44617</v>
      </c>
      <c r="B539" s="3">
        <f>(Master_Table!B539-Master_Table!B538)/Master_Table!B538</f>
        <v>2.5261648392566491E-2</v>
      </c>
      <c r="C539" s="3">
        <f>(Master_Table!C539-Master_Table!C538)/Master_Table!C538</f>
        <v>1.2500610381366233E-2</v>
      </c>
      <c r="D539" s="3">
        <f>(Master_Table!D539-Master_Table!D538)/Master_Table!D538</f>
        <v>2.5849648275277498E-2</v>
      </c>
      <c r="E539" s="3">
        <f>(Master_Table!E539-Master_Table!E538)/Master_Table!E538</f>
        <v>2.6139088729016734E-2</v>
      </c>
      <c r="F539" s="3">
        <f>(Master_Table!F539-Master_Table!F538)/Master_Table!F538</f>
        <v>3.5012420443020269E-2</v>
      </c>
      <c r="G539" s="3">
        <f>(Master_Table!G539-Master_Table!G538)/Master_Table!G538</f>
        <v>9.8024610434107907E-3</v>
      </c>
      <c r="H539" s="3">
        <f>(Master_Table!H539-Master_Table!H538)/Master_Table!H538</f>
        <v>1.1210060602611914E-2</v>
      </c>
    </row>
    <row r="540" spans="1:8" x14ac:dyDescent="0.3">
      <c r="A540" s="1">
        <v>44620</v>
      </c>
      <c r="B540" s="3">
        <f>(Master_Table!B540-Master_Table!B539)/Master_Table!B539</f>
        <v>8.1340344811026265E-3</v>
      </c>
      <c r="C540" s="3">
        <f>(Master_Table!C540-Master_Table!C539)/Master_Table!C539</f>
        <v>3.3103448275862007E-2</v>
      </c>
      <c r="D540" s="3">
        <f>(Master_Table!D540-Master_Table!D539)/Master_Table!D539</f>
        <v>-2.048909451421017E-2</v>
      </c>
      <c r="E540" s="3">
        <f>(Master_Table!E540-Master_Table!E539)/Master_Table!E539</f>
        <v>8.8805795746670045E-3</v>
      </c>
      <c r="F540" s="3">
        <f>(Master_Table!F540-Master_Table!F539)/Master_Table!F539</f>
        <v>9.5008165873747968E-3</v>
      </c>
      <c r="G540" s="3">
        <f>(Master_Table!G540-Master_Table!G539)/Master_Table!G539</f>
        <v>1.2392304968724184E-2</v>
      </c>
      <c r="H540" s="3">
        <f>(Master_Table!H540-Master_Table!H539)/Master_Table!H539</f>
        <v>2.2340395599448549E-2</v>
      </c>
    </row>
    <row r="541" spans="1:8" x14ac:dyDescent="0.3">
      <c r="A541" s="1">
        <v>44622</v>
      </c>
      <c r="B541" s="3">
        <f>(Master_Table!B541-Master_Table!B540)/Master_Table!B540</f>
        <v>-1.1191563603451296E-2</v>
      </c>
      <c r="C541" s="3">
        <f>(Master_Table!C541-Master_Table!C540)/Master_Table!C540</f>
        <v>1.6525530544222178E-2</v>
      </c>
      <c r="D541" s="3">
        <f>(Master_Table!D541-Master_Table!D540)/Master_Table!D540</f>
        <v>-3.6465362123256934E-2</v>
      </c>
      <c r="E541" s="3">
        <f>(Master_Table!E541-Master_Table!E540)/Master_Table!E540</f>
        <v>-2.5480657864256798E-3</v>
      </c>
      <c r="F541" s="3">
        <f>(Master_Table!F541-Master_Table!F540)/Master_Table!F540</f>
        <v>-2.264926003038582E-3</v>
      </c>
      <c r="G541" s="3">
        <f>(Master_Table!G541-Master_Table!G540)/Master_Table!G540</f>
        <v>-7.460946607600813E-3</v>
      </c>
      <c r="H541" s="3">
        <f>(Master_Table!H541-Master_Table!H540)/Master_Table!H540</f>
        <v>-1.7751479289940829E-2</v>
      </c>
    </row>
    <row r="542" spans="1:8" x14ac:dyDescent="0.3">
      <c r="A542" s="1">
        <v>44623</v>
      </c>
      <c r="B542" s="3">
        <f>(Master_Table!B542-Master_Table!B541)/Master_Table!B541</f>
        <v>-6.4976710155095884E-3</v>
      </c>
      <c r="C542" s="3">
        <f>(Master_Table!C542-Master_Table!C541)/Master_Table!C541</f>
        <v>-8.4407175069115183E-3</v>
      </c>
      <c r="D542" s="3">
        <f>(Master_Table!D542-Master_Table!D541)/Master_Table!D541</f>
        <v>-2.363514341571598E-3</v>
      </c>
      <c r="E542" s="3">
        <f>(Master_Table!E542-Master_Table!E541)/Master_Table!E541</f>
        <v>1.9043195541105406E-2</v>
      </c>
      <c r="F542" s="3">
        <f>(Master_Table!F542-Master_Table!F541)/Master_Table!F541</f>
        <v>-4.9349294305091438E-4</v>
      </c>
      <c r="G542" s="3">
        <f>(Master_Table!G542-Master_Table!G541)/Master_Table!G541</f>
        <v>1.0600187925769295E-2</v>
      </c>
      <c r="H542" s="3">
        <f>(Master_Table!H542-Master_Table!H541)/Master_Table!H541</f>
        <v>-1.8044270103670521E-2</v>
      </c>
    </row>
    <row r="543" spans="1:8" x14ac:dyDescent="0.3">
      <c r="A543" s="1">
        <v>44624</v>
      </c>
      <c r="B543" s="3">
        <f>(Master_Table!B543-Master_Table!B542)/Master_Table!B542</f>
        <v>-1.5316961701534359E-2</v>
      </c>
      <c r="C543" s="3">
        <f>(Master_Table!C543-Master_Table!C542)/Master_Table!C542</f>
        <v>-2.2175290390707338E-2</v>
      </c>
      <c r="D543" s="3">
        <f>(Master_Table!D543-Master_Table!D542)/Master_Table!D542</f>
        <v>-3.2904357999415036E-3</v>
      </c>
      <c r="E543" s="3">
        <f>(Master_Table!E543-Master_Table!E542)/Master_Table!E542</f>
        <v>2.7803099361896053E-2</v>
      </c>
      <c r="F543" s="3">
        <f>(Master_Table!F543-Master_Table!F542)/Master_Table!F542</f>
        <v>-5.6568107437084359E-3</v>
      </c>
      <c r="G543" s="3">
        <f>(Master_Table!G543-Master_Table!G542)/Master_Table!G542</f>
        <v>1.4237150245518468E-3</v>
      </c>
      <c r="H543" s="3">
        <f>(Master_Table!H543-Master_Table!H542)/Master_Table!H542</f>
        <v>-2.3141014666438371E-2</v>
      </c>
    </row>
    <row r="544" spans="1:8" x14ac:dyDescent="0.3">
      <c r="A544" s="1">
        <v>44627</v>
      </c>
      <c r="B544" s="3">
        <f>(Master_Table!B544-Master_Table!B543)/Master_Table!B543</f>
        <v>-2.3526732264925083E-2</v>
      </c>
      <c r="C544" s="3">
        <f>(Master_Table!C544-Master_Table!C543)/Master_Table!C543</f>
        <v>-3.6982304573528926E-2</v>
      </c>
      <c r="D544" s="3">
        <f>(Master_Table!D544-Master_Table!D543)/Master_Table!D543</f>
        <v>-3.0503998239307408E-2</v>
      </c>
      <c r="E544" s="3">
        <f>(Master_Table!E544-Master_Table!E543)/Master_Table!E543</f>
        <v>-2.4390243902439527E-3</v>
      </c>
      <c r="F544" s="3">
        <f>(Master_Table!F544-Master_Table!F543)/Master_Table!F543</f>
        <v>-1.1193553421198184E-2</v>
      </c>
      <c r="G544" s="3">
        <f>(Master_Table!G544-Master_Table!G543)/Master_Table!G543</f>
        <v>9.6036673823477955E-3</v>
      </c>
      <c r="H544" s="3">
        <f>(Master_Table!H544-Master_Table!H543)/Master_Table!H543</f>
        <v>-4.5158463560683482E-2</v>
      </c>
    </row>
    <row r="545" spans="1:8" x14ac:dyDescent="0.3">
      <c r="A545" s="1">
        <v>44628</v>
      </c>
      <c r="B545" s="3">
        <f>(Master_Table!B545-Master_Table!B544)/Master_Table!B544</f>
        <v>9.4747890551372897E-3</v>
      </c>
      <c r="C545" s="3">
        <f>(Master_Table!C545-Master_Table!C544)/Master_Table!C544</f>
        <v>-1.809954751131253E-3</v>
      </c>
      <c r="D545" s="3">
        <f>(Master_Table!D545-Master_Table!D544)/Master_Table!D544</f>
        <v>2.2549791149585464E-3</v>
      </c>
      <c r="E545" s="3">
        <f>(Master_Table!E545-Master_Table!E544)/Master_Table!E544</f>
        <v>8.6685930206713366E-3</v>
      </c>
      <c r="F545" s="3">
        <f>(Master_Table!F545-Master_Table!F544)/Master_Table!F544</f>
        <v>3.3013859795115993E-2</v>
      </c>
      <c r="G545" s="3">
        <f>(Master_Table!G545-Master_Table!G544)/Master_Table!G544</f>
        <v>2.2042130068684163E-2</v>
      </c>
      <c r="H545" s="3">
        <f>(Master_Table!H545-Master_Table!H544)/Master_Table!H544</f>
        <v>1.4714429930557651E-2</v>
      </c>
    </row>
    <row r="546" spans="1:8" x14ac:dyDescent="0.3">
      <c r="A546" s="1">
        <v>44629</v>
      </c>
      <c r="B546" s="3">
        <f>(Master_Table!B546-Master_Table!B545)/Master_Table!B545</f>
        <v>2.0726326931423247E-2</v>
      </c>
      <c r="C546" s="3">
        <f>(Master_Table!C546-Master_Table!C545)/Master_Table!C545</f>
        <v>5.3056880444637078E-2</v>
      </c>
      <c r="D546" s="3">
        <f>(Master_Table!D546-Master_Table!D545)/Master_Table!D545</f>
        <v>3.2646281615704049E-2</v>
      </c>
      <c r="E546" s="3">
        <f>(Master_Table!E546-Master_Table!E545)/Master_Table!E545</f>
        <v>1.0356985456148058E-2</v>
      </c>
      <c r="F546" s="3">
        <f>(Master_Table!F546-Master_Table!F545)/Master_Table!F545</f>
        <v>9.0695704107001743E-3</v>
      </c>
      <c r="G546" s="3">
        <f>(Master_Table!G546-Master_Table!G545)/Master_Table!G545</f>
        <v>1.9767180294679935E-2</v>
      </c>
      <c r="H546" s="3">
        <f>(Master_Table!H546-Master_Table!H545)/Master_Table!H545</f>
        <v>1.9565872776605393E-2</v>
      </c>
    </row>
    <row r="547" spans="1:8" x14ac:dyDescent="0.3">
      <c r="A547" s="1">
        <v>44630</v>
      </c>
      <c r="B547" s="3">
        <f>(Master_Table!B547-Master_Table!B546)/Master_Table!B546</f>
        <v>1.5267339029142912E-2</v>
      </c>
      <c r="C547" s="3">
        <f>(Master_Table!C547-Master_Table!C546)/Master_Table!C546</f>
        <v>1.6198764738910888E-2</v>
      </c>
      <c r="D547" s="3">
        <f>(Master_Table!D547-Master_Table!D546)/Master_Table!D546</f>
        <v>1.5719361867021511E-2</v>
      </c>
      <c r="E547" s="3">
        <f>(Master_Table!E547-Master_Table!E546)/Master_Table!E546</f>
        <v>1.1995637949836423E-2</v>
      </c>
      <c r="F547" s="3">
        <f>(Master_Table!F547-Master_Table!F546)/Master_Table!F546</f>
        <v>-3.2070693167428541E-3</v>
      </c>
      <c r="G547" s="3">
        <f>(Master_Table!G547-Master_Table!G546)/Master_Table!G546</f>
        <v>6.9208922712108434E-3</v>
      </c>
      <c r="H547" s="3">
        <f>(Master_Table!H547-Master_Table!H546)/Master_Table!H546</f>
        <v>2.2029036931902186E-2</v>
      </c>
    </row>
    <row r="548" spans="1:8" x14ac:dyDescent="0.3">
      <c r="A548" s="1">
        <v>44631</v>
      </c>
      <c r="B548" s="3">
        <f>(Master_Table!B548-Master_Table!B547)/Master_Table!B547</f>
        <v>2.1422244183453513E-3</v>
      </c>
      <c r="C548" s="3">
        <f>(Master_Table!C548-Master_Table!C547)/Master_Table!C547</f>
        <v>2.8823751507950765E-3</v>
      </c>
      <c r="D548" s="3">
        <f>(Master_Table!D548-Master_Table!D547)/Master_Table!D547</f>
        <v>2.9512539230081981E-3</v>
      </c>
      <c r="E548" s="3">
        <f>(Master_Table!E548-Master_Table!E547)/Master_Table!E547</f>
        <v>1.8749999999999975E-2</v>
      </c>
      <c r="F548" s="3">
        <f>(Master_Table!F548-Master_Table!F547)/Master_Table!F547</f>
        <v>-6.0205194769327739E-3</v>
      </c>
      <c r="G548" s="3">
        <f>(Master_Table!G548-Master_Table!G547)/Master_Table!G547</f>
        <v>-2.1359329645654697E-3</v>
      </c>
      <c r="H548" s="3">
        <f>(Master_Table!H548-Master_Table!H547)/Master_Table!H547</f>
        <v>2.603865293369086E-4</v>
      </c>
    </row>
    <row r="549" spans="1:8" x14ac:dyDescent="0.3">
      <c r="A549" s="1">
        <v>44634</v>
      </c>
      <c r="B549" s="3">
        <f>(Master_Table!B549-Master_Table!B548)/Master_Table!B548</f>
        <v>1.4482470408196923E-2</v>
      </c>
      <c r="C549" s="3">
        <f>(Master_Table!C549-Master_Table!C548)/Master_Table!C548</f>
        <v>8.2182472636450864E-3</v>
      </c>
      <c r="D549" s="3">
        <f>(Master_Table!D549-Master_Table!D548)/Master_Table!D548</f>
        <v>3.2741470136506613E-2</v>
      </c>
      <c r="E549" s="3">
        <f>(Master_Table!E549-Master_Table!E548)/Master_Table!E548</f>
        <v>1.1212185318383777E-2</v>
      </c>
      <c r="F549" s="3">
        <f>(Master_Table!F549-Master_Table!F548)/Master_Table!F548</f>
        <v>1.2183432199269246E-2</v>
      </c>
      <c r="G549" s="3">
        <f>(Master_Table!G549-Master_Table!G548)/Master_Table!G548</f>
        <v>3.7705817782656449E-2</v>
      </c>
      <c r="H549" s="3">
        <f>(Master_Table!H549-Master_Table!H548)/Master_Table!H548</f>
        <v>1.0470598443872332E-2</v>
      </c>
    </row>
    <row r="550" spans="1:8" x14ac:dyDescent="0.3">
      <c r="A550" s="1">
        <v>44635</v>
      </c>
      <c r="B550" s="3">
        <f>(Master_Table!B550-Master_Table!B549)/Master_Table!B549</f>
        <v>-1.2346410768583291E-2</v>
      </c>
      <c r="C550" s="3">
        <f>(Master_Table!C550-Master_Table!C549)/Master_Table!C549</f>
        <v>-2.2905490942540543E-2</v>
      </c>
      <c r="D550" s="3">
        <f>(Master_Table!D550-Master_Table!D549)/Master_Table!D549</f>
        <v>-1.2856507477622727E-2</v>
      </c>
      <c r="E550" s="3">
        <f>(Master_Table!E550-Master_Table!E549)/Master_Table!E549</f>
        <v>-4.8117154811715716E-3</v>
      </c>
      <c r="F550" s="3">
        <f>(Master_Table!F550-Master_Table!F549)/Master_Table!F549</f>
        <v>-1.347790282734008E-2</v>
      </c>
      <c r="G550" s="3">
        <f>(Master_Table!G550-Master_Table!G549)/Master_Table!G549</f>
        <v>-2.7185698418575179E-2</v>
      </c>
      <c r="H550" s="3">
        <f>(Master_Table!H550-Master_Table!H549)/Master_Table!H549</f>
        <v>-1.8892228424216141E-3</v>
      </c>
    </row>
    <row r="551" spans="1:8" x14ac:dyDescent="0.3">
      <c r="A551" s="1">
        <v>44636</v>
      </c>
      <c r="B551" s="3">
        <f>(Master_Table!B551-Master_Table!B550)/Master_Table!B550</f>
        <v>1.874512392726391E-2</v>
      </c>
      <c r="C551" s="3">
        <f>(Master_Table!C551-Master_Table!C550)/Master_Table!C550</f>
        <v>1.6880429514186765E-2</v>
      </c>
      <c r="D551" s="3">
        <f>(Master_Table!D551-Master_Table!D550)/Master_Table!D550</f>
        <v>1.6966334849274116E-2</v>
      </c>
      <c r="E551" s="3">
        <f>(Master_Table!E551-Master_Table!E550)/Master_Table!E550</f>
        <v>1.9970569686777382E-2</v>
      </c>
      <c r="F551" s="3">
        <f>(Master_Table!F551-Master_Table!F550)/Master_Table!F550</f>
        <v>1.7251453852360946E-2</v>
      </c>
      <c r="G551" s="3">
        <f>(Master_Table!G551-Master_Table!G550)/Master_Table!G550</f>
        <v>2.7238623389332972E-2</v>
      </c>
      <c r="H551" s="3">
        <f>(Master_Table!H551-Master_Table!H550)/Master_Table!H550</f>
        <v>7.313086122343629E-3</v>
      </c>
    </row>
    <row r="552" spans="1:8" x14ac:dyDescent="0.3">
      <c r="A552" s="1">
        <v>44637</v>
      </c>
      <c r="B552" s="3">
        <f>(Master_Table!B552-Master_Table!B551)/Master_Table!B551</f>
        <v>1.836191890005218E-2</v>
      </c>
      <c r="C552" s="3">
        <f>(Master_Table!C552-Master_Table!C551)/Master_Table!C551</f>
        <v>3.2604610660433506E-2</v>
      </c>
      <c r="D552" s="3">
        <f>(Master_Table!D552-Master_Table!D551)/Master_Table!D551</f>
        <v>2.2027468571745142E-2</v>
      </c>
      <c r="E552" s="3">
        <f>(Master_Table!E552-Master_Table!E551)/Master_Table!E551</f>
        <v>9.4806265457543747E-3</v>
      </c>
      <c r="F552" s="3">
        <f>(Master_Table!F552-Master_Table!F551)/Master_Table!F551</f>
        <v>4.6089882108372518E-3</v>
      </c>
      <c r="G552" s="3">
        <f>(Master_Table!G552-Master_Table!G551)/Master_Table!G551</f>
        <v>-1.8418545570022326E-2</v>
      </c>
      <c r="H552" s="3">
        <f>(Master_Table!H552-Master_Table!H551)/Master_Table!H551</f>
        <v>1.8050335952625011E-2</v>
      </c>
    </row>
    <row r="553" spans="1:8" x14ac:dyDescent="0.3">
      <c r="A553" s="1">
        <v>44641</v>
      </c>
      <c r="B553" s="3">
        <f>(Master_Table!B553-Master_Table!B552)/Master_Table!B552</f>
        <v>-9.8021351242693656E-3</v>
      </c>
      <c r="C553" s="3">
        <f>(Master_Table!C553-Master_Table!C552)/Master_Table!C552</f>
        <v>-5.761104995916636E-3</v>
      </c>
      <c r="D553" s="3">
        <f>(Master_Table!D553-Master_Table!D552)/Master_Table!D552</f>
        <v>4.3620206179979587E-3</v>
      </c>
      <c r="E553" s="3">
        <f>(Master_Table!E553-Master_Table!E552)/Master_Table!E552</f>
        <v>-1.6333197223356703E-3</v>
      </c>
      <c r="F553" s="3">
        <f>(Master_Table!F553-Master_Table!F552)/Master_Table!F552</f>
        <v>-1.2538288748213241E-2</v>
      </c>
      <c r="G553" s="3">
        <f>(Master_Table!G553-Master_Table!G552)/Master_Table!G552</f>
        <v>-8.3575973255686114E-4</v>
      </c>
      <c r="H553" s="3">
        <f>(Master_Table!H553-Master_Table!H552)/Master_Table!H552</f>
        <v>-1.7674366575311892E-2</v>
      </c>
    </row>
    <row r="554" spans="1:8" x14ac:dyDescent="0.3">
      <c r="A554" s="1">
        <v>44642</v>
      </c>
      <c r="B554" s="3">
        <f>(Master_Table!B554-Master_Table!B553)/Master_Table!B553</f>
        <v>1.1561200168247972E-2</v>
      </c>
      <c r="C554" s="3">
        <f>(Master_Table!C554-Master_Table!C553)/Master_Table!C553</f>
        <v>2.5829665276823E-2</v>
      </c>
      <c r="D554" s="3">
        <f>(Master_Table!D554-Master_Table!D553)/Master_Table!D553</f>
        <v>5.1388570426620346E-3</v>
      </c>
      <c r="E554" s="3">
        <f>(Master_Table!E554-Master_Table!E553)/Master_Table!E553</f>
        <v>2.1472392638036811E-2</v>
      </c>
      <c r="F554" s="3">
        <f>(Master_Table!F554-Master_Table!F553)/Master_Table!F553</f>
        <v>2.0473157415832575E-2</v>
      </c>
      <c r="G554" s="3">
        <f>(Master_Table!G554-Master_Table!G553)/Master_Table!G553</f>
        <v>1.8537006556757853E-2</v>
      </c>
      <c r="H554" s="3">
        <f>(Master_Table!H554-Master_Table!H553)/Master_Table!H553</f>
        <v>1.0106473837043786E-2</v>
      </c>
    </row>
    <row r="555" spans="1:8" x14ac:dyDescent="0.3">
      <c r="A555" s="1">
        <v>44643</v>
      </c>
      <c r="B555" s="3">
        <f>(Master_Table!B555-Master_Table!B554)/Master_Table!B554</f>
        <v>-4.033958014495599E-3</v>
      </c>
      <c r="C555" s="3">
        <f>(Master_Table!C555-Master_Table!C554)/Master_Table!C554</f>
        <v>3.1854894861438644E-3</v>
      </c>
      <c r="D555" s="3">
        <f>(Master_Table!D555-Master_Table!D554)/Master_Table!D554</f>
        <v>-9.9702101392878124E-3</v>
      </c>
      <c r="E555" s="3">
        <f>(Master_Table!E555-Master_Table!E554)/Master_Table!E554</f>
        <v>9.0090090090090089E-3</v>
      </c>
      <c r="F555" s="3">
        <f>(Master_Table!F555-Master_Table!F554)/Master_Table!F554</f>
        <v>3.0938002404788697E-3</v>
      </c>
      <c r="G555" s="3">
        <f>(Master_Table!G555-Master_Table!G554)/Master_Table!G554</f>
        <v>-7.9474409240224645E-3</v>
      </c>
      <c r="H555" s="3">
        <f>(Master_Table!H555-Master_Table!H554)/Master_Table!H554</f>
        <v>-3.8330374002987261E-3</v>
      </c>
    </row>
    <row r="556" spans="1:8" x14ac:dyDescent="0.3">
      <c r="A556" s="1">
        <v>44644</v>
      </c>
      <c r="B556" s="3">
        <f>(Master_Table!B556-Master_Table!B555)/Master_Table!B555</f>
        <v>-1.3278710863319999E-3</v>
      </c>
      <c r="C556" s="3">
        <f>(Master_Table!C556-Master_Table!C555)/Master_Table!C555</f>
        <v>1.5538512259027332E-2</v>
      </c>
      <c r="D556" s="3">
        <f>(Master_Table!D556-Master_Table!D555)/Master_Table!D555</f>
        <v>-2.4749589991732053E-2</v>
      </c>
      <c r="E556" s="3">
        <f>(Master_Table!E556-Master_Table!E555)/Master_Table!E555</f>
        <v>1.1309523809523787E-2</v>
      </c>
      <c r="F556" s="3">
        <f>(Master_Table!F556-Master_Table!F555)/Master_Table!F555</f>
        <v>1.0087813813166636E-2</v>
      </c>
      <c r="G556" s="3">
        <f>(Master_Table!G556-Master_Table!G555)/Master_Table!G555</f>
        <v>7.6372569963682729E-3</v>
      </c>
      <c r="H556" s="3">
        <f>(Master_Table!H556-Master_Table!H555)/Master_Table!H555</f>
        <v>2.4331588626396688E-3</v>
      </c>
    </row>
    <row r="557" spans="1:8" x14ac:dyDescent="0.3">
      <c r="A557" s="1">
        <v>44645</v>
      </c>
      <c r="B557" s="3">
        <f>(Master_Table!B557-Master_Table!B556)/Master_Table!B556</f>
        <v>-4.0498758909001172E-3</v>
      </c>
      <c r="C557" s="3">
        <f>(Master_Table!C557-Master_Table!C556)/Master_Table!C556</f>
        <v>6.6636480910356463E-3</v>
      </c>
      <c r="D557" s="3">
        <f>(Master_Table!D557-Master_Table!D556)/Master_Table!D556</f>
        <v>-8.144205245090564E-3</v>
      </c>
      <c r="E557" s="3">
        <f>(Master_Table!E557-Master_Table!E556)/Master_Table!E556</f>
        <v>-5.8858151854031789E-3</v>
      </c>
      <c r="F557" s="3">
        <f>(Master_Table!F557-Master_Table!F556)/Master_Table!F556</f>
        <v>-1.1307118951424748E-2</v>
      </c>
      <c r="G557" s="3">
        <f>(Master_Table!G557-Master_Table!G556)/Master_Table!G556</f>
        <v>-5.3797636084168604E-3</v>
      </c>
      <c r="H557" s="3">
        <f>(Master_Table!H557-Master_Table!H556)/Master_Table!H556</f>
        <v>-1.1543563546047273E-2</v>
      </c>
    </row>
    <row r="558" spans="1:8" x14ac:dyDescent="0.3">
      <c r="A558" s="1">
        <v>44648</v>
      </c>
      <c r="B558" s="3">
        <f>(Master_Table!B558-Master_Table!B557)/Master_Table!B557</f>
        <v>4.022619949862998E-3</v>
      </c>
      <c r="C558" s="3">
        <f>(Master_Table!C558-Master_Table!C557)/Master_Table!C557</f>
        <v>1.0056605534952124E-2</v>
      </c>
      <c r="D558" s="3">
        <f>(Master_Table!D558-Master_Table!D557)/Master_Table!D557</f>
        <v>1.3311474491011889E-3</v>
      </c>
      <c r="E558" s="3">
        <f>(Master_Table!E558-Master_Table!E557)/Master_Table!E557</f>
        <v>1.4604302348529769E-2</v>
      </c>
      <c r="F558" s="3">
        <f>(Master_Table!F558-Master_Table!F557)/Master_Table!F557</f>
        <v>6.7431792741641834E-5</v>
      </c>
      <c r="G558" s="3">
        <f>(Master_Table!G558-Master_Table!G557)/Master_Table!G557</f>
        <v>-1.4121659428205291E-3</v>
      </c>
      <c r="H558" s="3">
        <f>(Master_Table!H558-Master_Table!H557)/Master_Table!H557</f>
        <v>-5.4251613271657818E-3</v>
      </c>
    </row>
    <row r="559" spans="1:8" x14ac:dyDescent="0.3">
      <c r="A559" s="1">
        <v>44649</v>
      </c>
      <c r="B559" s="3">
        <f>(Master_Table!B559-Master_Table!B558)/Master_Table!B558</f>
        <v>5.9981419115084931E-3</v>
      </c>
      <c r="C559" s="3">
        <f>(Master_Table!C559-Master_Table!C558)/Master_Table!C558</f>
        <v>2.2685644188272512E-4</v>
      </c>
      <c r="D559" s="3">
        <f>(Master_Table!D559-Master_Table!D558)/Master_Table!D558</f>
        <v>1.3265791609526767E-2</v>
      </c>
      <c r="E559" s="3">
        <f>(Master_Table!E559-Master_Table!E558)/Master_Table!E558</f>
        <v>-9.5312196070804003E-3</v>
      </c>
      <c r="F559" s="3">
        <f>(Master_Table!F559-Master_Table!F558)/Master_Table!F558</f>
        <v>-6.3381611241468004E-4</v>
      </c>
      <c r="G559" s="3">
        <f>(Master_Table!G559-Master_Table!G558)/Master_Table!G558</f>
        <v>6.4571215112865727E-3</v>
      </c>
      <c r="H559" s="3">
        <f>(Master_Table!H559-Master_Table!H558)/Master_Table!H558</f>
        <v>2.8996325218191214E-3</v>
      </c>
    </row>
    <row r="560" spans="1:8" x14ac:dyDescent="0.3">
      <c r="A560" s="1">
        <v>44650</v>
      </c>
      <c r="B560" s="3">
        <f>(Master_Table!B560-Master_Table!B559)/Master_Table!B559</f>
        <v>9.982511125348521E-3</v>
      </c>
      <c r="C560" s="3">
        <f>(Master_Table!C560-Master_Table!C559)/Master_Table!C559</f>
        <v>1.9219622831702199E-2</v>
      </c>
      <c r="D560" s="3">
        <f>(Master_Table!D560-Master_Table!D559)/Master_Table!D559</f>
        <v>1.7318049993094827E-2</v>
      </c>
      <c r="E560" s="3">
        <f>(Master_Table!E560-Master_Table!E559)/Master_Table!E559</f>
        <v>-2.1209740769835058E-2</v>
      </c>
      <c r="F560" s="3">
        <f>(Master_Table!F560-Master_Table!F559)/Master_Table!F559</f>
        <v>7.0708570040617681E-3</v>
      </c>
      <c r="G560" s="3">
        <f>(Master_Table!G560-Master_Table!G559)/Master_Table!G559</f>
        <v>9.5174973488865566E-3</v>
      </c>
      <c r="H560" s="3">
        <f>(Master_Table!H560-Master_Table!H559)/Master_Table!H559</f>
        <v>1.5429536541379107E-2</v>
      </c>
    </row>
    <row r="561" spans="1:8" x14ac:dyDescent="0.3">
      <c r="A561" s="1">
        <v>44651</v>
      </c>
      <c r="B561" s="3">
        <f>(Master_Table!B561-Master_Table!B560)/Master_Table!B560</f>
        <v>-1.9144771620019144E-3</v>
      </c>
      <c r="C561" s="3">
        <f>(Master_Table!C561-Master_Table!C560)/Master_Table!C560</f>
        <v>-1.4291248052879199E-2</v>
      </c>
      <c r="D561" s="3">
        <f>(Master_Table!D561-Master_Table!D560)/Master_Table!D560</f>
        <v>-4.4662250217201941E-3</v>
      </c>
      <c r="E561" s="3">
        <f>(Master_Table!E561-Master_Table!E560)/Master_Table!E560</f>
        <v>5.8186195826645951E-3</v>
      </c>
      <c r="F561" s="3">
        <f>(Master_Table!F561-Master_Table!F560)/Master_Table!F560</f>
        <v>2.2510752904288125E-3</v>
      </c>
      <c r="G561" s="3">
        <f>(Master_Table!G561-Master_Table!G560)/Master_Table!G560</f>
        <v>1.5231492423644862E-3</v>
      </c>
      <c r="H561" s="3">
        <f>(Master_Table!H561-Master_Table!H560)/Master_Table!H560</f>
        <v>-3.3547586829047239E-3</v>
      </c>
    </row>
    <row r="562" spans="1:8" x14ac:dyDescent="0.3">
      <c r="A562" s="1">
        <v>44652</v>
      </c>
      <c r="B562" s="3">
        <f>(Master_Table!B562-Master_Table!B561)/Master_Table!B561</f>
        <v>1.1778009991554459E-2</v>
      </c>
      <c r="C562" s="3">
        <f>(Master_Table!C562-Master_Table!C561)/Master_Table!C561</f>
        <v>8.010100418899763E-3</v>
      </c>
      <c r="D562" s="3">
        <f>(Master_Table!D562-Master_Table!D561)/Master_Table!D561</f>
        <v>2.4244903524919849E-2</v>
      </c>
      <c r="E562" s="3">
        <f>(Master_Table!E562-Master_Table!E561)/Master_Table!E561</f>
        <v>1.0572511470177562E-2</v>
      </c>
      <c r="F562" s="3">
        <f>(Master_Table!F562-Master_Table!F561)/Master_Table!F561</f>
        <v>5.0268051711921773E-3</v>
      </c>
      <c r="G562" s="3">
        <f>(Master_Table!G562-Master_Table!G561)/Master_Table!G561</f>
        <v>-1.7306028266512597E-3</v>
      </c>
      <c r="H562" s="3">
        <f>(Master_Table!H562-Master_Table!H561)/Master_Table!H561</f>
        <v>1.2700478035810153E-2</v>
      </c>
    </row>
    <row r="563" spans="1:8" x14ac:dyDescent="0.3">
      <c r="A563" s="1">
        <v>44655</v>
      </c>
      <c r="B563" s="3">
        <f>(Master_Table!B563-Master_Table!B562)/Master_Table!B562</f>
        <v>2.1671774063478901E-2</v>
      </c>
      <c r="C563" s="3">
        <f>(Master_Table!C563-Master_Table!C562)/Master_Table!C562</f>
        <v>2.9529600106175278E-3</v>
      </c>
      <c r="D563" s="3">
        <f>(Master_Table!D563-Master_Table!D562)/Master_Table!D562</f>
        <v>0.1001291387642619</v>
      </c>
      <c r="E563" s="3">
        <f>(Master_Table!E563-Master_Table!E562)/Master_Table!E562</f>
        <v>8.4879589419659587E-3</v>
      </c>
      <c r="F563" s="3">
        <f>(Master_Table!F563-Master_Table!F562)/Master_Table!F562</f>
        <v>3.0861323578317019E-3</v>
      </c>
      <c r="G563" s="3">
        <f>(Master_Table!G563-Master_Table!G562)/Master_Table!G562</f>
        <v>-1.0821885424601356E-2</v>
      </c>
      <c r="H563" s="3">
        <f>(Master_Table!H563-Master_Table!H562)/Master_Table!H562</f>
        <v>2.0250265348304566E-2</v>
      </c>
    </row>
    <row r="564" spans="1:8" x14ac:dyDescent="0.3">
      <c r="A564" s="1">
        <v>44656</v>
      </c>
      <c r="B564" s="3">
        <f>(Master_Table!B564-Master_Table!B563)/Master_Table!B563</f>
        <v>-5.3175579115291296E-3</v>
      </c>
      <c r="C564" s="3">
        <f>(Master_Table!C564-Master_Table!C563)/Master_Table!C563</f>
        <v>-1.4134129498068979E-2</v>
      </c>
      <c r="D564" s="3">
        <f>(Master_Table!D564-Master_Table!D563)/Master_Table!D563</f>
        <v>-2.9297867705787007E-2</v>
      </c>
      <c r="E564" s="3">
        <f>(Master_Table!E564-Master_Table!E563)/Master_Table!E563</f>
        <v>1.5658641612840085E-2</v>
      </c>
      <c r="F564" s="3">
        <f>(Master_Table!F564-Master_Table!F563)/Master_Table!F563</f>
        <v>1.1789356425796087E-2</v>
      </c>
      <c r="G564" s="3">
        <f>(Master_Table!G564-Master_Table!G563)/Master_Table!G563</f>
        <v>-1.1604131814440179E-2</v>
      </c>
      <c r="H564" s="3">
        <f>(Master_Table!H564-Master_Table!H563)/Master_Table!H563</f>
        <v>5.3111397048758707E-3</v>
      </c>
    </row>
    <row r="565" spans="1:8" x14ac:dyDescent="0.3">
      <c r="A565" s="1">
        <v>44657</v>
      </c>
      <c r="B565" s="3">
        <f>(Master_Table!B565-Master_Table!B564)/Master_Table!B564</f>
        <v>-8.3391805049728793E-3</v>
      </c>
      <c r="C565" s="3">
        <f>(Master_Table!C565-Master_Table!C564)/Master_Table!C564</f>
        <v>-2.6676957149089492E-3</v>
      </c>
      <c r="D565" s="3">
        <f>(Master_Table!D565-Master_Table!D564)/Master_Table!D564</f>
        <v>-3.5692468801815161E-2</v>
      </c>
      <c r="E565" s="3">
        <f>(Master_Table!E565-Master_Table!E564)/Master_Table!E564</f>
        <v>5.7814607824256735E-4</v>
      </c>
      <c r="F565" s="3">
        <f>(Master_Table!F565-Master_Table!F564)/Master_Table!F564</f>
        <v>-1.5584041103072316E-2</v>
      </c>
      <c r="G565" s="3">
        <f>(Master_Table!G565-Master_Table!G564)/Master_Table!G564</f>
        <v>-1.7328461662457686E-2</v>
      </c>
      <c r="H565" s="3">
        <f>(Master_Table!H565-Master_Table!H564)/Master_Table!H564</f>
        <v>9.1228452384194327E-3</v>
      </c>
    </row>
    <row r="566" spans="1:8" x14ac:dyDescent="0.3">
      <c r="A566" s="1">
        <v>44658</v>
      </c>
      <c r="B566" s="3">
        <f>(Master_Table!B566-Master_Table!B565)/Master_Table!B565</f>
        <v>-9.4397632478177736E-3</v>
      </c>
      <c r="C566" s="3">
        <f>(Master_Table!C566-Master_Table!C565)/Master_Table!C565</f>
        <v>-1.7638746362060968E-2</v>
      </c>
      <c r="D566" s="3">
        <f>(Master_Table!D566-Master_Table!D565)/Master_Table!D565</f>
        <v>-2.1990950226244331E-2</v>
      </c>
      <c r="E566" s="3">
        <f>(Master_Table!E566-Master_Table!E565)/Master_Table!E565</f>
        <v>-1.1363636363636537E-2</v>
      </c>
      <c r="F566" s="3">
        <f>(Master_Table!F566-Master_Table!F565)/Master_Table!F565</f>
        <v>-1.8959617612206537E-2</v>
      </c>
      <c r="G566" s="3">
        <f>(Master_Table!G566-Master_Table!G565)/Master_Table!G565</f>
        <v>-9.7602318396806248E-3</v>
      </c>
      <c r="H566" s="3">
        <f>(Master_Table!H566-Master_Table!H565)/Master_Table!H565</f>
        <v>-1.4302677029360968E-2</v>
      </c>
    </row>
    <row r="567" spans="1:8" x14ac:dyDescent="0.3">
      <c r="A567" s="1">
        <v>44659</v>
      </c>
      <c r="B567" s="3">
        <f>(Master_Table!B567-Master_Table!B566)/Master_Table!B566</f>
        <v>8.2088261888766598E-3</v>
      </c>
      <c r="C567" s="3">
        <f>(Master_Table!C567-Master_Table!C566)/Master_Table!C566</f>
        <v>1.663684079836272E-2</v>
      </c>
      <c r="D567" s="3">
        <f>(Master_Table!D567-Master_Table!D566)/Master_Table!D566</f>
        <v>-1.3747703208237567E-3</v>
      </c>
      <c r="E567" s="3">
        <f>(Master_Table!E567-Master_Table!E566)/Master_Table!E566</f>
        <v>3.7054354178842973E-2</v>
      </c>
      <c r="F567" s="3">
        <f>(Master_Table!F567-Master_Table!F566)/Master_Table!F566</f>
        <v>4.0714954602825618E-4</v>
      </c>
      <c r="G567" s="3">
        <f>(Master_Table!G567-Master_Table!G566)/Master_Table!G566</f>
        <v>1.9878520154610209E-3</v>
      </c>
      <c r="H567" s="3">
        <f>(Master_Table!H567-Master_Table!H566)/Master_Table!H566</f>
        <v>2.4366204895143436E-3</v>
      </c>
    </row>
    <row r="568" spans="1:8" x14ac:dyDescent="0.3">
      <c r="A568" s="1">
        <v>44662</v>
      </c>
      <c r="B568" s="3">
        <f>(Master_Table!B568-Master_Table!B567)/Master_Table!B567</f>
        <v>-6.1514758762618721E-3</v>
      </c>
      <c r="C568" s="3">
        <f>(Master_Table!C568-Master_Table!C567)/Master_Table!C567</f>
        <v>-2.0803153320082435E-3</v>
      </c>
      <c r="D568" s="3">
        <f>(Master_Table!D568-Master_Table!D567)/Master_Table!D567</f>
        <v>-1.2217883380766454E-2</v>
      </c>
      <c r="E568" s="3">
        <f>(Master_Table!E568-Master_Table!E567)/Master_Table!E567</f>
        <v>5.0345656747819911E-3</v>
      </c>
      <c r="F568" s="3">
        <f>(Master_Table!F568-Master_Table!F567)/Master_Table!F567</f>
        <v>2.9167175396470095E-3</v>
      </c>
      <c r="G568" s="3">
        <f>(Master_Table!G568-Master_Table!G567)/Master_Table!G567</f>
        <v>-2.6479664939931643E-2</v>
      </c>
      <c r="H568" s="3">
        <f>(Master_Table!H568-Master_Table!H567)/Master_Table!H567</f>
        <v>-2.6901543083435751E-2</v>
      </c>
    </row>
    <row r="569" spans="1:8" x14ac:dyDescent="0.3">
      <c r="A569" s="1">
        <v>44663</v>
      </c>
      <c r="B569" s="3">
        <f>(Master_Table!B569-Master_Table!B568)/Master_Table!B568</f>
        <v>-8.1838986814673567E-3</v>
      </c>
      <c r="C569" s="3">
        <f>(Master_Table!C569-Master_Table!C568)/Master_Table!C568</f>
        <v>-1.882938768620496E-2</v>
      </c>
      <c r="D569" s="3">
        <f>(Master_Table!D569-Master_Table!D568)/Master_Table!D568</f>
        <v>-1.7689153332797968E-3</v>
      </c>
      <c r="E569" s="3">
        <f>(Master_Table!E569-Master_Table!E568)/Master_Table!E568</f>
        <v>-1.614953271028035E-2</v>
      </c>
      <c r="F569" s="3">
        <f>(Master_Table!F569-Master_Table!F568)/Master_Table!F568</f>
        <v>-1.4338275078455203E-3</v>
      </c>
      <c r="G569" s="3">
        <f>(Master_Table!G569-Master_Table!G568)/Master_Table!G568</f>
        <v>-1.364241034785311E-2</v>
      </c>
      <c r="H569" s="3">
        <f>(Master_Table!H569-Master_Table!H568)/Master_Table!H568</f>
        <v>-1.8972775750771796E-2</v>
      </c>
    </row>
    <row r="570" spans="1:8" x14ac:dyDescent="0.3">
      <c r="A570" s="1">
        <v>44664</v>
      </c>
      <c r="B570" s="3">
        <f>(Master_Table!B570-Master_Table!B569)/Master_Table!B569</f>
        <v>-3.1174594844353958E-3</v>
      </c>
      <c r="C570" s="3">
        <f>(Master_Table!C570-Master_Table!C569)/Master_Table!C569</f>
        <v>-3.6729918970529892E-3</v>
      </c>
      <c r="D570" s="3">
        <f>(Master_Table!D570-Master_Table!D569)/Master_Table!D569</f>
        <v>-1.9116659954356303E-2</v>
      </c>
      <c r="E570" s="3">
        <f>(Master_Table!E570-Master_Table!E569)/Master_Table!E569</f>
        <v>2.4203966866783208E-2</v>
      </c>
      <c r="F570" s="3">
        <f>(Master_Table!F570-Master_Table!F569)/Master_Table!F569</f>
        <v>-7.8973747663298455E-3</v>
      </c>
      <c r="G570" s="3">
        <f>(Master_Table!G570-Master_Table!G569)/Master_Table!G569</f>
        <v>3.5008178139974799E-3</v>
      </c>
      <c r="H570" s="3">
        <f>(Master_Table!H570-Master_Table!H569)/Master_Table!H569</f>
        <v>7.4955656005034664E-3</v>
      </c>
    </row>
    <row r="571" spans="1:8" x14ac:dyDescent="0.3">
      <c r="A571" s="1">
        <v>44669</v>
      </c>
      <c r="B571" s="3">
        <f>(Master_Table!B571-Master_Table!B570)/Master_Table!B570</f>
        <v>-1.7281188396425881E-2</v>
      </c>
      <c r="C571" s="3">
        <f>(Master_Table!C571-Master_Table!C570)/Master_Table!C570</f>
        <v>-3.056282213991525E-3</v>
      </c>
      <c r="D571" s="3">
        <f>(Master_Table!D571-Master_Table!D570)/Master_Table!D570</f>
        <v>-4.745025045848953E-2</v>
      </c>
      <c r="E571" s="3">
        <f>(Master_Table!E571-Master_Table!E570)/Master_Table!E570</f>
        <v>-4.0808755332963189E-3</v>
      </c>
      <c r="F571" s="3">
        <f>(Master_Table!F571-Master_Table!F570)/Master_Table!F570</f>
        <v>-3.6565217984953276E-2</v>
      </c>
      <c r="G571" s="3">
        <f>(Master_Table!G571-Master_Table!G570)/Master_Table!G570</f>
        <v>-7.2717394412513153E-2</v>
      </c>
      <c r="H571" s="3">
        <f>(Master_Table!H571-Master_Table!H570)/Master_Table!H570</f>
        <v>-1.2749886415265815E-2</v>
      </c>
    </row>
    <row r="572" spans="1:8" x14ac:dyDescent="0.3">
      <c r="A572" s="1">
        <v>44670</v>
      </c>
      <c r="B572" s="3">
        <f>(Master_Table!B572-Master_Table!B571)/Master_Table!B571</f>
        <v>-1.2519179091224054E-2</v>
      </c>
      <c r="C572" s="3">
        <f>(Master_Table!C572-Master_Table!C571)/Master_Table!C571</f>
        <v>3.8112805590917349E-2</v>
      </c>
      <c r="D572" s="3">
        <f>(Master_Table!D572-Master_Table!D571)/Master_Table!D571</f>
        <v>-3.8161467837181655E-2</v>
      </c>
      <c r="E572" s="3">
        <f>(Master_Table!E572-Master_Table!E571)/Master_Table!E571</f>
        <v>-2.5703110448873079E-2</v>
      </c>
      <c r="F572" s="3">
        <f>(Master_Table!F572-Master_Table!F571)/Master_Table!F571</f>
        <v>-1.5915307322742048E-2</v>
      </c>
      <c r="G572" s="3">
        <f>(Master_Table!G572-Master_Table!G571)/Master_Table!G571</f>
        <v>-3.6635006784260571E-2</v>
      </c>
      <c r="H572" s="3">
        <f>(Master_Table!H572-Master_Table!H571)/Master_Table!H571</f>
        <v>-1.8753415595248315E-2</v>
      </c>
    </row>
    <row r="573" spans="1:8" x14ac:dyDescent="0.3">
      <c r="A573" s="1">
        <v>44671</v>
      </c>
      <c r="B573" s="3">
        <f>(Master_Table!B573-Master_Table!B572)/Master_Table!B572</f>
        <v>1.049022180421188E-2</v>
      </c>
      <c r="C573" s="3">
        <f>(Master_Table!C573-Master_Table!C572)/Master_Table!C572</f>
        <v>2.9397534077447995E-2</v>
      </c>
      <c r="D573" s="3">
        <f>(Master_Table!D573-Master_Table!D572)/Master_Table!D572</f>
        <v>9.0226013175389187E-3</v>
      </c>
      <c r="E573" s="3">
        <f>(Master_Table!E573-Master_Table!E572)/Master_Table!E572</f>
        <v>-7.6467214681705219E-3</v>
      </c>
      <c r="F573" s="3">
        <f>(Master_Table!F573-Master_Table!F572)/Master_Table!F572</f>
        <v>2.4453469281949389E-2</v>
      </c>
      <c r="G573" s="3">
        <f>(Master_Table!G573-Master_Table!G572)/Master_Table!G572</f>
        <v>1.6453265044814369E-2</v>
      </c>
      <c r="H573" s="3">
        <f>(Master_Table!H573-Master_Table!H572)/Master_Table!H572</f>
        <v>-8.295471200351805E-3</v>
      </c>
    </row>
    <row r="574" spans="1:8" x14ac:dyDescent="0.3">
      <c r="A574" s="1">
        <v>44672</v>
      </c>
      <c r="B574" s="3">
        <f>(Master_Table!B574-Master_Table!B573)/Master_Table!B573</f>
        <v>1.4941747317867323E-2</v>
      </c>
      <c r="C574" s="3">
        <f>(Master_Table!C574-Master_Table!C573)/Master_Table!C573</f>
        <v>2.342015267670472E-2</v>
      </c>
      <c r="D574" s="3">
        <f>(Master_Table!D574-Master_Table!D573)/Master_Table!D573</f>
        <v>1.4804506491776096E-2</v>
      </c>
      <c r="E574" s="3">
        <f>(Master_Table!E574-Master_Table!E573)/Master_Table!E573</f>
        <v>3.2748988634173216E-3</v>
      </c>
      <c r="F574" s="3">
        <f>(Master_Table!F574-Master_Table!F573)/Master_Table!F573</f>
        <v>2.0200742240215896E-2</v>
      </c>
      <c r="G574" s="3">
        <f>(Master_Table!G574-Master_Table!G573)/Master_Table!G573</f>
        <v>1.9588083391068784E-2</v>
      </c>
      <c r="H574" s="3">
        <f>(Master_Table!H574-Master_Table!H573)/Master_Table!H573</f>
        <v>1.3537479309529494E-2</v>
      </c>
    </row>
    <row r="575" spans="1:8" x14ac:dyDescent="0.3">
      <c r="A575" s="1">
        <v>44673</v>
      </c>
      <c r="B575" s="3">
        <f>(Master_Table!B575-Master_Table!B574)/Master_Table!B574</f>
        <v>-1.2686429860975233E-2</v>
      </c>
      <c r="C575" s="3">
        <f>(Master_Table!C575-Master_Table!C574)/Master_Table!C574</f>
        <v>-8.3776764221463271E-3</v>
      </c>
      <c r="D575" s="3">
        <f>(Master_Table!D575-Master_Table!D574)/Master_Table!D574</f>
        <v>-1.3640276014997042E-2</v>
      </c>
      <c r="E575" s="3">
        <f>(Master_Table!E575-Master_Table!E574)/Master_Table!E574</f>
        <v>2.6881720430109277E-3</v>
      </c>
      <c r="F575" s="3">
        <f>(Master_Table!F575-Master_Table!F574)/Master_Table!F574</f>
        <v>-4.4369117991539305E-3</v>
      </c>
      <c r="G575" s="3">
        <f>(Master_Table!G575-Master_Table!G574)/Master_Table!G574</f>
        <v>-2.0601680256980424E-2</v>
      </c>
      <c r="H575" s="3">
        <f>(Master_Table!H575-Master_Table!H574)/Master_Table!H574</f>
        <v>-1.1752697579469286E-2</v>
      </c>
    </row>
    <row r="576" spans="1:8" x14ac:dyDescent="0.3">
      <c r="A576" s="1">
        <v>44676</v>
      </c>
      <c r="B576" s="3">
        <f>(Master_Table!B576-Master_Table!B575)/Master_Table!B575</f>
        <v>-1.2695121986728355E-2</v>
      </c>
      <c r="C576" s="3">
        <f>(Master_Table!C576-Master_Table!C575)/Master_Table!C575</f>
        <v>-2.3125449173520753E-2</v>
      </c>
      <c r="D576" s="3">
        <f>(Master_Table!D576-Master_Table!D575)/Master_Table!D575</f>
        <v>7.4838786014316174E-3</v>
      </c>
      <c r="E576" s="3">
        <f>(Master_Table!E576-Master_Table!E575)/Master_Table!E575</f>
        <v>-2.2405208732286564E-2</v>
      </c>
      <c r="F576" s="3">
        <f>(Master_Table!F576-Master_Table!F575)/Master_Table!F575</f>
        <v>-1.7812902243567665E-2</v>
      </c>
      <c r="G576" s="3">
        <f>(Master_Table!G576-Master_Table!G575)/Master_Table!G575</f>
        <v>-1.5358415591787905E-2</v>
      </c>
      <c r="H576" s="3">
        <f>(Master_Table!H576-Master_Table!H575)/Master_Table!H575</f>
        <v>-2.1837282733791721E-2</v>
      </c>
    </row>
    <row r="577" spans="1:8" x14ac:dyDescent="0.3">
      <c r="A577" s="1">
        <v>44677</v>
      </c>
      <c r="B577" s="3">
        <f>(Master_Table!B577-Master_Table!B576)/Master_Table!B576</f>
        <v>1.4560028783852643E-2</v>
      </c>
      <c r="C577" s="3">
        <f>(Master_Table!C577-Master_Table!C576)/Master_Table!C576</f>
        <v>2.9926267431785218E-2</v>
      </c>
      <c r="D577" s="3">
        <f>(Master_Table!D577-Master_Table!D576)/Master_Table!D576</f>
        <v>4.6096479638276233E-3</v>
      </c>
      <c r="E577" s="3">
        <f>(Master_Table!E577-Master_Table!E576)/Master_Table!E576</f>
        <v>1.4495592556317291E-2</v>
      </c>
      <c r="F577" s="3">
        <f>(Master_Table!F577-Master_Table!F576)/Master_Table!F576</f>
        <v>-5.3548278000102481E-4</v>
      </c>
      <c r="G577" s="3">
        <f>(Master_Table!G577-Master_Table!G576)/Master_Table!G576</f>
        <v>1.274742168983415E-2</v>
      </c>
      <c r="H577" s="3">
        <f>(Master_Table!H577-Master_Table!H576)/Master_Table!H576</f>
        <v>2.5703683591275311E-2</v>
      </c>
    </row>
    <row r="578" spans="1:8" x14ac:dyDescent="0.3">
      <c r="A578" s="1">
        <v>44678</v>
      </c>
      <c r="B578" s="3">
        <f>(Master_Table!B578-Master_Table!B577)/Master_Table!B577</f>
        <v>-9.4414213292403747E-3</v>
      </c>
      <c r="C578" s="3">
        <f>(Master_Table!C578-Master_Table!C577)/Master_Table!C577</f>
        <v>9.7622921544507173E-4</v>
      </c>
      <c r="D578" s="3">
        <f>(Master_Table!D578-Master_Table!D577)/Master_Table!D577</f>
        <v>3.6532616319850361E-4</v>
      </c>
      <c r="E578" s="3">
        <f>(Master_Table!E578-Master_Table!E577)/Master_Table!E577</f>
        <v>-5.5995365900752608E-3</v>
      </c>
      <c r="F578" s="3">
        <f>(Master_Table!F578-Master_Table!F577)/Master_Table!F577</f>
        <v>4.2015621915798534E-3</v>
      </c>
      <c r="G578" s="3">
        <f>(Master_Table!G578-Master_Table!G577)/Master_Table!G577</f>
        <v>-1.7836812144212552E-2</v>
      </c>
      <c r="H578" s="3">
        <f>(Master_Table!H578-Master_Table!H577)/Master_Table!H577</f>
        <v>-1.3470984440718897E-2</v>
      </c>
    </row>
    <row r="579" spans="1:8" x14ac:dyDescent="0.3">
      <c r="A579" s="1">
        <v>44679</v>
      </c>
      <c r="B579" s="3">
        <f>(Master_Table!B579-Master_Table!B578)/Master_Table!B578</f>
        <v>1.2128486242839574E-2</v>
      </c>
      <c r="C579" s="3">
        <f>(Master_Table!C579-Master_Table!C578)/Master_Table!C578</f>
        <v>1.4930461948334041E-2</v>
      </c>
      <c r="D579" s="3">
        <f>(Master_Table!D579-Master_Table!D578)/Master_Table!D578</f>
        <v>-8.7646259695870789E-4</v>
      </c>
      <c r="E579" s="3">
        <f>(Master_Table!E579-Master_Table!E578)/Master_Table!E578</f>
        <v>1.3980582524271933E-2</v>
      </c>
      <c r="F579" s="3">
        <f>(Master_Table!F579-Master_Table!F578)/Master_Table!F578</f>
        <v>6.4865775581265765E-3</v>
      </c>
      <c r="G579" s="3">
        <f>(Master_Table!G579-Master_Table!G578)/Master_Table!G578</f>
        <v>1.9191138588356488E-2</v>
      </c>
      <c r="H579" s="3">
        <f>(Master_Table!H579-Master_Table!H578)/Master_Table!H578</f>
        <v>2.5163233058048386E-2</v>
      </c>
    </row>
    <row r="580" spans="1:8" x14ac:dyDescent="0.3">
      <c r="A580" s="1">
        <v>44680</v>
      </c>
      <c r="B580" s="3">
        <f>(Master_Table!B580-Master_Table!B579)/Master_Table!B579</f>
        <v>-8.2632407560430388E-3</v>
      </c>
      <c r="C580" s="3">
        <f>(Master_Table!C580-Master_Table!C579)/Master_Table!C579</f>
        <v>-1.0492105530425594E-2</v>
      </c>
      <c r="D580" s="3">
        <f>(Master_Table!D580-Master_Table!D579)/Master_Table!D579</f>
        <v>9.6641665570127537E-3</v>
      </c>
      <c r="E580" s="3">
        <f>(Master_Table!E580-Master_Table!E579)/Master_Table!E579</f>
        <v>-5.9364228265032983E-3</v>
      </c>
      <c r="F580" s="3">
        <f>(Master_Table!F580-Master_Table!F579)/Master_Table!F579</f>
        <v>-1.0490193343191239E-2</v>
      </c>
      <c r="G580" s="3">
        <f>(Master_Table!G580-Master_Table!G579)/Master_Table!G579</f>
        <v>-9.5096676355364302E-3</v>
      </c>
      <c r="H580" s="3">
        <f>(Master_Table!H580-Master_Table!H579)/Master_Table!H579</f>
        <v>-1.4483059473607731E-2</v>
      </c>
    </row>
    <row r="581" spans="1:8" x14ac:dyDescent="0.3">
      <c r="A581" s="1">
        <v>44683</v>
      </c>
      <c r="B581" s="3">
        <f>(Master_Table!B581-Master_Table!B580)/Master_Table!B580</f>
        <v>-1.9558486892305958E-3</v>
      </c>
      <c r="C581" s="3">
        <f>(Master_Table!C581-Master_Table!C580)/Master_Table!C580</f>
        <v>-3.5133982851456823E-3</v>
      </c>
      <c r="D581" s="3">
        <f>(Master_Table!D581-Master_Table!D580)/Master_Table!D580</f>
        <v>1.3799994207767344E-2</v>
      </c>
      <c r="E581" s="3">
        <f>(Master_Table!E581-Master_Table!E580)/Master_Table!E580</f>
        <v>1.3870159892120846E-2</v>
      </c>
      <c r="F581" s="3">
        <f>(Master_Table!F581-Master_Table!F580)/Master_Table!F580</f>
        <v>-1.2123946203512355E-3</v>
      </c>
      <c r="G581" s="3">
        <f>(Master_Table!G581-Master_Table!G580)/Master_Table!G580</f>
        <v>-1.6937258779624226E-2</v>
      </c>
      <c r="H581" s="3">
        <f>(Master_Table!H581-Master_Table!H580)/Master_Table!H580</f>
        <v>-8.7939327765809098E-3</v>
      </c>
    </row>
    <row r="582" spans="1:8" x14ac:dyDescent="0.3">
      <c r="A582" s="1">
        <v>44685</v>
      </c>
      <c r="B582" s="3">
        <f>(Master_Table!B582-Master_Table!B581)/Master_Table!B581</f>
        <v>-2.2936182927043608E-2</v>
      </c>
      <c r="C582" s="3">
        <f>(Master_Table!C582-Master_Table!C581)/Master_Table!C581</f>
        <v>-3.1217069557018761E-2</v>
      </c>
      <c r="D582" s="3">
        <f>(Master_Table!D582-Master_Table!D581)/Master_Table!D581</f>
        <v>-3.3980374512576544E-2</v>
      </c>
      <c r="E582" s="3">
        <f>(Master_Table!E582-Master_Table!E581)/Master_Table!E581</f>
        <v>-1.2920387611628264E-2</v>
      </c>
      <c r="F582" s="3">
        <f>(Master_Table!F582-Master_Table!F581)/Master_Table!F581</f>
        <v>-1.7685749774164435E-2</v>
      </c>
      <c r="G582" s="3">
        <f>(Master_Table!G582-Master_Table!G581)/Master_Table!G581</f>
        <v>-3.5366645035691405E-3</v>
      </c>
      <c r="H582" s="3">
        <f>(Master_Table!H582-Master_Table!H581)/Master_Table!H581</f>
        <v>-2.7092202804489564E-2</v>
      </c>
    </row>
    <row r="583" spans="1:8" x14ac:dyDescent="0.3">
      <c r="A583" s="1">
        <v>44686</v>
      </c>
      <c r="B583" s="3">
        <f>(Master_Table!B583-Master_Table!B582)/Master_Table!B582</f>
        <v>3.0280136230650159E-4</v>
      </c>
      <c r="C583" s="3">
        <f>(Master_Table!C583-Master_Table!C582)/Master_Table!C582</f>
        <v>-1.9587316905612887E-2</v>
      </c>
      <c r="D583" s="3">
        <f>(Master_Table!D583-Master_Table!D582)/Master_Table!D582</f>
        <v>-2.2474568251716577E-3</v>
      </c>
      <c r="E583" s="3">
        <f>(Master_Table!E583-Master_Table!E582)/Master_Table!E582</f>
        <v>8.854667949951921E-3</v>
      </c>
      <c r="F583" s="3">
        <f>(Master_Table!F583-Master_Table!F582)/Master_Table!F582</f>
        <v>9.6702349306703322E-3</v>
      </c>
      <c r="G583" s="3">
        <f>(Master_Table!G583-Master_Table!G582)/Master_Table!G582</f>
        <v>3.2301129888313726E-2</v>
      </c>
      <c r="H583" s="3">
        <f>(Master_Table!H583-Master_Table!H582)/Master_Table!H582</f>
        <v>2.2644511765966191E-3</v>
      </c>
    </row>
    <row r="584" spans="1:8" x14ac:dyDescent="0.3">
      <c r="A584" s="1">
        <v>44687</v>
      </c>
      <c r="B584" s="3">
        <f>(Master_Table!B584-Master_Table!B583)/Master_Table!B583</f>
        <v>-1.6268398605737183E-2</v>
      </c>
      <c r="C584" s="3">
        <f>(Master_Table!C584-Master_Table!C583)/Master_Table!C583</f>
        <v>-7.6661272293498846E-3</v>
      </c>
      <c r="D584" s="3">
        <f>(Master_Table!D584-Master_Table!D583)/Master_Table!D583</f>
        <v>-2.6141078838174254E-2</v>
      </c>
      <c r="E584" s="3">
        <f>(Master_Table!E584-Master_Table!E583)/Master_Table!E583</f>
        <v>1.7553901927113015E-2</v>
      </c>
      <c r="F584" s="3">
        <f>(Master_Table!F584-Master_Table!F583)/Master_Table!F583</f>
        <v>-2.2997666078442586E-2</v>
      </c>
      <c r="G584" s="3">
        <f>(Master_Table!G584-Master_Table!G583)/Master_Table!G583</f>
        <v>-2.6685171750307653E-2</v>
      </c>
      <c r="H584" s="3">
        <f>(Master_Table!H584-Master_Table!H583)/Master_Table!H583</f>
        <v>-9.2815925258755202E-3</v>
      </c>
    </row>
    <row r="585" spans="1:8" x14ac:dyDescent="0.3">
      <c r="A585" s="1">
        <v>44690</v>
      </c>
      <c r="B585" s="3">
        <f>(Master_Table!B585-Master_Table!B584)/Master_Table!B584</f>
        <v>-6.6661588849112434E-3</v>
      </c>
      <c r="C585" s="3">
        <f>(Master_Table!C585-Master_Table!C584)/Master_Table!C584</f>
        <v>-3.9055472894022156E-2</v>
      </c>
      <c r="D585" s="3">
        <f>(Master_Table!D585-Master_Table!D584)/Master_Table!D584</f>
        <v>1.719520360338419E-3</v>
      </c>
      <c r="E585" s="3">
        <f>(Master_Table!E585-Master_Table!E584)/Master_Table!E584</f>
        <v>-1.9913744609038074E-2</v>
      </c>
      <c r="F585" s="3">
        <f>(Master_Table!F585-Master_Table!F584)/Master_Table!F584</f>
        <v>3.6415545067878577E-3</v>
      </c>
      <c r="G585" s="3">
        <f>(Master_Table!G585-Master_Table!G584)/Master_Table!G584</f>
        <v>1.7824156593317562E-2</v>
      </c>
      <c r="H585" s="3">
        <f>(Master_Table!H585-Master_Table!H584)/Master_Table!H584</f>
        <v>-3.8830164257758048E-3</v>
      </c>
    </row>
    <row r="586" spans="1:8" x14ac:dyDescent="0.3">
      <c r="A586" s="1">
        <v>44691</v>
      </c>
      <c r="B586" s="3">
        <f>(Master_Table!B586-Master_Table!B585)/Master_Table!B585</f>
        <v>-3.7909807782552955E-3</v>
      </c>
      <c r="C586" s="3">
        <f>(Master_Table!C586-Master_Table!C585)/Master_Table!C585</f>
        <v>-1.7329612555002642E-2</v>
      </c>
      <c r="D586" s="3">
        <f>(Master_Table!D586-Master_Table!D585)/Master_Table!D585</f>
        <v>1.6056753102735952E-2</v>
      </c>
      <c r="E586" s="3">
        <f>(Master_Table!E586-Master_Table!E585)/Master_Table!E585</f>
        <v>-6.0840284686614187E-3</v>
      </c>
      <c r="F586" s="3">
        <f>(Master_Table!F586-Master_Table!F585)/Master_Table!F585</f>
        <v>-1.8431975849757362E-3</v>
      </c>
      <c r="G586" s="3">
        <f>(Master_Table!G586-Master_Table!G585)/Master_Table!G585</f>
        <v>-1.1048492374311401E-2</v>
      </c>
      <c r="H586" s="3">
        <f>(Master_Table!H586-Master_Table!H585)/Master_Table!H585</f>
        <v>-5.0737864678402651E-3</v>
      </c>
    </row>
    <row r="587" spans="1:8" x14ac:dyDescent="0.3">
      <c r="A587" s="1">
        <v>44692</v>
      </c>
      <c r="B587" s="3">
        <f>(Master_Table!B587-Master_Table!B586)/Master_Table!B586</f>
        <v>-4.4919812439000442E-3</v>
      </c>
      <c r="C587" s="3">
        <f>(Master_Table!C587-Master_Table!C586)/Master_Table!C586</f>
        <v>-1.0246412420325457E-2</v>
      </c>
      <c r="D587" s="3">
        <f>(Master_Table!D587-Master_Table!D586)/Master_Table!D586</f>
        <v>5.6364560595640071E-3</v>
      </c>
      <c r="E587" s="3">
        <f>(Master_Table!E587-Master_Table!E586)/Master_Table!E586</f>
        <v>-2.1790182868142431E-2</v>
      </c>
      <c r="F587" s="3">
        <f>(Master_Table!F587-Master_Table!F586)/Master_Table!F586</f>
        <v>-7.7789894583787716E-3</v>
      </c>
      <c r="G587" s="3">
        <f>(Master_Table!G587-Master_Table!G586)/Master_Table!G586</f>
        <v>-1.6902768834513845E-2</v>
      </c>
      <c r="H587" s="3">
        <f>(Master_Table!H587-Master_Table!H586)/Master_Table!H586</f>
        <v>-2.3103952237320868E-2</v>
      </c>
    </row>
    <row r="588" spans="1:8" x14ac:dyDescent="0.3">
      <c r="A588" s="1">
        <v>44693</v>
      </c>
      <c r="B588" s="3">
        <f>(Master_Table!B588-Master_Table!B587)/Master_Table!B587</f>
        <v>-2.2211775766835137E-2</v>
      </c>
      <c r="C588" s="3">
        <f>(Master_Table!C588-Master_Table!C587)/Master_Table!C587</f>
        <v>-2.0372185895071879E-2</v>
      </c>
      <c r="D588" s="3">
        <f>(Master_Table!D588-Master_Table!D587)/Master_Table!D587</f>
        <v>-3.3777857068522113E-2</v>
      </c>
      <c r="E588" s="3">
        <f>(Master_Table!E588-Master_Table!E587)/Master_Table!E587</f>
        <v>-1.0783580621039825E-2</v>
      </c>
      <c r="F588" s="3">
        <f>(Master_Table!F588-Master_Table!F587)/Master_Table!F587</f>
        <v>-9.818288393903603E-4</v>
      </c>
      <c r="G588" s="3">
        <f>(Master_Table!G588-Master_Table!G587)/Master_Table!G587</f>
        <v>-1.1757000163746549E-2</v>
      </c>
      <c r="H588" s="3">
        <f>(Master_Table!H588-Master_Table!H587)/Master_Table!H587</f>
        <v>-2.842500636618275E-2</v>
      </c>
    </row>
    <row r="589" spans="1:8" x14ac:dyDescent="0.3">
      <c r="A589" s="1">
        <v>44694</v>
      </c>
      <c r="B589" s="3">
        <f>(Master_Table!B589-Master_Table!B588)/Master_Table!B588</f>
        <v>-1.6352479757085251E-3</v>
      </c>
      <c r="C589" s="3">
        <f>(Master_Table!C589-Master_Table!C588)/Master_Table!C588</f>
        <v>1.1339013551727853E-2</v>
      </c>
      <c r="D589" s="3">
        <f>(Master_Table!D589-Master_Table!D588)/Master_Table!D588</f>
        <v>-8.9858595805571827E-3</v>
      </c>
      <c r="E589" s="3">
        <f>(Master_Table!E589-Master_Table!E588)/Master_Table!E588</f>
        <v>2.8844241098070534E-2</v>
      </c>
      <c r="F589" s="3">
        <f>(Master_Table!F589-Master_Table!F588)/Master_Table!F588</f>
        <v>1.8335704751147814E-3</v>
      </c>
      <c r="G589" s="3">
        <f>(Master_Table!G589-Master_Table!G588)/Master_Table!G588</f>
        <v>-2.9162248144219667E-3</v>
      </c>
      <c r="H589" s="3">
        <f>(Master_Table!H589-Master_Table!H588)/Master_Table!H588</f>
        <v>5.471283949808281E-3</v>
      </c>
    </row>
    <row r="590" spans="1:8" x14ac:dyDescent="0.3">
      <c r="A590" s="1">
        <v>44697</v>
      </c>
      <c r="B590" s="3">
        <f>(Master_Table!B590-Master_Table!B589)/Master_Table!B589</f>
        <v>3.8112677930446509E-3</v>
      </c>
      <c r="C590" s="3">
        <f>(Master_Table!C590-Master_Table!C589)/Master_Table!C589</f>
        <v>2.4511806520138884E-4</v>
      </c>
      <c r="D590" s="3">
        <f>(Master_Table!D590-Master_Table!D589)/Master_Table!D589</f>
        <v>1.0651016193891812E-2</v>
      </c>
      <c r="E590" s="3">
        <f>(Master_Table!E590-Master_Table!E589)/Master_Table!E589</f>
        <v>-1.7401392111369016E-2</v>
      </c>
      <c r="F590" s="3">
        <f>(Master_Table!F590-Master_Table!F589)/Master_Table!F589</f>
        <v>-1.1156988491610269E-2</v>
      </c>
      <c r="G590" s="3">
        <f>(Master_Table!G590-Master_Table!G589)/Master_Table!G589</f>
        <v>-1.0170167508641439E-2</v>
      </c>
      <c r="H590" s="3">
        <f>(Master_Table!H590-Master_Table!H589)/Master_Table!H589</f>
        <v>5.4740957966765008E-3</v>
      </c>
    </row>
    <row r="591" spans="1:8" x14ac:dyDescent="0.3">
      <c r="A591" s="1">
        <v>44698</v>
      </c>
      <c r="B591" s="3">
        <f>(Master_Table!B591-Master_Table!B590)/Master_Table!B590</f>
        <v>2.6321935577536093E-2</v>
      </c>
      <c r="C591" s="3">
        <f>(Master_Table!C591-Master_Table!C590)/Master_Table!C590</f>
        <v>4.2004755940387349E-2</v>
      </c>
      <c r="D591" s="3">
        <f>(Master_Table!D591-Master_Table!D590)/Master_Table!D590</f>
        <v>6.8210099396249285E-3</v>
      </c>
      <c r="E591" s="3">
        <f>(Master_Table!E591-Master_Table!E590)/Master_Table!E590</f>
        <v>4.1715859897678058E-2</v>
      </c>
      <c r="F591" s="3">
        <f>(Master_Table!F591-Master_Table!F590)/Master_Table!F590</f>
        <v>2.2151149016820578E-2</v>
      </c>
      <c r="G591" s="3">
        <f>(Master_Table!G591-Master_Table!G590)/Master_Table!G590</f>
        <v>1.3995030555369114E-2</v>
      </c>
      <c r="H591" s="3">
        <f>(Master_Table!H591-Master_Table!H590)/Master_Table!H590</f>
        <v>3.9665564845420838E-2</v>
      </c>
    </row>
    <row r="592" spans="1:8" x14ac:dyDescent="0.3">
      <c r="A592" s="1">
        <v>44699</v>
      </c>
      <c r="B592" s="3">
        <f>(Master_Table!B592-Master_Table!B591)/Master_Table!B591</f>
        <v>-1.1685619922136869E-3</v>
      </c>
      <c r="C592" s="3">
        <f>(Master_Table!C592-Master_Table!C591)/Master_Table!C591</f>
        <v>3.6322143441981018E-3</v>
      </c>
      <c r="D592" s="3">
        <f>(Master_Table!D592-Master_Table!D591)/Master_Table!D591</f>
        <v>-7.6292781176975639E-5</v>
      </c>
      <c r="E592" s="3">
        <f>(Master_Table!E592-Master_Table!E591)/Master_Table!E591</f>
        <v>7.9335096335474992E-3</v>
      </c>
      <c r="F592" s="3">
        <f>(Master_Table!F592-Master_Table!F591)/Master_Table!F591</f>
        <v>-8.1121798586155031E-4</v>
      </c>
      <c r="G592" s="3">
        <f>(Master_Table!G592-Master_Table!G591)/Master_Table!G591</f>
        <v>-6.092957336053118E-3</v>
      </c>
      <c r="H592" s="3">
        <f>(Master_Table!H592-Master_Table!H591)/Master_Table!H591</f>
        <v>-1.9699519980051063E-2</v>
      </c>
    </row>
    <row r="593" spans="1:8" x14ac:dyDescent="0.3">
      <c r="A593" s="1">
        <v>44700</v>
      </c>
      <c r="B593" s="3">
        <f>(Master_Table!B593-Master_Table!B592)/Master_Table!B592</f>
        <v>-2.6532761094314739E-2</v>
      </c>
      <c r="C593" s="3">
        <f>(Master_Table!C593-Master_Table!C592)/Master_Table!C592</f>
        <v>-2.3042274545880558E-2</v>
      </c>
      <c r="D593" s="3">
        <f>(Master_Table!D593-Master_Table!D592)/Master_Table!D592</f>
        <v>-2.0432765671733046E-2</v>
      </c>
      <c r="E593" s="3">
        <f>(Master_Table!E593-Master_Table!E592)/Master_Table!E592</f>
        <v>2.6836581709145307E-2</v>
      </c>
      <c r="F593" s="3">
        <f>(Master_Table!F593-Master_Table!F592)/Master_Table!F592</f>
        <v>-5.4178264903734737E-2</v>
      </c>
      <c r="G593" s="3">
        <f>(Master_Table!G593-Master_Table!G592)/Master_Table!G592</f>
        <v>-5.4366512520489838E-2</v>
      </c>
      <c r="H593" s="3">
        <f>(Master_Table!H593-Master_Table!H592)/Master_Table!H592</f>
        <v>-1.5612082670906172E-2</v>
      </c>
    </row>
    <row r="594" spans="1:8" x14ac:dyDescent="0.3">
      <c r="A594" s="1">
        <v>44701</v>
      </c>
      <c r="B594" s="3">
        <f>(Master_Table!B594-Master_Table!B593)/Master_Table!B593</f>
        <v>2.8891039508140728E-2</v>
      </c>
      <c r="C594" s="3">
        <f>(Master_Table!C594-Master_Table!C593)/Master_Table!C593</f>
        <v>5.8311420652405542E-2</v>
      </c>
      <c r="D594" s="3">
        <f>(Master_Table!D594-Master_Table!D593)/Master_Table!D593</f>
        <v>2.6342436091162717E-2</v>
      </c>
      <c r="E594" s="3">
        <f>(Master_Table!E594-Master_Table!E593)/Master_Table!E593</f>
        <v>1.5805227040444011E-2</v>
      </c>
      <c r="F594" s="3">
        <f>(Master_Table!F594-Master_Table!F593)/Master_Table!F593</f>
        <v>9.5188460889959019E-3</v>
      </c>
      <c r="G594" s="3">
        <f>(Master_Table!G594-Master_Table!G593)/Master_Table!G593</f>
        <v>1.9617376598668159E-2</v>
      </c>
      <c r="H594" s="3">
        <f>(Master_Table!H594-Master_Table!H593)/Master_Table!H593</f>
        <v>4.0149875641978014E-2</v>
      </c>
    </row>
    <row r="595" spans="1:8" x14ac:dyDescent="0.3">
      <c r="A595" s="1">
        <v>44704</v>
      </c>
      <c r="B595" s="3">
        <f>(Master_Table!B595-Master_Table!B594)/Master_Table!B594</f>
        <v>-3.1630103005320194E-3</v>
      </c>
      <c r="C595" s="3">
        <f>(Master_Table!C595-Master_Table!C594)/Master_Table!C594</f>
        <v>-6.6900580868280799E-3</v>
      </c>
      <c r="D595" s="3">
        <f>(Master_Table!D595-Master_Table!D594)/Master_Table!D594</f>
        <v>-1.2840750409811238E-2</v>
      </c>
      <c r="E595" s="3">
        <f>(Master_Table!E595-Master_Table!E594)/Master_Table!E594</f>
        <v>-1.965575478817071E-2</v>
      </c>
      <c r="F595" s="3">
        <f>(Master_Table!F595-Master_Table!F594)/Master_Table!F594</f>
        <v>8.7306407531126638E-3</v>
      </c>
      <c r="G595" s="3">
        <f>(Master_Table!G595-Master_Table!G594)/Master_Table!G594</f>
        <v>9.1085632934574962E-3</v>
      </c>
      <c r="H595" s="3">
        <f>(Master_Table!H595-Master_Table!H594)/Master_Table!H594</f>
        <v>2.1147754797838758E-2</v>
      </c>
    </row>
    <row r="596" spans="1:8" x14ac:dyDescent="0.3">
      <c r="A596" s="1">
        <v>44705</v>
      </c>
      <c r="B596" s="3">
        <f>(Master_Table!B596-Master_Table!B595)/Master_Table!B595</f>
        <v>-5.5227663786564718E-3</v>
      </c>
      <c r="C596" s="3">
        <f>(Master_Table!C596-Master_Table!C595)/Master_Table!C595</f>
        <v>3.4309375924284221E-3</v>
      </c>
      <c r="D596" s="3">
        <f>(Master_Table!D596-Master_Table!D595)/Master_Table!D595</f>
        <v>1.1470217411359569E-2</v>
      </c>
      <c r="E596" s="3">
        <f>(Master_Table!E596-Master_Table!E595)/Master_Table!E595</f>
        <v>-1.3305476138113025E-2</v>
      </c>
      <c r="F596" s="3">
        <f>(Master_Table!F596-Master_Table!F595)/Master_Table!F595</f>
        <v>-1.0160307067058026E-2</v>
      </c>
      <c r="G596" s="3">
        <f>(Master_Table!G596-Master_Table!G595)/Master_Table!G595</f>
        <v>-1.8655362046884956E-2</v>
      </c>
      <c r="H596" s="3">
        <f>(Master_Table!H596-Master_Table!H595)/Master_Table!H595</f>
        <v>-1.0856673661162384E-2</v>
      </c>
    </row>
    <row r="597" spans="1:8" x14ac:dyDescent="0.3">
      <c r="A597" s="1">
        <v>44706</v>
      </c>
      <c r="B597" s="3">
        <f>(Master_Table!B597-Master_Table!B596)/Master_Table!B596</f>
        <v>-6.1611829967473395E-3</v>
      </c>
      <c r="C597" s="3">
        <f>(Master_Table!C597-Master_Table!C596)/Master_Table!C596</f>
        <v>-1.4737959087425573E-3</v>
      </c>
      <c r="D597" s="3">
        <f>(Master_Table!D597-Master_Table!D596)/Master_Table!D596</f>
        <v>7.4638209899063118E-3</v>
      </c>
      <c r="E597" s="3">
        <f>(Master_Table!E597-Master_Table!E596)/Master_Table!E596</f>
        <v>6.8353207771461606E-3</v>
      </c>
      <c r="F597" s="3">
        <f>(Master_Table!F597-Master_Table!F596)/Master_Table!F596</f>
        <v>-3.6602798053527952E-2</v>
      </c>
      <c r="G597" s="3">
        <f>(Master_Table!G597-Master_Table!G596)/Master_Table!G596</f>
        <v>-2.1201314788580117E-2</v>
      </c>
      <c r="H597" s="3">
        <f>(Master_Table!H597-Master_Table!H596)/Master_Table!H596</f>
        <v>-3.1697718748078432E-2</v>
      </c>
    </row>
    <row r="598" spans="1:8" x14ac:dyDescent="0.3">
      <c r="A598" s="1">
        <v>44707</v>
      </c>
      <c r="B598" s="3">
        <f>(Master_Table!B598-Master_Table!B597)/Master_Table!B597</f>
        <v>9.0073506470816044E-3</v>
      </c>
      <c r="C598" s="3">
        <f>(Master_Table!C598-Master_Table!C597)/Master_Table!C597</f>
        <v>-9.5305568206738699E-3</v>
      </c>
      <c r="D598" s="3">
        <f>(Master_Table!D598-Master_Table!D597)/Master_Table!D597</f>
        <v>2.8517540550735538E-2</v>
      </c>
      <c r="E598" s="3">
        <f>(Master_Table!E598-Master_Table!E597)/Master_Table!E597</f>
        <v>-2.1990185588311183E-2</v>
      </c>
      <c r="F598" s="3">
        <f>(Master_Table!F598-Master_Table!F597)/Master_Table!F597</f>
        <v>1.8720502580777461E-2</v>
      </c>
      <c r="G598" s="3">
        <f>(Master_Table!G598-Master_Table!G597)/Master_Table!G597</f>
        <v>9.5682863356030615E-3</v>
      </c>
      <c r="H598" s="3">
        <f>(Master_Table!H598-Master_Table!H597)/Master_Table!H597</f>
        <v>-6.4772186061279853E-3</v>
      </c>
    </row>
    <row r="599" spans="1:8" x14ac:dyDescent="0.3">
      <c r="A599" s="1">
        <v>44708</v>
      </c>
      <c r="B599" s="3">
        <f>(Master_Table!B599-Master_Table!B598)/Master_Table!B598</f>
        <v>1.1273859549849637E-2</v>
      </c>
      <c r="C599" s="3">
        <f>(Master_Table!C599-Master_Table!C598)/Master_Table!C598</f>
        <v>-4.6408256412001593E-3</v>
      </c>
      <c r="D599" s="3">
        <f>(Master_Table!D599-Master_Table!D598)/Master_Table!D598</f>
        <v>1.8557910951367971E-2</v>
      </c>
      <c r="E599" s="3">
        <f>(Master_Table!E599-Master_Table!E598)/Master_Table!E598</f>
        <v>9.3560191647490028E-3</v>
      </c>
      <c r="F599" s="3">
        <f>(Master_Table!F599-Master_Table!F598)/Master_Table!F598</f>
        <v>1.0644726444475547E-2</v>
      </c>
      <c r="G599" s="3">
        <f>(Master_Table!G599-Master_Table!G598)/Master_Table!G598</f>
        <v>2.6264680748885962E-2</v>
      </c>
      <c r="H599" s="3">
        <f>(Master_Table!H599-Master_Table!H598)/Master_Table!H598</f>
        <v>2.0549039659966184E-2</v>
      </c>
    </row>
    <row r="600" spans="1:8" x14ac:dyDescent="0.3">
      <c r="A600" s="1">
        <v>44711</v>
      </c>
      <c r="B600" s="3">
        <f>(Master_Table!B600-Master_Table!B599)/Master_Table!B599</f>
        <v>1.8893193374693133E-2</v>
      </c>
      <c r="C600" s="3">
        <f>(Master_Table!C600-Master_Table!C599)/Master_Table!C599</f>
        <v>3.4835872736138813E-2</v>
      </c>
      <c r="D600" s="3">
        <f>(Master_Table!D600-Master_Table!D599)/Master_Table!D599</f>
        <v>6.8270200201642076E-3</v>
      </c>
      <c r="E600" s="3">
        <f>(Master_Table!E600-Master_Table!E599)/Master_Table!E599</f>
        <v>-5.606428704916244E-4</v>
      </c>
      <c r="F600" s="3">
        <f>(Master_Table!F600-Master_Table!F599)/Master_Table!F599</f>
        <v>3.4940054579462122E-2</v>
      </c>
      <c r="G600" s="3">
        <f>(Master_Table!G600-Master_Table!G599)/Master_Table!G599</f>
        <v>4.4785157862864328E-2</v>
      </c>
      <c r="H600" s="3">
        <f>(Master_Table!H600-Master_Table!H599)/Master_Table!H599</f>
        <v>3.7834283209118719E-2</v>
      </c>
    </row>
    <row r="601" spans="1:8" x14ac:dyDescent="0.3">
      <c r="A601" s="1">
        <v>44712</v>
      </c>
      <c r="B601" s="3">
        <f>(Master_Table!B601-Master_Table!B600)/Master_Table!B600</f>
        <v>-4.61245753658169E-3</v>
      </c>
      <c r="C601" s="3">
        <f>(Master_Table!C601-Master_Table!C600)/Master_Table!C600</f>
        <v>-1.2061539479014362E-2</v>
      </c>
      <c r="D601" s="3">
        <f>(Master_Table!D601-Master_Table!D600)/Master_Table!D600</f>
        <v>-8.9980544747081202E-3</v>
      </c>
      <c r="E601" s="3">
        <f>(Master_Table!E601-Master_Table!E600)/Master_Table!E600</f>
        <v>5.9461480927450712E-3</v>
      </c>
      <c r="F601" s="3">
        <f>(Master_Table!F601-Master_Table!F600)/Master_Table!F600</f>
        <v>-3.2293904155248029E-3</v>
      </c>
      <c r="G601" s="3">
        <f>(Master_Table!G601-Master_Table!G600)/Master_Table!G600</f>
        <v>-1.5195226051217156E-2</v>
      </c>
      <c r="H601" s="3">
        <f>(Master_Table!H601-Master_Table!H600)/Master_Table!H600</f>
        <v>-3.8199033256693447E-3</v>
      </c>
    </row>
    <row r="602" spans="1:8" x14ac:dyDescent="0.3">
      <c r="A602" s="1">
        <v>44713</v>
      </c>
      <c r="B602" s="3">
        <f>(Master_Table!B602-Master_Table!B601)/Master_Table!B601</f>
        <v>-3.7263597746094571E-3</v>
      </c>
      <c r="C602" s="3">
        <f>(Master_Table!C602-Master_Table!C601)/Master_Table!C601</f>
        <v>3.179809880841722E-4</v>
      </c>
      <c r="D602" s="3">
        <f>(Master_Table!D602-Master_Table!D601)/Master_Table!D601</f>
        <v>4.2439552508120601E-3</v>
      </c>
      <c r="E602" s="3">
        <f>(Master_Table!E602-Master_Table!E601)/Master_Table!E601</f>
        <v>4.4239562809026273E-3</v>
      </c>
      <c r="F602" s="3">
        <f>(Master_Table!F602-Master_Table!F601)/Master_Table!F601</f>
        <v>-2.7196932542690538E-3</v>
      </c>
      <c r="G602" s="3">
        <f>(Master_Table!G602-Master_Table!G601)/Master_Table!G601</f>
        <v>-1.666031287412139E-2</v>
      </c>
      <c r="H602" s="3">
        <f>(Master_Table!H602-Master_Table!H601)/Master_Table!H601</f>
        <v>-3.9314748179648468E-3</v>
      </c>
    </row>
    <row r="603" spans="1:8" x14ac:dyDescent="0.3">
      <c r="A603" s="1">
        <v>44714</v>
      </c>
      <c r="B603" s="3">
        <f>(Master_Table!B603-Master_Table!B602)/Master_Table!B602</f>
        <v>6.3700049931155528E-3</v>
      </c>
      <c r="C603" s="3">
        <f>(Master_Table!C603-Master_Table!C602)/Master_Table!C602</f>
        <v>3.4481604791621379E-2</v>
      </c>
      <c r="D603" s="3">
        <f>(Master_Table!D603-Master_Table!D602)/Master_Table!D602</f>
        <v>-6.9858701433109767E-3</v>
      </c>
      <c r="E603" s="3">
        <f>(Master_Table!E603-Master_Table!E602)/Master_Table!E602</f>
        <v>6.1070397512768418E-3</v>
      </c>
      <c r="F603" s="3">
        <f>(Master_Table!F603-Master_Table!F602)/Master_Table!F602</f>
        <v>2.0207439198855565E-2</v>
      </c>
      <c r="G603" s="3">
        <f>(Master_Table!G603-Master_Table!G602)/Master_Table!G602</f>
        <v>1.9921646511501342E-2</v>
      </c>
      <c r="H603" s="3">
        <f>(Master_Table!H603-Master_Table!H602)/Master_Table!H602</f>
        <v>-6.5803477488763761E-3</v>
      </c>
    </row>
    <row r="604" spans="1:8" x14ac:dyDescent="0.3">
      <c r="A604" s="1">
        <v>44715</v>
      </c>
      <c r="B604" s="3">
        <f>(Master_Table!B604-Master_Table!B603)/Master_Table!B603</f>
        <v>-2.6280971854703346E-3</v>
      </c>
      <c r="C604" s="3">
        <f>(Master_Table!C604-Master_Table!C603)/Master_Table!C603</f>
        <v>2.026458791564234E-2</v>
      </c>
      <c r="D604" s="3">
        <f>(Master_Table!D604-Master_Table!D603)/Master_Table!D603</f>
        <v>-3.4596065602246371E-3</v>
      </c>
      <c r="E604" s="3">
        <f>(Master_Table!E604-Master_Table!E603)/Master_Table!E603</f>
        <v>-2.9430158554979635E-3</v>
      </c>
      <c r="F604" s="3">
        <f>(Master_Table!F604-Master_Table!F603)/Master_Table!F603</f>
        <v>5.0102249488752819E-3</v>
      </c>
      <c r="G604" s="3">
        <f>(Master_Table!G604-Master_Table!G603)/Master_Table!G603</f>
        <v>9.0827248174453132E-3</v>
      </c>
      <c r="H604" s="3">
        <f>(Master_Table!H604-Master_Table!H603)/Master_Table!H603</f>
        <v>9.0971979895559142E-3</v>
      </c>
    </row>
    <row r="605" spans="1:8" x14ac:dyDescent="0.3">
      <c r="A605" s="1">
        <v>44718</v>
      </c>
      <c r="B605" s="3">
        <f>(Master_Table!B605-Master_Table!B604)/Master_Table!B604</f>
        <v>-8.8939539202739944E-4</v>
      </c>
      <c r="C605" s="3">
        <f>(Master_Table!C605-Master_Table!C604)/Master_Table!C604</f>
        <v>-4.3037172069430637E-3</v>
      </c>
      <c r="D605" s="3">
        <f>(Master_Table!D605-Master_Table!D604)/Master_Table!D604</f>
        <v>-1.3508802510023583E-3</v>
      </c>
      <c r="E605" s="3">
        <f>(Master_Table!E605-Master_Table!E604)/Master_Table!E604</f>
        <v>7.7113234697267167E-3</v>
      </c>
      <c r="F605" s="3">
        <f>(Master_Table!F605-Master_Table!F604)/Master_Table!F604</f>
        <v>-2.6743019926457486E-3</v>
      </c>
      <c r="G605" s="3">
        <f>(Master_Table!G605-Master_Table!G604)/Master_Table!G604</f>
        <v>5.4917821526992636E-3</v>
      </c>
      <c r="H605" s="3">
        <f>(Master_Table!H605-Master_Table!H604)/Master_Table!H604</f>
        <v>-7.1708941777434958E-3</v>
      </c>
    </row>
    <row r="606" spans="1:8" x14ac:dyDescent="0.3">
      <c r="A606" s="1">
        <v>44719</v>
      </c>
      <c r="B606" s="3">
        <f>(Master_Table!B606-Master_Table!B605)/Master_Table!B605</f>
        <v>-9.2458757178077097E-3</v>
      </c>
      <c r="C606" s="3">
        <f>(Master_Table!C606-Master_Table!C605)/Master_Table!C605</f>
        <v>1.8785770574797833E-3</v>
      </c>
      <c r="D606" s="3">
        <f>(Master_Table!D606-Master_Table!D605)/Master_Table!D605</f>
        <v>-1.149074195284429E-2</v>
      </c>
      <c r="E606" s="3">
        <f>(Master_Table!E606-Master_Table!E605)/Master_Table!E605</f>
        <v>-3.2952548330403386E-3</v>
      </c>
      <c r="F606" s="3">
        <f>(Master_Table!F606-Master_Table!F605)/Master_Table!F605</f>
        <v>-1.9892449613080926E-2</v>
      </c>
      <c r="G606" s="3">
        <f>(Master_Table!G606-Master_Table!G605)/Master_Table!G605</f>
        <v>-1.5261455950784779E-2</v>
      </c>
      <c r="H606" s="3">
        <f>(Master_Table!H606-Master_Table!H605)/Master_Table!H605</f>
        <v>-3.0943898906820061E-2</v>
      </c>
    </row>
    <row r="607" spans="1:8" x14ac:dyDescent="0.3">
      <c r="A607" s="1">
        <v>44720</v>
      </c>
      <c r="B607" s="3">
        <f>(Master_Table!B607-Master_Table!B606)/Master_Table!B606</f>
        <v>-3.6609843235553916E-3</v>
      </c>
      <c r="C607" s="3">
        <f>(Master_Table!C607-Master_Table!C606)/Master_Table!C606</f>
        <v>-1.7558774222766131E-2</v>
      </c>
      <c r="D607" s="3">
        <f>(Master_Table!D607-Master_Table!D606)/Master_Table!D606</f>
        <v>3.5167228263268437E-3</v>
      </c>
      <c r="E607" s="3">
        <f>(Master_Table!E607-Master_Table!E606)/Master_Table!E606</f>
        <v>-2.1894056278010565E-2</v>
      </c>
      <c r="F607" s="3">
        <f>(Master_Table!F607-Master_Table!F606)/Master_Table!F606</f>
        <v>1.2326404377434881E-2</v>
      </c>
      <c r="G607" s="3">
        <f>(Master_Table!G607-Master_Table!G606)/Master_Table!G606</f>
        <v>-4.4518307903835602E-3</v>
      </c>
      <c r="H607" s="3">
        <f>(Master_Table!H607-Master_Table!H606)/Master_Table!H606</f>
        <v>-3.0834809915061593E-3</v>
      </c>
    </row>
    <row r="608" spans="1:8" x14ac:dyDescent="0.3">
      <c r="A608" s="1">
        <v>44721</v>
      </c>
      <c r="B608" s="3">
        <f>(Master_Table!B608-Master_Table!B607)/Master_Table!B607</f>
        <v>7.4497516239968543E-3</v>
      </c>
      <c r="C608" s="3">
        <f>(Master_Table!C608-Master_Table!C607)/Master_Table!C607</f>
        <v>2.7423515806329068E-2</v>
      </c>
      <c r="D608" s="3">
        <f>(Master_Table!D608-Master_Table!D607)/Master_Table!D607</f>
        <v>7.5366568914955814E-3</v>
      </c>
      <c r="E608" s="3">
        <f>(Master_Table!E608-Master_Table!E607)/Master_Table!E607</f>
        <v>1.1004281529332258E-2</v>
      </c>
      <c r="F608" s="3">
        <f>(Master_Table!F608-Master_Table!F607)/Master_Table!F607</f>
        <v>6.7417710735425337E-3</v>
      </c>
      <c r="G608" s="3">
        <f>(Master_Table!G608-Master_Table!G607)/Master_Table!G607</f>
        <v>1.0002748744628264E-2</v>
      </c>
      <c r="H608" s="3">
        <f>(Master_Table!H608-Master_Table!H607)/Master_Table!H607</f>
        <v>6.6604258118382097E-3</v>
      </c>
    </row>
    <row r="609" spans="1:8" x14ac:dyDescent="0.3">
      <c r="A609" s="1">
        <v>44722</v>
      </c>
      <c r="B609" s="3">
        <f>(Master_Table!B609-Master_Table!B608)/Master_Table!B608</f>
        <v>-1.6767709869463063E-2</v>
      </c>
      <c r="C609" s="3">
        <f>(Master_Table!C609-Master_Table!C608)/Master_Table!C608</f>
        <v>-3.0194263404804734E-2</v>
      </c>
      <c r="D609" s="3">
        <f>(Master_Table!D609-Master_Table!D608)/Master_Table!D608</f>
        <v>-1.9311930610938065E-2</v>
      </c>
      <c r="E609" s="3">
        <f>(Master_Table!E609-Master_Table!E608)/Master_Table!E608</f>
        <v>-2.5632452914298369E-3</v>
      </c>
      <c r="F609" s="3">
        <f>(Master_Table!F609-Master_Table!F608)/Master_Table!F608</f>
        <v>-1.9608415278223518E-2</v>
      </c>
      <c r="G609" s="3">
        <f>(Master_Table!G609-Master_Table!G608)/Master_Table!G608</f>
        <v>-2.5217223914876109E-2</v>
      </c>
      <c r="H609" s="3">
        <f>(Master_Table!H609-Master_Table!H608)/Master_Table!H608</f>
        <v>-6.270774296108738E-3</v>
      </c>
    </row>
    <row r="610" spans="1:8" x14ac:dyDescent="0.3">
      <c r="A610" s="1">
        <v>44725</v>
      </c>
      <c r="B610" s="3">
        <f>(Master_Table!B610-Master_Table!B609)/Master_Table!B609</f>
        <v>-2.6379784962164678E-2</v>
      </c>
      <c r="C610" s="3">
        <f>(Master_Table!C610-Master_Table!C609)/Master_Table!C609</f>
        <v>-1.8919226024284093E-2</v>
      </c>
      <c r="D610" s="3">
        <f>(Master_Table!D610-Master_Table!D609)/Master_Table!D609</f>
        <v>-1.8134061465861408E-2</v>
      </c>
      <c r="E610" s="3">
        <f>(Master_Table!E610-Master_Table!E609)/Master_Table!E609</f>
        <v>-2.0372439478584831E-2</v>
      </c>
      <c r="F610" s="3">
        <f>(Master_Table!F610-Master_Table!F609)/Master_Table!F609</f>
        <v>-4.1757195154617753E-2</v>
      </c>
      <c r="G610" s="3">
        <f>(Master_Table!G610-Master_Table!G609)/Master_Table!G609</f>
        <v>-3.540980034320268E-2</v>
      </c>
      <c r="H610" s="3">
        <f>(Master_Table!H610-Master_Table!H609)/Master_Table!H609</f>
        <v>-3.3467591509487686E-2</v>
      </c>
    </row>
    <row r="611" spans="1:8" x14ac:dyDescent="0.3">
      <c r="A611" s="1">
        <v>44726</v>
      </c>
      <c r="B611" s="3">
        <f>(Master_Table!B611-Master_Table!B610)/Master_Table!B610</f>
        <v>-2.6815599959427471E-3</v>
      </c>
      <c r="C611" s="3">
        <f>(Master_Table!C611-Master_Table!C610)/Master_Table!C610</f>
        <v>-1.3071138429974235E-2</v>
      </c>
      <c r="D611" s="3">
        <f>(Master_Table!D611-Master_Table!D610)/Master_Table!D610</f>
        <v>-1.1002796040202482E-2</v>
      </c>
      <c r="E611" s="3">
        <f>(Master_Table!E611-Master_Table!E610)/Master_Table!E610</f>
        <v>3.0414781583850184E-3</v>
      </c>
      <c r="F611" s="3">
        <f>(Master_Table!F611-Master_Table!F610)/Master_Table!F610</f>
        <v>-2.8109081873523814E-3</v>
      </c>
      <c r="G611" s="3">
        <f>(Master_Table!G611-Master_Table!G610)/Master_Table!G610</f>
        <v>1.1267048823878262E-2</v>
      </c>
      <c r="H611" s="3">
        <f>(Master_Table!H611-Master_Table!H610)/Master_Table!H610</f>
        <v>8.2297527149026266E-3</v>
      </c>
    </row>
    <row r="612" spans="1:8" x14ac:dyDescent="0.3">
      <c r="A612" s="1">
        <v>44727</v>
      </c>
      <c r="B612" s="3">
        <f>(Master_Table!B612-Master_Table!B611)/Master_Table!B611</f>
        <v>-2.5393939779178067E-3</v>
      </c>
      <c r="C612" s="3">
        <f>(Master_Table!C612-Master_Table!C611)/Master_Table!C611</f>
        <v>-1.2095861589143116E-2</v>
      </c>
      <c r="D612" s="3">
        <f>(Master_Table!D612-Master_Table!D611)/Master_Table!D611</f>
        <v>-3.4689854363738892E-3</v>
      </c>
      <c r="E612" s="3">
        <f>(Master_Table!E612-Master_Table!E611)/Master_Table!E611</f>
        <v>-7.7322518288290331E-3</v>
      </c>
      <c r="F612" s="3">
        <f>(Master_Table!F612-Master_Table!F611)/Master_Table!F611</f>
        <v>-1.3237607263552973E-3</v>
      </c>
      <c r="G612" s="3">
        <f>(Master_Table!G612-Master_Table!G611)/Master_Table!G611</f>
        <v>-1.2740142968837262E-2</v>
      </c>
      <c r="H612" s="3">
        <f>(Master_Table!H612-Master_Table!H611)/Master_Table!H611</f>
        <v>1.0161045432720289E-2</v>
      </c>
    </row>
    <row r="613" spans="1:8" x14ac:dyDescent="0.3">
      <c r="A613" s="1">
        <v>44728</v>
      </c>
      <c r="B613" s="3">
        <f>(Master_Table!B613-Master_Table!B612)/Master_Table!B612</f>
        <v>-2.1128398594201514E-2</v>
      </c>
      <c r="C613" s="3">
        <f>(Master_Table!C613-Master_Table!C612)/Master_Table!C612</f>
        <v>-1.3983403193782154E-2</v>
      </c>
      <c r="D613" s="3">
        <f>(Master_Table!D613-Master_Table!D612)/Master_Table!D612</f>
        <v>-1.9996932985738503E-2</v>
      </c>
      <c r="E613" s="3">
        <f>(Master_Table!E613-Master_Table!E612)/Master_Table!E612</f>
        <v>-1.027541158944191E-2</v>
      </c>
      <c r="F613" s="3">
        <f>(Master_Table!F613-Master_Table!F612)/Master_Table!F612</f>
        <v>-2.005426815956092E-2</v>
      </c>
      <c r="G613" s="3">
        <f>(Master_Table!G613-Master_Table!G612)/Master_Table!G612</f>
        <v>-1.7578470262970044E-2</v>
      </c>
      <c r="H613" s="3">
        <f>(Master_Table!H613-Master_Table!H612)/Master_Table!H612</f>
        <v>-2.1119704015826857E-2</v>
      </c>
    </row>
    <row r="614" spans="1:8" x14ac:dyDescent="0.3">
      <c r="A614" s="1">
        <v>44729</v>
      </c>
      <c r="B614" s="3">
        <f>(Master_Table!B614-Master_Table!B613)/Master_Table!B613</f>
        <v>-4.3683189458745336E-3</v>
      </c>
      <c r="C614" s="3">
        <f>(Master_Table!C614-Master_Table!C613)/Master_Table!C613</f>
        <v>1.1720565203173777E-2</v>
      </c>
      <c r="D614" s="3">
        <f>(Master_Table!D614-Master_Table!D613)/Master_Table!D613</f>
        <v>6.5878008324727517E-3</v>
      </c>
      <c r="E614" s="3">
        <f>(Master_Table!E614-Master_Table!E613)/Master_Table!E613</f>
        <v>9.9961404862986287E-3</v>
      </c>
      <c r="F614" s="3">
        <f>(Master_Table!F614-Master_Table!F613)/Master_Table!F613</f>
        <v>-1.6900063653723714E-2</v>
      </c>
      <c r="G614" s="3">
        <f>(Master_Table!G614-Master_Table!G613)/Master_Table!G613</f>
        <v>-7.0823466751116834E-3</v>
      </c>
      <c r="H614" s="3">
        <f>(Master_Table!H614-Master_Table!H613)/Master_Table!H613</f>
        <v>-2.4515079135935411E-2</v>
      </c>
    </row>
    <row r="615" spans="1:8" x14ac:dyDescent="0.3">
      <c r="A615" s="1">
        <v>44732</v>
      </c>
      <c r="B615" s="3">
        <f>(Master_Table!B615-Master_Table!B614)/Master_Table!B614</f>
        <v>3.7041880537483007E-3</v>
      </c>
      <c r="C615" s="3">
        <f>(Master_Table!C615-Master_Table!C614)/Master_Table!C614</f>
        <v>-1.812568045726743E-2</v>
      </c>
      <c r="D615" s="3">
        <f>(Master_Table!D615-Master_Table!D614)/Master_Table!D614</f>
        <v>2.5121644099678157E-2</v>
      </c>
      <c r="E615" s="3">
        <f>(Master_Table!E615-Master_Table!E614)/Master_Table!E614</f>
        <v>3.018839084412933E-3</v>
      </c>
      <c r="F615" s="3">
        <f>(Master_Table!F615-Master_Table!F614)/Master_Table!F614</f>
        <v>7.6078863025672563E-3</v>
      </c>
      <c r="G615" s="3">
        <f>(Master_Table!G615-Master_Table!G614)/Master_Table!G614</f>
        <v>1.9347168963342629E-2</v>
      </c>
      <c r="H615" s="3">
        <f>(Master_Table!H615-Master_Table!H614)/Master_Table!H614</f>
        <v>-1.2182160635005988E-2</v>
      </c>
    </row>
    <row r="616" spans="1:8" x14ac:dyDescent="0.3">
      <c r="A616" s="1">
        <v>44733</v>
      </c>
      <c r="B616" s="3">
        <f>(Master_Table!B616-Master_Table!B615)/Master_Table!B615</f>
        <v>1.8804376504464104E-2</v>
      </c>
      <c r="C616" s="3">
        <f>(Master_Table!C616-Master_Table!C615)/Master_Table!C615</f>
        <v>1.6138673042438829E-2</v>
      </c>
      <c r="D616" s="3">
        <f>(Master_Table!D616-Master_Table!D615)/Master_Table!D615</f>
        <v>1.090335592860509E-2</v>
      </c>
      <c r="E616" s="3">
        <f>(Master_Table!E616-Master_Table!E615)/Master_Table!E615</f>
        <v>2.1982627247790237E-2</v>
      </c>
      <c r="F616" s="3">
        <f>(Master_Table!F616-Master_Table!F615)/Master_Table!F615</f>
        <v>6.8307415499292388E-3</v>
      </c>
      <c r="G616" s="3">
        <f>(Master_Table!G616-Master_Table!G615)/Master_Table!G615</f>
        <v>2.5287650580990133E-2</v>
      </c>
      <c r="H616" s="3">
        <f>(Master_Table!H616-Master_Table!H615)/Master_Table!H615</f>
        <v>1.9360022880646151E-2</v>
      </c>
    </row>
    <row r="617" spans="1:8" x14ac:dyDescent="0.3">
      <c r="A617" s="1">
        <v>44734</v>
      </c>
      <c r="B617" s="3">
        <f>(Master_Table!B617-Master_Table!B616)/Master_Table!B616</f>
        <v>-1.4419264905235697E-2</v>
      </c>
      <c r="C617" s="3">
        <f>(Master_Table!C617-Master_Table!C616)/Master_Table!C616</f>
        <v>-3.037510656436497E-2</v>
      </c>
      <c r="D617" s="3">
        <f>(Master_Table!D617-Master_Table!D616)/Master_Table!D616</f>
        <v>-4.7253307731540866E-3</v>
      </c>
      <c r="E617" s="3">
        <f>(Master_Table!E617-Master_Table!E616)/Master_Table!E616</f>
        <v>-1.7036346691519079E-2</v>
      </c>
      <c r="F617" s="3">
        <f>(Master_Table!F617-Master_Table!F616)/Master_Table!F616</f>
        <v>3.4241111033105117E-3</v>
      </c>
      <c r="G617" s="3">
        <f>(Master_Table!G617-Master_Table!G616)/Master_Table!G616</f>
        <v>-8.7253256391404566E-3</v>
      </c>
      <c r="H617" s="3">
        <f>(Master_Table!H617-Master_Table!H616)/Master_Table!H616</f>
        <v>-1.4362825000668038E-2</v>
      </c>
    </row>
    <row r="618" spans="1:8" x14ac:dyDescent="0.3">
      <c r="A618" s="1">
        <v>44735</v>
      </c>
      <c r="B618" s="3">
        <f>(Master_Table!B618-Master_Table!B617)/Master_Table!B617</f>
        <v>9.3004093866985247E-3</v>
      </c>
      <c r="C618" s="3">
        <f>(Master_Table!C618-Master_Table!C617)/Master_Table!C617</f>
        <v>-1.6230426334438056E-2</v>
      </c>
      <c r="D618" s="3">
        <f>(Master_Table!D618-Master_Table!D617)/Master_Table!D617</f>
        <v>3.692706527800702E-3</v>
      </c>
      <c r="E618" s="3">
        <f>(Master_Table!E618-Master_Table!E617)/Master_Table!E617</f>
        <v>7.2057038834950589E-4</v>
      </c>
      <c r="F618" s="3">
        <f>(Master_Table!F618-Master_Table!F617)/Master_Table!F617</f>
        <v>2.663791705227412E-2</v>
      </c>
      <c r="G618" s="3">
        <f>(Master_Table!G618-Master_Table!G617)/Master_Table!G617</f>
        <v>1.0572348166806534E-2</v>
      </c>
      <c r="H618" s="3">
        <f>(Master_Table!H618-Master_Table!H617)/Master_Table!H617</f>
        <v>1.0519038646622644E-2</v>
      </c>
    </row>
    <row r="619" spans="1:8" x14ac:dyDescent="0.3">
      <c r="A619" s="1">
        <v>44736</v>
      </c>
      <c r="B619" s="3">
        <f>(Master_Table!B619-Master_Table!B618)/Master_Table!B618</f>
        <v>9.1664979285386236E-3</v>
      </c>
      <c r="C619" s="3">
        <f>(Master_Table!C619-Master_Table!C618)/Master_Table!C618</f>
        <v>1.4246007274937061E-2</v>
      </c>
      <c r="D619" s="3">
        <f>(Master_Table!D619-Master_Table!D618)/Master_Table!D618</f>
        <v>1.3965641518500825E-2</v>
      </c>
      <c r="E619" s="3">
        <f>(Master_Table!E619-Master_Table!E618)/Master_Table!E618</f>
        <v>1.3264107325577849E-3</v>
      </c>
      <c r="F619" s="3">
        <f>(Master_Table!F619-Master_Table!F618)/Master_Table!F618</f>
        <v>-4.7457522110187457E-3</v>
      </c>
      <c r="G619" s="3">
        <f>(Master_Table!G619-Master_Table!G618)/Master_Table!G618</f>
        <v>-7.8168814174242127E-3</v>
      </c>
      <c r="H619" s="3">
        <f>(Master_Table!H619-Master_Table!H618)/Master_Table!H618</f>
        <v>3.6889479120551764E-4</v>
      </c>
    </row>
    <row r="620" spans="1:8" x14ac:dyDescent="0.3">
      <c r="A620" s="1">
        <v>44739</v>
      </c>
      <c r="B620" s="3">
        <f>(Master_Table!B620-Master_Table!B619)/Master_Table!B619</f>
        <v>8.4590028186059384E-3</v>
      </c>
      <c r="C620" s="3">
        <f>(Master_Table!C620-Master_Table!C619)/Master_Table!C619</f>
        <v>-2.9607437106224611E-3</v>
      </c>
      <c r="D620" s="3">
        <f>(Master_Table!D620-Master_Table!D619)/Master_Table!D619</f>
        <v>1.8068185184088553E-3</v>
      </c>
      <c r="E620" s="3">
        <f>(Master_Table!E620-Master_Table!E619)/Master_Table!E619</f>
        <v>1.5441677390053681E-2</v>
      </c>
      <c r="F620" s="3">
        <f>(Master_Table!F620-Master_Table!F619)/Master_Table!F619</f>
        <v>6.561193713953097E-3</v>
      </c>
      <c r="G620" s="3">
        <f>(Master_Table!G620-Master_Table!G619)/Master_Table!G619</f>
        <v>2.3251594534619151E-2</v>
      </c>
      <c r="H620" s="3">
        <f>(Master_Table!H620-Master_Table!H619)/Master_Table!H619</f>
        <v>2.738871866388639E-2</v>
      </c>
    </row>
    <row r="621" spans="1:8" x14ac:dyDescent="0.3">
      <c r="A621" s="1">
        <v>44740</v>
      </c>
      <c r="B621" s="3">
        <f>(Master_Table!B621-Master_Table!B620)/Master_Table!B620</f>
        <v>1.1464087089164989E-3</v>
      </c>
      <c r="C621" s="3">
        <f>(Master_Table!C621-Master_Table!C620)/Master_Table!C620</f>
        <v>1.4061105268274648E-2</v>
      </c>
      <c r="D621" s="3">
        <f>(Master_Table!D621-Master_Table!D620)/Master_Table!D620</f>
        <v>-7.6281710129502715E-3</v>
      </c>
      <c r="E621" s="3">
        <f>(Master_Table!E621-Master_Table!E620)/Master_Table!E620</f>
        <v>7.0070816250465727E-3</v>
      </c>
      <c r="F621" s="3">
        <f>(Master_Table!F621-Master_Table!F620)/Master_Table!F620</f>
        <v>1.0389899533382585E-3</v>
      </c>
      <c r="G621" s="3">
        <f>(Master_Table!G621-Master_Table!G620)/Master_Table!G620</f>
        <v>3.7576551140935874E-3</v>
      </c>
      <c r="H621" s="3">
        <f>(Master_Table!H621-Master_Table!H620)/Master_Table!H620</f>
        <v>1.0226190010050037E-2</v>
      </c>
    </row>
    <row r="622" spans="1:8" x14ac:dyDescent="0.3">
      <c r="A622" s="1">
        <v>44741</v>
      </c>
      <c r="B622" s="3">
        <f>(Master_Table!B622-Master_Table!B621)/Master_Table!B621</f>
        <v>-3.2239340828507123E-3</v>
      </c>
      <c r="C622" s="3">
        <f>(Master_Table!C622-Master_Table!C621)/Master_Table!C621</f>
        <v>2.0751263726686373E-2</v>
      </c>
      <c r="D622" s="3">
        <f>(Master_Table!D622-Master_Table!D621)/Master_Table!D621</f>
        <v>-1.4450005958765752E-3</v>
      </c>
      <c r="E622" s="3">
        <f>(Master_Table!E622-Master_Table!E621)/Master_Table!E621</f>
        <v>8.1057073062402764E-3</v>
      </c>
      <c r="F622" s="3">
        <f>(Master_Table!F622-Master_Table!F621)/Master_Table!F621</f>
        <v>-8.3310937919913383E-3</v>
      </c>
      <c r="G622" s="3">
        <f>(Master_Table!G622-Master_Table!G621)/Master_Table!G621</f>
        <v>-1.1414206610727964E-2</v>
      </c>
      <c r="H622" s="3">
        <f>(Master_Table!H622-Master_Table!H621)/Master_Table!H621</f>
        <v>-2.3191064657204527E-3</v>
      </c>
    </row>
    <row r="623" spans="1:8" x14ac:dyDescent="0.3">
      <c r="A623" s="1">
        <v>44742</v>
      </c>
      <c r="B623" s="3">
        <f>(Master_Table!B623-Master_Table!B622)/Master_Table!B622</f>
        <v>-1.1931059364141225E-3</v>
      </c>
      <c r="C623" s="3">
        <f>(Master_Table!C623-Master_Table!C622)/Master_Table!C622</f>
        <v>6.0023394608993879E-3</v>
      </c>
      <c r="D623" s="3">
        <f>(Master_Table!D623-Master_Table!D622)/Master_Table!D622</f>
        <v>3.0135310527966098E-3</v>
      </c>
      <c r="E623" s="3">
        <f>(Master_Table!E623-Master_Table!E622)/Master_Table!E622</f>
        <v>-1.9825972023351339E-3</v>
      </c>
      <c r="F623" s="3">
        <f>(Master_Table!F623-Master_Table!F622)/Master_Table!F622</f>
        <v>-7.1114849079526466E-3</v>
      </c>
      <c r="G623" s="3">
        <f>(Master_Table!G623-Master_Table!G622)/Master_Table!G622</f>
        <v>-9.2093055221464427E-4</v>
      </c>
      <c r="H623" s="3">
        <f>(Master_Table!H623-Master_Table!H622)/Master_Table!H622</f>
        <v>6.6821201486641823E-3</v>
      </c>
    </row>
    <row r="624" spans="1:8" x14ac:dyDescent="0.3">
      <c r="A624" s="1">
        <v>44743</v>
      </c>
      <c r="B624" s="3">
        <f>(Master_Table!B624-Master_Table!B623)/Master_Table!B623</f>
        <v>-1.7870439314966954E-3</v>
      </c>
      <c r="C624" s="3">
        <f>(Master_Table!C624-Master_Table!C623)/Master_Table!C623</f>
        <v>-7.2022677892449677E-2</v>
      </c>
      <c r="D624" s="3">
        <f>(Master_Table!D624-Master_Table!D623)/Master_Table!D623</f>
        <v>4.2687370785179958E-3</v>
      </c>
      <c r="E624" s="3">
        <f>(Master_Table!E624-Master_Table!E623)/Master_Table!E623</f>
        <v>3.96571386528346E-2</v>
      </c>
      <c r="F624" s="3">
        <f>(Master_Table!F624-Master_Table!F623)/Master_Table!F623</f>
        <v>1.4691902982616427E-2</v>
      </c>
      <c r="G624" s="3">
        <f>(Master_Table!G624-Master_Table!G623)/Master_Table!G623</f>
        <v>1.1969374909713672E-2</v>
      </c>
      <c r="H624" s="3">
        <f>(Master_Table!H624-Master_Table!H623)/Master_Table!H623</f>
        <v>8.9211057797444534E-3</v>
      </c>
    </row>
    <row r="625" spans="1:8" x14ac:dyDescent="0.3">
      <c r="A625" s="1">
        <v>44746</v>
      </c>
      <c r="B625" s="3">
        <f>(Master_Table!B625-Master_Table!B624)/Master_Table!B624</f>
        <v>5.2882005834161963E-3</v>
      </c>
      <c r="C625" s="3">
        <f>(Master_Table!C625-Master_Table!C624)/Master_Table!C624</f>
        <v>2.0761308968519467E-3</v>
      </c>
      <c r="D625" s="3">
        <f>(Master_Table!D625-Master_Table!D624)/Master_Table!D624</f>
        <v>1.3921800947866423E-3</v>
      </c>
      <c r="E625" s="3">
        <f>(Master_Table!E625-Master_Table!E624)/Master_Table!E624</f>
        <v>2.6538339053819752E-2</v>
      </c>
      <c r="F625" s="3">
        <f>(Master_Table!F625-Master_Table!F624)/Master_Table!F624</f>
        <v>-2.4147419843552041E-2</v>
      </c>
      <c r="G625" s="3">
        <f>(Master_Table!G625-Master_Table!G624)/Master_Table!G624</f>
        <v>5.8119379244245383E-3</v>
      </c>
      <c r="H625" s="3">
        <f>(Master_Table!H625-Master_Table!H624)/Master_Table!H624</f>
        <v>6.0754425892989338E-3</v>
      </c>
    </row>
    <row r="626" spans="1:8" x14ac:dyDescent="0.3">
      <c r="A626" s="1">
        <v>44747</v>
      </c>
      <c r="B626" s="3">
        <f>(Master_Table!B626-Master_Table!B625)/Master_Table!B625</f>
        <v>-1.5471713602793749E-3</v>
      </c>
      <c r="C626" s="3">
        <f>(Master_Table!C626-Master_Table!C625)/Master_Table!C625</f>
        <v>8.0956509834343906E-3</v>
      </c>
      <c r="D626" s="3">
        <f>(Master_Table!D626-Master_Table!D625)/Master_Table!D625</f>
        <v>-2.2480551365101635E-3</v>
      </c>
      <c r="E626" s="3">
        <f>(Master_Table!E626-Master_Table!E625)/Master_Table!E625</f>
        <v>-1.7131432904760355E-2</v>
      </c>
      <c r="F626" s="3">
        <f>(Master_Table!F626-Master_Table!F625)/Master_Table!F625</f>
        <v>-5.7949432862302655E-3</v>
      </c>
      <c r="G626" s="3">
        <f>(Master_Table!G626-Master_Table!G625)/Master_Table!G625</f>
        <v>-8.0964545909195471E-3</v>
      </c>
      <c r="H626" s="3">
        <f>(Master_Table!H626-Master_Table!H625)/Master_Table!H625</f>
        <v>-1.0620097076305011E-2</v>
      </c>
    </row>
    <row r="627" spans="1:8" x14ac:dyDescent="0.3">
      <c r="A627" s="1">
        <v>44748</v>
      </c>
      <c r="B627" s="3">
        <f>(Master_Table!B627-Master_Table!B626)/Master_Table!B626</f>
        <v>1.1318177074603763E-2</v>
      </c>
      <c r="C627" s="3">
        <f>(Master_Table!C627-Master_Table!C626)/Master_Table!C626</f>
        <v>-8.7911490964401161E-3</v>
      </c>
      <c r="D627" s="3">
        <f>(Master_Table!D627-Master_Table!D626)/Master_Table!D626</f>
        <v>1.3785538525392006E-2</v>
      </c>
      <c r="E627" s="3">
        <f>(Master_Table!E627-Master_Table!E626)/Master_Table!E626</f>
        <v>8.3818475135020911E-3</v>
      </c>
      <c r="F627" s="3">
        <f>(Master_Table!F627-Master_Table!F626)/Master_Table!F626</f>
        <v>1.3818114604944096E-2</v>
      </c>
      <c r="G627" s="3">
        <f>(Master_Table!G627-Master_Table!G626)/Master_Table!G626</f>
        <v>1.063583342417959E-2</v>
      </c>
      <c r="H627" s="3">
        <f>(Master_Table!H627-Master_Table!H626)/Master_Table!H626</f>
        <v>-5.5912077777350916E-3</v>
      </c>
    </row>
    <row r="628" spans="1:8" x14ac:dyDescent="0.3">
      <c r="A628" s="1">
        <v>44749</v>
      </c>
      <c r="B628" s="3">
        <f>(Master_Table!B628-Master_Table!B627)/Master_Table!B627</f>
        <v>8.9494552777395816E-3</v>
      </c>
      <c r="C628" s="3">
        <f>(Master_Table!C628-Master_Table!C627)/Master_Table!C627</f>
        <v>-9.8464573761657022E-3</v>
      </c>
      <c r="D628" s="3">
        <f>(Master_Table!D628-Master_Table!D627)/Master_Table!D627</f>
        <v>1.7911451631769798E-2</v>
      </c>
      <c r="E628" s="3">
        <f>(Master_Table!E628-Master_Table!E627)/Master_Table!E627</f>
        <v>9.146871630786535E-3</v>
      </c>
      <c r="F628" s="3">
        <f>(Master_Table!F628-Master_Table!F627)/Master_Table!F627</f>
        <v>8.3111461774700215E-3</v>
      </c>
      <c r="G628" s="3">
        <f>(Master_Table!G628-Master_Table!G627)/Master_Table!G627</f>
        <v>4.7259807589884592E-3</v>
      </c>
      <c r="H628" s="3">
        <f>(Master_Table!H628-Master_Table!H627)/Master_Table!H627</f>
        <v>3.5307377709077985E-2</v>
      </c>
    </row>
    <row r="629" spans="1:8" x14ac:dyDescent="0.3">
      <c r="A629" s="1">
        <v>44750</v>
      </c>
      <c r="B629" s="3">
        <f>(Master_Table!B629-Master_Table!B628)/Master_Table!B628</f>
        <v>5.4360964240775514E-3</v>
      </c>
      <c r="C629" s="3">
        <f>(Master_Table!C629-Master_Table!C628)/Master_Table!C628</f>
        <v>1.3837255426510336E-3</v>
      </c>
      <c r="D629" s="3">
        <f>(Master_Table!D629-Master_Table!D628)/Master_Table!D628</f>
        <v>9.3367999195611846E-4</v>
      </c>
      <c r="E629" s="3">
        <f>(Master_Table!E629-Master_Table!E628)/Master_Table!E628</f>
        <v>3.7910118555278668E-3</v>
      </c>
      <c r="F629" s="3">
        <f>(Master_Table!F629-Master_Table!F628)/Master_Table!F628</f>
        <v>-6.8117130289209148E-3</v>
      </c>
      <c r="G629" s="3">
        <f>(Master_Table!G629-Master_Table!G628)/Master_Table!G628</f>
        <v>1.0507951419177403E-2</v>
      </c>
      <c r="H629" s="3">
        <f>(Master_Table!H629-Master_Table!H628)/Master_Table!H628</f>
        <v>4.7391242138267002E-2</v>
      </c>
    </row>
    <row r="630" spans="1:8" x14ac:dyDescent="0.3">
      <c r="A630" s="1">
        <v>44753</v>
      </c>
      <c r="B630" s="3">
        <f>(Master_Table!B630-Master_Table!B629)/Master_Table!B629</f>
        <v>-2.8359000283592243E-4</v>
      </c>
      <c r="C630" s="3">
        <f>(Master_Table!C630-Master_Table!C629)/Master_Table!C629</f>
        <v>1.3587832671598205E-2</v>
      </c>
      <c r="D630" s="3">
        <f>(Master_Table!D630-Master_Table!D629)/Master_Table!D629</f>
        <v>6.4722596940386193E-3</v>
      </c>
      <c r="E630" s="3">
        <f>(Master_Table!E630-Master_Table!E629)/Master_Table!E629</f>
        <v>6.6263819268008199E-3</v>
      </c>
      <c r="F630" s="3">
        <f>(Master_Table!F630-Master_Table!F629)/Master_Table!F629</f>
        <v>-4.6442718763536388E-2</v>
      </c>
      <c r="G630" s="3">
        <f>(Master_Table!G630-Master_Table!G629)/Master_Table!G629</f>
        <v>-2.7271640681027342E-2</v>
      </c>
      <c r="H630" s="3">
        <f>(Master_Table!H630-Master_Table!H629)/Master_Table!H629</f>
        <v>-1.4486383749591719E-2</v>
      </c>
    </row>
    <row r="631" spans="1:8" x14ac:dyDescent="0.3">
      <c r="A631" s="1">
        <v>44754</v>
      </c>
      <c r="B631" s="3">
        <f>(Master_Table!B631-Master_Table!B630)/Master_Table!B630</f>
        <v>-9.724962999506705E-3</v>
      </c>
      <c r="C631" s="3">
        <f>(Master_Table!C631-Master_Table!C630)/Master_Table!C630</f>
        <v>-1.4269095139418479E-3</v>
      </c>
      <c r="D631" s="3">
        <f>(Master_Table!D631-Master_Table!D630)/Master_Table!D630</f>
        <v>-1.0209173997975392E-2</v>
      </c>
      <c r="E631" s="3">
        <f>(Master_Table!E631-Master_Table!E630)/Master_Table!E630</f>
        <v>-7.7765271666836271E-3</v>
      </c>
      <c r="F631" s="3">
        <f>(Master_Table!F631-Master_Table!F630)/Master_Table!F630</f>
        <v>-9.3452714045886547E-3</v>
      </c>
      <c r="G631" s="3">
        <f>(Master_Table!G631-Master_Table!G630)/Master_Table!G630</f>
        <v>-2.3448859641338349E-2</v>
      </c>
      <c r="H631" s="3">
        <f>(Master_Table!H631-Master_Table!H630)/Master_Table!H630</f>
        <v>-5.5627207309282565E-3</v>
      </c>
    </row>
    <row r="632" spans="1:8" x14ac:dyDescent="0.3">
      <c r="A632" s="1">
        <v>44755</v>
      </c>
      <c r="B632" s="3">
        <f>(Master_Table!B632-Master_Table!B631)/Master_Table!B631</f>
        <v>-5.7073289202468278E-3</v>
      </c>
      <c r="C632" s="3">
        <f>(Master_Table!C632-Master_Table!C631)/Master_Table!C631</f>
        <v>-1.7720781643927902E-2</v>
      </c>
      <c r="D632" s="3">
        <f>(Master_Table!D632-Master_Table!D631)/Master_Table!D631</f>
        <v>-2.4388838468962865E-2</v>
      </c>
      <c r="E632" s="3">
        <f>(Master_Table!E632-Master_Table!E631)/Master_Table!E631</f>
        <v>4.6062356055136464E-3</v>
      </c>
      <c r="F632" s="3">
        <f>(Master_Table!F632-Master_Table!F631)/Master_Table!F631</f>
        <v>-1.4896112656213264E-2</v>
      </c>
      <c r="G632" s="3">
        <f>(Master_Table!G632-Master_Table!G631)/Master_Table!G631</f>
        <v>4.0614033861338696E-3</v>
      </c>
      <c r="H632" s="3">
        <f>(Master_Table!H632-Master_Table!H631)/Master_Table!H631</f>
        <v>-3.9332618194820755E-3</v>
      </c>
    </row>
    <row r="633" spans="1:8" x14ac:dyDescent="0.3">
      <c r="A633" s="1">
        <v>44756</v>
      </c>
      <c r="B633" s="3">
        <f>(Master_Table!B633-Master_Table!B632)/Master_Table!B632</f>
        <v>-1.7536552752142748E-3</v>
      </c>
      <c r="C633" s="3">
        <f>(Master_Table!C633-Master_Table!C632)/Master_Table!C632</f>
        <v>8.2465438642008188E-3</v>
      </c>
      <c r="D633" s="3">
        <f>(Master_Table!D633-Master_Table!D632)/Master_Table!D632</f>
        <v>-5.0056110093910375E-3</v>
      </c>
      <c r="E633" s="3">
        <f>(Master_Table!E633-Master_Table!E632)/Master_Table!E632</f>
        <v>-1.0881094952951264E-2</v>
      </c>
      <c r="F633" s="3">
        <f>(Master_Table!F633-Master_Table!F632)/Master_Table!F632</f>
        <v>-1.3161622839564466E-2</v>
      </c>
      <c r="G633" s="3">
        <f>(Master_Table!G633-Master_Table!G632)/Master_Table!G632</f>
        <v>-1.0798203780415631E-2</v>
      </c>
      <c r="H633" s="3">
        <f>(Master_Table!H633-Master_Table!H632)/Master_Table!H632</f>
        <v>-6.6320259926738517E-4</v>
      </c>
    </row>
    <row r="634" spans="1:8" x14ac:dyDescent="0.3">
      <c r="A634" s="1">
        <v>44757</v>
      </c>
      <c r="B634" s="3">
        <f>(Master_Table!B634-Master_Table!B633)/Master_Table!B633</f>
        <v>6.9359701103921031E-3</v>
      </c>
      <c r="C634" s="3">
        <f>(Master_Table!C634-Master_Table!C633)/Master_Table!C633</f>
        <v>1.9390887202013526E-3</v>
      </c>
      <c r="D634" s="3">
        <f>(Master_Table!D634-Master_Table!D633)/Master_Table!D633</f>
        <v>8.1323736736662721E-3</v>
      </c>
      <c r="E634" s="3">
        <f>(Master_Table!E634-Master_Table!E633)/Master_Table!E633</f>
        <v>9.2711108036116052E-3</v>
      </c>
      <c r="F634" s="3">
        <f>(Master_Table!F634-Master_Table!F633)/Master_Table!F633</f>
        <v>-1.3843030290600163E-3</v>
      </c>
      <c r="G634" s="3">
        <f>(Master_Table!G634-Master_Table!G633)/Master_Table!G633</f>
        <v>1.0486754314349323E-3</v>
      </c>
      <c r="H634" s="3">
        <f>(Master_Table!H634-Master_Table!H633)/Master_Table!H633</f>
        <v>2.3507564918262291E-2</v>
      </c>
    </row>
    <row r="635" spans="1:8" x14ac:dyDescent="0.3">
      <c r="A635" s="1">
        <v>44760</v>
      </c>
      <c r="B635" s="3">
        <f>(Master_Table!B635-Master_Table!B634)/Master_Table!B634</f>
        <v>1.428731650175705E-2</v>
      </c>
      <c r="C635" s="3">
        <f>(Master_Table!C635-Master_Table!C634)/Master_Table!C634</f>
        <v>8.5118092180692245E-3</v>
      </c>
      <c r="D635" s="3">
        <f>(Master_Table!D635-Master_Table!D634)/Master_Table!D634</f>
        <v>-1.0642839268102422E-2</v>
      </c>
      <c r="E635" s="3">
        <f>(Master_Table!E635-Master_Table!E634)/Master_Table!E634</f>
        <v>5.9640102827763809E-3</v>
      </c>
      <c r="F635" s="3">
        <f>(Master_Table!F635-Master_Table!F634)/Master_Table!F634</f>
        <v>2.3007862103429203E-2</v>
      </c>
      <c r="G635" s="3">
        <f>(Master_Table!G635-Master_Table!G634)/Master_Table!G634</f>
        <v>4.1635907278901541E-2</v>
      </c>
      <c r="H635" s="3">
        <f>(Master_Table!H635-Master_Table!H634)/Master_Table!H634</f>
        <v>2.5400640072335341E-2</v>
      </c>
    </row>
    <row r="636" spans="1:8" x14ac:dyDescent="0.3">
      <c r="A636" s="1">
        <v>44761</v>
      </c>
      <c r="B636" s="3">
        <f>(Master_Table!B636-Master_Table!B635)/Master_Table!B635</f>
        <v>3.8117762693122385E-3</v>
      </c>
      <c r="C636" s="3">
        <f>(Master_Table!C636-Master_Table!C635)/Master_Table!C635</f>
        <v>6.1298918628868784E-3</v>
      </c>
      <c r="D636" s="3">
        <f>(Master_Table!D636-Master_Table!D635)/Master_Table!D635</f>
        <v>3.7196845707484003E-4</v>
      </c>
      <c r="E636" s="3">
        <f>(Master_Table!E636-Master_Table!E635)/Master_Table!E635</f>
        <v>-2.351017070428286E-3</v>
      </c>
      <c r="F636" s="3">
        <f>(Master_Table!F636-Master_Table!F635)/Master_Table!F635</f>
        <v>3.5097345784137059E-3</v>
      </c>
      <c r="G636" s="3">
        <f>(Master_Table!G636-Master_Table!G635)/Master_Table!G635</f>
        <v>-3.8608214370085569E-3</v>
      </c>
      <c r="H636" s="3">
        <f>(Master_Table!H636-Master_Table!H635)/Master_Table!H635</f>
        <v>1.2472734023298434E-3</v>
      </c>
    </row>
    <row r="637" spans="1:8" x14ac:dyDescent="0.3">
      <c r="A637" s="1">
        <v>44762</v>
      </c>
      <c r="B637" s="3">
        <f>(Master_Table!B637-Master_Table!B636)/Master_Table!B636</f>
        <v>1.1033900327712303E-2</v>
      </c>
      <c r="C637" s="3">
        <f>(Master_Table!C637-Master_Table!C636)/Master_Table!C636</f>
        <v>2.7045838719300056E-2</v>
      </c>
      <c r="D637" s="3">
        <f>(Master_Table!D637-Master_Table!D636)/Master_Table!D636</f>
        <v>1.2612478619766518E-2</v>
      </c>
      <c r="E637" s="3">
        <f>(Master_Table!E637-Master_Table!E636)/Master_Table!E636</f>
        <v>1.2192622950819649E-2</v>
      </c>
      <c r="F637" s="3">
        <f>(Master_Table!F637-Master_Table!F636)/Master_Table!F636</f>
        <v>2.9453342757691639E-2</v>
      </c>
      <c r="G637" s="3">
        <f>(Master_Table!G637-Master_Table!G636)/Master_Table!G636</f>
        <v>2.0991577620728688E-2</v>
      </c>
      <c r="H637" s="3">
        <f>(Master_Table!H637-Master_Table!H636)/Master_Table!H636</f>
        <v>5.8693674641203085E-3</v>
      </c>
    </row>
    <row r="638" spans="1:8" x14ac:dyDescent="0.3">
      <c r="A638" s="1">
        <v>44763</v>
      </c>
      <c r="B638" s="3">
        <f>(Master_Table!B638-Master_Table!B637)/Master_Table!B637</f>
        <v>5.1086959811390735E-3</v>
      </c>
      <c r="C638" s="3">
        <f>(Master_Table!C638-Master_Table!C637)/Master_Table!C637</f>
        <v>-6.6802207377288526E-3</v>
      </c>
      <c r="D638" s="3">
        <f>(Master_Table!D638-Master_Table!D637)/Master_Table!D637</f>
        <v>-3.1432222434381362E-3</v>
      </c>
      <c r="E638" s="3">
        <f>(Master_Table!E638-Master_Table!E637)/Master_Table!E637</f>
        <v>4.5551169146675532E-3</v>
      </c>
      <c r="F638" s="3">
        <f>(Master_Table!F638-Master_Table!F637)/Master_Table!F637</f>
        <v>3.9479735463101686E-3</v>
      </c>
      <c r="G638" s="3">
        <f>(Master_Table!G638-Master_Table!G637)/Master_Table!G637</f>
        <v>1.1613939381872964E-2</v>
      </c>
      <c r="H638" s="3">
        <f>(Master_Table!H638-Master_Table!H637)/Master_Table!H637</f>
        <v>1.4481233151309936E-2</v>
      </c>
    </row>
    <row r="639" spans="1:8" x14ac:dyDescent="0.3">
      <c r="A639" s="1">
        <v>44764</v>
      </c>
      <c r="B639" s="3">
        <f>(Master_Table!B639-Master_Table!B638)/Master_Table!B638</f>
        <v>6.8773430089881654E-3</v>
      </c>
      <c r="C639" s="3">
        <f>(Master_Table!C639-Master_Table!C638)/Master_Table!C638</f>
        <v>6.7605883395358054E-3</v>
      </c>
      <c r="D639" s="3">
        <f>(Master_Table!D639-Master_Table!D638)/Master_Table!D638</f>
        <v>2.3324345430166829E-2</v>
      </c>
      <c r="E639" s="3">
        <f>(Master_Table!E639-Master_Table!E638)/Master_Table!E638</f>
        <v>3.3252720677144705E-3</v>
      </c>
      <c r="F639" s="3">
        <f>(Master_Table!F639-Master_Table!F638)/Master_Table!F638</f>
        <v>-1.9807410035969073E-3</v>
      </c>
      <c r="G639" s="3">
        <f>(Master_Table!G639-Master_Table!G638)/Master_Table!G638</f>
        <v>-1.7352113415250208E-2</v>
      </c>
      <c r="H639" s="3">
        <f>(Master_Table!H639-Master_Table!H638)/Master_Table!H638</f>
        <v>1.4706049353274044E-3</v>
      </c>
    </row>
    <row r="640" spans="1:8" x14ac:dyDescent="0.3">
      <c r="A640" s="1">
        <v>44767</v>
      </c>
      <c r="B640" s="3">
        <f>(Master_Table!B640-Master_Table!B639)/Master_Table!B639</f>
        <v>-5.2902457915781154E-3</v>
      </c>
      <c r="C640" s="3">
        <f>(Master_Table!C640-Master_Table!C639)/Master_Table!C639</f>
        <v>-3.303908539644259E-2</v>
      </c>
      <c r="D640" s="3">
        <f>(Master_Table!D640-Master_Table!D639)/Master_Table!D639</f>
        <v>2.9516788573404197E-3</v>
      </c>
      <c r="E640" s="3">
        <f>(Master_Table!E640-Master_Table!E639)/Master_Table!E639</f>
        <v>1.8412507113923584E-3</v>
      </c>
      <c r="F640" s="3">
        <f>(Master_Table!F640-Master_Table!F639)/Master_Table!F639</f>
        <v>-1.3414314851747872E-3</v>
      </c>
      <c r="G640" s="3">
        <f>(Master_Table!G640-Master_Table!G639)/Master_Table!G639</f>
        <v>-1.7958954775478531E-3</v>
      </c>
      <c r="H640" s="3">
        <f>(Master_Table!H640-Master_Table!H639)/Master_Table!H639</f>
        <v>8.3174110003005342E-3</v>
      </c>
    </row>
    <row r="641" spans="1:8" x14ac:dyDescent="0.3">
      <c r="A641" s="1">
        <v>44768</v>
      </c>
      <c r="B641" s="3">
        <f>(Master_Table!B641-Master_Table!B640)/Master_Table!B640</f>
        <v>-8.8479345800012901E-3</v>
      </c>
      <c r="C641" s="3">
        <f>(Master_Table!C641-Master_Table!C640)/Master_Table!C640</f>
        <v>4.5508742229382265E-4</v>
      </c>
      <c r="D641" s="3">
        <f>(Master_Table!D641-Master_Table!D640)/Master_Table!D640</f>
        <v>-2.0385603744061224E-3</v>
      </c>
      <c r="E641" s="3">
        <f>(Master_Table!E641-Master_Table!E640)/Master_Table!E640</f>
        <v>4.4777116888325601E-3</v>
      </c>
      <c r="F641" s="3">
        <f>(Master_Table!F641-Master_Table!F640)/Master_Table!F640</f>
        <v>-1.6057302657983701E-2</v>
      </c>
      <c r="G641" s="3">
        <f>(Master_Table!G641-Master_Table!G640)/Master_Table!G640</f>
        <v>-3.4878976972518232E-2</v>
      </c>
      <c r="H641" s="3">
        <f>(Master_Table!H641-Master_Table!H640)/Master_Table!H640</f>
        <v>-1.7504104720991492E-2</v>
      </c>
    </row>
    <row r="642" spans="1:8" x14ac:dyDescent="0.3">
      <c r="A642" s="1">
        <v>44769</v>
      </c>
      <c r="B642" s="3">
        <f>(Master_Table!B642-Master_Table!B641)/Master_Table!B641</f>
        <v>9.5821061220528417E-3</v>
      </c>
      <c r="C642" s="3">
        <f>(Master_Table!C642-Master_Table!C641)/Master_Table!C641</f>
        <v>-9.4615125683454506E-4</v>
      </c>
      <c r="D642" s="3">
        <f>(Master_Table!D642-Master_Table!D641)/Master_Table!D641</f>
        <v>7.6386391426311725E-3</v>
      </c>
      <c r="E642" s="3">
        <f>(Master_Table!E642-Master_Table!E641)/Master_Table!E641</f>
        <v>5.6220891550232792E-3</v>
      </c>
      <c r="F642" s="3">
        <f>(Master_Table!F642-Master_Table!F641)/Master_Table!F641</f>
        <v>2.3411569269231425E-2</v>
      </c>
      <c r="G642" s="3">
        <f>(Master_Table!G642-Master_Table!G641)/Master_Table!G641</f>
        <v>1.371429363418384E-2</v>
      </c>
      <c r="H642" s="3">
        <f>(Master_Table!H642-Master_Table!H641)/Master_Table!H641</f>
        <v>2.5925565583668587E-2</v>
      </c>
    </row>
    <row r="643" spans="1:8" x14ac:dyDescent="0.3">
      <c r="A643" s="1">
        <v>44770</v>
      </c>
      <c r="B643" s="3">
        <f>(Master_Table!B643-Master_Table!B642)/Master_Table!B642</f>
        <v>1.7293802353110798E-2</v>
      </c>
      <c r="C643" s="3">
        <f>(Master_Table!C643-Master_Table!C642)/Master_Table!C642</f>
        <v>1.5662705459181185E-2</v>
      </c>
      <c r="D643" s="3">
        <f>(Master_Table!D643-Master_Table!D642)/Master_Table!D642</f>
        <v>8.8656026040029728E-3</v>
      </c>
      <c r="E643" s="3">
        <f>(Master_Table!E643-Master_Table!E642)/Master_Table!E642</f>
        <v>-2.3156571504186225E-3</v>
      </c>
      <c r="F643" s="3">
        <f>(Master_Table!F643-Master_Table!F642)/Master_Table!F642</f>
        <v>2.2471007225693743E-2</v>
      </c>
      <c r="G643" s="3">
        <f>(Master_Table!G643-Master_Table!G642)/Master_Table!G642</f>
        <v>3.1507851327240141E-2</v>
      </c>
      <c r="H643" s="3">
        <f>(Master_Table!H643-Master_Table!H642)/Master_Table!H642</f>
        <v>2.5605123256035311E-3</v>
      </c>
    </row>
    <row r="644" spans="1:8" x14ac:dyDescent="0.3">
      <c r="A644" s="1">
        <v>44771</v>
      </c>
      <c r="B644" s="3">
        <f>(Master_Table!B644-Master_Table!B643)/Master_Table!B643</f>
        <v>1.3505930441357237E-2</v>
      </c>
      <c r="C644" s="3">
        <f>(Master_Table!C644-Master_Table!C643)/Master_Table!C643</f>
        <v>2.1302730084726763E-2</v>
      </c>
      <c r="D644" s="3">
        <f>(Master_Table!D644-Master_Table!D643)/Master_Table!D643</f>
        <v>1.2240508299489283E-2</v>
      </c>
      <c r="E644" s="3">
        <f>(Master_Table!E644-Master_Table!E643)/Master_Table!E643</f>
        <v>-1.3263039225437756E-3</v>
      </c>
      <c r="F644" s="3">
        <f>(Master_Table!F644-Master_Table!F643)/Master_Table!F643</f>
        <v>1.2697145264269709E-2</v>
      </c>
      <c r="G644" s="3">
        <f>(Master_Table!G644-Master_Table!G643)/Master_Table!G643</f>
        <v>2.1287030286963941E-2</v>
      </c>
      <c r="H644" s="3">
        <f>(Master_Table!H644-Master_Table!H643)/Master_Table!H643</f>
        <v>3.7725350545292527E-3</v>
      </c>
    </row>
    <row r="645" spans="1:8" x14ac:dyDescent="0.3">
      <c r="A645" s="1">
        <v>44774</v>
      </c>
      <c r="B645" s="3">
        <f>(Master_Table!B645-Master_Table!B644)/Master_Table!B644</f>
        <v>1.0595486136406642E-2</v>
      </c>
      <c r="C645" s="3">
        <f>(Master_Table!C645-Master_Table!C644)/Master_Table!C644</f>
        <v>2.6064208022052355E-2</v>
      </c>
      <c r="D645" s="3">
        <f>(Master_Table!D645-Master_Table!D644)/Master_Table!D644</f>
        <v>8.3319353576020837E-3</v>
      </c>
      <c r="E645" s="3">
        <f>(Master_Table!E645-Master_Table!E644)/Master_Table!E644</f>
        <v>1.470832364952358E-2</v>
      </c>
      <c r="F645" s="3">
        <f>(Master_Table!F645-Master_Table!F644)/Master_Table!F644</f>
        <v>-9.4057899932334192E-4</v>
      </c>
      <c r="G645" s="3">
        <f>(Master_Table!G645-Master_Table!G644)/Master_Table!G644</f>
        <v>8.6955393181134457E-4</v>
      </c>
      <c r="H645" s="3">
        <f>(Master_Table!H645-Master_Table!H644)/Master_Table!H644</f>
        <v>3.6807503409127997E-3</v>
      </c>
    </row>
    <row r="646" spans="1:8" x14ac:dyDescent="0.3">
      <c r="A646" s="1">
        <v>44775</v>
      </c>
      <c r="B646" s="3">
        <f>(Master_Table!B646-Master_Table!B645)/Master_Table!B645</f>
        <v>3.114177871460264E-4</v>
      </c>
      <c r="C646" s="3">
        <f>(Master_Table!C646-Master_Table!C645)/Master_Table!C645</f>
        <v>3.8073237508556173E-3</v>
      </c>
      <c r="D646" s="3">
        <f>(Master_Table!D646-Master_Table!D645)/Master_Table!D645</f>
        <v>-1.0994343389529655E-2</v>
      </c>
      <c r="E646" s="3">
        <f>(Master_Table!E646-Master_Table!E645)/Master_Table!E645</f>
        <v>7.9510503239317021E-3</v>
      </c>
      <c r="F646" s="3">
        <f>(Master_Table!F646-Master_Table!F645)/Master_Table!F645</f>
        <v>-2.1221791019733244E-3</v>
      </c>
      <c r="G646" s="3">
        <f>(Master_Table!G646-Master_Table!G645)/Master_Table!G645</f>
        <v>-4.8043258383255886E-3</v>
      </c>
      <c r="H646" s="3">
        <f>(Master_Table!H646-Master_Table!H645)/Master_Table!H645</f>
        <v>-1.1929615269907497E-2</v>
      </c>
    </row>
    <row r="647" spans="1:8" x14ac:dyDescent="0.3">
      <c r="A647" s="1">
        <v>44776</v>
      </c>
      <c r="B647" s="3">
        <f>(Master_Table!B647-Master_Table!B646)/Master_Table!B646</f>
        <v>2.461740687039006E-3</v>
      </c>
      <c r="C647" s="3">
        <f>(Master_Table!C647-Master_Table!C646)/Master_Table!C646</f>
        <v>8.3954826337097038E-3</v>
      </c>
      <c r="D647" s="3">
        <f>(Master_Table!D647-Master_Table!D646)/Master_Table!D646</f>
        <v>2.3410667975046736E-3</v>
      </c>
      <c r="E647" s="3">
        <f>(Master_Table!E647-Master_Table!E646)/Master_Table!E646</f>
        <v>-5.8107450089271888E-3</v>
      </c>
      <c r="F647" s="3">
        <f>(Master_Table!F647-Master_Table!F646)/Master_Table!F646</f>
        <v>1.4491399818156897E-2</v>
      </c>
      <c r="G647" s="3">
        <f>(Master_Table!G647-Master_Table!G646)/Master_Table!G646</f>
        <v>1.4573764617739919E-2</v>
      </c>
      <c r="H647" s="3">
        <f>(Master_Table!H647-Master_Table!H646)/Master_Table!H646</f>
        <v>-1.816637041508759E-3</v>
      </c>
    </row>
    <row r="648" spans="1:8" x14ac:dyDescent="0.3">
      <c r="A648" s="1">
        <v>44777</v>
      </c>
      <c r="B648" s="3">
        <f>(Master_Table!B648-Master_Table!B647)/Master_Table!B647</f>
        <v>-3.5368915036973193E-4</v>
      </c>
      <c r="C648" s="3">
        <f>(Master_Table!C648-Master_Table!C647)/Master_Table!C647</f>
        <v>-1.3219508072014094E-2</v>
      </c>
      <c r="D648" s="3">
        <f>(Master_Table!D648-Master_Table!D647)/Master_Table!D647</f>
        <v>-1.1887779362815345E-3</v>
      </c>
      <c r="E648" s="3">
        <f>(Master_Table!E648-Master_Table!E647)/Master_Table!E647</f>
        <v>4.4080193299811362E-3</v>
      </c>
      <c r="F648" s="3">
        <f>(Master_Table!F648-Master_Table!F647)/Master_Table!F647</f>
        <v>4.628464442466446E-3</v>
      </c>
      <c r="G648" s="3">
        <f>(Master_Table!G648-Master_Table!G647)/Master_Table!G647</f>
        <v>2.1581948475586345E-2</v>
      </c>
      <c r="H648" s="3">
        <f>(Master_Table!H648-Master_Table!H647)/Master_Table!H647</f>
        <v>-5.4206308763166946E-3</v>
      </c>
    </row>
    <row r="649" spans="1:8" x14ac:dyDescent="0.3">
      <c r="A649" s="1">
        <v>44778</v>
      </c>
      <c r="B649" s="3">
        <f>(Master_Table!B649-Master_Table!B648)/Master_Table!B648</f>
        <v>8.9172707398458174E-4</v>
      </c>
      <c r="C649" s="3">
        <f>(Master_Table!C649-Master_Table!C648)/Master_Table!C648</f>
        <v>-1.4732838812464705E-2</v>
      </c>
      <c r="D649" s="3">
        <f>(Master_Table!D649-Master_Table!D648)/Master_Table!D648</f>
        <v>-3.3885489449290212E-3</v>
      </c>
      <c r="E649" s="3">
        <f>(Master_Table!E649-Master_Table!E648)/Master_Table!E648</f>
        <v>4.3561652742107699E-3</v>
      </c>
      <c r="F649" s="3">
        <f>(Master_Table!F649-Master_Table!F648)/Master_Table!F648</f>
        <v>3.0093059349013389E-3</v>
      </c>
      <c r="G649" s="3">
        <f>(Master_Table!G649-Master_Table!G648)/Master_Table!G648</f>
        <v>1.0471862369808762E-2</v>
      </c>
      <c r="H649" s="3">
        <f>(Master_Table!H649-Master_Table!H648)/Master_Table!H648</f>
        <v>4.1326734568631913E-3</v>
      </c>
    </row>
    <row r="650" spans="1:8" x14ac:dyDescent="0.3">
      <c r="A650" s="1">
        <v>44781</v>
      </c>
      <c r="B650" s="3">
        <f>(Master_Table!B650-Master_Table!B649)/Master_Table!B649</f>
        <v>7.3343871245867822E-3</v>
      </c>
      <c r="C650" s="3">
        <f>(Master_Table!C650-Master_Table!C649)/Master_Table!C649</f>
        <v>1.3083998400361618E-2</v>
      </c>
      <c r="D650" s="3">
        <f>(Master_Table!D650-Master_Table!D649)/Master_Table!D649</f>
        <v>2.4531085353003211E-2</v>
      </c>
      <c r="E650" s="3">
        <f>(Master_Table!E650-Master_Table!E649)/Master_Table!E649</f>
        <v>7.3798349247452006E-3</v>
      </c>
      <c r="F650" s="3">
        <f>(Master_Table!F650-Master_Table!F649)/Master_Table!F649</f>
        <v>2.7931514485093397E-3</v>
      </c>
      <c r="G650" s="3">
        <f>(Master_Table!G650-Master_Table!G649)/Master_Table!G649</f>
        <v>1.6981941913050084E-3</v>
      </c>
      <c r="H650" s="3">
        <f>(Master_Table!H650-Master_Table!H649)/Master_Table!H649</f>
        <v>2.3606197047262807E-2</v>
      </c>
    </row>
    <row r="651" spans="1:8" x14ac:dyDescent="0.3">
      <c r="A651" s="1">
        <v>44783</v>
      </c>
      <c r="B651" s="3">
        <f>(Master_Table!B651-Master_Table!B650)/Master_Table!B650</f>
        <v>5.5063879806685587E-4</v>
      </c>
      <c r="C651" s="3">
        <f>(Master_Table!C651-Master_Table!C650)/Master_Table!C650</f>
        <v>5.9726596356334677E-3</v>
      </c>
      <c r="D651" s="3">
        <f>(Master_Table!D651-Master_Table!D650)/Master_Table!D650</f>
        <v>2.9072557973697623E-3</v>
      </c>
      <c r="E651" s="3">
        <f>(Master_Table!E651-Master_Table!E650)/Master_Table!E650</f>
        <v>-6.2012016836423441E-3</v>
      </c>
      <c r="F651" s="3">
        <f>(Master_Table!F651-Master_Table!F650)/Master_Table!F650</f>
        <v>-5.9868780754510778E-3</v>
      </c>
      <c r="G651" s="3">
        <f>(Master_Table!G651-Master_Table!G650)/Master_Table!G650</f>
        <v>-1.0463758756023591E-2</v>
      </c>
      <c r="H651" s="3">
        <f>(Master_Table!H651-Master_Table!H650)/Master_Table!H650</f>
        <v>1.3941156814733281E-2</v>
      </c>
    </row>
    <row r="652" spans="1:8" x14ac:dyDescent="0.3">
      <c r="A652" s="1">
        <v>44784</v>
      </c>
      <c r="B652" s="3">
        <f>(Master_Table!B652-Master_Table!B651)/Master_Table!B651</f>
        <v>7.0859293688247619E-3</v>
      </c>
      <c r="C652" s="3">
        <f>(Master_Table!C652-Master_Table!C651)/Master_Table!C651</f>
        <v>3.3354090781134737E-3</v>
      </c>
      <c r="D652" s="3">
        <f>(Master_Table!D652-Master_Table!D651)/Master_Table!D651</f>
        <v>1.3236158779210411E-2</v>
      </c>
      <c r="E652" s="3">
        <f>(Master_Table!E652-Master_Table!E651)/Master_Table!E651</f>
        <v>-1.5906886517943794E-2</v>
      </c>
      <c r="F652" s="3">
        <f>(Master_Table!F652-Master_Table!F651)/Master_Table!F651</f>
        <v>2.0348419704873093E-2</v>
      </c>
      <c r="G652" s="3">
        <f>(Master_Table!G652-Master_Table!G651)/Master_Table!G651</f>
        <v>1.0919565476601294E-2</v>
      </c>
      <c r="H652" s="3">
        <f>(Master_Table!H652-Master_Table!H651)/Master_Table!H651</f>
        <v>6.4668445904331904E-3</v>
      </c>
    </row>
    <row r="653" spans="1:8" x14ac:dyDescent="0.3">
      <c r="A653" s="1">
        <v>44785</v>
      </c>
      <c r="B653" s="3">
        <f>(Master_Table!B653-Master_Table!B652)/Master_Table!B652</f>
        <v>2.2169998301150378E-3</v>
      </c>
      <c r="C653" s="3">
        <f>(Master_Table!C653-Master_Table!C652)/Master_Table!C652</f>
        <v>1.6170994235576171E-2</v>
      </c>
      <c r="D653" s="3">
        <f>(Master_Table!D653-Master_Table!D652)/Master_Table!D652</f>
        <v>-3.7786264692780491E-4</v>
      </c>
      <c r="E653" s="3">
        <f>(Master_Table!E653-Master_Table!E652)/Master_Table!E652</f>
        <v>7.4906367041199474E-3</v>
      </c>
      <c r="F653" s="3">
        <f>(Master_Table!F653-Master_Table!F652)/Master_Table!F652</f>
        <v>-6.1214466260167636E-3</v>
      </c>
      <c r="G653" s="3">
        <f>(Master_Table!G653-Master_Table!G652)/Master_Table!G652</f>
        <v>-1.5954111753276067E-2</v>
      </c>
      <c r="H653" s="3">
        <f>(Master_Table!H653-Master_Table!H652)/Master_Table!H652</f>
        <v>-1.1084570170965452E-2</v>
      </c>
    </row>
    <row r="654" spans="1:8" x14ac:dyDescent="0.3">
      <c r="A654" s="1">
        <v>44789</v>
      </c>
      <c r="B654" s="3">
        <f>(Master_Table!B654-Master_Table!B653)/Master_Table!B653</f>
        <v>7.181541573554215E-3</v>
      </c>
      <c r="C654" s="3">
        <f>(Master_Table!C654-Master_Table!C653)/Master_Table!C653</f>
        <v>6.9444444444444059E-3</v>
      </c>
      <c r="D654" s="3">
        <f>(Master_Table!D654-Master_Table!D653)/Master_Table!D653</f>
        <v>1.1448165998407001E-2</v>
      </c>
      <c r="E654" s="3">
        <f>(Master_Table!E654-Master_Table!E653)/Master_Table!E653</f>
        <v>6.4892715059021461E-3</v>
      </c>
      <c r="F654" s="3">
        <f>(Master_Table!F654-Master_Table!F653)/Master_Table!F653</f>
        <v>-2.6034761227490396E-3</v>
      </c>
      <c r="G654" s="3">
        <f>(Master_Table!G654-Master_Table!G653)/Master_Table!G653</f>
        <v>1.469873893651739E-3</v>
      </c>
      <c r="H654" s="3">
        <f>(Master_Table!H654-Master_Table!H653)/Master_Table!H653</f>
        <v>1.324431417250206E-3</v>
      </c>
    </row>
    <row r="655" spans="1:8" x14ac:dyDescent="0.3">
      <c r="A655" s="1">
        <v>44790</v>
      </c>
      <c r="B655" s="3">
        <f>(Master_Table!B655-Master_Table!B654)/Master_Table!B654</f>
        <v>6.675923198833116E-3</v>
      </c>
      <c r="C655" s="3">
        <f>(Master_Table!C655-Master_Table!C654)/Master_Table!C654</f>
        <v>5.2264229331117273E-3</v>
      </c>
      <c r="D655" s="3">
        <f>(Master_Table!D655-Master_Table!D654)/Master_Table!D654</f>
        <v>5.1654409311141123E-3</v>
      </c>
      <c r="E655" s="3">
        <f>(Master_Table!E655-Master_Table!E654)/Master_Table!E654</f>
        <v>6.4474323667584946E-3</v>
      </c>
      <c r="F655" s="3">
        <f>(Master_Table!F655-Master_Table!F654)/Master_Table!F654</f>
        <v>2.4773413897280416E-3</v>
      </c>
      <c r="G655" s="3">
        <f>(Master_Table!G655-Master_Table!G654)/Master_Table!G654</f>
        <v>6.1417322834645665E-3</v>
      </c>
      <c r="H655" s="3">
        <f>(Master_Table!H655-Master_Table!H654)/Master_Table!H654</f>
        <v>3.6807354966011275E-3</v>
      </c>
    </row>
    <row r="656" spans="1:8" x14ac:dyDescent="0.3">
      <c r="A656" s="1">
        <v>44791</v>
      </c>
      <c r="B656" s="3">
        <f>(Master_Table!B656-Master_Table!B655)/Master_Table!B655</f>
        <v>6.8266993605193866E-4</v>
      </c>
      <c r="C656" s="3">
        <f>(Master_Table!C656-Master_Table!C655)/Master_Table!C655</f>
        <v>-1.4465320427512213E-3</v>
      </c>
      <c r="D656" s="3">
        <f>(Master_Table!D656-Master_Table!D655)/Master_Table!D655</f>
        <v>1.1818133531629924E-3</v>
      </c>
      <c r="E656" s="3">
        <f>(Master_Table!E656-Master_Table!E655)/Master_Table!E655</f>
        <v>9.9150141643060807E-3</v>
      </c>
      <c r="F656" s="3">
        <f>(Master_Table!F656-Master_Table!F655)/Master_Table!F655</f>
        <v>-5.837502260261555E-3</v>
      </c>
      <c r="G656" s="3">
        <f>(Master_Table!G656-Master_Table!G655)/Master_Table!G655</f>
        <v>-1.4506182501173939E-2</v>
      </c>
      <c r="H656" s="3">
        <f>(Master_Table!H656-Master_Table!H655)/Master_Table!H655</f>
        <v>2.0934038335862767E-2</v>
      </c>
    </row>
    <row r="657" spans="1:8" x14ac:dyDescent="0.3">
      <c r="A657" s="1">
        <v>44792</v>
      </c>
      <c r="B657" s="3">
        <f>(Master_Table!B657-Master_Table!B656)/Master_Table!B656</f>
        <v>-1.102943223902204E-2</v>
      </c>
      <c r="C657" s="3">
        <f>(Master_Table!C657-Master_Table!C656)/Master_Table!C656</f>
        <v>-1.7830535412734647E-2</v>
      </c>
      <c r="D657" s="3">
        <f>(Master_Table!D657-Master_Table!D656)/Master_Table!D656</f>
        <v>-1.2334708277517764E-2</v>
      </c>
      <c r="E657" s="3">
        <f>(Master_Table!E657-Master_Table!E656)/Master_Table!E656</f>
        <v>-1.1570827489481232E-2</v>
      </c>
      <c r="F657" s="3">
        <f>(Master_Table!F657-Master_Table!F656)/Master_Table!F656</f>
        <v>1.3307748504772518E-3</v>
      </c>
      <c r="G657" s="3">
        <f>(Master_Table!G657-Master_Table!G656)/Master_Table!G656</f>
        <v>8.9385545842651983E-3</v>
      </c>
      <c r="H657" s="3">
        <f>(Master_Table!H657-Master_Table!H656)/Master_Table!H656</f>
        <v>2.1901401372276259E-2</v>
      </c>
    </row>
    <row r="658" spans="1:8" x14ac:dyDescent="0.3">
      <c r="A658" s="1">
        <v>44795</v>
      </c>
      <c r="B658" s="3">
        <f>(Master_Table!B658-Master_Table!B657)/Master_Table!B657</f>
        <v>-1.507732938403971E-2</v>
      </c>
      <c r="C658" s="3">
        <f>(Master_Table!C658-Master_Table!C657)/Master_Table!C657</f>
        <v>-2.7728613569321229E-3</v>
      </c>
      <c r="D658" s="3">
        <f>(Master_Table!D658-Master_Table!D657)/Master_Table!D657</f>
        <v>-1.5201364362737772E-2</v>
      </c>
      <c r="E658" s="3">
        <f>(Master_Table!E658-Master_Table!E657)/Master_Table!E657</f>
        <v>7.7074397755491743E-3</v>
      </c>
      <c r="F658" s="3">
        <f>(Master_Table!F658-Master_Table!F657)/Master_Table!F657</f>
        <v>-9.215250573682528E-3</v>
      </c>
      <c r="G658" s="3">
        <f>(Master_Table!G658-Master_Table!G657)/Master_Table!G657</f>
        <v>-1.3430721279476216E-2</v>
      </c>
      <c r="H658" s="3">
        <f>(Master_Table!H658-Master_Table!H657)/Master_Table!H657</f>
        <v>-2.8612251448213732E-2</v>
      </c>
    </row>
    <row r="659" spans="1:8" x14ac:dyDescent="0.3">
      <c r="A659" s="1">
        <v>44796</v>
      </c>
      <c r="B659" s="3">
        <f>(Master_Table!B659-Master_Table!B658)/Master_Table!B658</f>
        <v>4.9626372872440365E-3</v>
      </c>
      <c r="C659" s="3">
        <f>(Master_Table!C659-Master_Table!C658)/Master_Table!C658</f>
        <v>1.5424142797981761E-2</v>
      </c>
      <c r="D659" s="3">
        <f>(Master_Table!D659-Master_Table!D658)/Master_Table!D658</f>
        <v>-3.0953841958137065E-3</v>
      </c>
      <c r="E659" s="3">
        <f>(Master_Table!E659-Master_Table!E658)/Master_Table!E658</f>
        <v>4.7683051715310069E-3</v>
      </c>
      <c r="F659" s="3">
        <f>(Master_Table!F659-Master_Table!F658)/Master_Table!F658</f>
        <v>-2.0850775181955473E-2</v>
      </c>
      <c r="G659" s="3">
        <f>(Master_Table!G659-Master_Table!G658)/Master_Table!G658</f>
        <v>-2.1100062547069826E-2</v>
      </c>
      <c r="H659" s="3">
        <f>(Master_Table!H659-Master_Table!H658)/Master_Table!H658</f>
        <v>-1.9132177231111081E-3</v>
      </c>
    </row>
    <row r="660" spans="1:8" x14ac:dyDescent="0.3">
      <c r="A660" s="1">
        <v>44797</v>
      </c>
      <c r="B660" s="3">
        <f>(Master_Table!B660-Master_Table!B659)/Master_Table!B659</f>
        <v>1.5616555255298381E-3</v>
      </c>
      <c r="C660" s="3">
        <f>(Master_Table!C660-Master_Table!C659)/Master_Table!C659</f>
        <v>-2.6634261648328245E-3</v>
      </c>
      <c r="D660" s="3">
        <f>(Master_Table!D660-Master_Table!D659)/Master_Table!D659</f>
        <v>4.8147945505279607E-3</v>
      </c>
      <c r="E660" s="3">
        <f>(Master_Table!E660-Master_Table!E659)/Master_Table!E659</f>
        <v>-5.7011816415581751E-3</v>
      </c>
      <c r="F660" s="3">
        <f>(Master_Table!F660-Master_Table!F659)/Master_Table!F659</f>
        <v>-8.9061144501238754E-3</v>
      </c>
      <c r="G660" s="3">
        <f>(Master_Table!G660-Master_Table!G659)/Master_Table!G659</f>
        <v>-3.1817233465469708E-3</v>
      </c>
      <c r="H660" s="3">
        <f>(Master_Table!H660-Master_Table!H659)/Master_Table!H659</f>
        <v>8.6820480235792839E-3</v>
      </c>
    </row>
    <row r="661" spans="1:8" x14ac:dyDescent="0.3">
      <c r="A661" s="1">
        <v>44798</v>
      </c>
      <c r="B661" s="3">
        <f>(Master_Table!B661-Master_Table!B660)/Master_Table!B660</f>
        <v>-4.6861820113093195E-3</v>
      </c>
      <c r="C661" s="3">
        <f>(Master_Table!C661-Master_Table!C660)/Master_Table!C660</f>
        <v>-2.9125565403168002E-3</v>
      </c>
      <c r="D661" s="3">
        <f>(Master_Table!D661-Master_Table!D660)/Master_Table!D660</f>
        <v>-5.4315273618295795E-3</v>
      </c>
      <c r="E661" s="3">
        <f>(Master_Table!E661-Master_Table!E660)/Master_Table!E660</f>
        <v>-5.5737074764559197E-3</v>
      </c>
      <c r="F661" s="3">
        <f>(Master_Table!F661-Master_Table!F660)/Master_Table!F660</f>
        <v>-1.1410579345088092E-2</v>
      </c>
      <c r="G661" s="3">
        <f>(Master_Table!G661-Master_Table!G660)/Master_Table!G660</f>
        <v>-1.2584375490555183E-2</v>
      </c>
      <c r="H661" s="3">
        <f>(Master_Table!H661-Master_Table!H660)/Master_Table!H660</f>
        <v>-8.1573667744786402E-3</v>
      </c>
    </row>
    <row r="662" spans="1:8" x14ac:dyDescent="0.3">
      <c r="A662" s="1">
        <v>44799</v>
      </c>
      <c r="B662" s="3">
        <f>(Master_Table!B662-Master_Table!B661)/Master_Table!B661</f>
        <v>2.0801885581069272E-3</v>
      </c>
      <c r="C662" s="3">
        <f>(Master_Table!C662-Master_Table!C661)/Master_Table!C661</f>
        <v>-5.3399399047514432E-3</v>
      </c>
      <c r="D662" s="3">
        <f>(Master_Table!D662-Master_Table!D661)/Master_Table!D661</f>
        <v>1.6424631472331962E-4</v>
      </c>
      <c r="E662" s="3">
        <f>(Master_Table!E662-Master_Table!E661)/Master_Table!E661</f>
        <v>1.7394665635872325E-3</v>
      </c>
      <c r="F662" s="3">
        <f>(Master_Table!F662-Master_Table!F661)/Master_Table!F661</f>
        <v>1.2421331566742795E-3</v>
      </c>
      <c r="G662" s="3">
        <f>(Master_Table!G662-Master_Table!G661)/Master_Table!G661</f>
        <v>2.2389443840914931E-3</v>
      </c>
      <c r="H662" s="3">
        <f>(Master_Table!H662-Master_Table!H661)/Master_Table!H661</f>
        <v>1.4639639639639553E-2</v>
      </c>
    </row>
    <row r="663" spans="1:8" x14ac:dyDescent="0.3">
      <c r="A663" s="1">
        <v>44802</v>
      </c>
      <c r="B663" s="3">
        <f>(Master_Table!B663-Master_Table!B662)/Master_Table!B662</f>
        <v>-1.4009989236227781E-2</v>
      </c>
      <c r="C663" s="3">
        <f>(Master_Table!C663-Master_Table!C662)/Master_Table!C662</f>
        <v>-7.7752253048241808E-3</v>
      </c>
      <c r="D663" s="3">
        <f>(Master_Table!D663-Master_Table!D662)/Master_Table!D662</f>
        <v>-1.7544099735880624E-2</v>
      </c>
      <c r="E663" s="3">
        <f>(Master_Table!E663-Master_Table!E662)/Master_Table!E662</f>
        <v>2.0901665701973673E-3</v>
      </c>
      <c r="F663" s="3">
        <f>(Master_Table!F663-Master_Table!F662)/Master_Table!F662</f>
        <v>-2.7821074798165209E-2</v>
      </c>
      <c r="G663" s="3">
        <f>(Master_Table!G663-Master_Table!G662)/Master_Table!G662</f>
        <v>-3.9298885672363906E-2</v>
      </c>
      <c r="H663" s="3">
        <f>(Master_Table!H663-Master_Table!H662)/Master_Table!H662</f>
        <v>-1.2540042396284234E-2</v>
      </c>
    </row>
    <row r="664" spans="1:8" x14ac:dyDescent="0.3">
      <c r="A664" s="1">
        <v>44803</v>
      </c>
      <c r="B664" s="3">
        <f>(Master_Table!B664-Master_Table!B663)/Master_Table!B663</f>
        <v>2.5784241808131381E-2</v>
      </c>
      <c r="C664" s="3">
        <f>(Master_Table!C664-Master_Table!C663)/Master_Table!C663</f>
        <v>1.5511173302802835E-2</v>
      </c>
      <c r="D664" s="3">
        <f>(Master_Table!D664-Master_Table!D663)/Master_Table!D663</f>
        <v>3.2455321697705937E-2</v>
      </c>
      <c r="E664" s="3">
        <f>(Master_Table!E664-Master_Table!E663)/Master_Table!E663</f>
        <v>2.2173731668966482E-2</v>
      </c>
      <c r="F664" s="3">
        <f>(Master_Table!F664-Master_Table!F663)/Master_Table!F663</f>
        <v>2.5089981022184508E-2</v>
      </c>
      <c r="G664" s="3">
        <f>(Master_Table!G664-Master_Table!G663)/Master_Table!G663</f>
        <v>2.1340708329893491E-2</v>
      </c>
      <c r="H664" s="3">
        <f>(Master_Table!H664-Master_Table!H663)/Master_Table!H663</f>
        <v>2.1786956591220277E-2</v>
      </c>
    </row>
    <row r="665" spans="1:8" x14ac:dyDescent="0.3">
      <c r="A665" s="1">
        <v>44805</v>
      </c>
      <c r="B665" s="3">
        <f>(Master_Table!B665-Master_Table!B664)/Master_Table!B664</f>
        <v>-1.219079580839335E-2</v>
      </c>
      <c r="C665" s="3">
        <f>(Master_Table!C665-Master_Table!C664)/Master_Table!C664</f>
        <v>-2.9396044895777695E-2</v>
      </c>
      <c r="D665" s="3">
        <f>(Master_Table!D665-Master_Table!D664)/Master_Table!D664</f>
        <v>-9.3900514024366048E-3</v>
      </c>
      <c r="E665" s="3">
        <f>(Master_Table!E665-Master_Table!E664)/Master_Table!E664</f>
        <v>-9.0726439379671085E-3</v>
      </c>
      <c r="F665" s="3">
        <f>(Master_Table!F665-Master_Table!F664)/Master_Table!F664</f>
        <v>-2.4740813564515785E-2</v>
      </c>
      <c r="G665" s="3">
        <f>(Master_Table!G665-Master_Table!G664)/Master_Table!G664</f>
        <v>-1.9257971951663042E-2</v>
      </c>
      <c r="H665" s="3">
        <f>(Master_Table!H665-Master_Table!H664)/Master_Table!H664</f>
        <v>-4.9630637534733534E-3</v>
      </c>
    </row>
    <row r="666" spans="1:8" x14ac:dyDescent="0.3">
      <c r="A666" s="1">
        <v>44806</v>
      </c>
      <c r="B666" s="3">
        <f>(Master_Table!B666-Master_Table!B665)/Master_Table!B665</f>
        <v>-1.909615340765753E-4</v>
      </c>
      <c r="C666" s="3">
        <f>(Master_Table!C666-Master_Table!C665)/Master_Table!C665</f>
        <v>-1.1675729625550605E-2</v>
      </c>
      <c r="D666" s="3">
        <f>(Master_Table!D666-Master_Table!D665)/Master_Table!D665</f>
        <v>9.0704800817159939E-3</v>
      </c>
      <c r="E666" s="3">
        <f>(Master_Table!E666-Master_Table!E665)/Master_Table!E665</f>
        <v>1.7487723744654012E-2</v>
      </c>
      <c r="F666" s="3">
        <f>(Master_Table!F666-Master_Table!F665)/Master_Table!F665</f>
        <v>-4.1566160563204517E-4</v>
      </c>
      <c r="G666" s="3">
        <f>(Master_Table!G666-Master_Table!G665)/Master_Table!G665</f>
        <v>-7.6442832711763877E-3</v>
      </c>
      <c r="H666" s="3">
        <f>(Master_Table!H666-Master_Table!H665)/Master_Table!H665</f>
        <v>1.4397610876797745E-2</v>
      </c>
    </row>
    <row r="667" spans="1:8" x14ac:dyDescent="0.3">
      <c r="A667" s="1">
        <v>44809</v>
      </c>
      <c r="B667" s="3">
        <f>(Master_Table!B667-Master_Table!B666)/Master_Table!B666</f>
        <v>7.2037606652431254E-3</v>
      </c>
      <c r="C667" s="3">
        <f>(Master_Table!C667-Master_Table!C666)/Master_Table!C666</f>
        <v>1.5531005423663818E-2</v>
      </c>
      <c r="D667" s="3">
        <f>(Master_Table!D667-Master_Table!D666)/Master_Table!D666</f>
        <v>6.4245319944392591E-3</v>
      </c>
      <c r="E667" s="3">
        <f>(Master_Table!E667-Master_Table!E666)/Master_Table!E666</f>
        <v>1.7654201824578754E-2</v>
      </c>
      <c r="F667" s="3">
        <f>(Master_Table!F667-Master_Table!F666)/Master_Table!F666</f>
        <v>9.560918110081768E-4</v>
      </c>
      <c r="G667" s="3">
        <f>(Master_Table!G667-Master_Table!G666)/Master_Table!G666</f>
        <v>5.7098957684481545E-3</v>
      </c>
      <c r="H667" s="3">
        <f>(Master_Table!H667-Master_Table!H666)/Master_Table!H666</f>
        <v>1.4353375031635253E-2</v>
      </c>
    </row>
    <row r="668" spans="1:8" x14ac:dyDescent="0.3">
      <c r="A668" s="1">
        <v>44810</v>
      </c>
      <c r="B668" s="3">
        <f>(Master_Table!B668-Master_Table!B667)/Master_Table!B667</f>
        <v>-5.7738681520229645E-4</v>
      </c>
      <c r="C668" s="3">
        <f>(Master_Table!C668-Master_Table!C667)/Master_Table!C667</f>
        <v>1.0527127928607532E-2</v>
      </c>
      <c r="D668" s="3">
        <f>(Master_Table!D668-Master_Table!D667)/Master_Table!D667</f>
        <v>-3.8086553032841853E-3</v>
      </c>
      <c r="E668" s="3">
        <f>(Master_Table!E668-Master_Table!E667)/Master_Table!E667</f>
        <v>-5.1707257373638411E-3</v>
      </c>
      <c r="F668" s="3">
        <f>(Master_Table!F668-Master_Table!F667)/Master_Table!F667</f>
        <v>-2.0248477275255166E-3</v>
      </c>
      <c r="G668" s="3">
        <f>(Master_Table!G668-Master_Table!G667)/Master_Table!G667</f>
        <v>-4.2391835442601418E-3</v>
      </c>
      <c r="H668" s="3">
        <f>(Master_Table!H668-Master_Table!H667)/Master_Table!H667</f>
        <v>-3.0703898325797245E-3</v>
      </c>
    </row>
    <row r="669" spans="1:8" x14ac:dyDescent="0.3">
      <c r="A669" s="1">
        <v>44811</v>
      </c>
      <c r="B669" s="3">
        <f>(Master_Table!B669-Master_Table!B668)/Master_Table!B668</f>
        <v>-1.7671447019640845E-3</v>
      </c>
      <c r="C669" s="3">
        <f>(Master_Table!C669-Master_Table!C668)/Master_Table!C668</f>
        <v>-5.8195268029079816E-3</v>
      </c>
      <c r="D669" s="3">
        <f>(Master_Table!D669-Master_Table!D668)/Master_Table!D668</f>
        <v>-4.7386346808826994E-3</v>
      </c>
      <c r="E669" s="3">
        <f>(Master_Table!E669-Master_Table!E668)/Master_Table!E668</f>
        <v>-3.2292787944024439E-3</v>
      </c>
      <c r="F669" s="3">
        <f>(Master_Table!F669-Master_Table!F668)/Master_Table!F668</f>
        <v>7.211152374927479E-3</v>
      </c>
      <c r="G669" s="3">
        <f>(Master_Table!G669-Master_Table!G668)/Master_Table!G668</f>
        <v>1.7485054770378884E-3</v>
      </c>
      <c r="H669" s="3">
        <f>(Master_Table!H669-Master_Table!H668)/Master_Table!H668</f>
        <v>-2.1451664802415076E-3</v>
      </c>
    </row>
    <row r="670" spans="1:8" x14ac:dyDescent="0.3">
      <c r="A670" s="1">
        <v>44812</v>
      </c>
      <c r="B670" s="3">
        <f>(Master_Table!B670-Master_Table!B669)/Master_Table!B669</f>
        <v>9.8925353487210078E-3</v>
      </c>
      <c r="C670" s="3">
        <f>(Master_Table!C670-Master_Table!C669)/Master_Table!C669</f>
        <v>1.4164668538222029E-3</v>
      </c>
      <c r="D670" s="3">
        <f>(Master_Table!D670-Master_Table!D669)/Master_Table!D669</f>
        <v>1.0320433918112984E-2</v>
      </c>
      <c r="E670" s="3">
        <f>(Master_Table!E670-Master_Table!E669)/Master_Table!E669</f>
        <v>1.1663066954643543E-2</v>
      </c>
      <c r="F670" s="3">
        <f>(Master_Table!F670-Master_Table!F669)/Master_Table!F669</f>
        <v>6.3654676633591659E-3</v>
      </c>
      <c r="G670" s="3">
        <f>(Master_Table!G670-Master_Table!G669)/Master_Table!G669</f>
        <v>1.2521731931451341E-2</v>
      </c>
      <c r="H670" s="3">
        <f>(Master_Table!H670-Master_Table!H669)/Master_Table!H669</f>
        <v>8.3278309250699855E-3</v>
      </c>
    </row>
    <row r="671" spans="1:8" x14ac:dyDescent="0.3">
      <c r="A671" s="1">
        <v>44813</v>
      </c>
      <c r="B671" s="3">
        <f>(Master_Table!B671-Master_Table!B670)/Master_Table!B670</f>
        <v>1.9439567385349278E-3</v>
      </c>
      <c r="C671" s="3">
        <f>(Master_Table!C671-Master_Table!C670)/Master_Table!C670</f>
        <v>-6.2287510970611085E-3</v>
      </c>
      <c r="D671" s="3">
        <f>(Master_Table!D671-Master_Table!D670)/Master_Table!D670</f>
        <v>6.6939780973036649E-4</v>
      </c>
      <c r="E671" s="3">
        <f>(Master_Table!E671-Master_Table!E670)/Master_Table!E670</f>
        <v>1.8299377821154774E-3</v>
      </c>
      <c r="F671" s="3">
        <f>(Master_Table!F671-Master_Table!F670)/Master_Table!F670</f>
        <v>1.5143626774113203E-2</v>
      </c>
      <c r="G671" s="3">
        <f>(Master_Table!G671-Master_Table!G670)/Master_Table!G670</f>
        <v>2.4222726436499632E-2</v>
      </c>
      <c r="H671" s="3">
        <f>(Master_Table!H671-Master_Table!H670)/Master_Table!H670</f>
        <v>-1.2487563199252845E-2</v>
      </c>
    </row>
    <row r="672" spans="1:8" x14ac:dyDescent="0.3">
      <c r="A672" s="1">
        <v>44816</v>
      </c>
      <c r="B672" s="3">
        <f>(Master_Table!B672-Master_Table!B671)/Master_Table!B671</f>
        <v>5.775695536733144E-3</v>
      </c>
      <c r="C672" s="3">
        <f>(Master_Table!C672-Master_Table!C671)/Master_Table!C671</f>
        <v>1.1189422780121373E-2</v>
      </c>
      <c r="D672" s="3">
        <f>(Master_Table!D672-Master_Table!D671)/Master_Table!D671</f>
        <v>-3.3715080809163214E-3</v>
      </c>
      <c r="E672" s="3">
        <f>(Master_Table!E672-Master_Table!E671)/Master_Table!E671</f>
        <v>1.1872868972235336E-3</v>
      </c>
      <c r="F672" s="3">
        <f>(Master_Table!F672-Master_Table!F671)/Master_Table!F671</f>
        <v>7.8650110537012551E-3</v>
      </c>
      <c r="G672" s="3">
        <f>(Master_Table!G672-Master_Table!G671)/Master_Table!G671</f>
        <v>1.6238906850809521E-2</v>
      </c>
      <c r="H672" s="3">
        <f>(Master_Table!H672-Master_Table!H671)/Master_Table!H671</f>
        <v>6.2353497553152681E-3</v>
      </c>
    </row>
    <row r="673" spans="1:8" x14ac:dyDescent="0.3">
      <c r="A673" s="1">
        <v>44817</v>
      </c>
      <c r="B673" s="3">
        <f>(Master_Table!B673-Master_Table!B672)/Master_Table!B672</f>
        <v>7.4541364324403094E-3</v>
      </c>
      <c r="C673" s="3">
        <f>(Master_Table!C673-Master_Table!C672)/Master_Table!C672</f>
        <v>8.3521999779537E-3</v>
      </c>
      <c r="D673" s="3">
        <f>(Master_Table!D673-Master_Table!D672)/Master_Table!D672</f>
        <v>1.3088653815174784E-2</v>
      </c>
      <c r="E673" s="3">
        <f>(Master_Table!E673-Master_Table!E672)/Master_Table!E672</f>
        <v>1.0581688813208923E-2</v>
      </c>
      <c r="F673" s="3">
        <f>(Master_Table!F673-Master_Table!F672)/Master_Table!F672</f>
        <v>-4.1941774576394345E-3</v>
      </c>
      <c r="G673" s="3">
        <f>(Master_Table!G673-Master_Table!G672)/Master_Table!G672</f>
        <v>5.6952454519864923E-3</v>
      </c>
      <c r="H673" s="3">
        <f>(Master_Table!H673-Master_Table!H672)/Master_Table!H672</f>
        <v>1.5009016648871708E-2</v>
      </c>
    </row>
    <row r="674" spans="1:8" x14ac:dyDescent="0.3">
      <c r="A674" s="1">
        <v>44818</v>
      </c>
      <c r="B674" s="3">
        <f>(Master_Table!B674-Master_Table!B673)/Master_Table!B673</f>
        <v>-3.6690545958643875E-3</v>
      </c>
      <c r="C674" s="3">
        <f>(Master_Table!C674-Master_Table!C673)/Master_Table!C673</f>
        <v>-1.1983047141727913E-2</v>
      </c>
      <c r="D674" s="3">
        <f>(Master_Table!D674-Master_Table!D673)/Master_Table!D673</f>
        <v>1.0282640094345862E-2</v>
      </c>
      <c r="E674" s="3">
        <f>(Master_Table!E674-Master_Table!E673)/Master_Table!E673</f>
        <v>2.8584323755077136E-3</v>
      </c>
      <c r="F674" s="3">
        <f>(Master_Table!F674-Master_Table!F673)/Master_Table!F673</f>
        <v>-3.3739176802173441E-2</v>
      </c>
      <c r="G674" s="3">
        <f>(Master_Table!G674-Master_Table!G673)/Master_Table!G673</f>
        <v>-4.5017542260901169E-2</v>
      </c>
      <c r="H674" s="3">
        <f>(Master_Table!H674-Master_Table!H673)/Master_Table!H673</f>
        <v>-1.8808477655810341E-2</v>
      </c>
    </row>
    <row r="675" spans="1:8" x14ac:dyDescent="0.3">
      <c r="A675" s="1">
        <v>44819</v>
      </c>
      <c r="B675" s="3">
        <f>(Master_Table!B675-Master_Table!B674)/Master_Table!B674</f>
        <v>-7.0179823647850336E-3</v>
      </c>
      <c r="C675" s="3">
        <f>(Master_Table!C675-Master_Table!C674)/Master_Table!C674</f>
        <v>-9.9069731813811023E-3</v>
      </c>
      <c r="D675" s="3">
        <f>(Master_Table!D675-Master_Table!D674)/Master_Table!D674</f>
        <v>-5.2070353999710316E-3</v>
      </c>
      <c r="E675" s="3">
        <f>(Master_Table!E675-Master_Table!E674)/Master_Table!E674</f>
        <v>-3.7503750375037503E-3</v>
      </c>
      <c r="F675" s="3">
        <f>(Master_Table!F675-Master_Table!F674)/Master_Table!F674</f>
        <v>-5.1439720924733468E-3</v>
      </c>
      <c r="G675" s="3">
        <f>(Master_Table!G675-Master_Table!G674)/Master_Table!G674</f>
        <v>-2.8872697034346053E-2</v>
      </c>
      <c r="H675" s="3">
        <f>(Master_Table!H675-Master_Table!H674)/Master_Table!H674</f>
        <v>1.8466273403436313E-3</v>
      </c>
    </row>
    <row r="676" spans="1:8" x14ac:dyDescent="0.3">
      <c r="A676" s="1">
        <v>44820</v>
      </c>
      <c r="B676" s="3">
        <f>(Master_Table!B676-Master_Table!B675)/Master_Table!B675</f>
        <v>-1.9384809871681726E-2</v>
      </c>
      <c r="C676" s="3">
        <f>(Master_Table!C676-Master_Table!C675)/Master_Table!C675</f>
        <v>-2.4783158111906685E-2</v>
      </c>
      <c r="D676" s="3">
        <f>(Master_Table!D676-Master_Table!D675)/Master_Table!D675</f>
        <v>-1.8379347625451643E-2</v>
      </c>
      <c r="E676" s="3">
        <f>(Master_Table!E676-Master_Table!E675)/Master_Table!E675</f>
        <v>-8.3722330974251753E-3</v>
      </c>
      <c r="F676" s="3">
        <f>(Master_Table!F676-Master_Table!F675)/Master_Table!F675</f>
        <v>-3.0812102962346537E-2</v>
      </c>
      <c r="G676" s="3">
        <f>(Master_Table!G676-Master_Table!G675)/Master_Table!G675</f>
        <v>-3.891154361756638E-2</v>
      </c>
      <c r="H676" s="3">
        <f>(Master_Table!H676-Master_Table!H675)/Master_Table!H675</f>
        <v>-1.9159285238850979E-2</v>
      </c>
    </row>
    <row r="677" spans="1:8" x14ac:dyDescent="0.3">
      <c r="A677" s="1">
        <v>44823</v>
      </c>
      <c r="B677" s="3">
        <f>(Master_Table!B677-Master_Table!B676)/Master_Table!B676</f>
        <v>5.2136661941663675E-3</v>
      </c>
      <c r="C677" s="3">
        <f>(Master_Table!C677-Master_Table!C676)/Master_Table!C676</f>
        <v>1.3045854415316698E-3</v>
      </c>
      <c r="D677" s="3">
        <f>(Master_Table!D677-Master_Table!D676)/Master_Table!D676</f>
        <v>6.6082845323162213E-3</v>
      </c>
      <c r="E677" s="3">
        <f>(Master_Table!E677-Master_Table!E676)/Master_Table!E676</f>
        <v>1.2998451119142435E-2</v>
      </c>
      <c r="F677" s="3">
        <f>(Master_Table!F677-Master_Table!F676)/Master_Table!F676</f>
        <v>6.6840183146189532E-3</v>
      </c>
      <c r="G677" s="3">
        <f>(Master_Table!G677-Master_Table!G676)/Master_Table!G676</f>
        <v>9.6251451439755675E-3</v>
      </c>
      <c r="H677" s="3">
        <f>(Master_Table!H677-Master_Table!H676)/Master_Table!H676</f>
        <v>-4.8442328572621592E-3</v>
      </c>
    </row>
    <row r="678" spans="1:8" x14ac:dyDescent="0.3">
      <c r="A678" s="1">
        <v>44824</v>
      </c>
      <c r="B678" s="3">
        <f>(Master_Table!B678-Master_Table!B677)/Master_Table!B677</f>
        <v>1.1008809885230319E-2</v>
      </c>
      <c r="C678" s="3">
        <f>(Master_Table!C678-Master_Table!C677)/Master_Table!C677</f>
        <v>1.5845907354247255E-4</v>
      </c>
      <c r="D678" s="3">
        <f>(Master_Table!D678-Master_Table!D677)/Master_Table!D677</f>
        <v>1.2035653287788189E-2</v>
      </c>
      <c r="E678" s="3">
        <f>(Master_Table!E678-Master_Table!E677)/Master_Table!E677</f>
        <v>1.1692399940038565E-3</v>
      </c>
      <c r="F678" s="3">
        <f>(Master_Table!F678-Master_Table!F677)/Master_Table!F677</f>
        <v>3.7935958957421153E-3</v>
      </c>
      <c r="G678" s="3">
        <f>(Master_Table!G678-Master_Table!G677)/Master_Table!G677</f>
        <v>-1.2585804080983206E-3</v>
      </c>
      <c r="H678" s="3">
        <f>(Master_Table!H678-Master_Table!H677)/Master_Table!H677</f>
        <v>1.1513848090641952E-2</v>
      </c>
    </row>
    <row r="679" spans="1:8" x14ac:dyDescent="0.3">
      <c r="A679" s="1">
        <v>44825</v>
      </c>
      <c r="B679" s="3">
        <f>(Master_Table!B679-Master_Table!B678)/Master_Table!B678</f>
        <v>-5.4949835122431179E-3</v>
      </c>
      <c r="C679" s="3">
        <f>(Master_Table!C679-Master_Table!C678)/Master_Table!C678</f>
        <v>2.7549906699997442E-3</v>
      </c>
      <c r="D679" s="3">
        <f>(Master_Table!D679-Master_Table!D678)/Master_Table!D678</f>
        <v>-1.5425994778895033E-3</v>
      </c>
      <c r="E679" s="3">
        <f>(Master_Table!E679-Master_Table!E678)/Master_Table!E678</f>
        <v>1.4733185602204036E-2</v>
      </c>
      <c r="F679" s="3">
        <f>(Master_Table!F679-Master_Table!F678)/Master_Table!F678</f>
        <v>-1.2858245763083238E-2</v>
      </c>
      <c r="G679" s="3">
        <f>(Master_Table!G679-Master_Table!G678)/Master_Table!G678</f>
        <v>-8.140385437111184E-3</v>
      </c>
      <c r="H679" s="3">
        <f>(Master_Table!H679-Master_Table!H678)/Master_Table!H678</f>
        <v>-1.9166645059247447E-2</v>
      </c>
    </row>
    <row r="680" spans="1:8" x14ac:dyDescent="0.3">
      <c r="A680" s="1">
        <v>44826</v>
      </c>
      <c r="B680" s="3">
        <f>(Master_Table!B680-Master_Table!B679)/Master_Table!B679</f>
        <v>-4.997643685783342E-3</v>
      </c>
      <c r="C680" s="3">
        <f>(Master_Table!C680-Master_Table!C679)/Master_Table!C679</f>
        <v>-9.4272547728769009E-3</v>
      </c>
      <c r="D680" s="3">
        <f>(Master_Table!D680-Master_Table!D679)/Master_Table!D679</f>
        <v>-2.1299634222028543E-2</v>
      </c>
      <c r="E680" s="3">
        <f>(Master_Table!E680-Master_Table!E679)/Master_Table!E679</f>
        <v>1.2040370654547553E-2</v>
      </c>
      <c r="F680" s="3">
        <f>(Master_Table!F680-Master_Table!F679)/Master_Table!F679</f>
        <v>2.0662215467631109E-3</v>
      </c>
      <c r="G680" s="3">
        <f>(Master_Table!G680-Master_Table!G679)/Master_Table!G679</f>
        <v>-6.7541419319036462E-3</v>
      </c>
      <c r="H680" s="3">
        <f>(Master_Table!H680-Master_Table!H679)/Master_Table!H679</f>
        <v>-3.9336149604259586E-3</v>
      </c>
    </row>
    <row r="681" spans="1:8" x14ac:dyDescent="0.3">
      <c r="A681" s="1">
        <v>44827</v>
      </c>
      <c r="B681" s="3">
        <f>(Master_Table!B681-Master_Table!B680)/Master_Table!B680</f>
        <v>-1.7155611521401305E-2</v>
      </c>
      <c r="C681" s="3">
        <f>(Master_Table!C681-Master_Table!C680)/Master_Table!C680</f>
        <v>-1.8741526437515033E-2</v>
      </c>
      <c r="D681" s="3">
        <f>(Master_Table!D681-Master_Table!D680)/Master_Table!D680</f>
        <v>-2.682281828485077E-2</v>
      </c>
      <c r="E681" s="3">
        <f>(Master_Table!E681-Master_Table!E680)/Master_Table!E680</f>
        <v>3.9073890476467458E-3</v>
      </c>
      <c r="F681" s="3">
        <f>(Master_Table!F681-Master_Table!F680)/Master_Table!F680</f>
        <v>-8.4318871204116363E-3</v>
      </c>
      <c r="G681" s="3">
        <f>(Master_Table!G681-Master_Table!G680)/Master_Table!G680</f>
        <v>-1.8231540565177892E-3</v>
      </c>
      <c r="H681" s="3">
        <f>(Master_Table!H681-Master_Table!H680)/Master_Table!H680</f>
        <v>-1.6603413041747377E-2</v>
      </c>
    </row>
    <row r="682" spans="1:8" x14ac:dyDescent="0.3">
      <c r="A682" s="1">
        <v>44830</v>
      </c>
      <c r="B682" s="3">
        <f>(Master_Table!B682-Master_Table!B681)/Master_Table!B681</f>
        <v>-1.7951388989083692E-2</v>
      </c>
      <c r="C682" s="3">
        <f>(Master_Table!C682-Master_Table!C681)/Master_Table!C681</f>
        <v>-2.54750036121946E-2</v>
      </c>
      <c r="D682" s="3">
        <f>(Master_Table!D682-Master_Table!D681)/Master_Table!D681</f>
        <v>-1.3489906832298162E-2</v>
      </c>
      <c r="E682" s="3">
        <f>(Master_Table!E682-Master_Table!E681)/Master_Table!E681</f>
        <v>-3.9851283838735832E-2</v>
      </c>
      <c r="F682" s="3">
        <f>(Master_Table!F682-Master_Table!F681)/Master_Table!F681</f>
        <v>4.14180438309447E-3</v>
      </c>
      <c r="G682" s="3">
        <f>(Master_Table!G682-Master_Table!G681)/Master_Table!G681</f>
        <v>1.0841066430991329E-2</v>
      </c>
      <c r="H682" s="3">
        <f>(Master_Table!H682-Master_Table!H681)/Master_Table!H681</f>
        <v>-2.9093146647811534E-3</v>
      </c>
    </row>
    <row r="683" spans="1:8" x14ac:dyDescent="0.3">
      <c r="A683" s="1">
        <v>44831</v>
      </c>
      <c r="B683" s="3">
        <f>(Master_Table!B683-Master_Table!B682)/Master_Table!B682</f>
        <v>-5.2302792028806604E-4</v>
      </c>
      <c r="C683" s="3">
        <f>(Master_Table!C683-Master_Table!C682)/Master_Table!C682</f>
        <v>7.9507019413426559E-3</v>
      </c>
      <c r="D683" s="3">
        <f>(Master_Table!D683-Master_Table!D682)/Master_Table!D682</f>
        <v>-8.9663410863607563E-3</v>
      </c>
      <c r="E683" s="3">
        <f>(Master_Table!E683-Master_Table!E682)/Master_Table!E682</f>
        <v>6.7763794772507536E-3</v>
      </c>
      <c r="F683" s="3">
        <f>(Master_Table!F683-Master_Table!F682)/Master_Table!F682</f>
        <v>7.6983374466439965E-3</v>
      </c>
      <c r="G683" s="3">
        <f>(Master_Table!G683-Master_Table!G682)/Master_Table!G682</f>
        <v>9.6319179319791538E-3</v>
      </c>
      <c r="H683" s="3">
        <f>(Master_Table!H683-Master_Table!H682)/Master_Table!H682</f>
        <v>-5.5324585336278351E-3</v>
      </c>
    </row>
    <row r="684" spans="1:8" x14ac:dyDescent="0.3">
      <c r="A684" s="1">
        <v>44832</v>
      </c>
      <c r="B684" s="3">
        <f>(Master_Table!B684-Master_Table!B683)/Master_Table!B683</f>
        <v>-8.7491327304586759E-3</v>
      </c>
      <c r="C684" s="3">
        <f>(Master_Table!C684-Master_Table!C683)/Master_Table!C683</f>
        <v>-2.6624254180725029E-2</v>
      </c>
      <c r="D684" s="3">
        <f>(Master_Table!D684-Master_Table!D683)/Master_Table!D683</f>
        <v>-1.7187344895557108E-2</v>
      </c>
      <c r="E684" s="3">
        <f>(Master_Table!E684-Master_Table!E683)/Master_Table!E683</f>
        <v>-2.9567307692307788E-2</v>
      </c>
      <c r="F684" s="3">
        <f>(Master_Table!F684-Master_Table!F683)/Master_Table!F683</f>
        <v>6.0328136145928061E-3</v>
      </c>
      <c r="G684" s="3">
        <f>(Master_Table!G684-Master_Table!G683)/Master_Table!G683</f>
        <v>8.2266514642003548E-4</v>
      </c>
      <c r="H684" s="3">
        <f>(Master_Table!H684-Master_Table!H683)/Master_Table!H683</f>
        <v>-3.1245577172220882E-3</v>
      </c>
    </row>
    <row r="685" spans="1:8" x14ac:dyDescent="0.3">
      <c r="A685" s="1">
        <v>44833</v>
      </c>
      <c r="B685" s="3">
        <f>(Master_Table!B685-Master_Table!B684)/Master_Table!B684</f>
        <v>-2.4023347134400248E-3</v>
      </c>
      <c r="C685" s="3">
        <f>(Master_Table!C685-Master_Table!C684)/Master_Table!C684</f>
        <v>-3.0695996297590601E-3</v>
      </c>
      <c r="D685" s="3">
        <f>(Master_Table!D685-Master_Table!D684)/Master_Table!D684</f>
        <v>-5.1800014428972198E-3</v>
      </c>
      <c r="E685" s="3">
        <f>(Master_Table!E685-Master_Table!E684)/Master_Table!E684</f>
        <v>2.4925687391627482E-2</v>
      </c>
      <c r="F685" s="3">
        <f>(Master_Table!F685-Master_Table!F684)/Master_Table!F684</f>
        <v>-1.2634806156007129E-2</v>
      </c>
      <c r="G685" s="3">
        <f>(Master_Table!G685-Master_Table!G684)/Master_Table!G684</f>
        <v>2.8336986617442288E-3</v>
      </c>
      <c r="H685" s="3">
        <f>(Master_Table!H685-Master_Table!H684)/Master_Table!H684</f>
        <v>-1.0866478824017574E-2</v>
      </c>
    </row>
    <row r="686" spans="1:8" x14ac:dyDescent="0.3">
      <c r="A686" s="1">
        <v>44834</v>
      </c>
      <c r="B686" s="3">
        <f>(Master_Table!B686-Master_Table!B685)/Master_Table!B685</f>
        <v>1.6425755584756899E-2</v>
      </c>
      <c r="C686" s="3">
        <f>(Master_Table!C686-Master_Table!C685)/Master_Table!C685</f>
        <v>2.2557601940275833E-2</v>
      </c>
      <c r="D686" s="3">
        <f>(Master_Table!D686-Master_Table!D685)/Master_Table!D685</f>
        <v>2.8210483566849319E-2</v>
      </c>
      <c r="E686" s="3">
        <f>(Master_Table!E686-Master_Table!E685)/Master_Table!E685</f>
        <v>-2.5376876831514909E-3</v>
      </c>
      <c r="F686" s="3">
        <f>(Master_Table!F686-Master_Table!F685)/Master_Table!F685</f>
        <v>2.42114190353746E-3</v>
      </c>
      <c r="G686" s="3">
        <f>(Master_Table!G686-Master_Table!G685)/Master_Table!G685</f>
        <v>1.0583760542417747E-2</v>
      </c>
      <c r="H686" s="3">
        <f>(Master_Table!H686-Master_Table!H685)/Master_Table!H685</f>
        <v>1.7731945103841126E-2</v>
      </c>
    </row>
    <row r="687" spans="1:8" x14ac:dyDescent="0.3">
      <c r="A687" s="1">
        <v>44837</v>
      </c>
      <c r="B687" s="3">
        <f>(Master_Table!B687-Master_Table!B686)/Master_Table!B686</f>
        <v>-1.2109264172080249E-2</v>
      </c>
      <c r="C687" s="3">
        <f>(Master_Table!C687-Master_Table!C686)/Master_Table!C686</f>
        <v>-3.4651126161600338E-3</v>
      </c>
      <c r="D687" s="3">
        <f>(Master_Table!D687-Master_Table!D686)/Master_Table!D686</f>
        <v>-5.7271021709384062E-3</v>
      </c>
      <c r="E687" s="3">
        <f>(Master_Table!E687-Master_Table!E686)/Master_Table!E686</f>
        <v>-2.3503043886482694E-2</v>
      </c>
      <c r="F687" s="3">
        <f>(Master_Table!F687-Master_Table!F686)/Master_Table!F686</f>
        <v>-6.5260701663414807E-3</v>
      </c>
      <c r="G687" s="3">
        <f>(Master_Table!G687-Master_Table!G686)/Master_Table!G686</f>
        <v>-1.3937802821711325E-2</v>
      </c>
      <c r="H687" s="3">
        <f>(Master_Table!H687-Master_Table!H686)/Master_Table!H686</f>
        <v>-1.5367174023888784E-2</v>
      </c>
    </row>
    <row r="688" spans="1:8" x14ac:dyDescent="0.3">
      <c r="A688" s="1">
        <v>44838</v>
      </c>
      <c r="B688" s="3">
        <f>(Master_Table!B688-Master_Table!B687)/Master_Table!B687</f>
        <v>2.2913601009039355E-2</v>
      </c>
      <c r="C688" s="3">
        <f>(Master_Table!C688-Master_Table!C687)/Master_Table!C687</f>
        <v>1.8436393049396291E-2</v>
      </c>
      <c r="D688" s="3">
        <f>(Master_Table!D688-Master_Table!D687)/Master_Table!D687</f>
        <v>2.8162020288004571E-2</v>
      </c>
      <c r="E688" s="3">
        <f>(Master_Table!E688-Master_Table!E687)/Master_Table!E687</f>
        <v>2.6053782450916461E-2</v>
      </c>
      <c r="F688" s="3">
        <f>(Master_Table!F688-Master_Table!F687)/Master_Table!F687</f>
        <v>3.5578035773764803E-2</v>
      </c>
      <c r="G688" s="3">
        <f>(Master_Table!G688-Master_Table!G687)/Master_Table!G687</f>
        <v>2.5578307863255295E-2</v>
      </c>
      <c r="H688" s="3">
        <f>(Master_Table!H688-Master_Table!H687)/Master_Table!H687</f>
        <v>2.8718440290655008E-2</v>
      </c>
    </row>
    <row r="689" spans="1:8" x14ac:dyDescent="0.3">
      <c r="A689" s="1">
        <v>44840</v>
      </c>
      <c r="B689" s="3">
        <f>(Master_Table!B689-Master_Table!B688)/Master_Table!B688</f>
        <v>3.3286442865991675E-3</v>
      </c>
      <c r="C689" s="3">
        <f>(Master_Table!C689-Master_Table!C688)/Master_Table!C688</f>
        <v>3.6880831096747944E-3</v>
      </c>
      <c r="D689" s="3">
        <f>(Master_Table!D689-Master_Table!D688)/Master_Table!D688</f>
        <v>-1.1011453015040732E-2</v>
      </c>
      <c r="E689" s="3">
        <f>(Master_Table!E689-Master_Table!E688)/Master_Table!E688</f>
        <v>1.1426498594359217E-2</v>
      </c>
      <c r="F689" s="3">
        <f>(Master_Table!F689-Master_Table!F688)/Master_Table!F688</f>
        <v>3.4949267192784543E-3</v>
      </c>
      <c r="G689" s="3">
        <f>(Master_Table!G689-Master_Table!G688)/Master_Table!G688</f>
        <v>1.8010538979449629E-2</v>
      </c>
      <c r="H689" s="3">
        <f>(Master_Table!H689-Master_Table!H688)/Master_Table!H688</f>
        <v>2.2122377285336454E-2</v>
      </c>
    </row>
    <row r="690" spans="1:8" x14ac:dyDescent="0.3">
      <c r="A690" s="1">
        <v>44841</v>
      </c>
      <c r="B690" s="3">
        <f>(Master_Table!B690-Master_Table!B689)/Master_Table!B689</f>
        <v>-9.8951061055388466E-4</v>
      </c>
      <c r="C690" s="3">
        <f>(Master_Table!C690-Master_Table!C689)/Master_Table!C689</f>
        <v>4.2384443272150459E-3</v>
      </c>
      <c r="D690" s="3">
        <f>(Master_Table!D690-Master_Table!D689)/Master_Table!D689</f>
        <v>-4.3252595155709658E-3</v>
      </c>
      <c r="E690" s="3">
        <f>(Master_Table!E690-Master_Table!E689)/Master_Table!E689</f>
        <v>-7.5913804955317372E-3</v>
      </c>
      <c r="F690" s="3">
        <f>(Master_Table!F690-Master_Table!F689)/Master_Table!F689</f>
        <v>-1.1941817508938296E-2</v>
      </c>
      <c r="G690" s="3">
        <f>(Master_Table!G690-Master_Table!G689)/Master_Table!G689</f>
        <v>-2.7090719355351957E-3</v>
      </c>
      <c r="H690" s="3">
        <f>(Master_Table!H690-Master_Table!H689)/Master_Table!H689</f>
        <v>6.0618761952164809E-3</v>
      </c>
    </row>
    <row r="691" spans="1:8" x14ac:dyDescent="0.3">
      <c r="A691" s="1">
        <v>44844</v>
      </c>
      <c r="B691" s="3">
        <f>(Master_Table!B691-Master_Table!B690)/Master_Table!B690</f>
        <v>-4.2536233767359695E-3</v>
      </c>
      <c r="C691" s="3">
        <f>(Master_Table!C691-Master_Table!C690)/Master_Table!C690</f>
        <v>-1.0922725790674877E-2</v>
      </c>
      <c r="D691" s="3">
        <f>(Master_Table!D691-Master_Table!D690)/Master_Table!D690</f>
        <v>-1.1042291415599332E-2</v>
      </c>
      <c r="E691" s="3">
        <f>(Master_Table!E691-Master_Table!E690)/Master_Table!E690</f>
        <v>-1.8702002710435286E-2</v>
      </c>
      <c r="F691" s="3">
        <f>(Master_Table!F691-Master_Table!F690)/Master_Table!F690</f>
        <v>1.7503845896595597E-2</v>
      </c>
      <c r="G691" s="3">
        <f>(Master_Table!G691-Master_Table!G690)/Master_Table!G690</f>
        <v>7.8859653377868783E-3</v>
      </c>
      <c r="H691" s="3">
        <f>(Master_Table!H691-Master_Table!H690)/Master_Table!H690</f>
        <v>-7.7439043442939443E-3</v>
      </c>
    </row>
    <row r="692" spans="1:8" x14ac:dyDescent="0.3">
      <c r="A692" s="1">
        <v>44845</v>
      </c>
      <c r="B692" s="3">
        <f>(Master_Table!B692-Master_Table!B691)/Master_Table!B691</f>
        <v>-1.4932428513427338E-2</v>
      </c>
      <c r="C692" s="3">
        <f>(Master_Table!C692-Master_Table!C691)/Master_Table!C691</f>
        <v>-1.9907331099023873E-2</v>
      </c>
      <c r="D692" s="3">
        <f>(Master_Table!D692-Master_Table!D691)/Master_Table!D691</f>
        <v>-1.0131209793975086E-2</v>
      </c>
      <c r="E692" s="3">
        <f>(Master_Table!E692-Master_Table!E691)/Master_Table!E691</f>
        <v>-4.7262460103116985E-3</v>
      </c>
      <c r="F692" s="3">
        <f>(Master_Table!F692-Master_Table!F691)/Master_Table!F691</f>
        <v>-1.5713844353730747E-2</v>
      </c>
      <c r="G692" s="3">
        <f>(Master_Table!G692-Master_Table!G691)/Master_Table!G691</f>
        <v>-2.6559867991337006E-2</v>
      </c>
      <c r="H692" s="3">
        <f>(Master_Table!H692-Master_Table!H691)/Master_Table!H691</f>
        <v>-1.6075786600886915E-2</v>
      </c>
    </row>
    <row r="693" spans="1:8" x14ac:dyDescent="0.3">
      <c r="A693" s="1">
        <v>44846</v>
      </c>
      <c r="B693" s="3">
        <f>(Master_Table!B693-Master_Table!B692)/Master_Table!B692</f>
        <v>8.2462147195373914E-3</v>
      </c>
      <c r="C693" s="3">
        <f>(Master_Table!C693-Master_Table!C692)/Master_Table!C692</f>
        <v>7.3622841766949228E-3</v>
      </c>
      <c r="D693" s="3">
        <f>(Master_Table!D693-Master_Table!D692)/Master_Table!D692</f>
        <v>6.5274338310023694E-3</v>
      </c>
      <c r="E693" s="3">
        <f>(Master_Table!E693-Master_Table!E692)/Master_Table!E692</f>
        <v>1.1655874190564209E-2</v>
      </c>
      <c r="F693" s="3">
        <f>(Master_Table!F693-Master_Table!F692)/Master_Table!F692</f>
        <v>1.016452234425142E-2</v>
      </c>
      <c r="G693" s="3">
        <f>(Master_Table!G693-Master_Table!G692)/Master_Table!G692</f>
        <v>3.439702787077537E-3</v>
      </c>
      <c r="H693" s="3">
        <f>(Master_Table!H693-Master_Table!H692)/Master_Table!H692</f>
        <v>1.7191900657164812E-2</v>
      </c>
    </row>
    <row r="694" spans="1:8" x14ac:dyDescent="0.3">
      <c r="A694" s="1">
        <v>44847</v>
      </c>
      <c r="B694" s="3">
        <f>(Master_Table!B694-Master_Table!B693)/Master_Table!B693</f>
        <v>-6.3800836272746393E-3</v>
      </c>
      <c r="C694" s="3">
        <f>(Master_Table!C694-Master_Table!C693)/Master_Table!C693</f>
        <v>3.171953255425566E-3</v>
      </c>
      <c r="D694" s="3">
        <f>(Master_Table!D694-Master_Table!D693)/Master_Table!D693</f>
        <v>-1.1491146981440556E-2</v>
      </c>
      <c r="E694" s="3">
        <f>(Master_Table!E694-Master_Table!E693)/Master_Table!E693</f>
        <v>-4.3891733723482014E-3</v>
      </c>
      <c r="F694" s="3">
        <f>(Master_Table!F694-Master_Table!F693)/Master_Table!F693</f>
        <v>8.2309423933193233E-4</v>
      </c>
      <c r="G694" s="3">
        <f>(Master_Table!G694-Master_Table!G693)/Master_Table!G693</f>
        <v>-6.1589790876264349E-3</v>
      </c>
      <c r="H694" s="3">
        <f>(Master_Table!H694-Master_Table!H693)/Master_Table!H693</f>
        <v>-1.8364403891030168E-2</v>
      </c>
    </row>
    <row r="695" spans="1:8" x14ac:dyDescent="0.3">
      <c r="A695" s="1">
        <v>44848</v>
      </c>
      <c r="B695" s="3">
        <f>(Master_Table!B695-Master_Table!B694)/Master_Table!B694</f>
        <v>1.0070910731235821E-2</v>
      </c>
      <c r="C695" s="3">
        <f>(Master_Table!C695-Master_Table!C694)/Master_Table!C694</f>
        <v>-5.075719753702578E-3</v>
      </c>
      <c r="D695" s="3">
        <f>(Master_Table!D695-Master_Table!D694)/Master_Table!D694</f>
        <v>3.2572258909174596E-2</v>
      </c>
      <c r="E695" s="3">
        <f>(Master_Table!E695-Master_Table!E694)/Master_Table!E694</f>
        <v>1.0500857212833722E-2</v>
      </c>
      <c r="F695" s="3">
        <f>(Master_Table!F695-Master_Table!F694)/Master_Table!F694</f>
        <v>-1.3376667129069075E-3</v>
      </c>
      <c r="G695" s="3">
        <f>(Master_Table!G695-Master_Table!G694)/Master_Table!G694</f>
        <v>3.8280663484284001E-2</v>
      </c>
      <c r="H695" s="3">
        <f>(Master_Table!H695-Master_Table!H694)/Master_Table!H694</f>
        <v>1.8894937310689978E-2</v>
      </c>
    </row>
    <row r="696" spans="1:8" x14ac:dyDescent="0.3">
      <c r="A696" s="1">
        <v>44851</v>
      </c>
      <c r="B696" s="3">
        <f>(Master_Table!B696-Master_Table!B695)/Master_Table!B695</f>
        <v>7.3374957086414019E-3</v>
      </c>
      <c r="C696" s="3">
        <f>(Master_Table!C696-Master_Table!C695)/Master_Table!C695</f>
        <v>1.6048246959010509E-2</v>
      </c>
      <c r="D696" s="3">
        <f>(Master_Table!D696-Master_Table!D695)/Master_Table!D695</f>
        <v>5.2528179905532617E-3</v>
      </c>
      <c r="E696" s="3">
        <f>(Master_Table!E696-Master_Table!E695)/Master_Table!E695</f>
        <v>4.5444905626089649E-4</v>
      </c>
      <c r="F696" s="3">
        <f>(Master_Table!F696-Master_Table!F695)/Master_Table!F695</f>
        <v>4.0646776535333473E-3</v>
      </c>
      <c r="G696" s="3">
        <f>(Master_Table!G696-Master_Table!G695)/Master_Table!G695</f>
        <v>1.0648094461762972E-2</v>
      </c>
      <c r="H696" s="3">
        <f>(Master_Table!H696-Master_Table!H695)/Master_Table!H695</f>
        <v>-1.4858700781208996E-2</v>
      </c>
    </row>
    <row r="697" spans="1:8" x14ac:dyDescent="0.3">
      <c r="A697" s="1">
        <v>44852</v>
      </c>
      <c r="B697" s="3">
        <f>(Master_Table!B697-Master_Table!B696)/Master_Table!B696</f>
        <v>1.0117376587067866E-2</v>
      </c>
      <c r="C697" s="3">
        <f>(Master_Table!C697-Master_Table!C696)/Master_Table!C696</f>
        <v>1.7642216937991551E-2</v>
      </c>
      <c r="D697" s="3">
        <f>(Master_Table!D697-Master_Table!D696)/Master_Table!D696</f>
        <v>-1.8711537395354309E-3</v>
      </c>
      <c r="E697" s="3">
        <f>(Master_Table!E697-Master_Table!E696)/Master_Table!E696</f>
        <v>2.4226273393495243E-2</v>
      </c>
      <c r="F697" s="3">
        <f>(Master_Table!F697-Master_Table!F696)/Master_Table!F696</f>
        <v>1.0589940380117952E-2</v>
      </c>
      <c r="G697" s="3">
        <f>(Master_Table!G697-Master_Table!G696)/Master_Table!G696</f>
        <v>9.2265118790497251E-3</v>
      </c>
      <c r="H697" s="3">
        <f>(Master_Table!H697-Master_Table!H696)/Master_Table!H696</f>
        <v>1.8531528079363018E-2</v>
      </c>
    </row>
    <row r="698" spans="1:8" x14ac:dyDescent="0.3">
      <c r="A698" s="1">
        <v>44853</v>
      </c>
      <c r="B698" s="3">
        <f>(Master_Table!B698-Master_Table!B697)/Master_Table!B697</f>
        <v>1.4467931800570867E-3</v>
      </c>
      <c r="C698" s="3">
        <f>(Master_Table!C698-Master_Table!C697)/Master_Table!C697</f>
        <v>1.7399275629330632E-2</v>
      </c>
      <c r="D698" s="3">
        <f>(Master_Table!D698-Master_Table!D697)/Master_Table!D697</f>
        <v>1.0248149639648391E-2</v>
      </c>
      <c r="E698" s="3">
        <f>(Master_Table!E698-Master_Table!E697)/Master_Table!E697</f>
        <v>1.7769499142569898E-2</v>
      </c>
      <c r="F698" s="3">
        <f>(Master_Table!F698-Master_Table!F697)/Master_Table!F697</f>
        <v>-7.2652010234513656E-3</v>
      </c>
      <c r="G698" s="3">
        <f>(Master_Table!G698-Master_Table!G697)/Master_Table!G697</f>
        <v>-1.2131588275027168E-2</v>
      </c>
      <c r="H698" s="3">
        <f>(Master_Table!H698-Master_Table!H697)/Master_Table!H697</f>
        <v>-6.8816687393535685E-3</v>
      </c>
    </row>
    <row r="699" spans="1:8" x14ac:dyDescent="0.3">
      <c r="A699" s="1">
        <v>44854</v>
      </c>
      <c r="B699" s="3">
        <f>(Master_Table!B699-Master_Table!B698)/Master_Table!B698</f>
        <v>2.9522191608731445E-3</v>
      </c>
      <c r="C699" s="3">
        <f>(Master_Table!C699-Master_Table!C698)/Master_Table!C698</f>
        <v>2.6942272867805793E-3</v>
      </c>
      <c r="D699" s="3">
        <f>(Master_Table!D699-Master_Table!D698)/Master_Table!D698</f>
        <v>-6.7490481230498113E-3</v>
      </c>
      <c r="E699" s="3">
        <f>(Master_Table!E699-Master_Table!E698)/Master_Table!E698</f>
        <v>9.6737646341108676E-3</v>
      </c>
      <c r="F699" s="3">
        <f>(Master_Table!F699-Master_Table!F698)/Master_Table!F698</f>
        <v>1.1353488127757907E-2</v>
      </c>
      <c r="G699" s="3">
        <f>(Master_Table!G699-Master_Table!G698)/Master_Table!G698</f>
        <v>1.0398543120781447E-2</v>
      </c>
      <c r="H699" s="3">
        <f>(Master_Table!H699-Master_Table!H698)/Master_Table!H698</f>
        <v>-3.8934868279131917E-4</v>
      </c>
    </row>
    <row r="700" spans="1:8" x14ac:dyDescent="0.3">
      <c r="A700" s="1">
        <v>44855</v>
      </c>
      <c r="B700" s="3">
        <f>(Master_Table!B700-Master_Table!B699)/Master_Table!B699</f>
        <v>7.0314479373936639E-4</v>
      </c>
      <c r="C700" s="3">
        <f>(Master_Table!C700-Master_Table!C699)/Master_Table!C699</f>
        <v>-1.1602501982204076E-2</v>
      </c>
      <c r="D700" s="3">
        <f>(Master_Table!D700-Master_Table!D699)/Master_Table!D699</f>
        <v>-7.0440077497924605E-3</v>
      </c>
      <c r="E700" s="3">
        <f>(Master_Table!E700-Master_Table!E699)/Master_Table!E699</f>
        <v>-1.1738980319944713E-2</v>
      </c>
      <c r="F700" s="3">
        <f>(Master_Table!F700-Master_Table!F699)/Master_Table!F699</f>
        <v>-6.3012524591442203E-3</v>
      </c>
      <c r="G700" s="3">
        <f>(Master_Table!G700-Master_Table!G699)/Master_Table!G699</f>
        <v>-2.6800849586937998E-4</v>
      </c>
      <c r="H700" s="3">
        <f>(Master_Table!H700-Master_Table!H699)/Master_Table!H699</f>
        <v>-1.4390458294514845E-2</v>
      </c>
    </row>
    <row r="701" spans="1:8" x14ac:dyDescent="0.3">
      <c r="A701" s="1">
        <v>44858</v>
      </c>
      <c r="B701" s="3">
        <f>(Master_Table!B701-Master_Table!B700)/Master_Table!B700</f>
        <v>8.7874012164107767E-3</v>
      </c>
      <c r="C701" s="3">
        <f>(Master_Table!C701-Master_Table!C700)/Master_Table!C700</f>
        <v>3.3424545203354929E-3</v>
      </c>
      <c r="D701" s="3">
        <f>(Master_Table!D701-Master_Table!D700)/Master_Table!D700</f>
        <v>1.5609538543016886E-2</v>
      </c>
      <c r="E701" s="3">
        <f>(Master_Table!E701-Master_Table!E700)/Master_Table!E700</f>
        <v>6.0847793175730028E-3</v>
      </c>
      <c r="F701" s="3">
        <f>(Master_Table!F701-Master_Table!F700)/Master_Table!F700</f>
        <v>7.7460118330050136E-3</v>
      </c>
      <c r="G701" s="3">
        <f>(Master_Table!G701-Master_Table!G700)/Master_Table!G700</f>
        <v>1.1560964821156901E-2</v>
      </c>
      <c r="H701" s="3">
        <f>(Master_Table!H701-Master_Table!H700)/Master_Table!H700</f>
        <v>1.7580492702386648E-2</v>
      </c>
    </row>
    <row r="702" spans="1:8" x14ac:dyDescent="0.3">
      <c r="A702" s="1">
        <v>44859</v>
      </c>
      <c r="B702" s="3">
        <f>(Master_Table!B702-Master_Table!B701)/Master_Table!B701</f>
        <v>-4.1960999957701426E-3</v>
      </c>
      <c r="C702" s="3">
        <f>(Master_Table!C702-Master_Table!C701)/Master_Table!C701</f>
        <v>-1.5448440054011886E-2</v>
      </c>
      <c r="D702" s="3">
        <f>(Master_Table!D702-Master_Table!D701)/Master_Table!D701</f>
        <v>-6.9437773599923961E-3</v>
      </c>
      <c r="E702" s="3">
        <f>(Master_Table!E702-Master_Table!E701)/Master_Table!E701</f>
        <v>-4.0223399021905443E-3</v>
      </c>
      <c r="F702" s="3">
        <f>(Master_Table!F702-Master_Table!F701)/Master_Table!F701</f>
        <v>1.264329062711783E-4</v>
      </c>
      <c r="G702" s="3">
        <f>(Master_Table!G702-Master_Table!G701)/Master_Table!G701</f>
        <v>5.5719718552480436E-3</v>
      </c>
      <c r="H702" s="3">
        <f>(Master_Table!H702-Master_Table!H701)/Master_Table!H701</f>
        <v>2.06040567844866E-2</v>
      </c>
    </row>
    <row r="703" spans="1:8" x14ac:dyDescent="0.3">
      <c r="A703" s="1">
        <v>44861</v>
      </c>
      <c r="B703" s="3">
        <f>(Master_Table!B703-Master_Table!B702)/Master_Table!B702</f>
        <v>4.564929897742296E-3</v>
      </c>
      <c r="C703" s="3">
        <f>(Master_Table!C703-Master_Table!C702)/Master_Table!C702</f>
        <v>3.9339883965389269E-3</v>
      </c>
      <c r="D703" s="3">
        <f>(Master_Table!D703-Master_Table!D702)/Master_Table!D702</f>
        <v>2.4182961376355973E-3</v>
      </c>
      <c r="E703" s="3">
        <f>(Master_Table!E703-Master_Table!E702)/Master_Table!E702</f>
        <v>-1.452728223603928E-3</v>
      </c>
      <c r="F703" s="3">
        <f>(Master_Table!F703-Master_Table!F702)/Master_Table!F702</f>
        <v>-1.4878299400654597E-3</v>
      </c>
      <c r="G703" s="3">
        <f>(Master_Table!G703-Master_Table!G702)/Master_Table!G702</f>
        <v>-1.5417558886509097E-3</v>
      </c>
      <c r="H703" s="3">
        <f>(Master_Table!H703-Master_Table!H702)/Master_Table!H702</f>
        <v>7.6720950681592997E-3</v>
      </c>
    </row>
    <row r="704" spans="1:8" x14ac:dyDescent="0.3">
      <c r="A704" s="1">
        <v>44862</v>
      </c>
      <c r="B704" s="3">
        <f>(Master_Table!B704-Master_Table!B703)/Master_Table!B703</f>
        <v>2.8105170280120621E-3</v>
      </c>
      <c r="C704" s="3">
        <f>(Master_Table!C704-Master_Table!C703)/Master_Table!C703</f>
        <v>3.0593627825461701E-2</v>
      </c>
      <c r="D704" s="3">
        <f>(Master_Table!D704-Master_Table!D703)/Master_Table!D703</f>
        <v>2.9500964984835766E-3</v>
      </c>
      <c r="E704" s="3">
        <f>(Master_Table!E704-Master_Table!E703)/Master_Table!E703</f>
        <v>0</v>
      </c>
      <c r="F704" s="3">
        <f>(Master_Table!F704-Master_Table!F703)/Master_Table!F703</f>
        <v>1.8536312994247694E-3</v>
      </c>
      <c r="G704" s="3">
        <f>(Master_Table!G704-Master_Table!G703)/Master_Table!G703</f>
        <v>-7.0212021829076619E-3</v>
      </c>
      <c r="H704" s="3">
        <f>(Master_Table!H704-Master_Table!H703)/Master_Table!H703</f>
        <v>5.603098544112812E-3</v>
      </c>
    </row>
    <row r="705" spans="1:8" x14ac:dyDescent="0.3">
      <c r="A705" s="1">
        <v>44865</v>
      </c>
      <c r="B705" s="3">
        <f>(Master_Table!B705-Master_Table!B704)/Master_Table!B704</f>
        <v>1.2672318798209991E-2</v>
      </c>
      <c r="C705" s="3">
        <f>(Master_Table!C705-Master_Table!C704)/Master_Table!C704</f>
        <v>9.2876017057791239E-3</v>
      </c>
      <c r="D705" s="3">
        <f>(Master_Table!D705-Master_Table!D704)/Master_Table!D704</f>
        <v>2.6046677845891698E-2</v>
      </c>
      <c r="E705" s="3">
        <f>(Master_Table!E705-Master_Table!E704)/Master_Table!E704</f>
        <v>8.4089851024208174E-3</v>
      </c>
      <c r="F705" s="3">
        <f>(Master_Table!F705-Master_Table!F704)/Master_Table!F704</f>
        <v>9.4519060965928652E-3</v>
      </c>
      <c r="G705" s="3">
        <f>(Master_Table!G705-Master_Table!G704)/Master_Table!G704</f>
        <v>1.6122065166105114E-2</v>
      </c>
      <c r="H705" s="3">
        <f>(Master_Table!H705-Master_Table!H704)/Master_Table!H704</f>
        <v>2.4327492502321645E-2</v>
      </c>
    </row>
    <row r="706" spans="1:8" x14ac:dyDescent="0.3">
      <c r="A706" s="1">
        <v>44866</v>
      </c>
      <c r="B706" s="3">
        <f>(Master_Table!B706-Master_Table!B705)/Master_Table!B705</f>
        <v>7.3949878415740843E-3</v>
      </c>
      <c r="C706" s="3">
        <f>(Master_Table!C706-Master_Table!C705)/Master_Table!C705</f>
        <v>-7.7505313909482327E-3</v>
      </c>
      <c r="D706" s="3">
        <f>(Master_Table!D706-Master_Table!D705)/Master_Table!D705</f>
        <v>1.1065118085975687E-2</v>
      </c>
      <c r="E706" s="3">
        <f>(Master_Table!E706-Master_Table!E705)/Master_Table!E705</f>
        <v>2.2794817785729304E-3</v>
      </c>
      <c r="F706" s="3">
        <f>(Master_Table!F706-Master_Table!F705)/Master_Table!F705</f>
        <v>2.084216067691275E-2</v>
      </c>
      <c r="G706" s="3">
        <f>(Master_Table!G706-Master_Table!G705)/Master_Table!G705</f>
        <v>2.2994970667678256E-2</v>
      </c>
      <c r="H706" s="3">
        <f>(Master_Table!H706-Master_Table!H705)/Master_Table!H705</f>
        <v>6.6879690867213421E-4</v>
      </c>
    </row>
    <row r="707" spans="1:8" x14ac:dyDescent="0.3">
      <c r="A707" s="1">
        <v>44867</v>
      </c>
      <c r="B707" s="3">
        <f>(Master_Table!B707-Master_Table!B706)/Master_Table!B706</f>
        <v>-3.4471546507656432E-3</v>
      </c>
      <c r="C707" s="3">
        <f>(Master_Table!C707-Master_Table!C706)/Master_Table!C706</f>
        <v>6.2523402736052534E-3</v>
      </c>
      <c r="D707" s="3">
        <f>(Master_Table!D707-Master_Table!D706)/Master_Table!D706</f>
        <v>6.2272275587946647E-4</v>
      </c>
      <c r="E707" s="3">
        <f>(Master_Table!E707-Master_Table!E706)/Master_Table!E706</f>
        <v>1.4739751266697387E-2</v>
      </c>
      <c r="F707" s="3">
        <f>(Master_Table!F707-Master_Table!F706)/Master_Table!F706</f>
        <v>-5.5215784922568812E-3</v>
      </c>
      <c r="G707" s="3">
        <f>(Master_Table!G707-Master_Table!G706)/Master_Table!G706</f>
        <v>-1.2530447068450851E-2</v>
      </c>
      <c r="H707" s="3">
        <f>(Master_Table!H707-Master_Table!H706)/Master_Table!H706</f>
        <v>-5.5101737709788148E-3</v>
      </c>
    </row>
    <row r="708" spans="1:8" x14ac:dyDescent="0.3">
      <c r="A708" s="1">
        <v>44868</v>
      </c>
      <c r="B708" s="3">
        <f>(Master_Table!B708-Master_Table!B707)/Master_Table!B707</f>
        <v>-1.6673256704555874E-3</v>
      </c>
      <c r="C708" s="3">
        <f>(Master_Table!C708-Master_Table!C707)/Master_Table!C707</f>
        <v>3.7298256241616074E-3</v>
      </c>
      <c r="D708" s="3">
        <f>(Master_Table!D708-Master_Table!D707)/Master_Table!D707</f>
        <v>-4.396070019332181E-3</v>
      </c>
      <c r="E708" s="3">
        <f>(Master_Table!E708-Master_Table!E707)/Master_Table!E707</f>
        <v>-2.6951883794826526E-3</v>
      </c>
      <c r="F708" s="3">
        <f>(Master_Table!F708-Master_Table!F707)/Master_Table!F707</f>
        <v>-1.0781960925667678E-2</v>
      </c>
      <c r="G708" s="3">
        <f>(Master_Table!G708-Master_Table!G707)/Master_Table!G707</f>
        <v>-1.4515178785308624E-2</v>
      </c>
      <c r="H708" s="3">
        <f>(Master_Table!H708-Master_Table!H707)/Master_Table!H707</f>
        <v>-2.2849803611164634E-3</v>
      </c>
    </row>
    <row r="709" spans="1:8" x14ac:dyDescent="0.3">
      <c r="A709" s="1">
        <v>44869</v>
      </c>
      <c r="B709" s="3">
        <f>(Master_Table!B709-Master_Table!B708)/Master_Table!B708</f>
        <v>3.5701030870728878E-3</v>
      </c>
      <c r="C709" s="3">
        <f>(Master_Table!C709-Master_Table!C708)/Master_Table!C708</f>
        <v>1.471729346645299E-2</v>
      </c>
      <c r="D709" s="3">
        <f>(Master_Table!D709-Master_Table!D708)/Master_Table!D708</f>
        <v>-6.8892139912221702E-3</v>
      </c>
      <c r="E709" s="3">
        <f>(Master_Table!E709-Master_Table!E708)/Master_Table!E708</f>
        <v>-2.8447074218406935E-4</v>
      </c>
      <c r="F709" s="3">
        <f>(Master_Table!F709-Master_Table!F708)/Master_Table!F708</f>
        <v>3.3209848526012907E-3</v>
      </c>
      <c r="G709" s="3">
        <f>(Master_Table!G709-Master_Table!G708)/Master_Table!G708</f>
        <v>-1.0938331461006385E-2</v>
      </c>
      <c r="H709" s="3">
        <f>(Master_Table!H709-Master_Table!H708)/Master_Table!H708</f>
        <v>3.1883363769720646E-3</v>
      </c>
    </row>
    <row r="710" spans="1:8" x14ac:dyDescent="0.3">
      <c r="A710" s="1">
        <v>44872</v>
      </c>
      <c r="B710" s="3">
        <f>(Master_Table!B710-Master_Table!B709)/Master_Table!B709</f>
        <v>4.7275647659812837E-3</v>
      </c>
      <c r="C710" s="3">
        <f>(Master_Table!C710-Master_Table!C709)/Master_Table!C709</f>
        <v>5.3359163246751908E-3</v>
      </c>
      <c r="D710" s="3">
        <f>(Master_Table!D710-Master_Table!D709)/Master_Table!D709</f>
        <v>7.7806942361259178E-3</v>
      </c>
      <c r="E710" s="3">
        <f>(Master_Table!E710-Master_Table!E709)/Master_Table!E709</f>
        <v>-2.5609651993293637E-4</v>
      </c>
      <c r="F710" s="3">
        <f>(Master_Table!F710-Master_Table!F709)/Master_Table!F709</f>
        <v>5.0653396963345068E-3</v>
      </c>
      <c r="G710" s="3">
        <f>(Master_Table!G710-Master_Table!G709)/Master_Table!G709</f>
        <v>-4.3307295818056099E-3</v>
      </c>
      <c r="H710" s="3">
        <f>(Master_Table!H710-Master_Table!H709)/Master_Table!H709</f>
        <v>1.2633233361683321E-3</v>
      </c>
    </row>
    <row r="711" spans="1:8" x14ac:dyDescent="0.3">
      <c r="A711" s="1">
        <v>44874</v>
      </c>
      <c r="B711" s="3">
        <f>(Master_Table!B711-Master_Table!B710)/Master_Table!B710</f>
        <v>-2.5160964247258263E-3</v>
      </c>
      <c r="C711" s="3">
        <f>(Master_Table!C711-Master_Table!C710)/Master_Table!C710</f>
        <v>-9.9728704118462789E-4</v>
      </c>
      <c r="D711" s="3">
        <f>(Master_Table!D711-Master_Table!D710)/Master_Table!D710</f>
        <v>-3.0563565572139077E-4</v>
      </c>
      <c r="E711" s="3">
        <f>(Master_Table!E711-Master_Table!E710)/Master_Table!E710</f>
        <v>2.035065748278031E-2</v>
      </c>
      <c r="F711" s="3">
        <f>(Master_Table!F711-Master_Table!F710)/Master_Table!F710</f>
        <v>-5.4582107718836384E-3</v>
      </c>
      <c r="G711" s="3">
        <f>(Master_Table!G711-Master_Table!G710)/Master_Table!G710</f>
        <v>2.4883255503669235E-3</v>
      </c>
      <c r="H711" s="3">
        <f>(Master_Table!H711-Master_Table!H710)/Master_Table!H710</f>
        <v>-7.0140230787189431E-3</v>
      </c>
    </row>
    <row r="712" spans="1:8" x14ac:dyDescent="0.3">
      <c r="A712" s="1">
        <v>44875</v>
      </c>
      <c r="B712" s="3">
        <f>(Master_Table!B712-Master_Table!B711)/Master_Table!B711</f>
        <v>-7.0936828771272385E-3</v>
      </c>
      <c r="C712" s="3">
        <f>(Master_Table!C712-Master_Table!C711)/Master_Table!C711</f>
        <v>-1.2097831696319006E-2</v>
      </c>
      <c r="D712" s="3">
        <f>(Master_Table!D712-Master_Table!D711)/Master_Table!D711</f>
        <v>1.087332181310656E-2</v>
      </c>
      <c r="E712" s="3">
        <f>(Master_Table!E712-Master_Table!E711)/Master_Table!E711</f>
        <v>-1.3026862673993739E-2</v>
      </c>
      <c r="F712" s="3">
        <f>(Master_Table!F712-Master_Table!F711)/Master_Table!F711</f>
        <v>-3.2348947942095821E-3</v>
      </c>
      <c r="G712" s="3">
        <f>(Master_Table!G712-Master_Table!G711)/Master_Table!G711</f>
        <v>-6.1221909458119856E-3</v>
      </c>
      <c r="H712" s="3">
        <f>(Master_Table!H712-Master_Table!H711)/Master_Table!H711</f>
        <v>-1.2901515265208913E-2</v>
      </c>
    </row>
    <row r="713" spans="1:8" x14ac:dyDescent="0.3">
      <c r="A713" s="1">
        <v>44876</v>
      </c>
      <c r="B713" s="3">
        <f>(Master_Table!B713-Master_Table!B712)/Master_Table!B712</f>
        <v>1.7833172474234809E-2</v>
      </c>
      <c r="C713" s="3">
        <f>(Master_Table!C713-Master_Table!C712)/Master_Table!C712</f>
        <v>2.3053274301422479E-2</v>
      </c>
      <c r="D713" s="3">
        <f>(Master_Table!D713-Master_Table!D712)/Master_Table!D712</f>
        <v>5.6674731748369477E-2</v>
      </c>
      <c r="E713" s="3">
        <f>(Master_Table!E713-Master_Table!E712)/Master_Table!E712</f>
        <v>9.8920354982766031E-4</v>
      </c>
      <c r="F713" s="3">
        <f>(Master_Table!F713-Master_Table!F712)/Master_Table!F712</f>
        <v>3.4410761276542641E-2</v>
      </c>
      <c r="G713" s="3">
        <f>(Master_Table!G713-Master_Table!G712)/Master_Table!G712</f>
        <v>4.5375720608223459E-2</v>
      </c>
      <c r="H713" s="3">
        <f>(Master_Table!H713-Master_Table!H712)/Master_Table!H712</f>
        <v>1.6911615649706006E-2</v>
      </c>
    </row>
    <row r="714" spans="1:8" x14ac:dyDescent="0.3">
      <c r="A714" s="1">
        <v>44879</v>
      </c>
      <c r="B714" s="3">
        <f>(Master_Table!B714-Master_Table!B713)/Master_Table!B713</f>
        <v>-1.1199093173184995E-3</v>
      </c>
      <c r="C714" s="3">
        <f>(Master_Table!C714-Master_Table!C713)/Master_Table!C713</f>
        <v>-4.8466077930776298E-3</v>
      </c>
      <c r="D714" s="3">
        <f>(Master_Table!D714-Master_Table!D713)/Master_Table!D713</f>
        <v>2.4141964707931267E-3</v>
      </c>
      <c r="E714" s="3">
        <f>(Master_Table!E714-Master_Table!E713)/Master_Table!E713</f>
        <v>-2.5693875822345266E-2</v>
      </c>
      <c r="F714" s="3">
        <f>(Master_Table!F714-Master_Table!F713)/Master_Table!F713</f>
        <v>5.8946626565237591E-3</v>
      </c>
      <c r="G714" s="3">
        <f>(Master_Table!G714-Master_Table!G713)/Master_Table!G713</f>
        <v>9.6842374943957726E-3</v>
      </c>
      <c r="H714" s="3">
        <f>(Master_Table!H714-Master_Table!H713)/Master_Table!H713</f>
        <v>-5.6165496344508202E-3</v>
      </c>
    </row>
    <row r="715" spans="1:8" x14ac:dyDescent="0.3">
      <c r="A715" s="1">
        <v>44880</v>
      </c>
      <c r="B715" s="3">
        <f>(Master_Table!B715-Master_Table!B714)/Master_Table!B714</f>
        <v>4.0509243472828796E-3</v>
      </c>
      <c r="C715" s="3">
        <f>(Master_Table!C715-Master_Table!C714)/Master_Table!C714</f>
        <v>-4.4832865097655973E-3</v>
      </c>
      <c r="D715" s="3">
        <f>(Master_Table!D715-Master_Table!D714)/Master_Table!D714</f>
        <v>2.4456251862151495E-3</v>
      </c>
      <c r="E715" s="3">
        <f>(Master_Table!E715-Master_Table!E714)/Master_Table!E714</f>
        <v>-5.5930680731445994E-3</v>
      </c>
      <c r="F715" s="3">
        <f>(Master_Table!F715-Master_Table!F714)/Master_Table!F714</f>
        <v>-8.6964538135330565E-4</v>
      </c>
      <c r="G715" s="3">
        <f>(Master_Table!G715-Master_Table!G714)/Master_Table!G714</f>
        <v>5.4871163776150159E-3</v>
      </c>
      <c r="H715" s="3">
        <f>(Master_Table!H715-Master_Table!H714)/Master_Table!H714</f>
        <v>-1.6238159675236853E-3</v>
      </c>
    </row>
    <row r="716" spans="1:8" x14ac:dyDescent="0.3">
      <c r="A716" s="1">
        <v>44881</v>
      </c>
      <c r="B716" s="3">
        <f>(Master_Table!B716-Master_Table!B715)/Master_Table!B715</f>
        <v>3.3961115880761162E-4</v>
      </c>
      <c r="C716" s="3">
        <f>(Master_Table!C716-Master_Table!C715)/Master_Table!C715</f>
        <v>-5.7370746833624526E-3</v>
      </c>
      <c r="D716" s="3">
        <f>(Master_Table!D716-Master_Table!D715)/Master_Table!D715</f>
        <v>8.5821496241438901E-3</v>
      </c>
      <c r="E716" s="3">
        <f>(Master_Table!E716-Master_Table!E715)/Master_Table!E715</f>
        <v>-3.3514017602144235E-3</v>
      </c>
      <c r="F716" s="3">
        <f>(Master_Table!F716-Master_Table!F715)/Master_Table!F715</f>
        <v>6.8248153855144308E-3</v>
      </c>
      <c r="G716" s="3">
        <f>(Master_Table!G716-Master_Table!G715)/Master_Table!G715</f>
        <v>5.5202609348483037E-3</v>
      </c>
      <c r="H716" s="3">
        <f>(Master_Table!H716-Master_Table!H715)/Master_Table!H715</f>
        <v>3.5290101703763805E-3</v>
      </c>
    </row>
    <row r="717" spans="1:8" x14ac:dyDescent="0.3">
      <c r="A717" s="1">
        <v>44882</v>
      </c>
      <c r="B717" s="3">
        <f>(Master_Table!B717-Master_Table!B716)/Master_Table!B716</f>
        <v>-3.571496470601016E-3</v>
      </c>
      <c r="C717" s="3">
        <f>(Master_Table!C717-Master_Table!C716)/Master_Table!C716</f>
        <v>2.5919064534221277E-3</v>
      </c>
      <c r="D717" s="3">
        <f>(Master_Table!D717-Master_Table!D716)/Master_Table!D716</f>
        <v>-9.0248274845901501E-3</v>
      </c>
      <c r="E717" s="3">
        <f>(Master_Table!E717-Master_Table!E716)/Master_Table!E716</f>
        <v>-1.1403842217608303E-3</v>
      </c>
      <c r="F717" s="3">
        <f>(Master_Table!F717-Master_Table!F716)/Master_Table!F716</f>
        <v>-1.8909077579149472E-3</v>
      </c>
      <c r="G717" s="3">
        <f>(Master_Table!G717-Master_Table!G716)/Master_Table!G716</f>
        <v>-9.6121268399191485E-3</v>
      </c>
      <c r="H717" s="3">
        <f>(Master_Table!H717-Master_Table!H716)/Master_Table!H716</f>
        <v>1.2950892656158603E-2</v>
      </c>
    </row>
    <row r="718" spans="1:8" x14ac:dyDescent="0.3">
      <c r="A718" s="1">
        <v>44883</v>
      </c>
      <c r="B718" s="3">
        <f>(Master_Table!B718-Master_Table!B717)/Master_Table!B717</f>
        <v>-1.9761337556353882E-3</v>
      </c>
      <c r="C718" s="3">
        <f>(Master_Table!C718-Master_Table!C717)/Master_Table!C717</f>
        <v>-5.4246942252423962E-4</v>
      </c>
      <c r="D718" s="3">
        <f>(Master_Table!D718-Master_Table!D717)/Master_Table!D717</f>
        <v>-2.6267857806633928E-3</v>
      </c>
      <c r="E718" s="3">
        <f>(Master_Table!E718-Master_Table!E717)/Master_Table!E717</f>
        <v>-7.728337236534084E-3</v>
      </c>
      <c r="F718" s="3">
        <f>(Master_Table!F718-Master_Table!F717)/Master_Table!F717</f>
        <v>-1.655765952432646E-3</v>
      </c>
      <c r="G718" s="3">
        <f>(Master_Table!G718-Master_Table!G717)/Master_Table!G717</f>
        <v>3.7820715869496531E-3</v>
      </c>
      <c r="H718" s="3">
        <f>(Master_Table!H718-Master_Table!H717)/Master_Table!H717</f>
        <v>-2.5086667522641838E-3</v>
      </c>
    </row>
    <row r="719" spans="1:8" x14ac:dyDescent="0.3">
      <c r="A719" s="1">
        <v>44886</v>
      </c>
      <c r="B719" s="3">
        <f>(Master_Table!B719-Master_Table!B718)/Master_Table!B718</f>
        <v>-8.0676657025888481E-3</v>
      </c>
      <c r="C719" s="3">
        <f>(Master_Table!C719-Master_Table!C718)/Master_Table!C718</f>
        <v>-1.7996014077937519E-2</v>
      </c>
      <c r="D719" s="3">
        <f>(Master_Table!D719-Master_Table!D718)/Master_Table!D718</f>
        <v>-1.0261506925896006E-2</v>
      </c>
      <c r="E719" s="3">
        <f>(Master_Table!E719-Master_Table!E718)/Master_Table!E718</f>
        <v>-1.1269766344111381E-2</v>
      </c>
      <c r="F719" s="3">
        <f>(Master_Table!F719-Master_Table!F718)/Master_Table!F718</f>
        <v>-1.7930937227924389E-2</v>
      </c>
      <c r="G719" s="3">
        <f>(Master_Table!G719-Master_Table!G718)/Master_Table!G718</f>
        <v>-1.5816014187709421E-2</v>
      </c>
      <c r="H719" s="3">
        <f>(Master_Table!H719-Master_Table!H718)/Master_Table!H718</f>
        <v>-6.4260606960740716E-3</v>
      </c>
    </row>
    <row r="720" spans="1:8" x14ac:dyDescent="0.3">
      <c r="A720" s="1">
        <v>44887</v>
      </c>
      <c r="B720" s="3">
        <f>(Master_Table!B720-Master_Table!B719)/Master_Table!B719</f>
        <v>4.6393299541022965E-3</v>
      </c>
      <c r="C720" s="3">
        <f>(Master_Table!C720-Master_Table!C719)/Master_Table!C719</f>
        <v>5.544376603076045E-3</v>
      </c>
      <c r="D720" s="3">
        <f>(Master_Table!D720-Master_Table!D719)/Master_Table!D719</f>
        <v>-1.4685762341689649E-3</v>
      </c>
      <c r="E720" s="3">
        <f>(Master_Table!E720-Master_Table!E719)/Master_Table!E719</f>
        <v>9.0409977919676237E-3</v>
      </c>
      <c r="F720" s="3">
        <f>(Master_Table!F720-Master_Table!F719)/Master_Table!F719</f>
        <v>9.5771148161213591E-3</v>
      </c>
      <c r="G720" s="3">
        <f>(Master_Table!G720-Master_Table!G719)/Master_Table!G719</f>
        <v>1.0747654561661135E-2</v>
      </c>
      <c r="H720" s="3">
        <f>(Master_Table!H720-Master_Table!H719)/Master_Table!H719</f>
        <v>9.1234329220895426E-3</v>
      </c>
    </row>
    <row r="721" spans="1:8" x14ac:dyDescent="0.3">
      <c r="A721" s="1">
        <v>44888</v>
      </c>
      <c r="B721" s="3">
        <f>(Master_Table!B721-Master_Table!B720)/Master_Table!B720</f>
        <v>1.2634152223720016E-3</v>
      </c>
      <c r="C721" s="3">
        <f>(Master_Table!C721-Master_Table!C720)/Master_Table!C720</f>
        <v>-3.1176192725554017E-3</v>
      </c>
      <c r="D721" s="3">
        <f>(Master_Table!D721-Master_Table!D720)/Master_Table!D720</f>
        <v>2.6020716009654693E-3</v>
      </c>
      <c r="E721" s="3">
        <f>(Master_Table!E721-Master_Table!E720)/Master_Table!E720</f>
        <v>-1.3306916639559648E-3</v>
      </c>
      <c r="F721" s="3">
        <f>(Master_Table!F721-Master_Table!F720)/Master_Table!F720</f>
        <v>-2.0067096455019823E-3</v>
      </c>
      <c r="G721" s="3">
        <f>(Master_Table!G721-Master_Table!G720)/Master_Table!G720</f>
        <v>-1.1991092331411586E-3</v>
      </c>
      <c r="H721" s="3">
        <f>(Master_Table!H721-Master_Table!H720)/Master_Table!H720</f>
        <v>-2.365163462915305E-3</v>
      </c>
    </row>
    <row r="722" spans="1:8" x14ac:dyDescent="0.3">
      <c r="A722" s="1">
        <v>44889</v>
      </c>
      <c r="B722" s="3">
        <f>(Master_Table!B722-Master_Table!B721)/Master_Table!B721</f>
        <v>1.1870971273727493E-2</v>
      </c>
      <c r="C722" s="3">
        <f>(Master_Table!C722-Master_Table!C721)/Master_Table!C721</f>
        <v>8.623957543593623E-3</v>
      </c>
      <c r="D722" s="3">
        <f>(Master_Table!D722-Master_Table!D721)/Master_Table!D721</f>
        <v>1.6261487731791913E-2</v>
      </c>
      <c r="E722" s="3">
        <f>(Master_Table!E722-Master_Table!E721)/Master_Table!E721</f>
        <v>2.7833708397488974E-3</v>
      </c>
      <c r="F722" s="3">
        <f>(Master_Table!F722-Master_Table!F721)/Master_Table!F721</f>
        <v>2.1718520538098921E-2</v>
      </c>
      <c r="G722" s="3">
        <f>(Master_Table!G722-Master_Table!G721)/Master_Table!G721</f>
        <v>2.9467439083263523E-2</v>
      </c>
      <c r="H722" s="3">
        <f>(Master_Table!H722-Master_Table!H721)/Master_Table!H721</f>
        <v>1.3432717625863609E-2</v>
      </c>
    </row>
    <row r="723" spans="1:8" x14ac:dyDescent="0.3">
      <c r="A723" s="1">
        <v>44890</v>
      </c>
      <c r="B723" s="3">
        <f>(Master_Table!B723-Master_Table!B722)/Master_Table!B722</f>
        <v>1.5499807943043728E-3</v>
      </c>
      <c r="C723" s="3">
        <f>(Master_Table!C723-Master_Table!C722)/Master_Table!C722</f>
        <v>1.4930855107497048E-2</v>
      </c>
      <c r="D723" s="3">
        <f>(Master_Table!D723-Master_Table!D722)/Master_Table!D722</f>
        <v>-4.6140939597314147E-3</v>
      </c>
      <c r="E723" s="3">
        <f>(Master_Table!E723-Master_Table!E722)/Master_Table!E722</f>
        <v>-1.2992381739797959E-3</v>
      </c>
      <c r="F723" s="3">
        <f>(Master_Table!F723-Master_Table!F722)/Master_Table!F722</f>
        <v>2.810998981126577E-3</v>
      </c>
      <c r="G723" s="3">
        <f>(Master_Table!G723-Master_Table!G722)/Master_Table!G722</f>
        <v>3.5849370939179137E-3</v>
      </c>
      <c r="H723" s="3">
        <f>(Master_Table!H723-Master_Table!H722)/Master_Table!H722</f>
        <v>5.1426562087929168E-3</v>
      </c>
    </row>
    <row r="724" spans="1:8" x14ac:dyDescent="0.3">
      <c r="A724" s="1">
        <v>44893</v>
      </c>
      <c r="B724" s="3">
        <f>(Master_Table!B724-Master_Table!B723)/Master_Table!B723</f>
        <v>2.7008413120687092E-3</v>
      </c>
      <c r="C724" s="3">
        <f>(Master_Table!C724-Master_Table!C723)/Master_Table!C723</f>
        <v>3.4362612669477557E-2</v>
      </c>
      <c r="D724" s="3">
        <f>(Master_Table!D724-Master_Table!D723)/Master_Table!D723</f>
        <v>-1.0758285615131086E-2</v>
      </c>
      <c r="E724" s="3">
        <f>(Master_Table!E724-Master_Table!E723)/Master_Table!E723</f>
        <v>-7.3916385784400681E-4</v>
      </c>
      <c r="F724" s="3">
        <f>(Master_Table!F724-Master_Table!F723)/Master_Table!F723</f>
        <v>1.6510282640313457E-3</v>
      </c>
      <c r="G724" s="3">
        <f>(Master_Table!G724-Master_Table!G723)/Master_Table!G723</f>
        <v>-7.4885642614726669E-3</v>
      </c>
      <c r="H724" s="3">
        <f>(Master_Table!H724-Master_Table!H723)/Master_Table!H723</f>
        <v>8.211417271185964E-4</v>
      </c>
    </row>
    <row r="725" spans="1:8" x14ac:dyDescent="0.3">
      <c r="A725" s="1">
        <v>44894</v>
      </c>
      <c r="B725" s="3">
        <f>(Master_Table!B725-Master_Table!B724)/Master_Table!B724</f>
        <v>2.9790844567749537E-3</v>
      </c>
      <c r="C725" s="3">
        <f>(Master_Table!C725-Master_Table!C724)/Master_Table!C724</f>
        <v>1.7167870858557307E-3</v>
      </c>
      <c r="D725" s="3">
        <f>(Master_Table!D725-Master_Table!D724)/Master_Table!D724</f>
        <v>-1.503495627333465E-3</v>
      </c>
      <c r="E725" s="3">
        <f>(Master_Table!E725-Master_Table!E724)/Master_Table!E724</f>
        <v>6.5982187768143952E-3</v>
      </c>
      <c r="F725" s="3">
        <f>(Master_Table!F725-Master_Table!F724)/Master_Table!F724</f>
        <v>6.1886979281452386E-4</v>
      </c>
      <c r="G725" s="3">
        <f>(Master_Table!G725-Master_Table!G724)/Master_Table!G724</f>
        <v>3.481385120485733E-3</v>
      </c>
      <c r="H725" s="3">
        <f>(Master_Table!H725-Master_Table!H724)/Master_Table!H724</f>
        <v>-6.7288086221963909E-3</v>
      </c>
    </row>
    <row r="726" spans="1:8" x14ac:dyDescent="0.3">
      <c r="A726" s="1">
        <v>44895</v>
      </c>
      <c r="B726" s="3">
        <f>(Master_Table!B726-Master_Table!B725)/Master_Table!B725</f>
        <v>7.5356978845797108E-3</v>
      </c>
      <c r="C726" s="3">
        <f>(Master_Table!C726-Master_Table!C725)/Master_Table!C725</f>
        <v>7.0584412947243035E-3</v>
      </c>
      <c r="D726" s="3">
        <f>(Master_Table!D726-Master_Table!D725)/Master_Table!D725</f>
        <v>6.6378899289782963E-3</v>
      </c>
      <c r="E726" s="3">
        <f>(Master_Table!E726-Master_Table!E725)/Master_Table!E725</f>
        <v>-6.7019400352732886E-3</v>
      </c>
      <c r="F726" s="3">
        <f>(Master_Table!F726-Master_Table!F725)/Master_Table!F725</f>
        <v>-1.9278693272670937E-3</v>
      </c>
      <c r="G726" s="3">
        <f>(Master_Table!G726-Master_Table!G725)/Master_Table!G725</f>
        <v>3.6236357350979622E-3</v>
      </c>
      <c r="H726" s="3">
        <f>(Master_Table!H726-Master_Table!H725)/Master_Table!H725</f>
        <v>1.184785477579977E-2</v>
      </c>
    </row>
    <row r="727" spans="1:8" x14ac:dyDescent="0.3">
      <c r="A727" s="1">
        <v>44896</v>
      </c>
      <c r="B727" s="3">
        <f>(Master_Table!B727-Master_Table!B726)/Master_Table!B726</f>
        <v>2.8867144498317529E-3</v>
      </c>
      <c r="C727" s="3">
        <f>(Master_Table!C727-Master_Table!C726)/Master_Table!C726</f>
        <v>-2.9439282488061876E-3</v>
      </c>
      <c r="D727" s="3">
        <f>(Master_Table!D727-Master_Table!D726)/Master_Table!D726</f>
        <v>6.8683544619373383E-3</v>
      </c>
      <c r="E727" s="3">
        <f>(Master_Table!E727-Master_Table!E726)/Master_Table!E726</f>
        <v>-1.3316761363636027E-3</v>
      </c>
      <c r="F727" s="3">
        <f>(Master_Table!F727-Master_Table!F726)/Master_Table!F726</f>
        <v>2.5023049136224097E-2</v>
      </c>
      <c r="G727" s="3">
        <f>(Master_Table!G727-Master_Table!G726)/Master_Table!G726</f>
        <v>1.3544184673297278E-2</v>
      </c>
      <c r="H727" s="3">
        <f>(Master_Table!H727-Master_Table!H726)/Master_Table!H726</f>
        <v>1.4167850138635474E-2</v>
      </c>
    </row>
    <row r="728" spans="1:8" x14ac:dyDescent="0.3">
      <c r="A728" s="1">
        <v>44897</v>
      </c>
      <c r="B728" s="3">
        <f>(Master_Table!B728-Master_Table!B727)/Master_Table!B727</f>
        <v>-6.1873754152824692E-3</v>
      </c>
      <c r="C728" s="3">
        <f>(Master_Table!C728-Master_Table!C727)/Master_Table!C727</f>
        <v>-4.2873668287235191E-4</v>
      </c>
      <c r="D728" s="3">
        <f>(Master_Table!D728-Master_Table!D727)/Master_Table!D727</f>
        <v>-7.650976799465253E-3</v>
      </c>
      <c r="E728" s="3">
        <f>(Master_Table!E728-Master_Table!E727)/Master_Table!E727</f>
        <v>-7.0524787388510151E-3</v>
      </c>
      <c r="F728" s="3">
        <f>(Master_Table!F728-Master_Table!F727)/Master_Table!F727</f>
        <v>-1.0501543824260506E-2</v>
      </c>
      <c r="G728" s="3">
        <f>(Master_Table!G728-Master_Table!G727)/Master_Table!G727</f>
        <v>-1.1585073521825889E-2</v>
      </c>
      <c r="H728" s="3">
        <f>(Master_Table!H728-Master_Table!H727)/Master_Table!H727</f>
        <v>-8.9068401674677767E-3</v>
      </c>
    </row>
    <row r="729" spans="1:8" x14ac:dyDescent="0.3">
      <c r="A729" s="1">
        <v>44900</v>
      </c>
      <c r="B729" s="3">
        <f>(Master_Table!B729-Master_Table!B728)/Master_Table!B728</f>
        <v>2.6476109990857601E-4</v>
      </c>
      <c r="C729" s="3">
        <f>(Master_Table!C729-Master_Table!C728)/Master_Table!C728</f>
        <v>-1.4583299613162182E-2</v>
      </c>
      <c r="D729" s="3">
        <f>(Master_Table!D729-Master_Table!D728)/Master_Table!D728</f>
        <v>3.6304206796747367E-3</v>
      </c>
      <c r="E729" s="3">
        <f>(Master_Table!E729-Master_Table!E728)/Master_Table!E728</f>
        <v>-1.1937091527648611E-3</v>
      </c>
      <c r="F729" s="3">
        <f>(Master_Table!F729-Master_Table!F728)/Master_Table!F728</f>
        <v>-3.8506014329482948E-3</v>
      </c>
      <c r="G729" s="3">
        <f>(Master_Table!G729-Master_Table!G728)/Master_Table!G728</f>
        <v>1.1297214990912607E-3</v>
      </c>
      <c r="H729" s="3">
        <f>(Master_Table!H729-Master_Table!H728)/Master_Table!H728</f>
        <v>4.8058208101609017E-5</v>
      </c>
    </row>
    <row r="730" spans="1:8" x14ac:dyDescent="0.3">
      <c r="A730" s="1">
        <v>44901</v>
      </c>
      <c r="B730" s="3">
        <f>(Master_Table!B730-Master_Table!B729)/Master_Table!B729</f>
        <v>-3.1174720136034756E-3</v>
      </c>
      <c r="C730" s="3">
        <f>(Master_Table!C730-Master_Table!C729)/Master_Table!C729</f>
        <v>2.8908380145198759E-3</v>
      </c>
      <c r="D730" s="3">
        <f>(Master_Table!D730-Master_Table!D729)/Master_Table!D729</f>
        <v>-1.1063184456847196E-3</v>
      </c>
      <c r="E730" s="3">
        <f>(Master_Table!E730-Master_Table!E729)/Master_Table!E729</f>
        <v>1.613433326361769E-3</v>
      </c>
      <c r="F730" s="3">
        <f>(Master_Table!F730-Master_Table!F729)/Master_Table!F729</f>
        <v>-1.1838798468166635E-2</v>
      </c>
      <c r="G730" s="3">
        <f>(Master_Table!G730-Master_Table!G729)/Master_Table!G729</f>
        <v>-1.6374742419782189E-2</v>
      </c>
      <c r="H730" s="3">
        <f>(Master_Table!H730-Master_Table!H729)/Master_Table!H729</f>
        <v>3.7868048113566225E-3</v>
      </c>
    </row>
    <row r="731" spans="1:8" x14ac:dyDescent="0.3">
      <c r="A731" s="1">
        <v>44902</v>
      </c>
      <c r="B731" s="3">
        <f>(Master_Table!B731-Master_Table!B730)/Master_Table!B730</f>
        <v>-4.4119027503989484E-3</v>
      </c>
      <c r="C731" s="3">
        <f>(Master_Table!C731-Master_Table!C730)/Master_Table!C730</f>
        <v>-1.4756461069802468E-2</v>
      </c>
      <c r="D731" s="3">
        <f>(Master_Table!D731-Master_Table!D730)/Master_Table!D730</f>
        <v>-4.3555090967921394E-4</v>
      </c>
      <c r="E731" s="3">
        <f>(Master_Table!E731-Master_Table!E730)/Master_Table!E730</f>
        <v>8.3226441547593101E-3</v>
      </c>
      <c r="F731" s="3">
        <f>(Master_Table!F731-Master_Table!F730)/Master_Table!F730</f>
        <v>-1.4018281292104374E-3</v>
      </c>
      <c r="G731" s="3">
        <f>(Master_Table!G731-Master_Table!G730)/Master_Table!G730</f>
        <v>-4.5889292082849503E-3</v>
      </c>
      <c r="H731" s="3">
        <f>(Master_Table!H731-Master_Table!H730)/Master_Table!H730</f>
        <v>1.4568242858305448E-2</v>
      </c>
    </row>
    <row r="732" spans="1:8" x14ac:dyDescent="0.3">
      <c r="A732" s="1">
        <v>44903</v>
      </c>
      <c r="B732" s="3">
        <f>(Master_Table!B732-Master_Table!B731)/Master_Table!B731</f>
        <v>2.6319334069663286E-3</v>
      </c>
      <c r="C732" s="3">
        <f>(Master_Table!C732-Master_Table!C731)/Master_Table!C731</f>
        <v>-4.7376032714410932E-4</v>
      </c>
      <c r="D732" s="3">
        <f>(Master_Table!D732-Master_Table!D731)/Master_Table!D731</f>
        <v>5.6148301233768542E-3</v>
      </c>
      <c r="E732" s="3">
        <f>(Master_Table!E732-Master_Table!E731)/Master_Table!E731</f>
        <v>-4.9997041595171822E-3</v>
      </c>
      <c r="F732" s="3">
        <f>(Master_Table!F732-Master_Table!F731)/Master_Table!F731</f>
        <v>-8.8896974107087832E-3</v>
      </c>
      <c r="G732" s="3">
        <f>(Master_Table!G732-Master_Table!G731)/Master_Table!G731</f>
        <v>9.1262135922329703E-3</v>
      </c>
      <c r="H732" s="3">
        <f>(Master_Table!H732-Master_Table!H731)/Master_Table!H731</f>
        <v>2.0573607270599734E-2</v>
      </c>
    </row>
    <row r="733" spans="1:8" x14ac:dyDescent="0.3">
      <c r="A733" s="1">
        <v>44904</v>
      </c>
      <c r="B733" s="3">
        <f>(Master_Table!B733-Master_Table!B732)/Master_Table!B732</f>
        <v>-6.0587822788007112E-3</v>
      </c>
      <c r="C733" s="3">
        <f>(Master_Table!C733-Master_Table!C732)/Master_Table!C732</f>
        <v>-1.5150885187556673E-2</v>
      </c>
      <c r="D733" s="3">
        <f>(Master_Table!D733-Master_Table!D732)/Master_Table!D732</f>
        <v>7.131007502414132E-3</v>
      </c>
      <c r="E733" s="3">
        <f>(Master_Table!E733-Master_Table!E732)/Master_Table!E732</f>
        <v>8.860345494008914E-3</v>
      </c>
      <c r="F733" s="3">
        <f>(Master_Table!F733-Master_Table!F732)/Master_Table!F732</f>
        <v>-1.725055676562013E-2</v>
      </c>
      <c r="G733" s="3">
        <f>(Master_Table!G733-Master_Table!G732)/Master_Table!G732</f>
        <v>-3.1382869769780303E-2</v>
      </c>
      <c r="H733" s="3">
        <f>(Master_Table!H733-Master_Table!H732)/Master_Table!H732</f>
        <v>-6.2973340361196697E-3</v>
      </c>
    </row>
    <row r="734" spans="1:8" x14ac:dyDescent="0.3">
      <c r="A734" s="1">
        <v>44907</v>
      </c>
      <c r="B734" s="3">
        <f>(Master_Table!B734-Master_Table!B733)/Master_Table!B733</f>
        <v>2.9735194576457857E-5</v>
      </c>
      <c r="C734" s="3">
        <f>(Master_Table!C734-Master_Table!C733)/Master_Table!C733</f>
        <v>1.5282644488539476E-3</v>
      </c>
      <c r="D734" s="3">
        <f>(Master_Table!D734-Master_Table!D733)/Master_Table!D733</f>
        <v>7.793484941610365E-3</v>
      </c>
      <c r="E734" s="3">
        <f>(Master_Table!E734-Master_Table!E733)/Master_Table!E733</f>
        <v>5.2754118652560212E-3</v>
      </c>
      <c r="F734" s="3">
        <f>(Master_Table!F734-Master_Table!F733)/Master_Table!F733</f>
        <v>-1.9144028463900702E-3</v>
      </c>
      <c r="G734" s="3">
        <f>(Master_Table!G734-Master_Table!G733)/Master_Table!G733</f>
        <v>-1.4085138832817487E-2</v>
      </c>
      <c r="H734" s="3">
        <f>(Master_Table!H734-Master_Table!H733)/Master_Table!H733</f>
        <v>4.4807370184255114E-3</v>
      </c>
    </row>
    <row r="735" spans="1:8" x14ac:dyDescent="0.3">
      <c r="A735" s="1">
        <v>44908</v>
      </c>
      <c r="B735" s="3">
        <f>(Master_Table!B735-Master_Table!B734)/Master_Table!B734</f>
        <v>5.9928151093546055E-3</v>
      </c>
      <c r="C735" s="3">
        <f>(Master_Table!C735-Master_Table!C734)/Master_Table!C734</f>
        <v>4.5525055641733522E-3</v>
      </c>
      <c r="D735" s="3">
        <f>(Master_Table!D735-Master_Table!D734)/Master_Table!D734</f>
        <v>2.7566354410616593E-3</v>
      </c>
      <c r="E735" s="3">
        <f>(Master_Table!E735-Master_Table!E734)/Master_Table!E734</f>
        <v>6.9774259747874389E-3</v>
      </c>
      <c r="F735" s="3">
        <f>(Master_Table!F735-Master_Table!F734)/Master_Table!F734</f>
        <v>1.3891228004516041E-2</v>
      </c>
      <c r="G735" s="3">
        <f>(Master_Table!G735-Master_Table!G734)/Master_Table!G734</f>
        <v>1.6125782402683045E-2</v>
      </c>
      <c r="H735" s="3">
        <f>(Master_Table!H735-Master_Table!H734)/Master_Table!H734</f>
        <v>4.2523033309710776E-3</v>
      </c>
    </row>
    <row r="736" spans="1:8" x14ac:dyDescent="0.3">
      <c r="A736" s="1">
        <v>44909</v>
      </c>
      <c r="B736" s="3">
        <f>(Master_Table!B736-Master_Table!B735)/Master_Table!B735</f>
        <v>2.8106190885640193E-3</v>
      </c>
      <c r="C736" s="3">
        <f>(Master_Table!C736-Master_Table!C735)/Master_Table!C735</f>
        <v>-3.6171069858000819E-3</v>
      </c>
      <c r="D736" s="3">
        <f>(Master_Table!D736-Master_Table!D735)/Master_Table!D735</f>
        <v>8.4661233426589488E-3</v>
      </c>
      <c r="E736" s="3">
        <f>(Master_Table!E736-Master_Table!E735)/Master_Table!E735</f>
        <v>-5.5316175614300025E-4</v>
      </c>
      <c r="F736" s="3">
        <f>(Master_Table!F736-Master_Table!F735)/Master_Table!F735</f>
        <v>9.9788364996554937E-3</v>
      </c>
      <c r="G736" s="3">
        <f>(Master_Table!G736-Master_Table!G735)/Master_Table!G735</f>
        <v>4.6119206314685461E-3</v>
      </c>
      <c r="H736" s="3">
        <f>(Master_Table!H736-Master_Table!H735)/Master_Table!H735</f>
        <v>1.0378180912449665E-2</v>
      </c>
    </row>
    <row r="737" spans="1:8" x14ac:dyDescent="0.3">
      <c r="A737" s="1">
        <v>44910</v>
      </c>
      <c r="B737" s="3">
        <f>(Master_Table!B737-Master_Table!B736)/Master_Table!B736</f>
        <v>-1.3150913972444056E-2</v>
      </c>
      <c r="C737" s="3">
        <f>(Master_Table!C737-Master_Table!C736)/Master_Table!C736</f>
        <v>-1.4200884396715014E-2</v>
      </c>
      <c r="D737" s="3">
        <f>(Master_Table!D737-Master_Table!D736)/Master_Table!D736</f>
        <v>-1.8321954985163851E-2</v>
      </c>
      <c r="E737" s="3">
        <f>(Master_Table!E737-Master_Table!E736)/Master_Table!E736</f>
        <v>-1.8992688397564853E-2</v>
      </c>
      <c r="F737" s="3">
        <f>(Master_Table!F737-Master_Table!F736)/Master_Table!F736</f>
        <v>-1.79026107720235E-2</v>
      </c>
      <c r="G737" s="3">
        <f>(Master_Table!G737-Master_Table!G736)/Master_Table!G736</f>
        <v>-2.4628314921524348E-2</v>
      </c>
      <c r="H737" s="3">
        <f>(Master_Table!H737-Master_Table!H736)/Master_Table!H736</f>
        <v>-8.1533524156475554E-3</v>
      </c>
    </row>
    <row r="738" spans="1:8" x14ac:dyDescent="0.3">
      <c r="A738" s="1">
        <v>44911</v>
      </c>
      <c r="B738" s="3">
        <f>(Master_Table!B738-Master_Table!B737)/Master_Table!B737</f>
        <v>-7.9229319735649641E-3</v>
      </c>
      <c r="C738" s="3">
        <f>(Master_Table!C738-Master_Table!C737)/Master_Table!C737</f>
        <v>-4.9470689257428641E-3</v>
      </c>
      <c r="D738" s="3">
        <f>(Master_Table!D738-Master_Table!D737)/Master_Table!D737</f>
        <v>4.8164940346737918E-3</v>
      </c>
      <c r="E738" s="3">
        <f>(Master_Table!E738-Master_Table!E737)/Master_Table!E737</f>
        <v>-1.1046114558897677E-2</v>
      </c>
      <c r="F738" s="3">
        <f>(Master_Table!F738-Master_Table!F737)/Master_Table!F737</f>
        <v>-1.9621403362960293E-2</v>
      </c>
      <c r="G738" s="3">
        <f>(Master_Table!G738-Master_Table!G737)/Master_Table!G737</f>
        <v>-1.1880903732039807E-2</v>
      </c>
      <c r="H738" s="3">
        <f>(Master_Table!H738-Master_Table!H737)/Master_Table!H737</f>
        <v>-1.1690792350355389E-3</v>
      </c>
    </row>
    <row r="739" spans="1:8" x14ac:dyDescent="0.3">
      <c r="A739" s="1">
        <v>44914</v>
      </c>
      <c r="B739" s="3">
        <f>(Master_Table!B739-Master_Table!B738)/Master_Table!B738</f>
        <v>8.2899994526247044E-3</v>
      </c>
      <c r="C739" s="3">
        <f>(Master_Table!C739-Master_Table!C738)/Master_Table!C738</f>
        <v>1.3137557959814685E-2</v>
      </c>
      <c r="D739" s="3">
        <f>(Master_Table!D739-Master_Table!D738)/Master_Table!D738</f>
        <v>3.1059318406926931E-3</v>
      </c>
      <c r="E739" s="3">
        <f>(Master_Table!E739-Master_Table!E738)/Master_Table!E738</f>
        <v>-3.8762948506230369E-2</v>
      </c>
      <c r="F739" s="3">
        <f>(Master_Table!F739-Master_Table!F738)/Master_Table!F738</f>
        <v>-1.1789565585982842E-2</v>
      </c>
      <c r="G739" s="3">
        <f>(Master_Table!G739-Master_Table!G738)/Master_Table!G738</f>
        <v>-9.7577411192664061E-3</v>
      </c>
      <c r="H739" s="3">
        <f>(Master_Table!H739-Master_Table!H738)/Master_Table!H738</f>
        <v>4.1380390855763156E-3</v>
      </c>
    </row>
    <row r="740" spans="1:8" x14ac:dyDescent="0.3">
      <c r="A740" s="1">
        <v>44915</v>
      </c>
      <c r="B740" s="3">
        <f>(Master_Table!B740-Master_Table!B739)/Master_Table!B739</f>
        <v>-1.9082052827157562E-3</v>
      </c>
      <c r="C740" s="3">
        <f>(Master_Table!C740-Master_Table!C739)/Master_Table!C739</f>
        <v>8.6532757013304592E-3</v>
      </c>
      <c r="D740" s="3">
        <f>(Master_Table!D740-Master_Table!D739)/Master_Table!D739</f>
        <v>-6.8996623310132281E-3</v>
      </c>
      <c r="E740" s="3">
        <f>(Master_Table!E740-Master_Table!E739)/Master_Table!E739</f>
        <v>-9.9956269132252511E-4</v>
      </c>
      <c r="F740" s="3">
        <f>(Master_Table!F740-Master_Table!F739)/Master_Table!F739</f>
        <v>1.308578745198467E-2</v>
      </c>
      <c r="G740" s="3">
        <f>(Master_Table!G740-Master_Table!G739)/Master_Table!G739</f>
        <v>-3.3357795716980383E-5</v>
      </c>
      <c r="H740" s="3">
        <f>(Master_Table!H740-Master_Table!H739)/Master_Table!H739</f>
        <v>-9.503967252385186E-3</v>
      </c>
    </row>
    <row r="741" spans="1:8" x14ac:dyDescent="0.3">
      <c r="A741" s="1">
        <v>44916</v>
      </c>
      <c r="B741" s="3">
        <f>(Master_Table!B741-Master_Table!B740)/Master_Table!B740</f>
        <v>-1.0127656334136551E-2</v>
      </c>
      <c r="C741" s="3">
        <f>(Master_Table!C741-Master_Table!C740)/Master_Table!C740</f>
        <v>-1.4225575787111979E-2</v>
      </c>
      <c r="D741" s="3">
        <f>(Master_Table!D741-Master_Table!D740)/Master_Table!D740</f>
        <v>-9.6726281807357536E-3</v>
      </c>
      <c r="E741" s="3">
        <f>(Master_Table!E741-Master_Table!E740)/Master_Table!E740</f>
        <v>-1.4727033956600525E-2</v>
      </c>
      <c r="F741" s="3">
        <f>(Master_Table!F741-Master_Table!F740)/Master_Table!F740</f>
        <v>7.5832259042996888E-3</v>
      </c>
      <c r="G741" s="3">
        <f>(Master_Table!G741-Master_Table!G740)/Master_Table!G740</f>
        <v>1.4944791006438331E-3</v>
      </c>
      <c r="H741" s="3">
        <f>(Master_Table!H741-Master_Table!H740)/Master_Table!H740</f>
        <v>-7.8345796384326708E-3</v>
      </c>
    </row>
    <row r="742" spans="1:8" x14ac:dyDescent="0.3">
      <c r="A742" s="1">
        <v>44917</v>
      </c>
      <c r="B742" s="3">
        <f>(Master_Table!B742-Master_Table!B741)/Master_Table!B741</f>
        <v>-3.9425026512300062E-3</v>
      </c>
      <c r="C742" s="3">
        <f>(Master_Table!C742-Master_Table!C741)/Master_Table!C741</f>
        <v>-2.5912477198724521E-3</v>
      </c>
      <c r="D742" s="3">
        <f>(Master_Table!D742-Master_Table!D741)/Master_Table!D741</f>
        <v>-3.4333593624115096E-3</v>
      </c>
      <c r="E742" s="3">
        <f>(Master_Table!E742-Master_Table!E741)/Master_Table!E741</f>
        <v>-8.0289422741265885E-3</v>
      </c>
      <c r="F742" s="3">
        <f>(Master_Table!F742-Master_Table!F741)/Master_Table!F741</f>
        <v>-2.7062793206392554E-3</v>
      </c>
      <c r="G742" s="3">
        <f>(Master_Table!G742-Master_Table!G741)/Master_Table!G741</f>
        <v>8.2806493947731735E-3</v>
      </c>
      <c r="H742" s="3">
        <f>(Master_Table!H742-Master_Table!H741)/Master_Table!H741</f>
        <v>-1.6936963861272858E-2</v>
      </c>
    </row>
    <row r="743" spans="1:8" x14ac:dyDescent="0.3">
      <c r="A743" s="1">
        <v>44918</v>
      </c>
      <c r="B743" s="3">
        <f>(Master_Table!B743-Master_Table!B742)/Master_Table!B742</f>
        <v>-1.7683224519855319E-2</v>
      </c>
      <c r="C743" s="3">
        <f>(Master_Table!C743-Master_Table!C742)/Master_Table!C742</f>
        <v>-2.9329823781769841E-2</v>
      </c>
      <c r="D743" s="3">
        <f>(Master_Table!D743-Master_Table!D742)/Master_Table!D742</f>
        <v>-8.930126116265702E-3</v>
      </c>
      <c r="E743" s="3">
        <f>(Master_Table!E743-Master_Table!E742)/Master_Table!E742</f>
        <v>-1.7307569262268757E-2</v>
      </c>
      <c r="F743" s="3">
        <f>(Master_Table!F743-Master_Table!F742)/Master_Table!F742</f>
        <v>-9.6187406650421019E-3</v>
      </c>
      <c r="G743" s="3">
        <f>(Master_Table!G743-Master_Table!G742)/Master_Table!G742</f>
        <v>-1.6392251176066353E-2</v>
      </c>
      <c r="H743" s="3">
        <f>(Master_Table!H743-Master_Table!H742)/Master_Table!H742</f>
        <v>-2.2368421052631433E-2</v>
      </c>
    </row>
    <row r="744" spans="1:8" x14ac:dyDescent="0.3">
      <c r="A744" s="1">
        <v>44921</v>
      </c>
      <c r="B744" s="3">
        <f>(Master_Table!B744-Master_Table!B743)/Master_Table!B743</f>
        <v>1.1669699216029792E-2</v>
      </c>
      <c r="C744" s="3">
        <f>(Master_Table!C744-Master_Table!C743)/Master_Table!C743</f>
        <v>8.7337782395098453E-3</v>
      </c>
      <c r="D744" s="3">
        <f>(Master_Table!D744-Master_Table!D743)/Master_Table!D743</f>
        <v>1.9903619296220084E-2</v>
      </c>
      <c r="E744" s="3">
        <f>(Master_Table!E744-Master_Table!E743)/Master_Table!E743</f>
        <v>2.4188560080737071E-2</v>
      </c>
      <c r="F744" s="3">
        <f>(Master_Table!F744-Master_Table!F743)/Master_Table!F743</f>
        <v>7.6039953518793378E-3</v>
      </c>
      <c r="G744" s="3">
        <f>(Master_Table!G744-Master_Table!G743)/Master_Table!G743</f>
        <v>3.5399775644685545E-3</v>
      </c>
      <c r="H744" s="3">
        <f>(Master_Table!H744-Master_Table!H743)/Master_Table!H743</f>
        <v>1.3716468021631505E-2</v>
      </c>
    </row>
    <row r="745" spans="1:8" x14ac:dyDescent="0.3">
      <c r="A745" s="1">
        <v>44922</v>
      </c>
      <c r="B745" s="3">
        <f>(Master_Table!B745-Master_Table!B744)/Master_Table!B744</f>
        <v>6.5335894219133777E-3</v>
      </c>
      <c r="C745" s="3">
        <f>(Master_Table!C745-Master_Table!C744)/Master_Table!C744</f>
        <v>8.1781206905579724E-3</v>
      </c>
      <c r="D745" s="3">
        <f>(Master_Table!D745-Master_Table!D744)/Master_Table!D744</f>
        <v>1.0212870677986062E-3</v>
      </c>
      <c r="E745" s="3">
        <f>(Master_Table!E745-Master_Table!E744)/Master_Table!E744</f>
        <v>-4.3547361729180051E-3</v>
      </c>
      <c r="F745" s="3">
        <f>(Master_Table!F745-Master_Table!F744)/Master_Table!F744</f>
        <v>2.0292348461216263E-3</v>
      </c>
      <c r="G745" s="3">
        <f>(Master_Table!G745-Master_Table!G744)/Master_Table!G744</f>
        <v>8.2865901819300664E-3</v>
      </c>
      <c r="H745" s="3">
        <f>(Master_Table!H745-Master_Table!H744)/Master_Table!H744</f>
        <v>1.5807586491175942E-2</v>
      </c>
    </row>
    <row r="746" spans="1:8" x14ac:dyDescent="0.3">
      <c r="A746" s="1">
        <v>44923</v>
      </c>
      <c r="B746" s="3">
        <f>(Master_Table!B746-Master_Table!B745)/Master_Table!B745</f>
        <v>-5.4047197542503008E-4</v>
      </c>
      <c r="C746" s="3">
        <f>(Master_Table!C746-Master_Table!C745)/Master_Table!C745</f>
        <v>-9.5229025806979389E-5</v>
      </c>
      <c r="D746" s="3">
        <f>(Master_Table!D746-Master_Table!D745)/Master_Table!D745</f>
        <v>-7.989871301611216E-4</v>
      </c>
      <c r="E746" s="3">
        <f>(Master_Table!E746-Master_Table!E745)/Master_Table!E745</f>
        <v>3.767199821217657E-3</v>
      </c>
      <c r="F746" s="3">
        <f>(Master_Table!F746-Master_Table!F745)/Master_Table!F745</f>
        <v>-7.3583748683201376E-4</v>
      </c>
      <c r="G746" s="3">
        <f>(Master_Table!G746-Master_Table!G745)/Master_Table!G745</f>
        <v>-3.1001885339492856E-3</v>
      </c>
      <c r="H746" s="3">
        <f>(Master_Table!H746-Master_Table!H745)/Master_Table!H745</f>
        <v>-1.4108298888323785E-3</v>
      </c>
    </row>
    <row r="747" spans="1:8" x14ac:dyDescent="0.3">
      <c r="A747" s="1">
        <v>44924</v>
      </c>
      <c r="B747" s="3">
        <f>(Master_Table!B747-Master_Table!B746)/Master_Table!B746</f>
        <v>3.7798317009242652E-3</v>
      </c>
      <c r="C747" s="3">
        <f>(Master_Table!C747-Master_Table!C746)/Master_Table!C746</f>
        <v>-4.5021645021643447E-4</v>
      </c>
      <c r="D747" s="3">
        <f>(Master_Table!D747-Master_Table!D746)/Master_Table!D746</f>
        <v>7.0490109241216643E-3</v>
      </c>
      <c r="E747" s="3">
        <f>(Master_Table!E747-Master_Table!E746)/Master_Table!E746</f>
        <v>2.830698769123076E-3</v>
      </c>
      <c r="F747" s="3">
        <f>(Master_Table!F747-Master_Table!F746)/Master_Table!F746</f>
        <v>3.5780483429890993E-3</v>
      </c>
      <c r="G747" s="3">
        <f>(Master_Table!G747-Master_Table!G746)/Master_Table!G746</f>
        <v>4.9011447102930029E-3</v>
      </c>
      <c r="H747" s="3">
        <f>(Master_Table!H747-Master_Table!H746)/Master_Table!H746</f>
        <v>-4.8102139080388392E-3</v>
      </c>
    </row>
    <row r="748" spans="1:8" x14ac:dyDescent="0.3">
      <c r="A748" s="1">
        <v>44925</v>
      </c>
      <c r="B748" s="3">
        <f>(Master_Table!B748-Master_Table!B747)/Master_Table!B747</f>
        <v>-4.7111208839536439E-3</v>
      </c>
      <c r="C748" s="3">
        <f>(Master_Table!C748-Master_Table!C747)/Master_Table!C747</f>
        <v>1.5331577853232466E-3</v>
      </c>
      <c r="D748" s="3">
        <f>(Master_Table!D748-Master_Table!D747)/Master_Table!D747</f>
        <v>-8.0135840021500586E-3</v>
      </c>
      <c r="E748" s="3">
        <f>(Master_Table!E748-Master_Table!E747)/Master_Table!E747</f>
        <v>-1.1322549952426238E-2</v>
      </c>
      <c r="F748" s="3">
        <f>(Master_Table!F748-Master_Table!F747)/Master_Table!F747</f>
        <v>-3.6875838799903934E-3</v>
      </c>
      <c r="G748" s="3">
        <f>(Master_Table!G748-Master_Table!G747)/Master_Table!G747</f>
        <v>-6.1628176667439484E-3</v>
      </c>
      <c r="H748" s="3">
        <f>(Master_Table!H748-Master_Table!H747)/Master_Table!H747</f>
        <v>-1.1888991762220146E-2</v>
      </c>
    </row>
    <row r="749" spans="1:8" x14ac:dyDescent="0.3">
      <c r="A749" s="1">
        <v>44928</v>
      </c>
      <c r="B749" s="3">
        <f>(Master_Table!B749-Master_Table!B748)/Master_Table!B748</f>
        <v>5.0896698756718456E-3</v>
      </c>
      <c r="C749" s="3">
        <f>(Master_Table!C749-Master_Table!C748)/Master_Table!C748</f>
        <v>1.1269189189189165E-2</v>
      </c>
      <c r="D749" s="3">
        <f>(Master_Table!D749-Master_Table!D748)/Master_Table!D748</f>
        <v>3.4480635428863545E-4</v>
      </c>
      <c r="E749" s="3">
        <f>(Master_Table!E749-Master_Table!E748)/Master_Table!E748</f>
        <v>3.9136432168863132E-3</v>
      </c>
      <c r="F749" s="3">
        <f>(Master_Table!F749-Master_Table!F748)/Master_Table!F748</f>
        <v>1.4572029257360461E-3</v>
      </c>
      <c r="G749" s="3">
        <f>(Master_Table!G749-Master_Table!G748)/Master_Table!G748</f>
        <v>1.0475079179863334E-2</v>
      </c>
      <c r="H749" s="3">
        <f>(Master_Table!H749-Master_Table!H748)/Master_Table!H748</f>
        <v>1.7490666038795992E-3</v>
      </c>
    </row>
    <row r="750" spans="1:8" x14ac:dyDescent="0.3">
      <c r="A750" s="1">
        <v>44929</v>
      </c>
      <c r="B750" s="3">
        <f>(Master_Table!B750-Master_Table!B749)/Master_Table!B749</f>
        <v>1.9288416783669439E-3</v>
      </c>
      <c r="C750" s="3">
        <f>(Master_Table!C750-Master_Table!C749)/Master_Table!C749</f>
        <v>-7.3207443897098604E-3</v>
      </c>
      <c r="D750" s="3">
        <f>(Master_Table!D750-Master_Table!D749)/Master_Table!D749</f>
        <v>6.5367523050976145E-3</v>
      </c>
      <c r="E750" s="3">
        <f>(Master_Table!E750-Master_Table!E749)/Master_Table!E749</f>
        <v>-5.2404537466048456E-3</v>
      </c>
      <c r="F750" s="3">
        <f>(Master_Table!F750-Master_Table!F749)/Master_Table!F749</f>
        <v>1.5301937491161098E-2</v>
      </c>
      <c r="G750" s="3">
        <f>(Master_Table!G750-Master_Table!G749)/Master_Table!G749</f>
        <v>-9.5020653794890958E-4</v>
      </c>
      <c r="H750" s="3">
        <f>(Master_Table!H750-Master_Table!H749)/Master_Table!H749</f>
        <v>-2.398369109005876E-4</v>
      </c>
    </row>
    <row r="751" spans="1:8" x14ac:dyDescent="0.3">
      <c r="A751" s="1">
        <v>44930</v>
      </c>
      <c r="B751" s="3">
        <f>(Master_Table!B751-Master_Table!B750)/Master_Table!B750</f>
        <v>-1.0398984234240332E-2</v>
      </c>
      <c r="C751" s="3">
        <f>(Master_Table!C751-Master_Table!C750)/Master_Table!C750</f>
        <v>-1.505961816803365E-2</v>
      </c>
      <c r="D751" s="3">
        <f>(Master_Table!D751-Master_Table!D750)/Master_Table!D750</f>
        <v>-1.7868499584169088E-2</v>
      </c>
      <c r="E751" s="3">
        <f>(Master_Table!E751-Master_Table!E750)/Master_Table!E750</f>
        <v>-1.2399216215348089E-2</v>
      </c>
      <c r="F751" s="3">
        <f>(Master_Table!F751-Master_Table!F750)/Master_Table!F750</f>
        <v>9.9670653492814256E-4</v>
      </c>
      <c r="G751" s="3">
        <f>(Master_Table!G751-Master_Table!G750)/Master_Table!G750</f>
        <v>-1.8229613875642269E-2</v>
      </c>
      <c r="H751" s="3">
        <f>(Master_Table!H751-Master_Table!H750)/Master_Table!H750</f>
        <v>-8.8089240734077617E-3</v>
      </c>
    </row>
    <row r="752" spans="1:8" x14ac:dyDescent="0.3">
      <c r="A752" s="1">
        <v>44931</v>
      </c>
      <c r="B752" s="3">
        <f>(Master_Table!B752-Master_Table!B751)/Master_Table!B751</f>
        <v>-2.8155041165662639E-3</v>
      </c>
      <c r="C752" s="3">
        <f>(Master_Table!C752-Master_Table!C751)/Master_Table!C751</f>
        <v>-1.7844022252545078E-3</v>
      </c>
      <c r="D752" s="3">
        <f>(Master_Table!D752-Master_Table!D751)/Master_Table!D751</f>
        <v>-6.438115637024718E-3</v>
      </c>
      <c r="E752" s="3">
        <f>(Master_Table!E752-Master_Table!E751)/Master_Table!E751</f>
        <v>1.9743047650024374E-2</v>
      </c>
      <c r="F752" s="3">
        <f>(Master_Table!F752-Master_Table!F751)/Master_Table!F751</f>
        <v>-1.0730210955329712E-3</v>
      </c>
      <c r="G752" s="3">
        <f>(Master_Table!G752-Master_Table!G751)/Master_Table!G751</f>
        <v>-1.3112041011288874E-2</v>
      </c>
      <c r="H752" s="3">
        <f>(Master_Table!H752-Master_Table!H751)/Master_Table!H751</f>
        <v>8.1127262342139319E-3</v>
      </c>
    </row>
    <row r="753" spans="1:8" x14ac:dyDescent="0.3">
      <c r="A753" s="1">
        <v>44932</v>
      </c>
      <c r="B753" s="3">
        <f>(Master_Table!B753-Master_Table!B752)/Master_Table!B752</f>
        <v>-7.3754387330030443E-3</v>
      </c>
      <c r="C753" s="3">
        <f>(Master_Table!C753-Master_Table!C752)/Master_Table!C752</f>
        <v>9.086926042761909E-3</v>
      </c>
      <c r="D753" s="3">
        <f>(Master_Table!D753-Master_Table!D752)/Master_Table!D752</f>
        <v>-3.3088511768981856E-3</v>
      </c>
      <c r="E753" s="3">
        <f>(Master_Table!E753-Master_Table!E752)/Master_Table!E752</f>
        <v>4.7843837713702477E-3</v>
      </c>
      <c r="F753" s="3">
        <f>(Master_Table!F753-Master_Table!F752)/Master_Table!F752</f>
        <v>-3.0064481378409384E-2</v>
      </c>
      <c r="G753" s="3">
        <f>(Master_Table!G753-Master_Table!G752)/Master_Table!G752</f>
        <v>-1.8099023129938004E-2</v>
      </c>
      <c r="H753" s="3">
        <f>(Master_Table!H753-Master_Table!H752)/Master_Table!H752</f>
        <v>-3.8412599332589818E-4</v>
      </c>
    </row>
    <row r="754" spans="1:8" x14ac:dyDescent="0.3">
      <c r="A754" s="1">
        <v>44935</v>
      </c>
      <c r="B754" s="3">
        <f>(Master_Table!B754-Master_Table!B753)/Master_Table!B753</f>
        <v>1.3536251116355766E-2</v>
      </c>
      <c r="C754" s="3">
        <f>(Master_Table!C754-Master_Table!C753)/Master_Table!C753</f>
        <v>2.3611243780230516E-2</v>
      </c>
      <c r="D754" s="3">
        <f>(Master_Table!D754-Master_Table!D753)/Master_Table!D753</f>
        <v>1.9491461482356511E-3</v>
      </c>
      <c r="E754" s="3">
        <f>(Master_Table!E754-Master_Table!E753)/Master_Table!E753</f>
        <v>8.9518125833280213E-3</v>
      </c>
      <c r="F754" s="3">
        <f>(Master_Table!F754-Master_Table!F753)/Master_Table!F753</f>
        <v>3.3753873748512006E-2</v>
      </c>
      <c r="G754" s="3">
        <f>(Master_Table!G754-Master_Table!G753)/Master_Table!G753</f>
        <v>2.4819839209097597E-2</v>
      </c>
      <c r="H754" s="3">
        <f>(Master_Table!H754-Master_Table!H753)/Master_Table!H753</f>
        <v>1.6850397483007866E-2</v>
      </c>
    </row>
    <row r="755" spans="1:8" x14ac:dyDescent="0.3">
      <c r="A755" s="1">
        <v>44936</v>
      </c>
      <c r="B755" s="3">
        <f>(Master_Table!B755-Master_Table!B754)/Master_Table!B754</f>
        <v>-1.0333569045146138E-2</v>
      </c>
      <c r="C755" s="3">
        <f>(Master_Table!C755-Master_Table!C754)/Master_Table!C754</f>
        <v>-1.478672503308567E-2</v>
      </c>
      <c r="D755" s="3">
        <f>(Master_Table!D755-Master_Table!D754)/Master_Table!D754</f>
        <v>-1.828633106166138E-2</v>
      </c>
      <c r="E755" s="3">
        <f>(Master_Table!E755-Master_Table!E754)/Master_Table!E754</f>
        <v>-1.3749056128869707E-2</v>
      </c>
      <c r="F755" s="3">
        <f>(Master_Table!F755-Master_Table!F754)/Master_Table!F754</f>
        <v>-1.0104877077396632E-2</v>
      </c>
      <c r="G755" s="3">
        <f>(Master_Table!G755-Master_Table!G754)/Master_Table!G754</f>
        <v>-9.9042767235948855E-3</v>
      </c>
      <c r="H755" s="3">
        <f>(Master_Table!H755-Master_Table!H754)/Master_Table!H754</f>
        <v>-7.0951802846574916E-3</v>
      </c>
    </row>
    <row r="756" spans="1:8" x14ac:dyDescent="0.3">
      <c r="A756" s="1">
        <v>44937</v>
      </c>
      <c r="B756" s="3">
        <f>(Master_Table!B756-Master_Table!B755)/Master_Table!B755</f>
        <v>-1.0299121085845951E-3</v>
      </c>
      <c r="C756" s="3">
        <f>(Master_Table!C756-Master_Table!C755)/Master_Table!C755</f>
        <v>-1.260623595360481E-2</v>
      </c>
      <c r="D756" s="3">
        <f>(Master_Table!D756-Master_Table!D755)/Master_Table!D755</f>
        <v>1.4420864229097382E-2</v>
      </c>
      <c r="E756" s="3">
        <f>(Master_Table!E756-Master_Table!E755)/Master_Table!E755</f>
        <v>-4.8170478833701709E-3</v>
      </c>
      <c r="F756" s="3">
        <f>(Master_Table!F756-Master_Table!F755)/Master_Table!F755</f>
        <v>1.2868415307363554E-2</v>
      </c>
      <c r="G756" s="3">
        <f>(Master_Table!G756-Master_Table!G755)/Master_Table!G755</f>
        <v>1.0263357760124802E-3</v>
      </c>
      <c r="H756" s="3">
        <f>(Master_Table!H756-Master_Table!H755)/Master_Table!H755</f>
        <v>8.8776398608885771E-3</v>
      </c>
    </row>
    <row r="757" spans="1:8" x14ac:dyDescent="0.3">
      <c r="A757" s="1">
        <v>44938</v>
      </c>
      <c r="B757" s="3">
        <f>(Master_Table!B757-Master_Table!B756)/Master_Table!B756</f>
        <v>-2.0954754494096348E-3</v>
      </c>
      <c r="C757" s="3">
        <f>(Master_Table!C757-Master_Table!C756)/Master_Table!C756</f>
        <v>-2.1592583871839807E-2</v>
      </c>
      <c r="D757" s="3">
        <f>(Master_Table!D757-Master_Table!D756)/Master_Table!D756</f>
        <v>5.3435499319453659E-3</v>
      </c>
      <c r="E757" s="3">
        <f>(Master_Table!E757-Master_Table!E756)/Master_Table!E756</f>
        <v>-5.8661366841902297E-3</v>
      </c>
      <c r="F757" s="3">
        <f>(Master_Table!F757-Master_Table!F756)/Master_Table!F756</f>
        <v>1.699737649188924E-3</v>
      </c>
      <c r="G757" s="3">
        <f>(Master_Table!G757-Master_Table!G756)/Master_Table!G756</f>
        <v>6.3499224202158318E-3</v>
      </c>
      <c r="H757" s="3">
        <f>(Master_Table!H757-Master_Table!H756)/Master_Table!H756</f>
        <v>1.618432779865777E-2</v>
      </c>
    </row>
    <row r="758" spans="1:8" x14ac:dyDescent="0.3">
      <c r="A758" s="1">
        <v>44939</v>
      </c>
      <c r="B758" s="3">
        <f>(Master_Table!B758-Master_Table!B757)/Master_Table!B757</f>
        <v>5.5100738036307027E-3</v>
      </c>
      <c r="C758" s="3">
        <f>(Master_Table!C758-Master_Table!C757)/Master_Table!C757</f>
        <v>-1.6132913818154187E-3</v>
      </c>
      <c r="D758" s="3">
        <f>(Master_Table!D758-Master_Table!D757)/Master_Table!D757</f>
        <v>7.7721506292935426E-4</v>
      </c>
      <c r="E758" s="3">
        <f>(Master_Table!E758-Master_Table!E757)/Master_Table!E757</f>
        <v>-3.3211878889497074E-3</v>
      </c>
      <c r="F758" s="3">
        <f>(Master_Table!F758-Master_Table!F757)/Master_Table!F757</f>
        <v>1.2056266676503577E-2</v>
      </c>
      <c r="G758" s="3">
        <f>(Master_Table!G758-Master_Table!G757)/Master_Table!G757</f>
        <v>1.5567479453915692E-2</v>
      </c>
      <c r="H758" s="3">
        <f>(Master_Table!H758-Master_Table!H757)/Master_Table!H757</f>
        <v>-2.9421455387512547E-3</v>
      </c>
    </row>
    <row r="759" spans="1:8" x14ac:dyDescent="0.3">
      <c r="A759" s="1">
        <v>44942</v>
      </c>
      <c r="B759" s="3">
        <f>(Master_Table!B759-Master_Table!B758)/Master_Table!B758</f>
        <v>-3.4388469977612692E-3</v>
      </c>
      <c r="C759" s="3">
        <f>(Master_Table!C759-Master_Table!C758)/Master_Table!C758</f>
        <v>-9.5257650965966563E-3</v>
      </c>
      <c r="D759" s="3">
        <f>(Master_Table!D759-Master_Table!D758)/Master_Table!D758</f>
        <v>-9.5949094370820463E-3</v>
      </c>
      <c r="E759" s="3">
        <f>(Master_Table!E759-Master_Table!E758)/Master_Table!E758</f>
        <v>4.3998705920412703E-3</v>
      </c>
      <c r="F759" s="3">
        <f>(Master_Table!F759-Master_Table!F758)/Master_Table!F758</f>
        <v>8.0095981532666803E-3</v>
      </c>
      <c r="G759" s="3">
        <f>(Master_Table!G759-Master_Table!G758)/Master_Table!G758</f>
        <v>1.4532978424579672E-2</v>
      </c>
      <c r="H759" s="3">
        <f>(Master_Table!H759-Master_Table!H758)/Master_Table!H758</f>
        <v>-7.521351609224969E-3</v>
      </c>
    </row>
    <row r="760" spans="1:8" x14ac:dyDescent="0.3">
      <c r="A760" s="1">
        <v>44943</v>
      </c>
      <c r="B760" s="3">
        <f>(Master_Table!B760-Master_Table!B759)/Master_Table!B759</f>
        <v>8.8545028318203697E-3</v>
      </c>
      <c r="C760" s="3">
        <f>(Master_Table!C760-Master_Table!C759)/Master_Table!C759</f>
        <v>1.41962233539141E-2</v>
      </c>
      <c r="D760" s="3">
        <f>(Master_Table!D760-Master_Table!D759)/Master_Table!D759</f>
        <v>1.4885920979410249E-2</v>
      </c>
      <c r="E760" s="3">
        <f>(Master_Table!E760-Master_Table!E759)/Master_Table!E759</f>
        <v>6.2165818462926207E-3</v>
      </c>
      <c r="F760" s="3">
        <f>(Master_Table!F760-Master_Table!F759)/Master_Table!F759</f>
        <v>1.3303522194132014E-2</v>
      </c>
      <c r="G760" s="3">
        <f>(Master_Table!G760-Master_Table!G759)/Master_Table!G759</f>
        <v>9.1763077227330139E-3</v>
      </c>
      <c r="H760" s="3">
        <f>(Master_Table!H760-Master_Table!H759)/Master_Table!H759</f>
        <v>3.5514141409404482E-2</v>
      </c>
    </row>
    <row r="761" spans="1:8" x14ac:dyDescent="0.3">
      <c r="A761" s="1">
        <v>44944</v>
      </c>
      <c r="B761" s="3">
        <f>(Master_Table!B761-Master_Table!B760)/Master_Table!B760</f>
        <v>6.2066215041017029E-3</v>
      </c>
      <c r="C761" s="3">
        <f>(Master_Table!C761-Master_Table!C760)/Master_Table!C760</f>
        <v>-1.6530394596517306E-3</v>
      </c>
      <c r="D761" s="3">
        <f>(Master_Table!D761-Master_Table!D760)/Master_Table!D760</f>
        <v>1.765842108542583E-2</v>
      </c>
      <c r="E761" s="3">
        <f>(Master_Table!E761-Master_Table!E760)/Master_Table!E760</f>
        <v>7.2025352924229335E-3</v>
      </c>
      <c r="F761" s="3">
        <f>(Master_Table!F761-Master_Table!F760)/Master_Table!F760</f>
        <v>3.4316436800066502E-3</v>
      </c>
      <c r="G761" s="3">
        <f>(Master_Table!G761-Master_Table!G760)/Master_Table!G760</f>
        <v>3.8344209501787341E-3</v>
      </c>
      <c r="H761" s="3">
        <f>(Master_Table!H761-Master_Table!H760)/Master_Table!H760</f>
        <v>2.4129123417205679E-2</v>
      </c>
    </row>
    <row r="762" spans="1:8" x14ac:dyDescent="0.3">
      <c r="A762" s="1">
        <v>44945</v>
      </c>
      <c r="B762" s="3">
        <f>(Master_Table!B762-Master_Table!B761)/Master_Table!B761</f>
        <v>-3.1653670311884994E-3</v>
      </c>
      <c r="C762" s="3">
        <f>(Master_Table!C762-Master_Table!C761)/Master_Table!C761</f>
        <v>-1.0682429184394914E-3</v>
      </c>
      <c r="D762" s="3">
        <f>(Master_Table!D762-Master_Table!D761)/Master_Table!D761</f>
        <v>4.1512576228845566E-3</v>
      </c>
      <c r="E762" s="3">
        <f>(Master_Table!E762-Master_Table!E761)/Master_Table!E761</f>
        <v>-7.4688532926518118E-3</v>
      </c>
      <c r="F762" s="3">
        <f>(Master_Table!F762-Master_Table!F761)/Master_Table!F761</f>
        <v>-4.9846489408362366E-3</v>
      </c>
      <c r="G762" s="3">
        <f>(Master_Table!G762-Master_Table!G761)/Master_Table!G761</f>
        <v>-4.2037039447141589E-3</v>
      </c>
      <c r="H762" s="3">
        <f>(Master_Table!H762-Master_Table!H761)/Master_Table!H761</f>
        <v>2.9141239939858895E-3</v>
      </c>
    </row>
    <row r="763" spans="1:8" x14ac:dyDescent="0.3">
      <c r="A763" s="1">
        <v>44946</v>
      </c>
      <c r="B763" s="3">
        <f>(Master_Table!B763-Master_Table!B762)/Master_Table!B762</f>
        <v>-4.4290183539181681E-3</v>
      </c>
      <c r="C763" s="3">
        <f>(Master_Table!C763-Master_Table!C762)/Master_Table!C762</f>
        <v>-1.1896911258844827E-2</v>
      </c>
      <c r="D763" s="3">
        <f>(Master_Table!D763-Master_Table!D762)/Master_Table!D762</f>
        <v>1.0243777514908327E-2</v>
      </c>
      <c r="E763" s="3">
        <f>(Master_Table!E763-Master_Table!E762)/Master_Table!E762</f>
        <v>7.3969707643536525E-3</v>
      </c>
      <c r="F763" s="3">
        <f>(Master_Table!F763-Master_Table!F762)/Master_Table!F762</f>
        <v>-2.9634792139482534E-3</v>
      </c>
      <c r="G763" s="3">
        <f>(Master_Table!G763-Master_Table!G762)/Master_Table!G762</f>
        <v>-8.6781504038476436E-3</v>
      </c>
      <c r="H763" s="3">
        <f>(Master_Table!H763-Master_Table!H762)/Master_Table!H762</f>
        <v>-1.0185230093607075E-2</v>
      </c>
    </row>
    <row r="764" spans="1:8" x14ac:dyDescent="0.3">
      <c r="A764" s="1">
        <v>44949</v>
      </c>
      <c r="B764" s="3">
        <f>(Master_Table!B764-Master_Table!B763)/Master_Table!B763</f>
        <v>5.0422545367808788E-3</v>
      </c>
      <c r="C764" s="3">
        <f>(Master_Table!C764-Master_Table!C763)/Master_Table!C763</f>
        <v>-5.0595694405612427E-3</v>
      </c>
      <c r="D764" s="3">
        <f>(Master_Table!D764-Master_Table!D763)/Master_Table!D763</f>
        <v>7.3152183097742176E-3</v>
      </c>
      <c r="E764" s="3">
        <f>(Master_Table!E764-Master_Table!E763)/Master_Table!E763</f>
        <v>9.4087730451366154E-3</v>
      </c>
      <c r="F764" s="3">
        <f>(Master_Table!F764-Master_Table!F763)/Master_Table!F763</f>
        <v>1.5402125110900661E-2</v>
      </c>
      <c r="G764" s="3">
        <f>(Master_Table!G764-Master_Table!G763)/Master_Table!G763</f>
        <v>1.4713249835201012E-2</v>
      </c>
      <c r="H764" s="3">
        <f>(Master_Table!H764-Master_Table!H763)/Master_Table!H763</f>
        <v>-7.3099350079513271E-3</v>
      </c>
    </row>
    <row r="765" spans="1:8" x14ac:dyDescent="0.3">
      <c r="A765" s="1">
        <v>44950</v>
      </c>
      <c r="B765" s="3">
        <f>(Master_Table!B765-Master_Table!B764)/Master_Table!B764</f>
        <v>-1.3798013637956681E-5</v>
      </c>
      <c r="C765" s="3">
        <f>(Master_Table!C765-Master_Table!C764)/Master_Table!C764</f>
        <v>-5.9011222103373794E-3</v>
      </c>
      <c r="D765" s="3">
        <f>(Master_Table!D765-Master_Table!D764)/Master_Table!D764</f>
        <v>1.3397725502414646E-2</v>
      </c>
      <c r="E765" s="3">
        <f>(Master_Table!E765-Master_Table!E764)/Master_Table!E764</f>
        <v>3.5583826678422833E-3</v>
      </c>
      <c r="F765" s="3">
        <f>(Master_Table!F765-Master_Table!F764)/Master_Table!F764</f>
        <v>6.2662724504654772E-3</v>
      </c>
      <c r="G765" s="3">
        <f>(Master_Table!G765-Master_Table!G764)/Master_Table!G764</f>
        <v>2.5205935088221483E-3</v>
      </c>
      <c r="H765" s="3">
        <f>(Master_Table!H765-Master_Table!H764)/Master_Table!H764</f>
        <v>-1.1644708500861491E-2</v>
      </c>
    </row>
    <row r="766" spans="1:8" x14ac:dyDescent="0.3">
      <c r="A766" s="1">
        <v>44951</v>
      </c>
      <c r="B766" s="3">
        <f>(Master_Table!B766-Master_Table!B765)/Master_Table!B765</f>
        <v>-1.2492893924926652E-2</v>
      </c>
      <c r="C766" s="3">
        <f>(Master_Table!C766-Master_Table!C765)/Master_Table!C765</f>
        <v>-1.3823666189464543E-2</v>
      </c>
      <c r="D766" s="3">
        <f>(Master_Table!D766-Master_Table!D765)/Master_Table!D765</f>
        <v>-2.7635546620942475E-2</v>
      </c>
      <c r="E766" s="3">
        <f>(Master_Table!E766-Master_Table!E765)/Master_Table!E765</f>
        <v>8.7859675546778863E-4</v>
      </c>
      <c r="F766" s="3">
        <f>(Master_Table!F766-Master_Table!F765)/Master_Table!F765</f>
        <v>-1.9061819351254899E-3</v>
      </c>
      <c r="G766" s="3">
        <f>(Master_Table!G766-Master_Table!G765)/Master_Table!G765</f>
        <v>-5.7348367029549869E-3</v>
      </c>
      <c r="H766" s="3">
        <f>(Master_Table!H766-Master_Table!H765)/Master_Table!H765</f>
        <v>-1.4855643282951992E-2</v>
      </c>
    </row>
    <row r="767" spans="1:8" x14ac:dyDescent="0.3">
      <c r="A767" s="1">
        <v>44953</v>
      </c>
      <c r="B767" s="3">
        <f>(Master_Table!B767-Master_Table!B766)/Master_Table!B766</f>
        <v>-1.6074268036742903E-2</v>
      </c>
      <c r="C767" s="3">
        <f>(Master_Table!C767-Master_Table!C766)/Master_Table!C766</f>
        <v>-1.8973472274874927E-2</v>
      </c>
      <c r="D767" s="3">
        <f>(Master_Table!D767-Master_Table!D766)/Master_Table!D766</f>
        <v>-1.9932383129834103E-2</v>
      </c>
      <c r="E767" s="3">
        <f>(Master_Table!E767-Master_Table!E766)/Master_Table!E766</f>
        <v>1.9907828322412658E-2</v>
      </c>
      <c r="F767" s="3">
        <f>(Master_Table!F767-Master_Table!F766)/Master_Table!F766</f>
        <v>-5.4511955429665145E-3</v>
      </c>
      <c r="G767" s="3">
        <f>(Master_Table!G767-Master_Table!G766)/Master_Table!G766</f>
        <v>-1.5452797601590126E-2</v>
      </c>
      <c r="H767" s="3">
        <f>(Master_Table!H767-Master_Table!H766)/Master_Table!H766</f>
        <v>-6.8300911139685802E-3</v>
      </c>
    </row>
    <row r="768" spans="1:8" x14ac:dyDescent="0.3">
      <c r="A768" s="1">
        <v>44956</v>
      </c>
      <c r="B768" s="3">
        <f>(Master_Table!B768-Master_Table!B767)/Master_Table!B767</f>
        <v>2.5334647402489832E-3</v>
      </c>
      <c r="C768" s="3">
        <f>(Master_Table!C768-Master_Table!C767)/Master_Table!C767</f>
        <v>9.585387232678981E-3</v>
      </c>
      <c r="D768" s="3">
        <f>(Master_Table!D768-Master_Table!D767)/Master_Table!D767</f>
        <v>-1.0175085929840751E-3</v>
      </c>
      <c r="E768" s="3">
        <f>(Master_Table!E768-Master_Table!E767)/Master_Table!E767</f>
        <v>-3.4735030124185278E-3</v>
      </c>
      <c r="F768" s="3">
        <f>(Master_Table!F768-Master_Table!F767)/Master_Table!F767</f>
        <v>6.623823380417687E-3</v>
      </c>
      <c r="G768" s="3">
        <f>(Master_Table!G768-Master_Table!G767)/Master_Table!G767</f>
        <v>1.2934915002912648E-2</v>
      </c>
      <c r="H768" s="3">
        <f>(Master_Table!H768-Master_Table!H767)/Master_Table!H767</f>
        <v>-2.1735599701158563E-2</v>
      </c>
    </row>
    <row r="769" spans="1:8" x14ac:dyDescent="0.3">
      <c r="A769" s="1">
        <v>44957</v>
      </c>
      <c r="B769" s="3">
        <f>(Master_Table!B769-Master_Table!B768)/Master_Table!B768</f>
        <v>7.4791984792300546E-4</v>
      </c>
      <c r="C769" s="3">
        <f>(Master_Table!C769-Master_Table!C768)/Master_Table!C768</f>
        <v>-2.5019604914299112E-3</v>
      </c>
      <c r="D769" s="3">
        <f>(Master_Table!D769-Master_Table!D768)/Master_Table!D768</f>
        <v>-6.5956997528165981E-3</v>
      </c>
      <c r="E769" s="3">
        <f>(Master_Table!E769-Master_Table!E768)/Master_Table!E768</f>
        <v>2.1900737221999516E-2</v>
      </c>
      <c r="F769" s="3">
        <f>(Master_Table!F769-Master_Table!F768)/Master_Table!F768</f>
        <v>-2.1826842334711383E-2</v>
      </c>
      <c r="G769" s="3">
        <f>(Master_Table!G769-Master_Table!G768)/Master_Table!G768</f>
        <v>-3.2806597916584857E-3</v>
      </c>
      <c r="H769" s="3">
        <f>(Master_Table!H769-Master_Table!H768)/Master_Table!H768</f>
        <v>5.4407893176480794E-3</v>
      </c>
    </row>
    <row r="770" spans="1:8" x14ac:dyDescent="0.3">
      <c r="A770" s="1">
        <v>44958</v>
      </c>
      <c r="B770" s="3">
        <f>(Master_Table!B770-Master_Table!B769)/Master_Table!B769</f>
        <v>-2.595946699580865E-3</v>
      </c>
      <c r="C770" s="3">
        <f>(Master_Table!C770-Master_Table!C769)/Master_Table!C769</f>
        <v>-5.9243036837375775E-3</v>
      </c>
      <c r="D770" s="3">
        <f>(Master_Table!D770-Master_Table!D769)/Master_Table!D769</f>
        <v>1.5004501350405122E-2</v>
      </c>
      <c r="E770" s="3">
        <f>(Master_Table!E770-Master_Table!E769)/Master_Table!E769</f>
        <v>2.5687464155271789E-2</v>
      </c>
      <c r="F770" s="3">
        <f>(Master_Table!F770-Master_Table!F769)/Master_Table!F769</f>
        <v>1.4782200340391441E-2</v>
      </c>
      <c r="G770" s="3">
        <f>(Master_Table!G770-Master_Table!G769)/Master_Table!G769</f>
        <v>1.1310288756589472E-2</v>
      </c>
      <c r="H770" s="3">
        <f>(Master_Table!H770-Master_Table!H769)/Master_Table!H769</f>
        <v>9.9546145063737421E-3</v>
      </c>
    </row>
    <row r="771" spans="1:8" x14ac:dyDescent="0.3">
      <c r="A771" s="1">
        <v>44959</v>
      </c>
      <c r="B771" s="3">
        <f>(Master_Table!B771-Master_Table!B770)/Master_Table!B770</f>
        <v>-3.349170938277514E-4</v>
      </c>
      <c r="C771" s="3">
        <f>(Master_Table!C771-Master_Table!C770)/Master_Table!C770</f>
        <v>-5.5359412512358038E-3</v>
      </c>
      <c r="D771" s="3">
        <f>(Master_Table!D771-Master_Table!D770)/Master_Table!D770</f>
        <v>-1.486892677638703E-2</v>
      </c>
      <c r="E771" s="3">
        <f>(Master_Table!E771-Master_Table!E770)/Master_Table!E770</f>
        <v>4.7586815773984742E-2</v>
      </c>
      <c r="F771" s="3">
        <f>(Master_Table!F771-Master_Table!F770)/Master_Table!F770</f>
        <v>1.5271338165376108E-2</v>
      </c>
      <c r="G771" s="3">
        <f>(Master_Table!G771-Master_Table!G770)/Master_Table!G770</f>
        <v>2.1051471398655368E-2</v>
      </c>
      <c r="H771" s="3">
        <f>(Master_Table!H771-Master_Table!H770)/Master_Table!H770</f>
        <v>-3.03636159796534E-4</v>
      </c>
    </row>
    <row r="772" spans="1:8" x14ac:dyDescent="0.3">
      <c r="A772" s="1">
        <v>44960</v>
      </c>
      <c r="B772" s="3">
        <f>(Master_Table!B772-Master_Table!B771)/Master_Table!B771</f>
        <v>1.3835574433289295E-2</v>
      </c>
      <c r="C772" s="3">
        <f>(Master_Table!C772-Master_Table!C771)/Master_Table!C771</f>
        <v>8.804567014116312E-4</v>
      </c>
      <c r="D772" s="3">
        <f>(Master_Table!D772-Master_Table!D771)/Master_Table!D771</f>
        <v>3.4575898160537175E-2</v>
      </c>
      <c r="E772" s="3">
        <f>(Master_Table!E772-Master_Table!E771)/Master_Table!E771</f>
        <v>5.3937129533386495E-3</v>
      </c>
      <c r="F772" s="3">
        <f>(Master_Table!F772-Master_Table!F771)/Master_Table!F771</f>
        <v>6.3290404245682106E-3</v>
      </c>
      <c r="G772" s="3">
        <f>(Master_Table!G772-Master_Table!G771)/Master_Table!G771</f>
        <v>9.8801178502488721E-3</v>
      </c>
      <c r="H772" s="3">
        <f>(Master_Table!H772-Master_Table!H771)/Master_Table!H771</f>
        <v>1.0097800539234545E-2</v>
      </c>
    </row>
    <row r="773" spans="1:8" x14ac:dyDescent="0.3">
      <c r="A773" s="1">
        <v>44963</v>
      </c>
      <c r="B773" s="3">
        <f>(Master_Table!B773-Master_Table!B772)/Master_Table!B772</f>
        <v>-5.0100677437332555E-3</v>
      </c>
      <c r="C773" s="3">
        <f>(Master_Table!C773-Master_Table!C772)/Master_Table!C772</f>
        <v>-7.5293227393114226E-3</v>
      </c>
      <c r="D773" s="3">
        <f>(Master_Table!D773-Master_Table!D772)/Master_Table!D772</f>
        <v>-4.2425121473638298E-3</v>
      </c>
      <c r="E773" s="3">
        <f>(Master_Table!E773-Master_Table!E772)/Master_Table!E772</f>
        <v>7.2368604878594875E-3</v>
      </c>
      <c r="F773" s="3">
        <f>(Master_Table!F773-Master_Table!F772)/Master_Table!F772</f>
        <v>-6.4190592688330873E-3</v>
      </c>
      <c r="G773" s="3">
        <f>(Master_Table!G773-Master_Table!G772)/Master_Table!G772</f>
        <v>-1.8479162998918601E-2</v>
      </c>
      <c r="H773" s="3">
        <f>(Master_Table!H773-Master_Table!H772)/Master_Table!H772</f>
        <v>-4.824950964064911E-3</v>
      </c>
    </row>
    <row r="774" spans="1:8" x14ac:dyDescent="0.3">
      <c r="A774" s="1">
        <v>44964</v>
      </c>
      <c r="B774" s="3">
        <f>(Master_Table!B774-Master_Table!B773)/Master_Table!B773</f>
        <v>-2.4261734010334345E-3</v>
      </c>
      <c r="C774" s="3">
        <f>(Master_Table!C774-Master_Table!C773)/Master_Table!C773</f>
        <v>-2.4017384011284183E-3</v>
      </c>
      <c r="D774" s="3">
        <f>(Master_Table!D774-Master_Table!D773)/Master_Table!D773</f>
        <v>1.4808880472912051E-3</v>
      </c>
      <c r="E774" s="3">
        <f>(Master_Table!E774-Master_Table!E773)/Master_Table!E773</f>
        <v>-2.6464713715046662E-2</v>
      </c>
      <c r="F774" s="3">
        <f>(Master_Table!F774-Master_Table!F773)/Master_Table!F773</f>
        <v>3.6411255549523716E-3</v>
      </c>
      <c r="G774" s="3">
        <f>(Master_Table!G774-Master_Table!G773)/Master_Table!G773</f>
        <v>-4.7468050350724543E-3</v>
      </c>
      <c r="H774" s="3">
        <f>(Master_Table!H774-Master_Table!H773)/Master_Table!H773</f>
        <v>4.2672864613595984E-3</v>
      </c>
    </row>
    <row r="775" spans="1:8" x14ac:dyDescent="0.3">
      <c r="A775" s="1">
        <v>44965</v>
      </c>
      <c r="B775" s="3">
        <f>(Master_Table!B775-Master_Table!B774)/Master_Table!B774</f>
        <v>8.4755805095505874E-3</v>
      </c>
      <c r="C775" s="3">
        <f>(Master_Table!C775-Master_Table!C774)/Master_Table!C774</f>
        <v>1.9967135432589291E-2</v>
      </c>
      <c r="D775" s="3">
        <f>(Master_Table!D775-Master_Table!D774)/Master_Table!D774</f>
        <v>-1.2120477546804321E-4</v>
      </c>
      <c r="E775" s="3">
        <f>(Master_Table!E775-Master_Table!E774)/Master_Table!E774</f>
        <v>6.1548982732091669E-3</v>
      </c>
      <c r="F775" s="3">
        <f>(Master_Table!F775-Master_Table!F774)/Master_Table!F774</f>
        <v>1.3692923249617369E-2</v>
      </c>
      <c r="G775" s="3">
        <f>(Master_Table!G775-Master_Table!G774)/Master_Table!G774</f>
        <v>1.7990010555855807E-2</v>
      </c>
      <c r="H775" s="3">
        <f>(Master_Table!H775-Master_Table!H774)/Master_Table!H774</f>
        <v>-1.5908869993473473E-2</v>
      </c>
    </row>
    <row r="776" spans="1:8" x14ac:dyDescent="0.3">
      <c r="A776" s="1">
        <v>44966</v>
      </c>
      <c r="B776" s="3">
        <f>(Master_Table!B776-Master_Table!B775)/Master_Table!B775</f>
        <v>1.2170078951638623E-3</v>
      </c>
      <c r="C776" s="3">
        <f>(Master_Table!C776-Master_Table!C775)/Master_Table!C775</f>
        <v>1.7421929150822648E-3</v>
      </c>
      <c r="D776" s="3">
        <f>(Master_Table!D776-Master_Table!D775)/Master_Table!D775</f>
        <v>-2.0849748469604548E-3</v>
      </c>
      <c r="E776" s="3">
        <f>(Master_Table!E776-Master_Table!E775)/Master_Table!E775</f>
        <v>-3.4551118663268968E-3</v>
      </c>
      <c r="F776" s="3">
        <f>(Master_Table!F776-Master_Table!F775)/Master_Table!F775</f>
        <v>5.8963543063934786E-3</v>
      </c>
      <c r="G776" s="3">
        <f>(Master_Table!G776-Master_Table!G775)/Master_Table!G775</f>
        <v>1.6660449294697195E-2</v>
      </c>
      <c r="H776" s="3">
        <f>(Master_Table!H776-Master_Table!H775)/Master_Table!H775</f>
        <v>7.7655381315674156E-3</v>
      </c>
    </row>
    <row r="777" spans="1:8" x14ac:dyDescent="0.3">
      <c r="A777" s="1">
        <v>44967</v>
      </c>
      <c r="B777" s="3">
        <f>(Master_Table!B777-Master_Table!B776)/Master_Table!B776</f>
        <v>-2.0650014390741151E-3</v>
      </c>
      <c r="C777" s="3">
        <f>(Master_Table!C777-Master_Table!C776)/Master_Table!C776</f>
        <v>-8.2376482028648917E-3</v>
      </c>
      <c r="D777" s="3">
        <f>(Master_Table!D777-Master_Table!D776)/Master_Table!D776</f>
        <v>3.9600111754916501E-3</v>
      </c>
      <c r="E777" s="3">
        <f>(Master_Table!E777-Master_Table!E776)/Master_Table!E776</f>
        <v>-7.7583267022849215E-3</v>
      </c>
      <c r="F777" s="3">
        <f>(Master_Table!F777-Master_Table!F776)/Master_Table!F776</f>
        <v>-9.3062317705679078E-4</v>
      </c>
      <c r="G777" s="3">
        <f>(Master_Table!G777-Master_Table!G776)/Master_Table!G776</f>
        <v>-5.2240755252062204E-3</v>
      </c>
      <c r="H777" s="3">
        <f>(Master_Table!H777-Master_Table!H776)/Master_Table!H776</f>
        <v>7.6590263095254081E-3</v>
      </c>
    </row>
    <row r="778" spans="1:8" x14ac:dyDescent="0.3">
      <c r="A778" s="1">
        <v>44970</v>
      </c>
      <c r="B778" s="3">
        <f>(Master_Table!B778-Master_Table!B777)/Master_Table!B777</f>
        <v>-4.7937725758126475E-3</v>
      </c>
      <c r="C778" s="3">
        <f>(Master_Table!C778-Master_Table!C777)/Master_Table!C777</f>
        <v>-5.6850858419677866E-3</v>
      </c>
      <c r="D778" s="3">
        <f>(Master_Table!D778-Master_Table!D777)/Master_Table!D777</f>
        <v>7.6225967646310964E-4</v>
      </c>
      <c r="E778" s="3">
        <f>(Master_Table!E778-Master_Table!E777)/Master_Table!E777</f>
        <v>7.6757840469712357E-3</v>
      </c>
      <c r="F778" s="3">
        <f>(Master_Table!F778-Master_Table!F777)/Master_Table!F777</f>
        <v>-1.5591098590269234E-2</v>
      </c>
      <c r="G778" s="3">
        <f>(Master_Table!G778-Master_Table!G777)/Master_Table!G777</f>
        <v>-2.5551095940082705E-2</v>
      </c>
      <c r="H778" s="3">
        <f>(Master_Table!H778-Master_Table!H777)/Master_Table!H777</f>
        <v>1.8230831225856715E-2</v>
      </c>
    </row>
    <row r="779" spans="1:8" x14ac:dyDescent="0.3">
      <c r="A779" s="1">
        <v>44971</v>
      </c>
      <c r="B779" s="3">
        <f>(Master_Table!B779-Master_Table!B778)/Master_Table!B778</f>
        <v>8.9443978639234412E-3</v>
      </c>
      <c r="C779" s="3">
        <f>(Master_Table!C779-Master_Table!C778)/Master_Table!C778</f>
        <v>2.3562542668588246E-2</v>
      </c>
      <c r="D779" s="3">
        <f>(Master_Table!D779-Master_Table!D778)/Master_Table!D778</f>
        <v>9.2489602476061236E-3</v>
      </c>
      <c r="E779" s="3">
        <f>(Master_Table!E779-Master_Table!E778)/Master_Table!E778</f>
        <v>3.2743086149560979E-2</v>
      </c>
      <c r="F779" s="3">
        <f>(Master_Table!F779-Master_Table!F778)/Master_Table!F778</f>
        <v>5.0831712988338969E-3</v>
      </c>
      <c r="G779" s="3">
        <f>(Master_Table!G779-Master_Table!G778)/Master_Table!G778</f>
        <v>1.6456337775154369E-2</v>
      </c>
      <c r="H779" s="3">
        <f>(Master_Table!H779-Master_Table!H778)/Master_Table!H778</f>
        <v>-5.2858065631341579E-3</v>
      </c>
    </row>
    <row r="780" spans="1:8" x14ac:dyDescent="0.3">
      <c r="A780" s="1">
        <v>44972</v>
      </c>
      <c r="B780" s="3">
        <f>(Master_Table!B780-Master_Table!B779)/Master_Table!B779</f>
        <v>4.7964706899388454E-3</v>
      </c>
      <c r="C780" s="3">
        <f>(Master_Table!C780-Master_Table!C779)/Master_Table!C779</f>
        <v>2.2640320892273254E-2</v>
      </c>
      <c r="D780" s="3">
        <f>(Master_Table!D780-Master_Table!D779)/Master_Table!D779</f>
        <v>-2.0245097451992056E-3</v>
      </c>
      <c r="E780" s="3">
        <f>(Master_Table!E780-Master_Table!E779)/Master_Table!E779</f>
        <v>-1.1008669327095086E-2</v>
      </c>
      <c r="F780" s="3">
        <f>(Master_Table!F780-Master_Table!F779)/Master_Table!F779</f>
        <v>5.8697574024959582E-3</v>
      </c>
      <c r="G780" s="3">
        <f>(Master_Table!G780-Master_Table!G779)/Master_Table!G779</f>
        <v>2.3858816400726957E-3</v>
      </c>
      <c r="H780" s="3">
        <f>(Master_Table!H780-Master_Table!H779)/Master_Table!H779</f>
        <v>-7.5729860247310795E-3</v>
      </c>
    </row>
    <row r="781" spans="1:8" x14ac:dyDescent="0.3">
      <c r="A781" s="1">
        <v>44973</v>
      </c>
      <c r="B781" s="3">
        <f>(Master_Table!B781-Master_Table!B780)/Master_Table!B780</f>
        <v>1.1101335768226312E-3</v>
      </c>
      <c r="C781" s="3">
        <f>(Master_Table!C781-Master_Table!C780)/Master_Table!C780</f>
        <v>-7.7903490257545975E-4</v>
      </c>
      <c r="D781" s="3">
        <f>(Master_Table!D781-Master_Table!D780)/Master_Table!D780</f>
        <v>-3.6251020310175438E-3</v>
      </c>
      <c r="E781" s="3">
        <f>(Master_Table!E781-Master_Table!E780)/Master_Table!E780</f>
        <v>9.183247530262531E-4</v>
      </c>
      <c r="F781" s="3">
        <f>(Master_Table!F781-Master_Table!F780)/Master_Table!F780</f>
        <v>1.0623756923419355E-2</v>
      </c>
      <c r="G781" s="3">
        <f>(Master_Table!G781-Master_Table!G780)/Master_Table!G780</f>
        <v>2.9721050311693393E-3</v>
      </c>
      <c r="H781" s="3">
        <f>(Master_Table!H781-Master_Table!H780)/Master_Table!H780</f>
        <v>1.4929774763152194E-3</v>
      </c>
    </row>
    <row r="782" spans="1:8" x14ac:dyDescent="0.3">
      <c r="A782" s="1">
        <v>44974</v>
      </c>
      <c r="B782" s="3">
        <f>(Master_Table!B782-Master_Table!B781)/Master_Table!B781</f>
        <v>-5.0815459210404737E-3</v>
      </c>
      <c r="C782" s="3">
        <f>(Master_Table!C782-Master_Table!C781)/Master_Table!C781</f>
        <v>4.1792451974943818E-3</v>
      </c>
      <c r="D782" s="3">
        <f>(Master_Table!D782-Master_Table!D781)/Master_Table!D781</f>
        <v>-5.0116859022238973E-3</v>
      </c>
      <c r="E782" s="3">
        <f>(Master_Table!E782-Master_Table!E781)/Master_Table!E781</f>
        <v>2.2241992882562592E-3</v>
      </c>
      <c r="F782" s="3">
        <f>(Master_Table!F782-Master_Table!F781)/Master_Table!F781</f>
        <v>-1.5992591003038105E-2</v>
      </c>
      <c r="G782" s="3">
        <f>(Master_Table!G782-Master_Table!G781)/Master_Table!G781</f>
        <v>-1.1237930211825483E-2</v>
      </c>
      <c r="H782" s="3">
        <f>(Master_Table!H782-Master_Table!H781)/Master_Table!H781</f>
        <v>2.2057605594920426E-2</v>
      </c>
    </row>
    <row r="783" spans="1:8" x14ac:dyDescent="0.3">
      <c r="A783" s="1">
        <v>44977</v>
      </c>
      <c r="B783" s="3">
        <f>(Master_Table!B783-Master_Table!B782)/Master_Table!B782</f>
        <v>-5.5505400073562585E-3</v>
      </c>
      <c r="C783" s="3">
        <f>(Master_Table!C783-Master_Table!C782)/Master_Table!C782</f>
        <v>-1.0571645240502704E-2</v>
      </c>
      <c r="D783" s="3">
        <f>(Master_Table!D783-Master_Table!D782)/Master_Table!D782</f>
        <v>-9.3958106308269663E-3</v>
      </c>
      <c r="E783" s="3">
        <f>(Master_Table!E783-Master_Table!E782)/Master_Table!E782</f>
        <v>1.6921881935196316E-3</v>
      </c>
      <c r="F783" s="3">
        <f>(Master_Table!F783-Master_Table!F782)/Master_Table!F782</f>
        <v>-3.9540889526542902E-3</v>
      </c>
      <c r="G783" s="3">
        <f>(Master_Table!G783-Master_Table!G782)/Master_Table!G782</f>
        <v>5.4669443527289637E-3</v>
      </c>
      <c r="H783" s="3">
        <f>(Master_Table!H783-Master_Table!H782)/Master_Table!H782</f>
        <v>-3.8265191280954905E-4</v>
      </c>
    </row>
    <row r="784" spans="1:8" x14ac:dyDescent="0.3">
      <c r="A784" s="1">
        <v>44978</v>
      </c>
      <c r="B784" s="3">
        <f>(Master_Table!B784-Master_Table!B783)/Master_Table!B783</f>
        <v>-1.0031045806573316E-3</v>
      </c>
      <c r="C784" s="3">
        <f>(Master_Table!C784-Master_Table!C783)/Master_Table!C783</f>
        <v>8.1571575864303348E-3</v>
      </c>
      <c r="D784" s="3">
        <f>(Master_Table!D784-Master_Table!D783)/Master_Table!D783</f>
        <v>3.7524140122717994E-3</v>
      </c>
      <c r="E784" s="3">
        <f>(Master_Table!E784-Master_Table!E783)/Master_Table!E783</f>
        <v>-4.6802736159960064E-3</v>
      </c>
      <c r="F784" s="3">
        <f>(Master_Table!F784-Master_Table!F783)/Master_Table!F783</f>
        <v>-1.041132512488401E-2</v>
      </c>
      <c r="G784" s="3">
        <f>(Master_Table!G784-Master_Table!G783)/Master_Table!G783</f>
        <v>-8.1337265476497961E-3</v>
      </c>
      <c r="H784" s="3">
        <f>(Master_Table!H784-Master_Table!H783)/Master_Table!H783</f>
        <v>1.7743831316511468E-3</v>
      </c>
    </row>
    <row r="785" spans="1:8" x14ac:dyDescent="0.3">
      <c r="A785" s="1">
        <v>44979</v>
      </c>
      <c r="B785" s="3">
        <f>(Master_Table!B785-Master_Table!B784)/Master_Table!B784</f>
        <v>-1.5280450111349909E-2</v>
      </c>
      <c r="C785" s="3">
        <f>(Master_Table!C785-Master_Table!C784)/Master_Table!C784</f>
        <v>-2.268058031875915E-2</v>
      </c>
      <c r="D785" s="3">
        <f>(Master_Table!D785-Master_Table!D784)/Master_Table!D784</f>
        <v>-1.9617393845666777E-2</v>
      </c>
      <c r="E785" s="3">
        <f>(Master_Table!E785-Master_Table!E784)/Master_Table!E784</f>
        <v>4.1736227045075132E-3</v>
      </c>
      <c r="F785" s="3">
        <f>(Master_Table!F785-Master_Table!F784)/Master_Table!F784</f>
        <v>-1.4328632812045076E-2</v>
      </c>
      <c r="G785" s="3">
        <f>(Master_Table!G785-Master_Table!G784)/Master_Table!G784</f>
        <v>-1.120555184159433E-2</v>
      </c>
      <c r="H785" s="3">
        <f>(Master_Table!H785-Master_Table!H784)/Master_Table!H784</f>
        <v>-1.5563537625369148E-2</v>
      </c>
    </row>
    <row r="786" spans="1:8" x14ac:dyDescent="0.3">
      <c r="A786" s="1">
        <v>44980</v>
      </c>
      <c r="B786" s="3">
        <f>(Master_Table!B786-Master_Table!B785)/Master_Table!B785</f>
        <v>-2.4523905823643937E-3</v>
      </c>
      <c r="C786" s="3">
        <f>(Master_Table!C786-Master_Table!C785)/Master_Table!C785</f>
        <v>-4.7877019956474006E-3</v>
      </c>
      <c r="D786" s="3">
        <f>(Master_Table!D786-Master_Table!D785)/Master_Table!D785</f>
        <v>-6.7817662402186512E-3</v>
      </c>
      <c r="E786" s="3">
        <f>(Master_Table!E786-Master_Table!E785)/Master_Table!E785</f>
        <v>9.7811027985592394E-3</v>
      </c>
      <c r="F786" s="3">
        <f>(Master_Table!F786-Master_Table!F785)/Master_Table!F785</f>
        <v>3.603220452115509E-3</v>
      </c>
      <c r="G786" s="3">
        <f>(Master_Table!G786-Master_Table!G785)/Master_Table!G785</f>
        <v>-7.1085927690672963E-3</v>
      </c>
      <c r="H786" s="3">
        <f>(Master_Table!H786-Master_Table!H785)/Master_Table!H785</f>
        <v>-1.6220585347587226E-2</v>
      </c>
    </row>
    <row r="787" spans="1:8" x14ac:dyDescent="0.3">
      <c r="A787" s="1">
        <v>44981</v>
      </c>
      <c r="B787" s="3">
        <f>(Master_Table!B787-Master_Table!B786)/Master_Table!B786</f>
        <v>-2.5954743379256609E-3</v>
      </c>
      <c r="C787" s="3">
        <f>(Master_Table!C787-Master_Table!C786)/Master_Table!C786</f>
        <v>6.8392451706553656E-3</v>
      </c>
      <c r="D787" s="3">
        <f>(Master_Table!D787-Master_Table!D786)/Master_Table!D786</f>
        <v>-8.9290180581261397E-3</v>
      </c>
      <c r="E787" s="3">
        <f>(Master_Table!E787-Master_Table!E786)/Master_Table!E786</f>
        <v>-6.4484263095794057E-3</v>
      </c>
      <c r="F787" s="3">
        <f>(Master_Table!F787-Master_Table!F786)/Master_Table!F786</f>
        <v>-3.9110551314573503E-3</v>
      </c>
      <c r="G787" s="3">
        <f>(Master_Table!G787-Master_Table!G786)/Master_Table!G786</f>
        <v>-3.2425211250221806E-5</v>
      </c>
      <c r="H787" s="3">
        <f>(Master_Table!H787-Master_Table!H786)/Master_Table!H786</f>
        <v>-1.1623319051752533E-2</v>
      </c>
    </row>
    <row r="788" spans="1:8" x14ac:dyDescent="0.3">
      <c r="A788" s="1">
        <v>44984</v>
      </c>
      <c r="B788" s="3">
        <f>(Master_Table!B788-Master_Table!B787)/Master_Table!B787</f>
        <v>-4.1853221724741235E-3</v>
      </c>
      <c r="C788" s="3">
        <f>(Master_Table!C788-Master_Table!C787)/Master_Table!C787</f>
        <v>-6.6449174237313705E-3</v>
      </c>
      <c r="D788" s="3">
        <f>(Master_Table!D788-Master_Table!D787)/Master_Table!D787</f>
        <v>2.4858044164038197E-3</v>
      </c>
      <c r="E788" s="3">
        <f>(Master_Table!E788-Master_Table!E787)/Master_Table!E787</f>
        <v>-7.5397702165266277E-3</v>
      </c>
      <c r="F788" s="3">
        <f>(Master_Table!F788-Master_Table!F787)/Master_Table!F787</f>
        <v>-2.0175669247836623E-2</v>
      </c>
      <c r="G788" s="3">
        <f>(Master_Table!G788-Master_Table!G787)/Master_Table!G787</f>
        <v>-2.666735842693722E-2</v>
      </c>
      <c r="H788" s="3">
        <f>(Master_Table!H788-Master_Table!H787)/Master_Table!H787</f>
        <v>-9.538569918985532E-3</v>
      </c>
    </row>
    <row r="789" spans="1:8" x14ac:dyDescent="0.3">
      <c r="A789" s="1">
        <v>44985</v>
      </c>
      <c r="B789" s="3">
        <f>(Master_Table!B789-Master_Table!B788)/Master_Table!B788</f>
        <v>-5.1027155070805562E-3</v>
      </c>
      <c r="C789" s="3">
        <f>(Master_Table!C789-Master_Table!C788)/Master_Table!C788</f>
        <v>-1.9137732127572419E-2</v>
      </c>
      <c r="D789" s="3">
        <f>(Master_Table!D789-Master_Table!D788)/Master_Table!D788</f>
        <v>4.2040605686809044E-3</v>
      </c>
      <c r="E789" s="3">
        <f>(Master_Table!E789-Master_Table!E788)/Master_Table!E788</f>
        <v>-1.4387087797412037E-2</v>
      </c>
      <c r="F789" s="3">
        <f>(Master_Table!F789-Master_Table!F788)/Master_Table!F788</f>
        <v>-5.7018284446159343E-3</v>
      </c>
      <c r="G789" s="3">
        <f>(Master_Table!G789-Master_Table!G788)/Master_Table!G788</f>
        <v>-1.4411929319580956E-2</v>
      </c>
      <c r="H789" s="3">
        <f>(Master_Table!H789-Master_Table!H788)/Master_Table!H788</f>
        <v>-2.1527402391722681E-3</v>
      </c>
    </row>
    <row r="790" spans="1:8" x14ac:dyDescent="0.3">
      <c r="A790" s="1">
        <v>44986</v>
      </c>
      <c r="B790" s="3">
        <f>(Master_Table!B790-Master_Table!B789)/Master_Table!B789</f>
        <v>8.4922806642414427E-3</v>
      </c>
      <c r="C790" s="3">
        <f>(Master_Table!C790-Master_Table!C789)/Master_Table!C789</f>
        <v>9.200679142914097E-3</v>
      </c>
      <c r="D790" s="3">
        <f>(Master_Table!D790-Master_Table!D789)/Master_Table!D789</f>
        <v>-9.6514207643421594E-4</v>
      </c>
      <c r="E790" s="3">
        <f>(Master_Table!E790-Master_Table!E789)/Master_Table!E789</f>
        <v>5.3080354621943514E-3</v>
      </c>
      <c r="F790" s="3">
        <f>(Master_Table!F790-Master_Table!F789)/Master_Table!F789</f>
        <v>2.1988919113165077E-2</v>
      </c>
      <c r="G790" s="3">
        <f>(Master_Table!G790-Master_Table!G789)/Master_Table!G789</f>
        <v>5.7192690693005296E-3</v>
      </c>
      <c r="H790" s="3">
        <f>(Master_Table!H790-Master_Table!H789)/Master_Table!H789</f>
        <v>2.9176962554646798E-3</v>
      </c>
    </row>
    <row r="791" spans="1:8" x14ac:dyDescent="0.3">
      <c r="A791" s="1">
        <v>44987</v>
      </c>
      <c r="B791" s="3">
        <f>(Master_Table!B791-Master_Table!B790)/Master_Table!B790</f>
        <v>-7.392168885272392E-3</v>
      </c>
      <c r="C791" s="3">
        <f>(Master_Table!C791-Master_Table!C790)/Master_Table!C790</f>
        <v>-7.6223953682905791E-3</v>
      </c>
      <c r="D791" s="3">
        <f>(Master_Table!D791-Master_Table!D790)/Master_Table!D790</f>
        <v>-8.506473953628392E-3</v>
      </c>
      <c r="E791" s="3">
        <f>(Master_Table!E791-Master_Table!E790)/Master_Table!E790</f>
        <v>-8.3132056394989041E-3</v>
      </c>
      <c r="F791" s="3">
        <f>(Master_Table!F791-Master_Table!F790)/Master_Table!F790</f>
        <v>-1.8975810663248296E-2</v>
      </c>
      <c r="G791" s="3">
        <f>(Master_Table!G791-Master_Table!G790)/Master_Table!G790</f>
        <v>-1.5978005874958814E-2</v>
      </c>
      <c r="H791" s="3">
        <f>(Master_Table!H791-Master_Table!H790)/Master_Table!H790</f>
        <v>2.9802799283595496E-3</v>
      </c>
    </row>
    <row r="792" spans="1:8" x14ac:dyDescent="0.3">
      <c r="A792" s="1">
        <v>44988</v>
      </c>
      <c r="B792" s="3">
        <f>(Master_Table!B792-Master_Table!B791)/Master_Table!B791</f>
        <v>1.5728644086387581E-2</v>
      </c>
      <c r="C792" s="3">
        <f>(Master_Table!C792-Master_Table!C791)/Master_Table!C791</f>
        <v>2.5514746273180209E-2</v>
      </c>
      <c r="D792" s="3">
        <f>(Master_Table!D792-Master_Table!D791)/Master_Table!D791</f>
        <v>1.984157112848944E-2</v>
      </c>
      <c r="E792" s="3">
        <f>(Master_Table!E792-Master_Table!E791)/Master_Table!E791</f>
        <v>2.5035400736335242E-2</v>
      </c>
      <c r="F792" s="3">
        <f>(Master_Table!F792-Master_Table!F791)/Master_Table!F791</f>
        <v>6.2338746510269324E-3</v>
      </c>
      <c r="G792" s="3">
        <f>(Master_Table!G792-Master_Table!G791)/Master_Table!G791</f>
        <v>4.8568891317712273E-3</v>
      </c>
      <c r="H792" s="3">
        <f>(Master_Table!H792-Master_Table!H791)/Master_Table!H791</f>
        <v>1.4351648455473567E-2</v>
      </c>
    </row>
    <row r="793" spans="1:8" x14ac:dyDescent="0.3">
      <c r="A793" s="1">
        <v>44991</v>
      </c>
      <c r="B793" s="3">
        <f>(Master_Table!B793-Master_Table!B792)/Master_Table!B792</f>
        <v>6.6555456723324359E-3</v>
      </c>
      <c r="C793" s="3">
        <f>(Master_Table!C793-Master_Table!C792)/Master_Table!C792</f>
        <v>9.7709641669746529E-3</v>
      </c>
      <c r="D793" s="3">
        <f>(Master_Table!D793-Master_Table!D792)/Master_Table!D792</f>
        <v>7.0600789140630076E-3</v>
      </c>
      <c r="E793" s="3">
        <f>(Master_Table!E793-Master_Table!E792)/Master_Table!E792</f>
        <v>8.3162955185942175E-3</v>
      </c>
      <c r="F793" s="3">
        <f>(Master_Table!F793-Master_Table!F792)/Master_Table!F792</f>
        <v>8.8855756686727558E-3</v>
      </c>
      <c r="G793" s="3">
        <f>(Master_Table!G793-Master_Table!G792)/Master_Table!G792</f>
        <v>1.9027742843352534E-2</v>
      </c>
      <c r="H793" s="3">
        <f>(Master_Table!H793-Master_Table!H792)/Master_Table!H792</f>
        <v>-5.0670404850946616E-3</v>
      </c>
    </row>
    <row r="794" spans="1:8" x14ac:dyDescent="0.3">
      <c r="A794" s="1">
        <v>44993</v>
      </c>
      <c r="B794" s="3">
        <f>(Master_Table!B794-Master_Table!B793)/Master_Table!B793</f>
        <v>2.4249849673516695E-3</v>
      </c>
      <c r="C794" s="3">
        <f>(Master_Table!C794-Master_Table!C793)/Master_Table!C793</f>
        <v>3.5943587773691085E-3</v>
      </c>
      <c r="D794" s="3">
        <f>(Master_Table!D794-Master_Table!D793)/Master_Table!D793</f>
        <v>1.9959833914468469E-3</v>
      </c>
      <c r="E794" s="3">
        <f>(Master_Table!E794-Master_Table!E793)/Master_Table!E793</f>
        <v>1.0933004521167309E-2</v>
      </c>
      <c r="F794" s="3">
        <f>(Master_Table!F794-Master_Table!F793)/Master_Table!F793</f>
        <v>5.5001042815004727E-3</v>
      </c>
      <c r="G794" s="3">
        <f>(Master_Table!G794-Master_Table!G793)/Master_Table!G793</f>
        <v>-9.7865243495664257E-3</v>
      </c>
      <c r="H794" s="3">
        <f>(Master_Table!H794-Master_Table!H793)/Master_Table!H793</f>
        <v>1.3850856375185551E-2</v>
      </c>
    </row>
    <row r="795" spans="1:8" x14ac:dyDescent="0.3">
      <c r="A795" s="1">
        <v>44994</v>
      </c>
      <c r="B795" s="3">
        <f>(Master_Table!B795-Master_Table!B794)/Master_Table!B794</f>
        <v>-9.2822061010230088E-3</v>
      </c>
      <c r="C795" s="3">
        <f>(Master_Table!C795-Master_Table!C794)/Master_Table!C794</f>
        <v>-2.4040608396897763E-2</v>
      </c>
      <c r="D795" s="3">
        <f>(Master_Table!D795-Master_Table!D794)/Master_Table!D794</f>
        <v>9.8370734706475165E-5</v>
      </c>
      <c r="E795" s="3">
        <f>(Master_Table!E795-Master_Table!E794)/Master_Table!E794</f>
        <v>-1.2495256681303231E-2</v>
      </c>
      <c r="F795" s="3">
        <f>(Master_Table!F795-Master_Table!F794)/Master_Table!F794</f>
        <v>-1.5793715701264737E-2</v>
      </c>
      <c r="G795" s="3">
        <f>(Master_Table!G795-Master_Table!G794)/Master_Table!G794</f>
        <v>-8.2394076788854364E-3</v>
      </c>
      <c r="H795" s="3">
        <f>(Master_Table!H795-Master_Table!H794)/Master_Table!H794</f>
        <v>1.0314323705400082E-2</v>
      </c>
    </row>
    <row r="796" spans="1:8" x14ac:dyDescent="0.3">
      <c r="A796" s="1">
        <v>44995</v>
      </c>
      <c r="B796" s="3">
        <f>(Master_Table!B796-Master_Table!B795)/Master_Table!B795</f>
        <v>-1.004570882794362E-2</v>
      </c>
      <c r="C796" s="3">
        <f>(Master_Table!C796-Master_Table!C795)/Master_Table!C795</f>
        <v>-1.5491208575724039E-2</v>
      </c>
      <c r="D796" s="3">
        <f>(Master_Table!D796-Master_Table!D795)/Master_Table!D795</f>
        <v>-2.5795187685195453E-2</v>
      </c>
      <c r="E796" s="3">
        <f>(Master_Table!E796-Master_Table!E795)/Master_Table!E795</f>
        <v>1.3174868937502215E-3</v>
      </c>
      <c r="F796" s="3">
        <f>(Master_Table!F796-Master_Table!F795)/Master_Table!F795</f>
        <v>-1.7522414841666507E-3</v>
      </c>
      <c r="G796" s="3">
        <f>(Master_Table!G796-Master_Table!G795)/Master_Table!G795</f>
        <v>-5.9778547653012394E-3</v>
      </c>
      <c r="H796" s="3">
        <f>(Master_Table!H796-Master_Table!H795)/Master_Table!H795</f>
        <v>-1.6113258936323937E-2</v>
      </c>
    </row>
    <row r="797" spans="1:8" x14ac:dyDescent="0.3">
      <c r="A797" s="1">
        <v>44998</v>
      </c>
      <c r="B797" s="3">
        <f>(Master_Table!B797-Master_Table!B796)/Master_Table!B796</f>
        <v>-1.4851058697862055E-2</v>
      </c>
      <c r="C797" s="3">
        <f>(Master_Table!C797-Master_Table!C796)/Master_Table!C796</f>
        <v>-1.6446307642695827E-2</v>
      </c>
      <c r="D797" s="3">
        <f>(Master_Table!D797-Master_Table!D796)/Master_Table!D796</f>
        <v>-1.2645926673818366E-2</v>
      </c>
      <c r="E797" s="3">
        <f>(Master_Table!E797-Master_Table!E796)/Master_Table!E796</f>
        <v>-1.1211315479290522E-2</v>
      </c>
      <c r="F797" s="3">
        <f>(Master_Table!F797-Master_Table!F796)/Master_Table!F796</f>
        <v>-1.4727171828063339E-2</v>
      </c>
      <c r="G797" s="3">
        <f>(Master_Table!G797-Master_Table!G796)/Master_Table!G796</f>
        <v>-2.4765939998633232E-2</v>
      </c>
      <c r="H797" s="3">
        <f>(Master_Table!H797-Master_Table!H796)/Master_Table!H796</f>
        <v>-1.1124013005109066E-2</v>
      </c>
    </row>
    <row r="798" spans="1:8" x14ac:dyDescent="0.3">
      <c r="A798" s="1">
        <v>44999</v>
      </c>
      <c r="B798" s="3">
        <f>(Master_Table!B798-Master_Table!B797)/Master_Table!B797</f>
        <v>-6.4706808205522819E-3</v>
      </c>
      <c r="C798" s="3">
        <f>(Master_Table!C798-Master_Table!C797)/Master_Table!C797</f>
        <v>-3.7415621986500568E-3</v>
      </c>
      <c r="D798" s="3">
        <f>(Master_Table!D798-Master_Table!D797)/Master_Table!D797</f>
        <v>-2.6842892385566483E-3</v>
      </c>
      <c r="E798" s="3">
        <f>(Master_Table!E798-Master_Table!E797)/Master_Table!E797</f>
        <v>-1.0312707917498411E-2</v>
      </c>
      <c r="F798" s="3">
        <f>(Master_Table!F798-Master_Table!F797)/Master_Table!F797</f>
        <v>-2.0414410388115641E-2</v>
      </c>
      <c r="G798" s="3">
        <f>(Master_Table!G798-Master_Table!G797)/Master_Table!G797</f>
        <v>-1.0525135593457866E-2</v>
      </c>
      <c r="H798" s="3">
        <f>(Master_Table!H798-Master_Table!H797)/Master_Table!H797</f>
        <v>4.8519292642257936E-3</v>
      </c>
    </row>
    <row r="799" spans="1:8" x14ac:dyDescent="0.3">
      <c r="A799" s="1">
        <v>45000</v>
      </c>
      <c r="B799" s="3">
        <f>(Master_Table!B799-Master_Table!B798)/Master_Table!B798</f>
        <v>-4.1746610104849311E-3</v>
      </c>
      <c r="C799" s="3">
        <f>(Master_Table!C799-Master_Table!C798)/Master_Table!C798</f>
        <v>-1.7093851633885566E-2</v>
      </c>
      <c r="D799" s="3">
        <f>(Master_Table!D799-Master_Table!D798)/Master_Table!D798</f>
        <v>-1.4341924817041199E-2</v>
      </c>
      <c r="E799" s="3">
        <f>(Master_Table!E799-Master_Table!E798)/Master_Table!E798</f>
        <v>-7.8431372549011961E-4</v>
      </c>
      <c r="F799" s="3">
        <f>(Master_Table!F799-Master_Table!F798)/Master_Table!F798</f>
        <v>-4.9904378585802411E-3</v>
      </c>
      <c r="G799" s="3">
        <f>(Master_Table!G799-Master_Table!G798)/Master_Table!G798</f>
        <v>-2.4786833234179562E-4</v>
      </c>
      <c r="H799" s="3">
        <f>(Master_Table!H799-Master_Table!H798)/Master_Table!H798</f>
        <v>1.5130551842122432E-2</v>
      </c>
    </row>
    <row r="800" spans="1:8" x14ac:dyDescent="0.3">
      <c r="A800" s="1">
        <v>45001</v>
      </c>
      <c r="B800" s="3">
        <f>(Master_Table!B800-Master_Table!B799)/Master_Table!B799</f>
        <v>7.9247473066153013E-4</v>
      </c>
      <c r="C800" s="3">
        <f>(Master_Table!C800-Master_Table!C799)/Master_Table!C799</f>
        <v>-4.9829633860516993E-3</v>
      </c>
      <c r="D800" s="3">
        <f>(Master_Table!D800-Master_Table!D799)/Master_Table!D799</f>
        <v>6.4756059502756921E-3</v>
      </c>
      <c r="E800" s="3">
        <f>(Master_Table!E800-Master_Table!E799)/Master_Table!E799</f>
        <v>5.4104059206098619E-3</v>
      </c>
      <c r="F800" s="3">
        <f>(Master_Table!F800-Master_Table!F799)/Master_Table!F799</f>
        <v>-4.3465289009626262E-3</v>
      </c>
      <c r="G800" s="3">
        <f>(Master_Table!G800-Master_Table!G799)/Master_Table!G799</f>
        <v>-1.0951412845596439E-2</v>
      </c>
      <c r="H800" s="3">
        <f>(Master_Table!H800-Master_Table!H799)/Master_Table!H799</f>
        <v>-1.3997927938298441E-3</v>
      </c>
    </row>
    <row r="801" spans="1:8" x14ac:dyDescent="0.3">
      <c r="A801" s="1">
        <v>45002</v>
      </c>
      <c r="B801" s="3">
        <f>(Master_Table!B801-Master_Table!B800)/Master_Table!B800</f>
        <v>6.7380604747551299E-3</v>
      </c>
      <c r="C801" s="3">
        <f>(Master_Table!C801-Master_Table!C800)/Master_Table!C800</f>
        <v>-1.2569279493269813E-3</v>
      </c>
      <c r="D801" s="3">
        <f>(Master_Table!D801-Master_Table!D800)/Master_Table!D800</f>
        <v>1.3371747500064627E-2</v>
      </c>
      <c r="E801" s="3">
        <f>(Master_Table!E801-Master_Table!E800)/Master_Table!E800</f>
        <v>-1.5474696779590003E-2</v>
      </c>
      <c r="F801" s="3">
        <f>(Master_Table!F801-Master_Table!F800)/Master_Table!F800</f>
        <v>-1.7884686355593216E-3</v>
      </c>
      <c r="G801" s="3">
        <f>(Master_Table!G801-Master_Table!G800)/Master_Table!G800</f>
        <v>1.1824699369015127E-2</v>
      </c>
      <c r="H801" s="3">
        <f>(Master_Table!H801-Master_Table!H800)/Master_Table!H800</f>
        <v>1.0190389678656856E-2</v>
      </c>
    </row>
    <row r="802" spans="1:8" x14ac:dyDescent="0.3">
      <c r="A802" s="1">
        <v>45005</v>
      </c>
      <c r="B802" s="3">
        <f>(Master_Table!B802-Master_Table!B801)/Master_Table!B801</f>
        <v>-6.5292206747932209E-3</v>
      </c>
      <c r="C802" s="3">
        <f>(Master_Table!C802-Master_Table!C801)/Master_Table!C801</f>
        <v>-9.830249819151109E-3</v>
      </c>
      <c r="D802" s="3">
        <f>(Master_Table!D802-Master_Table!D801)/Master_Table!D801</f>
        <v>-6.9227532924512024E-3</v>
      </c>
      <c r="E802" s="3">
        <f>(Master_Table!E802-Master_Table!E801)/Master_Table!E801</f>
        <v>8.6661002548853068E-3</v>
      </c>
      <c r="F802" s="3">
        <f>(Master_Table!F802-Master_Table!F801)/Master_Table!F801</f>
        <v>-1.132514282825209E-2</v>
      </c>
      <c r="G802" s="3">
        <f>(Master_Table!G802-Master_Table!G801)/Master_Table!G801</f>
        <v>-1.2005039851635854E-2</v>
      </c>
      <c r="H802" s="3">
        <f>(Master_Table!H802-Master_Table!H801)/Master_Table!H801</f>
        <v>-8.2891715849388384E-3</v>
      </c>
    </row>
    <row r="803" spans="1:8" x14ac:dyDescent="0.3">
      <c r="A803" s="1">
        <v>45006</v>
      </c>
      <c r="B803" s="3">
        <f>(Master_Table!B803-Master_Table!B802)/Master_Table!B802</f>
        <v>7.0106661015751064E-3</v>
      </c>
      <c r="C803" s="3">
        <f>(Master_Table!C803-Master_Table!C802)/Master_Table!C802</f>
        <v>3.1094564706117767E-2</v>
      </c>
      <c r="D803" s="3">
        <f>(Master_Table!D803-Master_Table!D802)/Master_Table!D802</f>
        <v>1.1323080083189893E-2</v>
      </c>
      <c r="E803" s="3">
        <f>(Master_Table!E803-Master_Table!E802)/Master_Table!E802</f>
        <v>-4.8854447439353353E-3</v>
      </c>
      <c r="F803" s="3">
        <f>(Master_Table!F803-Master_Table!F802)/Master_Table!F802</f>
        <v>-1.1835208386601955E-2</v>
      </c>
      <c r="G803" s="3">
        <f>(Master_Table!G803-Master_Table!G802)/Master_Table!G802</f>
        <v>-9.220650818896883E-3</v>
      </c>
      <c r="H803" s="3">
        <f>(Master_Table!H803-Master_Table!H802)/Master_Table!H802</f>
        <v>1.4190044415805549E-2</v>
      </c>
    </row>
    <row r="804" spans="1:8" x14ac:dyDescent="0.3">
      <c r="A804" s="1">
        <v>45007</v>
      </c>
      <c r="B804" s="3">
        <f>(Master_Table!B804-Master_Table!B803)/Master_Table!B803</f>
        <v>2.5953529153880726E-3</v>
      </c>
      <c r="C804" s="3">
        <f>(Master_Table!C804-Master_Table!C803)/Master_Table!C803</f>
        <v>3.047715184221862E-3</v>
      </c>
      <c r="D804" s="3">
        <f>(Master_Table!D804-Master_Table!D803)/Master_Table!D803</f>
        <v>-2.3103483294403581E-3</v>
      </c>
      <c r="E804" s="3">
        <f>(Master_Table!E804-Master_Table!E803)/Master_Table!E803</f>
        <v>2.116133401049602E-3</v>
      </c>
      <c r="F804" s="3">
        <f>(Master_Table!F804-Master_Table!F803)/Master_Table!F803</f>
        <v>7.9533729869945523E-3</v>
      </c>
      <c r="G804" s="3">
        <f>(Master_Table!G804-Master_Table!G803)/Master_Table!G803</f>
        <v>-1.0485136415240655E-3</v>
      </c>
      <c r="H804" s="3">
        <f>(Master_Table!H804-Master_Table!H803)/Master_Table!H803</f>
        <v>2.4915134242197712E-3</v>
      </c>
    </row>
    <row r="805" spans="1:8" x14ac:dyDescent="0.3">
      <c r="A805" s="1">
        <v>45008</v>
      </c>
      <c r="B805" s="3">
        <f>(Master_Table!B805-Master_Table!B804)/Master_Table!B804</f>
        <v>-4.3726934042292685E-3</v>
      </c>
      <c r="C805" s="3">
        <f>(Master_Table!C805-Master_Table!C804)/Master_Table!C804</f>
        <v>-1.2657002961042016E-2</v>
      </c>
      <c r="D805" s="3">
        <f>(Master_Table!D805-Master_Table!D804)/Master_Table!D804</f>
        <v>-8.0158790747386164E-3</v>
      </c>
      <c r="E805" s="3">
        <f>(Master_Table!E805-Master_Table!E804)/Master_Table!E804</f>
        <v>7.6583044739138165E-3</v>
      </c>
      <c r="F805" s="3">
        <f>(Master_Table!F805-Master_Table!F804)/Master_Table!F804</f>
        <v>-1.9638295960673173E-3</v>
      </c>
      <c r="G805" s="3">
        <f>(Master_Table!G805-Master_Table!G804)/Master_Table!G804</f>
        <v>-1.0575767666092487E-2</v>
      </c>
      <c r="H805" s="3">
        <f>(Master_Table!H805-Master_Table!H804)/Master_Table!H804</f>
        <v>-3.2956536304249249E-3</v>
      </c>
    </row>
    <row r="806" spans="1:8" x14ac:dyDescent="0.3">
      <c r="A806" s="1">
        <v>45009</v>
      </c>
      <c r="B806" s="3">
        <f>(Master_Table!B806-Master_Table!B805)/Master_Table!B805</f>
        <v>-7.7209563796709103E-3</v>
      </c>
      <c r="C806" s="3">
        <f>(Master_Table!C806-Master_Table!C805)/Master_Table!C805</f>
        <v>-1.9797322461140448E-2</v>
      </c>
      <c r="D806" s="3">
        <f>(Master_Table!D806-Master_Table!D805)/Master_Table!D805</f>
        <v>-1.6033040890667488E-3</v>
      </c>
      <c r="E806" s="3">
        <f>(Master_Table!E806-Master_Table!E805)/Master_Table!E805</f>
        <v>-5.1133029701863255E-3</v>
      </c>
      <c r="F806" s="3">
        <f>(Master_Table!F806-Master_Table!F805)/Master_Table!F805</f>
        <v>-1.3278718041050384E-3</v>
      </c>
      <c r="G806" s="3">
        <f>(Master_Table!G806-Master_Table!G805)/Master_Table!G805</f>
        <v>4.4335515967371501E-3</v>
      </c>
      <c r="H806" s="3">
        <f>(Master_Table!H806-Master_Table!H805)/Master_Table!H805</f>
        <v>-1.8354082545680751E-2</v>
      </c>
    </row>
    <row r="807" spans="1:8" x14ac:dyDescent="0.3">
      <c r="A807" s="1">
        <v>45012</v>
      </c>
      <c r="B807" s="3">
        <f>(Master_Table!B807-Master_Table!B806)/Master_Table!B806</f>
        <v>2.3989306611666215E-3</v>
      </c>
      <c r="C807" s="3">
        <f>(Master_Table!C807-Master_Table!C806)/Master_Table!C806</f>
        <v>1.5547823304737406E-2</v>
      </c>
      <c r="D807" s="3">
        <f>(Master_Table!D807-Master_Table!D806)/Master_Table!D806</f>
        <v>4.3551433086241945E-3</v>
      </c>
      <c r="E807" s="3">
        <f>(Master_Table!E807-Master_Table!E806)/Master_Table!E806</f>
        <v>3.9600067404370748E-3</v>
      </c>
      <c r="F807" s="3">
        <f>(Master_Table!F807-Master_Table!F806)/Master_Table!F806</f>
        <v>5.7628351861330207E-4</v>
      </c>
      <c r="G807" s="3">
        <f>(Master_Table!G807-Master_Table!G806)/Master_Table!G806</f>
        <v>6.0164176821495873E-3</v>
      </c>
      <c r="H807" s="3">
        <f>(Master_Table!H807-Master_Table!H806)/Master_Table!H806</f>
        <v>-5.6124148652650779E-3</v>
      </c>
    </row>
    <row r="808" spans="1:8" x14ac:dyDescent="0.3">
      <c r="A808" s="1">
        <v>45013</v>
      </c>
      <c r="B808" s="3">
        <f>(Master_Table!B808-Master_Table!B807)/Master_Table!B807</f>
        <v>-2.0016837692882834E-3</v>
      </c>
      <c r="C808" s="3">
        <f>(Master_Table!C808-Master_Table!C807)/Master_Table!C807</f>
        <v>4.6667782492688667E-3</v>
      </c>
      <c r="D808" s="3">
        <f>(Master_Table!D808-Master_Table!D807)/Master_Table!D807</f>
        <v>8.1352810253524192E-3</v>
      </c>
      <c r="E808" s="3">
        <f>(Master_Table!E808-Master_Table!E807)/Master_Table!E807</f>
        <v>-1.174923769826883E-3</v>
      </c>
      <c r="F808" s="3">
        <f>(Master_Table!F808-Master_Table!F807)/Master_Table!F807</f>
        <v>-2.0496154959940443E-3</v>
      </c>
      <c r="G808" s="3">
        <f>(Master_Table!G808-Master_Table!G807)/Master_Table!G807</f>
        <v>-8.1742290956218003E-3</v>
      </c>
      <c r="H808" s="3">
        <f>(Master_Table!H808-Master_Table!H807)/Master_Table!H807</f>
        <v>-9.4688597817741468E-3</v>
      </c>
    </row>
    <row r="809" spans="1:8" x14ac:dyDescent="0.3">
      <c r="A809" s="1">
        <v>45014</v>
      </c>
      <c r="B809" s="3">
        <f>(Master_Table!B809-Master_Table!B808)/Master_Table!B808</f>
        <v>7.6098562386073369E-3</v>
      </c>
      <c r="C809" s="3">
        <f>(Master_Table!C809-Master_Table!C808)/Master_Table!C808</f>
        <v>-5.9092735415461842E-3</v>
      </c>
      <c r="D809" s="3">
        <f>(Master_Table!D809-Master_Table!D808)/Master_Table!D808</f>
        <v>4.8087903164411956E-3</v>
      </c>
      <c r="E809" s="3">
        <f>(Master_Table!E809-Master_Table!E808)/Master_Table!E808</f>
        <v>7.8980534939083972E-3</v>
      </c>
      <c r="F809" s="3">
        <f>(Master_Table!F809-Master_Table!F808)/Master_Table!F808</f>
        <v>7.3802284678851637E-3</v>
      </c>
      <c r="G809" s="3">
        <f>(Master_Table!G809-Master_Table!G808)/Master_Table!G808</f>
        <v>4.3215464128243675E-3</v>
      </c>
      <c r="H809" s="3">
        <f>(Master_Table!H809-Master_Table!H808)/Master_Table!H808</f>
        <v>6.4919203307026059E-3</v>
      </c>
    </row>
    <row r="810" spans="1:8" x14ac:dyDescent="0.3">
      <c r="A810" s="1">
        <v>45016</v>
      </c>
      <c r="B810" s="3">
        <f>(Master_Table!B810-Master_Table!B809)/Master_Table!B809</f>
        <v>1.6337152458622845E-2</v>
      </c>
      <c r="C810" s="3">
        <f>(Master_Table!C810-Master_Table!C809)/Master_Table!C809</f>
        <v>4.3109227129337672E-2</v>
      </c>
      <c r="D810" s="3">
        <f>(Master_Table!D810-Master_Table!D809)/Master_Table!D809</f>
        <v>1.3700705870468378E-2</v>
      </c>
      <c r="E810" s="3">
        <f>(Master_Table!E810-Master_Table!E809)/Master_Table!E809</f>
        <v>1.9729346708533069E-3</v>
      </c>
      <c r="F810" s="3">
        <f>(Master_Table!F810-Master_Table!F809)/Master_Table!F809</f>
        <v>2.1344761587750703E-2</v>
      </c>
      <c r="G810" s="3">
        <f>(Master_Table!G810-Master_Table!G809)/Master_Table!G809</f>
        <v>3.209042011920344E-2</v>
      </c>
      <c r="H810" s="3">
        <f>(Master_Table!H810-Master_Table!H809)/Master_Table!H809</f>
        <v>7.7988630741802267E-3</v>
      </c>
    </row>
    <row r="811" spans="1:8" x14ac:dyDescent="0.3">
      <c r="A811" s="1">
        <v>45019</v>
      </c>
      <c r="B811" s="3">
        <f>(Master_Table!B811-Master_Table!B810)/Master_Table!B810</f>
        <v>2.2062529702328243E-3</v>
      </c>
      <c r="C811" s="3">
        <f>(Master_Table!C811-Master_Table!C810)/Master_Table!C810</f>
        <v>1.701114229818985E-4</v>
      </c>
      <c r="D811" s="3">
        <f>(Master_Table!D811-Master_Table!D810)/Master_Table!D810</f>
        <v>6.228356461296993E-4</v>
      </c>
      <c r="E811" s="3">
        <f>(Master_Table!E811-Master_Table!E810)/Master_Table!E810</f>
        <v>-1.2008430861389939E-2</v>
      </c>
      <c r="F811" s="3">
        <f>(Master_Table!F811-Master_Table!F810)/Master_Table!F810</f>
        <v>-1.839485320155164E-3</v>
      </c>
      <c r="G811" s="3">
        <f>(Master_Table!G811-Master_Table!G810)/Master_Table!G810</f>
        <v>-1.1979295045600191E-2</v>
      </c>
      <c r="H811" s="3">
        <f>(Master_Table!H811-Master_Table!H810)/Master_Table!H810</f>
        <v>2.7508532739322173E-3</v>
      </c>
    </row>
    <row r="812" spans="1:8" x14ac:dyDescent="0.3">
      <c r="A812" s="1">
        <v>45021</v>
      </c>
      <c r="B812" s="3">
        <f>(Master_Table!B812-Master_Table!B811)/Master_Table!B811</f>
        <v>9.1389552277410403E-3</v>
      </c>
      <c r="C812" s="3">
        <f>(Master_Table!C812-Master_Table!C811)/Master_Table!C811</f>
        <v>-2.4000529145524127E-3</v>
      </c>
      <c r="D812" s="3">
        <f>(Master_Table!D812-Master_Table!D811)/Master_Table!D811</f>
        <v>2.6815058261129468E-2</v>
      </c>
      <c r="E812" s="3">
        <f>(Master_Table!E812-Master_Table!E811)/Master_Table!E811</f>
        <v>1.9789473684210558E-2</v>
      </c>
      <c r="F812" s="3">
        <f>(Master_Table!F812-Master_Table!F811)/Master_Table!F811</f>
        <v>1.2438623149276145E-2</v>
      </c>
      <c r="G812" s="3">
        <f>(Master_Table!G812-Master_Table!G811)/Master_Table!G811</f>
        <v>9.0025232725561184E-3</v>
      </c>
      <c r="H812" s="3">
        <f>(Master_Table!H812-Master_Table!H811)/Master_Table!H811</f>
        <v>4.036448110397322E-2</v>
      </c>
    </row>
    <row r="813" spans="1:8" x14ac:dyDescent="0.3">
      <c r="A813" s="1">
        <v>45022</v>
      </c>
      <c r="B813" s="3">
        <f>(Master_Table!B813-Master_Table!B812)/Master_Table!B812</f>
        <v>2.3978971410346375E-3</v>
      </c>
      <c r="C813" s="3">
        <f>(Master_Table!C813-Master_Table!C812)/Master_Table!C812</f>
        <v>6.7060060429827775E-3</v>
      </c>
      <c r="D813" s="3">
        <f>(Master_Table!D813-Master_Table!D812)/Master_Table!D812</f>
        <v>7.6259062583351077E-3</v>
      </c>
      <c r="E813" s="3">
        <f>(Master_Table!E813-Master_Table!E812)/Master_Table!E812</f>
        <v>2.449766033581025E-3</v>
      </c>
      <c r="F813" s="3">
        <f>(Master_Table!F813-Master_Table!F812)/Master_Table!F812</f>
        <v>-5.89482954298798E-3</v>
      </c>
      <c r="G813" s="3">
        <f>(Master_Table!G813-Master_Table!G812)/Master_Table!G812</f>
        <v>-1.1585439081075982E-3</v>
      </c>
      <c r="H813" s="3">
        <f>(Master_Table!H813-Master_Table!H812)/Master_Table!H812</f>
        <v>7.3068847190223317E-3</v>
      </c>
    </row>
    <row r="814" spans="1:8" x14ac:dyDescent="0.3">
      <c r="A814" s="1">
        <v>45026</v>
      </c>
      <c r="B814" s="3">
        <f>(Master_Table!B814-Master_Table!B813)/Master_Table!B813</f>
        <v>1.4148410576645925E-3</v>
      </c>
      <c r="C814" s="3">
        <f>(Master_Table!C814-Master_Table!C813)/Master_Table!C813</f>
        <v>-7.0847250317542208E-3</v>
      </c>
      <c r="D814" s="3">
        <f>(Master_Table!D814-Master_Table!D813)/Master_Table!D813</f>
        <v>-4.7406480489947831E-3</v>
      </c>
      <c r="E814" s="3">
        <f>(Master_Table!E814-Master_Table!E813)/Master_Table!E813</f>
        <v>3.1027760235042023E-3</v>
      </c>
      <c r="F814" s="3">
        <f>(Master_Table!F814-Master_Table!F813)/Master_Table!F813</f>
        <v>1.3257014520330021E-2</v>
      </c>
      <c r="G814" s="3">
        <f>(Master_Table!G814-Master_Table!G813)/Master_Table!G813</f>
        <v>4.0100995098766171E-3</v>
      </c>
      <c r="H814" s="3">
        <f>(Master_Table!H814-Master_Table!H813)/Master_Table!H813</f>
        <v>1.5587471850444835E-2</v>
      </c>
    </row>
    <row r="815" spans="1:8" x14ac:dyDescent="0.3">
      <c r="A815" s="1">
        <v>45027</v>
      </c>
      <c r="B815" s="3">
        <f>(Master_Table!B815-Master_Table!B814)/Master_Table!B814</f>
        <v>5.5747685690859935E-3</v>
      </c>
      <c r="C815" s="3">
        <f>(Master_Table!C815-Master_Table!C814)/Master_Table!C814</f>
        <v>4.9463669787363339E-3</v>
      </c>
      <c r="D815" s="3">
        <f>(Master_Table!D815-Master_Table!D814)/Master_Table!D814</f>
        <v>2.9256380187870365E-3</v>
      </c>
      <c r="E815" s="3">
        <f>(Master_Table!E815-Master_Table!E814)/Master_Table!E814</f>
        <v>1.9188656520310935E-2</v>
      </c>
      <c r="F815" s="3">
        <f>(Master_Table!F815-Master_Table!F814)/Master_Table!F814</f>
        <v>-1.5198485384887678E-2</v>
      </c>
      <c r="G815" s="3">
        <f>(Master_Table!G815-Master_Table!G814)/Master_Table!G814</f>
        <v>-1.5025359256128436E-2</v>
      </c>
      <c r="H815" s="3">
        <f>(Master_Table!H815-Master_Table!H814)/Master_Table!H814</f>
        <v>-3.5495769147319751E-3</v>
      </c>
    </row>
    <row r="816" spans="1:8" x14ac:dyDescent="0.3">
      <c r="A816" s="1">
        <v>45028</v>
      </c>
      <c r="B816" s="3">
        <f>(Master_Table!B816-Master_Table!B815)/Master_Table!B815</f>
        <v>5.0839902270022616E-3</v>
      </c>
      <c r="C816" s="3">
        <f>(Master_Table!C816-Master_Table!C815)/Master_Table!C815</f>
        <v>4.4034171271239864E-3</v>
      </c>
      <c r="D816" s="3">
        <f>(Master_Table!D816-Master_Table!D815)/Master_Table!D815</f>
        <v>1.2982316566014515E-2</v>
      </c>
      <c r="E816" s="3">
        <f>(Master_Table!E816-Master_Table!E815)/Master_Table!E815</f>
        <v>-6.2041737168640788E-3</v>
      </c>
      <c r="F816" s="3">
        <f>(Master_Table!F816-Master_Table!F815)/Master_Table!F815</f>
        <v>8.6652620522791012E-3</v>
      </c>
      <c r="G816" s="3">
        <f>(Master_Table!G816-Master_Table!G815)/Master_Table!G815</f>
        <v>1.5755183190657007E-2</v>
      </c>
      <c r="H816" s="3">
        <f>(Master_Table!H816-Master_Table!H815)/Master_Table!H815</f>
        <v>-5.6481675027871782E-3</v>
      </c>
    </row>
    <row r="817" spans="1:8" x14ac:dyDescent="0.3">
      <c r="A817" s="1">
        <v>45029</v>
      </c>
      <c r="B817" s="3">
        <f>(Master_Table!B817-Master_Table!B816)/Master_Table!B816</f>
        <v>8.7579439042456621E-4</v>
      </c>
      <c r="C817" s="3">
        <f>(Master_Table!C817-Master_Table!C816)/Master_Table!C816</f>
        <v>3.773903737291221E-3</v>
      </c>
      <c r="D817" s="3">
        <f>(Master_Table!D817-Master_Table!D816)/Master_Table!D816</f>
        <v>4.4742729306487591E-3</v>
      </c>
      <c r="E817" s="3">
        <f>(Master_Table!E817-Master_Table!E816)/Master_Table!E816</f>
        <v>5.2159342738230556E-3</v>
      </c>
      <c r="F817" s="3">
        <f>(Master_Table!F817-Master_Table!F816)/Master_Table!F816</f>
        <v>-1.6289087922645412E-2</v>
      </c>
      <c r="G817" s="3">
        <f>(Master_Table!G817-Master_Table!G816)/Master_Table!G816</f>
        <v>-2.7374498345419898E-2</v>
      </c>
      <c r="H817" s="3">
        <f>(Master_Table!H817-Master_Table!H816)/Master_Table!H816</f>
        <v>-1.2998445266822799E-2</v>
      </c>
    </row>
    <row r="818" spans="1:8" x14ac:dyDescent="0.3">
      <c r="A818" s="1">
        <v>45033</v>
      </c>
      <c r="B818" s="3">
        <f>(Master_Table!B818-Master_Table!B817)/Master_Table!B817</f>
        <v>-6.7954902400718786E-3</v>
      </c>
      <c r="C818" s="3">
        <f>(Master_Table!C818-Master_Table!C817)/Master_Table!C817</f>
        <v>5.0784209197273396E-3</v>
      </c>
      <c r="D818" s="3">
        <f>(Master_Table!D818-Master_Table!D817)/Master_Table!D817</f>
        <v>-1.5234800739231405E-2</v>
      </c>
      <c r="E818" s="3">
        <f>(Master_Table!E818-Master_Table!E817)/Master_Table!E817</f>
        <v>1.1506922973518026E-2</v>
      </c>
      <c r="F818" s="3">
        <f>(Master_Table!F818-Master_Table!F817)/Master_Table!F817</f>
        <v>-1.5475057810934582E-2</v>
      </c>
      <c r="G818" s="3">
        <f>(Master_Table!G818-Master_Table!G817)/Master_Table!G817</f>
        <v>-9.4229126550940387E-2</v>
      </c>
      <c r="H818" s="3">
        <f>(Master_Table!H818-Master_Table!H817)/Master_Table!H817</f>
        <v>-1.9812128661250355E-2</v>
      </c>
    </row>
    <row r="819" spans="1:8" x14ac:dyDescent="0.3">
      <c r="A819" s="1">
        <v>45034</v>
      </c>
      <c r="B819" s="3">
        <f>(Master_Table!B819-Master_Table!B818)/Master_Table!B818</f>
        <v>-2.637397391404857E-3</v>
      </c>
      <c r="C819" s="3">
        <f>(Master_Table!C819-Master_Table!C818)/Master_Table!C818</f>
        <v>-1.1454785699663309E-2</v>
      </c>
      <c r="D819" s="3">
        <f>(Master_Table!D819-Master_Table!D818)/Master_Table!D818</f>
        <v>-4.234535524384647E-3</v>
      </c>
      <c r="E819" s="3">
        <f>(Master_Table!E819-Master_Table!E818)/Master_Table!E818</f>
        <v>-4.1198203226749898E-3</v>
      </c>
      <c r="F819" s="3">
        <f>(Master_Table!F819-Master_Table!F818)/Master_Table!F818</f>
        <v>-2.7871821620341747E-3</v>
      </c>
      <c r="G819" s="3">
        <f>(Master_Table!G819-Master_Table!G818)/Master_Table!G818</f>
        <v>8.3116883116880205E-4</v>
      </c>
      <c r="H819" s="3">
        <f>(Master_Table!H819-Master_Table!H818)/Master_Table!H818</f>
        <v>1.1724656182380176E-3</v>
      </c>
    </row>
    <row r="820" spans="1:8" x14ac:dyDescent="0.3">
      <c r="A820" s="1">
        <v>45035</v>
      </c>
      <c r="B820" s="3">
        <f>(Master_Table!B820-Master_Table!B819)/Master_Table!B819</f>
        <v>-2.3442609490860185E-3</v>
      </c>
      <c r="C820" s="3">
        <f>(Master_Table!C820-Master_Table!C819)/Master_Table!C819</f>
        <v>4.9795265213914358E-3</v>
      </c>
      <c r="D820" s="3">
        <f>(Master_Table!D820-Master_Table!D819)/Master_Table!D819</f>
        <v>3.6726508323869375E-3</v>
      </c>
      <c r="E820" s="3">
        <f>(Master_Table!E820-Master_Table!E819)/Master_Table!E819</f>
        <v>6.1385715810830096E-4</v>
      </c>
      <c r="F820" s="3">
        <f>(Master_Table!F820-Master_Table!F819)/Master_Table!F819</f>
        <v>-1.314375014039041E-2</v>
      </c>
      <c r="G820" s="3">
        <f>(Master_Table!G820-Master_Table!G819)/Master_Table!G819</f>
        <v>-2.1552515791070766E-2</v>
      </c>
      <c r="H820" s="3">
        <f>(Master_Table!H820-Master_Table!H819)/Master_Table!H819</f>
        <v>1.3564778600205279E-3</v>
      </c>
    </row>
    <row r="821" spans="1:8" x14ac:dyDescent="0.3">
      <c r="A821" s="1">
        <v>45036</v>
      </c>
      <c r="B821" s="3">
        <f>(Master_Table!B821-Master_Table!B820)/Master_Table!B820</f>
        <v>3.2351897836116228E-4</v>
      </c>
      <c r="C821" s="3">
        <f>(Master_Table!C821-Master_Table!C820)/Master_Table!C820</f>
        <v>-2.5289423401146879E-3</v>
      </c>
      <c r="D821" s="3">
        <f>(Master_Table!D821-Master_Table!D820)/Master_Table!D820</f>
        <v>3.7314331110522916E-3</v>
      </c>
      <c r="E821" s="3">
        <f>(Master_Table!E821-Master_Table!E820)/Master_Table!E820</f>
        <v>3.8942679576431127E-3</v>
      </c>
      <c r="F821" s="3">
        <f>(Master_Table!F821-Master_Table!F820)/Master_Table!F820</f>
        <v>4.9197652299738598E-3</v>
      </c>
      <c r="G821" s="3">
        <f>(Master_Table!G821-Master_Table!G820)/Master_Table!G820</f>
        <v>-7.1492695666367347E-3</v>
      </c>
      <c r="H821" s="3">
        <f>(Master_Table!H821-Master_Table!H820)/Master_Table!H820</f>
        <v>5.9242936679595459E-3</v>
      </c>
    </row>
    <row r="822" spans="1:8" x14ac:dyDescent="0.3">
      <c r="A822" s="1">
        <v>45037</v>
      </c>
      <c r="B822" s="3">
        <f>(Master_Table!B822-Master_Table!B821)/Master_Table!B821</f>
        <v>-2.2695743697048997E-5</v>
      </c>
      <c r="C822" s="3">
        <f>(Master_Table!C822-Master_Table!C821)/Master_Table!C821</f>
        <v>1.2582868518413413E-3</v>
      </c>
      <c r="D822" s="3">
        <f>(Master_Table!D822-Master_Table!D821)/Master_Table!D821</f>
        <v>1.6069458435266847E-3</v>
      </c>
      <c r="E822" s="3">
        <f>(Master_Table!E822-Master_Table!E821)/Master_Table!E821</f>
        <v>1.9874060100433133E-2</v>
      </c>
      <c r="F822" s="3">
        <f>(Master_Table!F822-Master_Table!F821)/Master_Table!F821</f>
        <v>1.8052211954130089E-2</v>
      </c>
      <c r="G822" s="3">
        <f>(Master_Table!G822-Master_Table!G821)/Master_Table!G821</f>
        <v>3.2304733095500876E-3</v>
      </c>
      <c r="H822" s="3">
        <f>(Master_Table!H822-Master_Table!H821)/Master_Table!H821</f>
        <v>-7.8600189430497493E-3</v>
      </c>
    </row>
    <row r="823" spans="1:8" x14ac:dyDescent="0.3">
      <c r="A823" s="1">
        <v>45040</v>
      </c>
      <c r="B823" s="3">
        <f>(Master_Table!B823-Master_Table!B822)/Master_Table!B822</f>
        <v>6.7719962210730329E-3</v>
      </c>
      <c r="C823" s="3">
        <f>(Master_Table!C823-Master_Table!C822)/Master_Table!C822</f>
        <v>3.8357654649809792E-3</v>
      </c>
      <c r="D823" s="3">
        <f>(Master_Table!D823-Master_Table!D822)/Master_Table!D822</f>
        <v>8.0936759177222661E-3</v>
      </c>
      <c r="E823" s="3">
        <f>(Master_Table!E823-Master_Table!E822)/Master_Table!E822</f>
        <v>1.0941774130518668E-3</v>
      </c>
      <c r="F823" s="3">
        <f>(Master_Table!F823-Master_Table!F822)/Master_Table!F822</f>
        <v>4.4147514358271458E-3</v>
      </c>
      <c r="G823" s="3">
        <f>(Master_Table!G823-Master_Table!G822)/Master_Table!G822</f>
        <v>-8.521307365195077E-4</v>
      </c>
      <c r="H823" s="3">
        <f>(Master_Table!H823-Master_Table!H822)/Master_Table!H822</f>
        <v>6.1849046701233697E-3</v>
      </c>
    </row>
    <row r="824" spans="1:8" x14ac:dyDescent="0.3">
      <c r="A824" s="1">
        <v>45041</v>
      </c>
      <c r="B824" s="3">
        <f>(Master_Table!B824-Master_Table!B823)/Master_Table!B823</f>
        <v>1.4568797411994624E-3</v>
      </c>
      <c r="C824" s="3">
        <f>(Master_Table!C824-Master_Table!C823)/Master_Table!C823</f>
        <v>7.6515597410241835E-3</v>
      </c>
      <c r="D824" s="3">
        <f>(Master_Table!D824-Master_Table!D823)/Master_Table!D823</f>
        <v>-1.4216489702843329E-2</v>
      </c>
      <c r="E824" s="3">
        <f>(Master_Table!E824-Master_Table!E823)/Master_Table!E823</f>
        <v>6.9742628880735081E-3</v>
      </c>
      <c r="F824" s="3">
        <f>(Master_Table!F824-Master_Table!F823)/Master_Table!F823</f>
        <v>3.7656321198928366E-4</v>
      </c>
      <c r="G824" s="3">
        <f>(Master_Table!G824-Master_Table!G823)/Master_Table!G823</f>
        <v>-1.1398768276982688E-3</v>
      </c>
      <c r="H824" s="3">
        <f>(Master_Table!H824-Master_Table!H823)/Master_Table!H823</f>
        <v>8.5435880371780987E-3</v>
      </c>
    </row>
    <row r="825" spans="1:8" x14ac:dyDescent="0.3">
      <c r="A825" s="1">
        <v>45042</v>
      </c>
      <c r="B825" s="3">
        <f>(Master_Table!B825-Master_Table!B824)/Master_Table!B824</f>
        <v>2.495884744713398E-3</v>
      </c>
      <c r="C825" s="3">
        <f>(Master_Table!C825-Master_Table!C824)/Master_Table!C824</f>
        <v>-5.8689363595904979E-3</v>
      </c>
      <c r="D825" s="3">
        <f>(Master_Table!D825-Master_Table!D824)/Master_Table!D824</f>
        <v>4.6023541885038136E-3</v>
      </c>
      <c r="E825" s="3">
        <f>(Master_Table!E825-Master_Table!E824)/Master_Table!E824</f>
        <v>1.7056467243830599E-3</v>
      </c>
      <c r="F825" s="3">
        <f>(Master_Table!F825-Master_Table!F824)/Master_Table!F824</f>
        <v>6.974868331567268E-3</v>
      </c>
      <c r="G825" s="3">
        <f>(Master_Table!G825-Master_Table!G824)/Master_Table!G824</f>
        <v>2.1592065942006087E-3</v>
      </c>
      <c r="H825" s="3">
        <f>(Master_Table!H825-Master_Table!H824)/Master_Table!H824</f>
        <v>1.254631301579673E-2</v>
      </c>
    </row>
    <row r="826" spans="1:8" x14ac:dyDescent="0.3">
      <c r="A826" s="1">
        <v>45043</v>
      </c>
      <c r="B826" s="3">
        <f>(Master_Table!B826-Master_Table!B825)/Master_Table!B825</f>
        <v>5.6950868998967494E-3</v>
      </c>
      <c r="C826" s="3">
        <f>(Master_Table!C826-Master_Table!C825)/Master_Table!C825</f>
        <v>6.3232701938949407E-3</v>
      </c>
      <c r="D826" s="3">
        <f>(Master_Table!D826-Master_Table!D825)/Master_Table!D825</f>
        <v>5.4927263351041899E-3</v>
      </c>
      <c r="E826" s="3">
        <f>(Master_Table!E826-Master_Table!E825)/Master_Table!E825</f>
        <v>9.0812930522947855E-3</v>
      </c>
      <c r="F826" s="3">
        <f>(Master_Table!F826-Master_Table!F825)/Master_Table!F825</f>
        <v>-3.1884149023057393E-3</v>
      </c>
      <c r="G826" s="3">
        <f>(Master_Table!G826-Master_Table!G825)/Master_Table!G825</f>
        <v>1.5237533485708592E-2</v>
      </c>
      <c r="H826" s="3">
        <f>(Master_Table!H826-Master_Table!H825)/Master_Table!H825</f>
        <v>1.2936861247979839E-2</v>
      </c>
    </row>
    <row r="827" spans="1:8" x14ac:dyDescent="0.3">
      <c r="A827" s="1">
        <v>45044</v>
      </c>
      <c r="B827" s="3">
        <f>(Master_Table!B827-Master_Table!B826)/Master_Table!B826</f>
        <v>8.37005757728841E-3</v>
      </c>
      <c r="C827" s="3">
        <f>(Master_Table!C827-Master_Table!C826)/Master_Table!C826</f>
        <v>1.8285280025208309E-2</v>
      </c>
      <c r="D827" s="3">
        <f>(Master_Table!D827-Master_Table!D826)/Master_Table!D826</f>
        <v>3.9360217554657842E-3</v>
      </c>
      <c r="E827" s="3">
        <f>(Master_Table!E827-Master_Table!E826)/Master_Table!E826</f>
        <v>2.2959118451665733E-2</v>
      </c>
      <c r="F827" s="3">
        <f>(Master_Table!F827-Master_Table!F826)/Master_Table!F826</f>
        <v>9.8164342551012654E-3</v>
      </c>
      <c r="G827" s="3">
        <f>(Master_Table!G827-Master_Table!G826)/Master_Table!G826</f>
        <v>5.2127462134966846E-3</v>
      </c>
      <c r="H827" s="3">
        <f>(Master_Table!H827-Master_Table!H826)/Master_Table!H826</f>
        <v>2.5504149260349274E-2</v>
      </c>
    </row>
    <row r="828" spans="1:8" x14ac:dyDescent="0.3">
      <c r="A828" s="1">
        <v>45048</v>
      </c>
      <c r="B828" s="3">
        <f>(Master_Table!B828-Master_Table!B827)/Master_Table!B827</f>
        <v>4.5751453086078859E-3</v>
      </c>
      <c r="C828" s="3">
        <f>(Master_Table!C828-Master_Table!C827)/Master_Table!C827</f>
        <v>8.4824435262208855E-3</v>
      </c>
      <c r="D828" s="3">
        <f>(Master_Table!D828-Master_Table!D827)/Master_Table!D827</f>
        <v>-2.1385037602032013E-4</v>
      </c>
      <c r="E828" s="3">
        <f>(Master_Table!E828-Master_Table!E827)/Master_Table!E827</f>
        <v>-2.5742920696809114E-3</v>
      </c>
      <c r="F828" s="3">
        <f>(Master_Table!F828-Master_Table!F827)/Master_Table!F827</f>
        <v>4.6810635376385891E-5</v>
      </c>
      <c r="G828" s="3">
        <f>(Master_Table!G828-Master_Table!G827)/Master_Table!G827</f>
        <v>1.971534762749548E-2</v>
      </c>
      <c r="H828" s="3">
        <f>(Master_Table!H828-Master_Table!H827)/Master_Table!H827</f>
        <v>8.4778812079285143E-3</v>
      </c>
    </row>
    <row r="829" spans="1:8" x14ac:dyDescent="0.3">
      <c r="A829" s="1">
        <v>45049</v>
      </c>
      <c r="B829" s="3">
        <f>(Master_Table!B829-Master_Table!B828)/Master_Table!B828</f>
        <v>-3.1849853837826333E-3</v>
      </c>
      <c r="C829" s="3">
        <f>(Master_Table!C829-Master_Table!C828)/Master_Table!C828</f>
        <v>-8.5825677309892892E-3</v>
      </c>
      <c r="D829" s="3">
        <f>(Master_Table!D829-Master_Table!D828)/Master_Table!D828</f>
        <v>3.4936365904959473E-3</v>
      </c>
      <c r="E829" s="3">
        <f>(Master_Table!E829-Master_Table!E828)/Master_Table!E828</f>
        <v>6.3395810363837566E-3</v>
      </c>
      <c r="F829" s="3">
        <f>(Master_Table!F829-Master_Table!F828)/Master_Table!F828</f>
        <v>-1.2270053517654636E-2</v>
      </c>
      <c r="G829" s="3">
        <f>(Master_Table!G829-Master_Table!G828)/Master_Table!G828</f>
        <v>-6.4945799778003454E-3</v>
      </c>
      <c r="H829" s="3">
        <f>(Master_Table!H829-Master_Table!H828)/Master_Table!H828</f>
        <v>-1.1802881786236665E-2</v>
      </c>
    </row>
    <row r="830" spans="1:8" x14ac:dyDescent="0.3">
      <c r="A830" s="1">
        <v>45050</v>
      </c>
      <c r="B830" s="3">
        <f>(Master_Table!B830-Master_Table!B829)/Master_Table!B829</f>
        <v>9.1736526284076844E-3</v>
      </c>
      <c r="C830" s="3">
        <f>(Master_Table!C830-Master_Table!C829)/Master_Table!C829</f>
        <v>1.1533384916480883E-2</v>
      </c>
      <c r="D830" s="3">
        <f>(Master_Table!D830-Master_Table!D829)/Master_Table!D829</f>
        <v>2.0474380380593703E-2</v>
      </c>
      <c r="E830" s="3">
        <f>(Master_Table!E830-Master_Table!E829)/Master_Table!E829</f>
        <v>-5.9510470356813486E-3</v>
      </c>
      <c r="F830" s="3">
        <f>(Master_Table!F830-Master_Table!F829)/Master_Table!F829</f>
        <v>1.2833190637015286E-2</v>
      </c>
      <c r="G830" s="3">
        <f>(Master_Table!G830-Master_Table!G829)/Master_Table!G829</f>
        <v>3.4626477766157319E-3</v>
      </c>
      <c r="H830" s="3">
        <f>(Master_Table!H830-Master_Table!H829)/Master_Table!H829</f>
        <v>2.5521054870264101E-4</v>
      </c>
    </row>
    <row r="831" spans="1:8" x14ac:dyDescent="0.3">
      <c r="A831" s="1">
        <v>45051</v>
      </c>
      <c r="B831" s="3">
        <f>(Master_Table!B831-Master_Table!B830)/Master_Table!B830</f>
        <v>-1.0232364508813598E-2</v>
      </c>
      <c r="C831" s="3">
        <f>(Master_Table!C831-Master_Table!C830)/Master_Table!C830</f>
        <v>-2.555749536545345E-3</v>
      </c>
      <c r="D831" s="3">
        <f>(Master_Table!D831-Master_Table!D830)/Master_Table!D830</f>
        <v>-5.9123189751206888E-2</v>
      </c>
      <c r="E831" s="3">
        <f>(Master_Table!E831-Master_Table!E830)/Master_Table!E830</f>
        <v>9.7690496468112245E-3</v>
      </c>
      <c r="F831" s="3">
        <f>(Master_Table!F831-Master_Table!F830)/Master_Table!F830</f>
        <v>3.103701046524408E-3</v>
      </c>
      <c r="G831" s="3">
        <f>(Master_Table!G831-Master_Table!G830)/Master_Table!G830</f>
        <v>-1.1347036109948687E-2</v>
      </c>
      <c r="H831" s="3">
        <f>(Master_Table!H831-Master_Table!H830)/Master_Table!H830</f>
        <v>8.738731076713805E-3</v>
      </c>
    </row>
    <row r="832" spans="1:8" x14ac:dyDescent="0.3">
      <c r="A832" s="1">
        <v>45054</v>
      </c>
      <c r="B832" s="3">
        <f>(Master_Table!B832-Master_Table!B831)/Master_Table!B831</f>
        <v>1.0814101499806378E-2</v>
      </c>
      <c r="C832" s="3">
        <f>(Master_Table!C832-Master_Table!C831)/Master_Table!C831</f>
        <v>1.235135964199988E-2</v>
      </c>
      <c r="D832" s="3">
        <f>(Master_Table!D832-Master_Table!D831)/Master_Table!D831</f>
        <v>1.155634488967823E-2</v>
      </c>
      <c r="E832" s="3">
        <f>(Master_Table!E832-Master_Table!E831)/Master_Table!E831</f>
        <v>6.3008533439174947E-3</v>
      </c>
      <c r="F832" s="3">
        <f>(Master_Table!F832-Master_Table!F831)/Master_Table!F831</f>
        <v>6.1602089682193991E-3</v>
      </c>
      <c r="G832" s="3">
        <f>(Master_Table!G832-Master_Table!G831)/Master_Table!G831</f>
        <v>5.1675665314207435E-3</v>
      </c>
      <c r="H832" s="3">
        <f>(Master_Table!H832-Master_Table!H831)/Master_Table!H831</f>
        <v>-5.0882111164977607E-3</v>
      </c>
    </row>
    <row r="833" spans="1:8" x14ac:dyDescent="0.3">
      <c r="A833" s="1">
        <v>45055</v>
      </c>
      <c r="B833" s="3">
        <f>(Master_Table!B833-Master_Table!B832)/Master_Table!B832</f>
        <v>8.4864545235500337E-5</v>
      </c>
      <c r="C833" s="3">
        <f>(Master_Table!C833-Master_Table!C832)/Master_Table!C832</f>
        <v>3.0924986854652808E-3</v>
      </c>
      <c r="D833" s="3">
        <f>(Master_Table!D833-Master_Table!D832)/Master_Table!D832</f>
        <v>3.6577336682297058E-5</v>
      </c>
      <c r="E833" s="3">
        <f>(Master_Table!E833-Master_Table!E832)/Master_Table!E832</f>
        <v>-1.7748853719864035E-2</v>
      </c>
      <c r="F833" s="3">
        <f>(Master_Table!F833-Master_Table!F832)/Master_Table!F832</f>
        <v>1.0044473839554211E-2</v>
      </c>
      <c r="G833" s="3">
        <f>(Master_Table!G833-Master_Table!G832)/Master_Table!G832</f>
        <v>4.0285734718039081E-3</v>
      </c>
      <c r="H833" s="3">
        <f>(Master_Table!H833-Master_Table!H832)/Master_Table!H832</f>
        <v>3.7837700416936252E-3</v>
      </c>
    </row>
    <row r="834" spans="1:8" x14ac:dyDescent="0.3">
      <c r="A834" s="1">
        <v>45056</v>
      </c>
      <c r="B834" s="3">
        <f>(Master_Table!B834-Master_Table!B833)/Master_Table!B833</f>
        <v>2.690799000325623E-3</v>
      </c>
      <c r="C834" s="3">
        <f>(Master_Table!C834-Master_Table!C833)/Master_Table!C833</f>
        <v>6.8766991843915003E-3</v>
      </c>
      <c r="D834" s="3">
        <f>(Master_Table!D834-Master_Table!D833)/Master_Table!D833</f>
        <v>4.6207678521353844E-3</v>
      </c>
      <c r="E834" s="3">
        <f>(Master_Table!E834-Master_Table!E833)/Master_Table!E833</f>
        <v>3.6641068112233006E-3</v>
      </c>
      <c r="F834" s="3">
        <f>(Master_Table!F834-Master_Table!F833)/Master_Table!F833</f>
        <v>1.0801350015757563E-3</v>
      </c>
      <c r="G834" s="3">
        <f>(Master_Table!G834-Master_Table!G833)/Master_Table!G833</f>
        <v>-5.8642903496413804E-3</v>
      </c>
      <c r="H834" s="3">
        <f>(Master_Table!H834-Master_Table!H833)/Master_Table!H833</f>
        <v>-4.1705184866252607E-3</v>
      </c>
    </row>
    <row r="835" spans="1:8" x14ac:dyDescent="0.3">
      <c r="A835" s="1">
        <v>45057</v>
      </c>
      <c r="B835" s="3">
        <f>(Master_Table!B835-Master_Table!B834)/Master_Table!B834</f>
        <v>-9.8825559237997857E-4</v>
      </c>
      <c r="C835" s="3">
        <f>(Master_Table!C835-Master_Table!C834)/Master_Table!C834</f>
        <v>-6.5297190456020254E-3</v>
      </c>
      <c r="D835" s="3">
        <f>(Master_Table!D835-Master_Table!D834)/Master_Table!D834</f>
        <v>6.6747572815528461E-4</v>
      </c>
      <c r="E835" s="3">
        <f>(Master_Table!E835-Master_Table!E834)/Master_Table!E834</f>
        <v>-1.1627325465093104E-2</v>
      </c>
      <c r="F835" s="3">
        <f>(Master_Table!F835-Master_Table!F834)/Master_Table!F834</f>
        <v>-1.4151923805796648E-3</v>
      </c>
      <c r="G835" s="3">
        <f>(Master_Table!G835-Master_Table!G834)/Master_Table!G834</f>
        <v>-5.6600619342924343E-3</v>
      </c>
      <c r="H835" s="3">
        <f>(Master_Table!H835-Master_Table!H834)/Master_Table!H834</f>
        <v>-5.1726695858218999E-2</v>
      </c>
    </row>
    <row r="836" spans="1:8" x14ac:dyDescent="0.3">
      <c r="A836" s="1">
        <v>45058</v>
      </c>
      <c r="B836" s="3">
        <f>(Master_Table!B836-Master_Table!B835)/Master_Table!B835</f>
        <v>9.7283707711642744E-4</v>
      </c>
      <c r="C836" s="3">
        <f>(Master_Table!C836-Master_Table!C835)/Master_Table!C835</f>
        <v>1.6342771876220539E-3</v>
      </c>
      <c r="D836" s="3">
        <f>(Master_Table!D836-Master_Table!D835)/Master_Table!D835</f>
        <v>8.8290582742102802E-3</v>
      </c>
      <c r="E836" s="3">
        <f>(Master_Table!E836-Master_Table!E835)/Master_Table!E835</f>
        <v>1.2649581298861885E-4</v>
      </c>
      <c r="F836" s="3">
        <f>(Master_Table!F836-Master_Table!F835)/Master_Table!F835</f>
        <v>-2.3905650732628306E-3</v>
      </c>
      <c r="G836" s="3">
        <f>(Master_Table!G836-Master_Table!G835)/Master_Table!G835</f>
        <v>-8.6785262517412448E-3</v>
      </c>
      <c r="H836" s="3">
        <f>(Master_Table!H836-Master_Table!H835)/Master_Table!H835</f>
        <v>-9.387153010594073E-3</v>
      </c>
    </row>
    <row r="837" spans="1:8" x14ac:dyDescent="0.3">
      <c r="A837" s="1">
        <v>45061</v>
      </c>
      <c r="B837" s="3">
        <f>(Master_Table!B837-Master_Table!B836)/Master_Table!B836</f>
        <v>4.5891847030816212E-3</v>
      </c>
      <c r="C837" s="3">
        <f>(Master_Table!C837-Master_Table!C836)/Master_Table!C836</f>
        <v>1.9685737594438576E-3</v>
      </c>
      <c r="D837" s="3">
        <f>(Master_Table!D837-Master_Table!D836)/Master_Table!D836</f>
        <v>4.7966531623048082E-3</v>
      </c>
      <c r="E837" s="3">
        <f>(Master_Table!E837-Master_Table!E836)/Master_Table!E836</f>
        <v>1.7479510270160946E-2</v>
      </c>
      <c r="F837" s="3">
        <f>(Master_Table!F837-Master_Table!F836)/Master_Table!F836</f>
        <v>-5.8787432498772262E-3</v>
      </c>
      <c r="G837" s="3">
        <f>(Master_Table!G837-Master_Table!G836)/Master_Table!G836</f>
        <v>1.0563550903716567E-2</v>
      </c>
      <c r="H837" s="3">
        <f>(Master_Table!H837-Master_Table!H836)/Master_Table!H836</f>
        <v>1.1592437164387914E-2</v>
      </c>
    </row>
    <row r="838" spans="1:8" x14ac:dyDescent="0.3">
      <c r="A838" s="1">
        <v>45062</v>
      </c>
      <c r="B838" s="3">
        <f>(Master_Table!B838-Master_Table!B837)/Master_Table!B837</f>
        <v>-6.1063599083637597E-3</v>
      </c>
      <c r="C838" s="3">
        <f>(Master_Table!C838-Master_Table!C837)/Master_Table!C837</f>
        <v>-1.4239694143051972E-2</v>
      </c>
      <c r="D838" s="3">
        <f>(Master_Table!D838-Master_Table!D837)/Master_Table!D837</f>
        <v>-1.7001268215644558E-2</v>
      </c>
      <c r="E838" s="3">
        <f>(Master_Table!E838-Master_Table!E837)/Master_Table!E837</f>
        <v>-8.9998259702160563E-3</v>
      </c>
      <c r="F838" s="3">
        <f>(Master_Table!F838-Master_Table!F837)/Master_Table!F837</f>
        <v>9.5060554807963092E-4</v>
      </c>
      <c r="G838" s="3">
        <f>(Master_Table!G838-Master_Table!G837)/Master_Table!G837</f>
        <v>4.7230879884920338E-3</v>
      </c>
      <c r="H838" s="3">
        <f>(Master_Table!H838-Master_Table!H837)/Master_Table!H837</f>
        <v>-8.7430133955454827E-3</v>
      </c>
    </row>
    <row r="839" spans="1:8" x14ac:dyDescent="0.3">
      <c r="A839" s="1">
        <v>45063</v>
      </c>
      <c r="B839" s="3">
        <f>(Master_Table!B839-Master_Table!B838)/Master_Table!B838</f>
        <v>-5.7282694884204198E-3</v>
      </c>
      <c r="C839" s="3">
        <f>(Master_Table!C839-Master_Table!C838)/Master_Table!C838</f>
        <v>-5.9074381649233988E-3</v>
      </c>
      <c r="D839" s="3">
        <f>(Master_Table!D839-Master_Table!D838)/Master_Table!D838</f>
        <v>-5.3796813573349384E-3</v>
      </c>
      <c r="E839" s="3">
        <f>(Master_Table!E839-Master_Table!E838)/Master_Table!E838</f>
        <v>8.6049020345701482E-3</v>
      </c>
      <c r="F839" s="3">
        <f>(Master_Table!F839-Master_Table!F838)/Master_Table!F838</f>
        <v>-1.5176743382915156E-2</v>
      </c>
      <c r="G839" s="3">
        <f>(Master_Table!G839-Master_Table!G838)/Master_Table!G838</f>
        <v>-1.3760628693694732E-2</v>
      </c>
      <c r="H839" s="3">
        <f>(Master_Table!H839-Master_Table!H838)/Master_Table!H838</f>
        <v>-3.4110494602171402E-3</v>
      </c>
    </row>
    <row r="840" spans="1:8" x14ac:dyDescent="0.3">
      <c r="A840" s="1">
        <v>45064</v>
      </c>
      <c r="B840" s="3">
        <f>(Master_Table!B840-Master_Table!B839)/Master_Table!B839</f>
        <v>-2.8490106837900241E-3</v>
      </c>
      <c r="C840" s="3">
        <f>(Master_Table!C840-Master_Table!C839)/Master_Table!C839</f>
        <v>-2.1494305815202091E-3</v>
      </c>
      <c r="D840" s="3">
        <f>(Master_Table!D840-Master_Table!D839)/Master_Table!D839</f>
        <v>4.0015173949754426E-3</v>
      </c>
      <c r="E840" s="3">
        <f>(Master_Table!E840-Master_Table!E839)/Master_Table!E839</f>
        <v>-1.8480748184260289E-2</v>
      </c>
      <c r="F840" s="3">
        <f>(Master_Table!F840-Master_Table!F839)/Master_Table!F839</f>
        <v>-2.7583831679138184E-3</v>
      </c>
      <c r="G840" s="3">
        <f>(Master_Table!G840-Master_Table!G839)/Master_Table!G839</f>
        <v>-7.1779403343799142E-4</v>
      </c>
      <c r="H840" s="3">
        <f>(Master_Table!H840-Master_Table!H839)/Master_Table!H839</f>
        <v>-1.4146960412894335E-2</v>
      </c>
    </row>
    <row r="841" spans="1:8" x14ac:dyDescent="0.3">
      <c r="A841" s="1">
        <v>45065</v>
      </c>
      <c r="B841" s="3">
        <f>(Master_Table!B841-Master_Table!B840)/Master_Table!B840</f>
        <v>4.0513073670915105E-3</v>
      </c>
      <c r="C841" s="3">
        <f>(Master_Table!C841-Master_Table!C840)/Master_Table!C840</f>
        <v>3.2401415525526766E-3</v>
      </c>
      <c r="D841" s="3">
        <f>(Master_Table!D841-Master_Table!D840)/Master_Table!D840</f>
        <v>1.1578870389780511E-3</v>
      </c>
      <c r="E841" s="3">
        <f>(Master_Table!E841-Master_Table!E840)/Master_Table!E840</f>
        <v>3.5478066952177175E-4</v>
      </c>
      <c r="F841" s="3">
        <f>(Master_Table!F841-Master_Table!F840)/Master_Table!F840</f>
        <v>7.1897497401956102E-3</v>
      </c>
      <c r="G841" s="3">
        <f>(Master_Table!G841-Master_Table!G840)/Master_Table!G840</f>
        <v>1.8377427321592858E-2</v>
      </c>
      <c r="H841" s="3">
        <f>(Master_Table!H841-Master_Table!H840)/Master_Table!H840</f>
        <v>8.4276867831871796E-4</v>
      </c>
    </row>
    <row r="842" spans="1:8" x14ac:dyDescent="0.3">
      <c r="A842" s="1">
        <v>45068</v>
      </c>
      <c r="B842" s="3">
        <f>(Master_Table!B842-Master_Table!B841)/Master_Table!B841</f>
        <v>6.0977619565575659E-3</v>
      </c>
      <c r="C842" s="3">
        <f>(Master_Table!C842-Master_Table!C841)/Master_Table!C841</f>
        <v>5.3497162755871278E-3</v>
      </c>
      <c r="D842" s="3">
        <f>(Master_Table!D842-Master_Table!D841)/Master_Table!D841</f>
        <v>-3.5548629795107913E-3</v>
      </c>
      <c r="E842" s="3">
        <f>(Master_Table!E842-Master_Table!E841)/Master_Table!E841</f>
        <v>1.1678277390753677E-2</v>
      </c>
      <c r="F842" s="3">
        <f>(Master_Table!F842-Master_Table!F841)/Master_Table!F841</f>
        <v>2.3534986081627438E-2</v>
      </c>
      <c r="G842" s="3">
        <f>(Master_Table!G842-Master_Table!G841)/Master_Table!G841</f>
        <v>1.8838316994111527E-2</v>
      </c>
      <c r="H842" s="3">
        <f>(Master_Table!H842-Master_Table!H841)/Master_Table!H841</f>
        <v>1.212290400527213E-2</v>
      </c>
    </row>
    <row r="843" spans="1:8" x14ac:dyDescent="0.3">
      <c r="A843" s="1">
        <v>45069</v>
      </c>
      <c r="B843" s="3">
        <f>(Master_Table!B843-Master_Table!B842)/Master_Table!B842</f>
        <v>1.8346219368365079E-3</v>
      </c>
      <c r="C843" s="3">
        <f>(Master_Table!C843-Master_Table!C842)/Master_Table!C842</f>
        <v>-1.8844221105530901E-4</v>
      </c>
      <c r="D843" s="3">
        <f>(Master_Table!D843-Master_Table!D842)/Master_Table!D842</f>
        <v>-2.3457830883699972E-3</v>
      </c>
      <c r="E843" s="3">
        <f>(Master_Table!E843-Master_Table!E842)/Master_Table!E842</f>
        <v>1.0366586538461503E-2</v>
      </c>
      <c r="F843" s="3">
        <f>(Master_Table!F843-Master_Table!F842)/Master_Table!F842</f>
        <v>-5.0251409323604954E-4</v>
      </c>
      <c r="G843" s="3">
        <f>(Master_Table!G843-Master_Table!G842)/Master_Table!G842</f>
        <v>5.6084507918728313E-3</v>
      </c>
      <c r="H843" s="3">
        <f>(Master_Table!H843-Master_Table!H842)/Master_Table!H842</f>
        <v>-8.5458105181293667E-3</v>
      </c>
    </row>
    <row r="844" spans="1:8" x14ac:dyDescent="0.3">
      <c r="A844" s="1">
        <v>45070</v>
      </c>
      <c r="B844" s="3">
        <f>(Master_Table!B844-Master_Table!B843)/Master_Table!B843</f>
        <v>-3.4118160017439802E-3</v>
      </c>
      <c r="C844" s="3">
        <f>(Master_Table!C844-Master_Table!C843)/Master_Table!C843</f>
        <v>-5.82485931483859E-3</v>
      </c>
      <c r="D844" s="3">
        <f>(Master_Table!D844-Master_Table!D843)/Master_Table!D843</f>
        <v>-1.3079099158676001E-2</v>
      </c>
      <c r="E844" s="3">
        <f>(Master_Table!E844-Master_Table!E843)/Master_Table!E843</f>
        <v>1.0136307311028438E-2</v>
      </c>
      <c r="F844" s="3">
        <f>(Master_Table!F844-Master_Table!F843)/Master_Table!F843</f>
        <v>1.9105136143139159E-3</v>
      </c>
      <c r="G844" s="3">
        <f>(Master_Table!G844-Master_Table!G843)/Master_Table!G843</f>
        <v>-1.0829459223219064E-3</v>
      </c>
      <c r="H844" s="3">
        <f>(Master_Table!H844-Master_Table!H843)/Master_Table!H843</f>
        <v>-5.6915871227841428E-3</v>
      </c>
    </row>
    <row r="845" spans="1:8" x14ac:dyDescent="0.3">
      <c r="A845" s="1">
        <v>45071</v>
      </c>
      <c r="B845" s="3">
        <f>(Master_Table!B845-Master_Table!B844)/Master_Table!B844</f>
        <v>1.9551117284828333E-3</v>
      </c>
      <c r="C845" s="3">
        <f>(Master_Table!C845-Master_Table!C844)/Master_Table!C844</f>
        <v>-1.1736029610915333E-4</v>
      </c>
      <c r="D845" s="3">
        <f>(Master_Table!D845-Master_Table!D844)/Master_Table!D844</f>
        <v>-3.8342701857574011E-3</v>
      </c>
      <c r="E845" s="3">
        <f>(Master_Table!E845-Master_Table!E844)/Master_Table!E844</f>
        <v>1.7640275767315191E-2</v>
      </c>
      <c r="F845" s="3">
        <f>(Master_Table!F845-Master_Table!F844)/Master_Table!F844</f>
        <v>-2.9804355693696929E-3</v>
      </c>
      <c r="G845" s="3">
        <f>(Master_Table!G845-Master_Table!G844)/Master_Table!G844</f>
        <v>4.3906858607525908E-3</v>
      </c>
      <c r="H845" s="3">
        <f>(Master_Table!H845-Master_Table!H844)/Master_Table!H844</f>
        <v>8.9485971663539002E-3</v>
      </c>
    </row>
    <row r="846" spans="1:8" x14ac:dyDescent="0.3">
      <c r="A846" s="1">
        <v>45072</v>
      </c>
      <c r="B846" s="3">
        <f>(Master_Table!B846-Master_Table!B845)/Master_Table!B845</f>
        <v>9.7264636772253412E-3</v>
      </c>
      <c r="C846" s="3">
        <f>(Master_Table!C846-Master_Table!C845)/Master_Table!C845</f>
        <v>2.72668996090541E-2</v>
      </c>
      <c r="D846" s="3">
        <f>(Master_Table!D846-Master_Table!D845)/Master_Table!D845</f>
        <v>3.8490284005979472E-3</v>
      </c>
      <c r="E846" s="3">
        <f>(Master_Table!E846-Master_Table!E845)/Master_Table!E845</f>
        <v>5.5451082501567373E-3</v>
      </c>
      <c r="F846" s="3">
        <f>(Master_Table!F846-Master_Table!F845)/Master_Table!F845</f>
        <v>1.0749441022966174E-2</v>
      </c>
      <c r="G846" s="3">
        <f>(Master_Table!G846-Master_Table!G845)/Master_Table!G845</f>
        <v>1.004595078023806E-2</v>
      </c>
      <c r="H846" s="3">
        <f>(Master_Table!H846-Master_Table!H845)/Master_Table!H845</f>
        <v>6.2371007482703664E-3</v>
      </c>
    </row>
    <row r="847" spans="1:8" x14ac:dyDescent="0.3">
      <c r="A847" s="1">
        <v>45075</v>
      </c>
      <c r="B847" s="3">
        <f>(Master_Table!B847-Master_Table!B846)/Master_Table!B846</f>
        <v>5.3677561644059337E-3</v>
      </c>
      <c r="C847" s="3">
        <f>(Master_Table!C847-Master_Table!C846)/Master_Table!C846</f>
        <v>5.6250384524113755E-3</v>
      </c>
      <c r="D847" s="3">
        <f>(Master_Table!D847-Master_Table!D846)/Master_Table!D846</f>
        <v>1.2197694474432046E-2</v>
      </c>
      <c r="E847" s="3">
        <f>(Master_Table!E847-Master_Table!E846)/Master_Table!E846</f>
        <v>1.2395703462165571E-2</v>
      </c>
      <c r="F847" s="3">
        <f>(Master_Table!F847-Master_Table!F846)/Master_Table!F846</f>
        <v>-2.5682425193524218E-3</v>
      </c>
      <c r="G847" s="3">
        <f>(Master_Table!G847-Master_Table!G846)/Master_Table!G846</f>
        <v>-2.3204866915508054E-3</v>
      </c>
      <c r="H847" s="3">
        <f>(Master_Table!H847-Master_Table!H846)/Master_Table!H846</f>
        <v>2.7468307536616552E-3</v>
      </c>
    </row>
    <row r="848" spans="1:8" x14ac:dyDescent="0.3">
      <c r="A848" s="1">
        <v>45076</v>
      </c>
      <c r="B848" s="3">
        <f>(Master_Table!B848-Master_Table!B847)/Master_Table!B847</f>
        <v>1.8926104851694659E-3</v>
      </c>
      <c r="C848" s="3">
        <f>(Master_Table!C848-Master_Table!C847)/Master_Table!C847</f>
        <v>-2.5345883915848486E-4</v>
      </c>
      <c r="D848" s="3">
        <f>(Master_Table!D848-Master_Table!D847)/Master_Table!D847</f>
        <v>7.6006472809297867E-4</v>
      </c>
      <c r="E848" s="3">
        <f>(Master_Table!E848-Master_Table!E847)/Master_Table!E847</f>
        <v>7.9573712255772977E-3</v>
      </c>
      <c r="F848" s="3">
        <f>(Master_Table!F848-Master_Table!F847)/Master_Table!F847</f>
        <v>-1.2496066613414995E-3</v>
      </c>
      <c r="G848" s="3">
        <f>(Master_Table!G848-Master_Table!G847)/Master_Table!G847</f>
        <v>7.1918777686817374E-3</v>
      </c>
      <c r="H848" s="3">
        <f>(Master_Table!H848-Master_Table!H847)/Master_Table!H847</f>
        <v>-6.1769555853915838E-3</v>
      </c>
    </row>
    <row r="849" spans="1:8" x14ac:dyDescent="0.3">
      <c r="A849" s="1">
        <v>45077</v>
      </c>
      <c r="B849" s="3">
        <f>(Master_Table!B849-Master_Table!B848)/Master_Table!B848</f>
        <v>-5.3370613158309791E-3</v>
      </c>
      <c r="C849" s="3">
        <f>(Master_Table!C849-Master_Table!C848)/Master_Table!C848</f>
        <v>-1.9862223310137449E-2</v>
      </c>
      <c r="D849" s="3">
        <f>(Master_Table!D849-Master_Table!D848)/Master_Table!D848</f>
        <v>-1.5814489060930595E-2</v>
      </c>
      <c r="E849" s="3">
        <f>(Master_Table!E849-Master_Table!E848)/Master_Table!E848</f>
        <v>-9.7742064331195807E-3</v>
      </c>
      <c r="F849" s="3">
        <f>(Master_Table!F849-Master_Table!F848)/Master_Table!F848</f>
        <v>-8.0523249649338911E-3</v>
      </c>
      <c r="G849" s="3">
        <f>(Master_Table!G849-Master_Table!G848)/Master_Table!G848</f>
        <v>-4.1931587703105989E-3</v>
      </c>
      <c r="H849" s="3">
        <f>(Master_Table!H849-Master_Table!H848)/Master_Table!H848</f>
        <v>-2.3301886364769145E-3</v>
      </c>
    </row>
    <row r="850" spans="1:8" x14ac:dyDescent="0.3">
      <c r="A850" s="1">
        <v>45078</v>
      </c>
      <c r="B850" s="3">
        <f>(Master_Table!B850-Master_Table!B849)/Master_Table!B849</f>
        <v>-2.5169414709945537E-3</v>
      </c>
      <c r="C850" s="3">
        <f>(Master_Table!C850-Master_Table!C849)/Master_Table!C849</f>
        <v>-2.6936387313139798E-3</v>
      </c>
      <c r="D850" s="3">
        <f>(Master_Table!D850-Master_Table!D849)/Master_Table!D849</f>
        <v>-4.2567491878570118E-3</v>
      </c>
      <c r="E850" s="3">
        <f>(Master_Table!E850-Master_Table!E849)/Master_Table!E849</f>
        <v>-1.3026456281883994E-2</v>
      </c>
      <c r="F850" s="3">
        <f>(Master_Table!F850-Master_Table!F849)/Master_Table!F849</f>
        <v>1.0487641746555828E-2</v>
      </c>
      <c r="G850" s="3">
        <f>(Master_Table!G850-Master_Table!G849)/Master_Table!G849</f>
        <v>9.1539464951813474E-4</v>
      </c>
      <c r="H850" s="3">
        <f>(Master_Table!H850-Master_Table!H849)/Master_Table!H849</f>
        <v>9.7242228573759712E-4</v>
      </c>
    </row>
    <row r="851" spans="1:8" x14ac:dyDescent="0.3">
      <c r="A851" s="1">
        <v>45079</v>
      </c>
      <c r="B851" s="3">
        <f>(Master_Table!B851-Master_Table!B850)/Master_Table!B850</f>
        <v>2.5070654893104105E-3</v>
      </c>
      <c r="C851" s="3">
        <f>(Master_Table!C851-Master_Table!C850)/Master_Table!C850</f>
        <v>-3.2643497236482825E-3</v>
      </c>
      <c r="D851" s="3">
        <f>(Master_Table!D851-Master_Table!D850)/Master_Table!D850</f>
        <v>1.5624804689941376E-3</v>
      </c>
      <c r="E851" s="3">
        <f>(Master_Table!E851-Master_Table!E850)/Master_Table!E850</f>
        <v>8.4142706029425914E-3</v>
      </c>
      <c r="F851" s="3">
        <f>(Master_Table!F851-Master_Table!F850)/Master_Table!F850</f>
        <v>-5.5369680264275864E-3</v>
      </c>
      <c r="G851" s="3">
        <f>(Master_Table!G851-Master_Table!G850)/Master_Table!G850</f>
        <v>-1.5539855652346125E-2</v>
      </c>
      <c r="H851" s="3">
        <f>(Master_Table!H851-Master_Table!H850)/Master_Table!H850</f>
        <v>1.211623230117624E-2</v>
      </c>
    </row>
    <row r="852" spans="1:8" x14ac:dyDescent="0.3">
      <c r="A852" s="1">
        <v>45082</v>
      </c>
      <c r="B852" s="3">
        <f>(Master_Table!B852-Master_Table!B851)/Master_Table!B851</f>
        <v>3.2237875051931309E-3</v>
      </c>
      <c r="C852" s="3">
        <f>(Master_Table!C852-Master_Table!C851)/Master_Table!C851</f>
        <v>8.9816866907733491E-3</v>
      </c>
      <c r="D852" s="3">
        <f>(Master_Table!D852-Master_Table!D851)/Master_Table!D851</f>
        <v>-1.3104360632004025E-3</v>
      </c>
      <c r="E852" s="3">
        <f>(Master_Table!E852-Master_Table!E851)/Master_Table!E851</f>
        <v>-6.1984456205596864E-3</v>
      </c>
      <c r="F852" s="3">
        <f>(Master_Table!F852-Master_Table!F851)/Master_Table!F851</f>
        <v>-5.051134377801721E-3</v>
      </c>
      <c r="G852" s="3">
        <f>(Master_Table!G852-Master_Table!G851)/Master_Table!G851</f>
        <v>4.2346638590406802E-3</v>
      </c>
      <c r="H852" s="3">
        <f>(Master_Table!H852-Master_Table!H851)/Master_Table!H851</f>
        <v>1.5106390613226092E-2</v>
      </c>
    </row>
    <row r="853" spans="1:8" x14ac:dyDescent="0.3">
      <c r="A853" s="1">
        <v>45083</v>
      </c>
      <c r="B853" s="3">
        <f>(Master_Table!B853-Master_Table!B852)/Master_Table!B852</f>
        <v>2.7697330031174045E-4</v>
      </c>
      <c r="C853" s="3">
        <f>(Master_Table!C853-Master_Table!C852)/Master_Table!C852</f>
        <v>8.448199199644691E-4</v>
      </c>
      <c r="D853" s="3">
        <f>(Master_Table!D853-Master_Table!D852)/Master_Table!D852</f>
        <v>-3.1116831831644307E-3</v>
      </c>
      <c r="E853" s="3">
        <f>(Master_Table!E853-Master_Table!E852)/Master_Table!E852</f>
        <v>4.8697404404355726E-3</v>
      </c>
      <c r="F853" s="3">
        <f>(Master_Table!F853-Master_Table!F852)/Master_Table!F852</f>
        <v>-1.7209727130826351E-2</v>
      </c>
      <c r="G853" s="3">
        <f>(Master_Table!G853-Master_Table!G852)/Master_Table!G852</f>
        <v>-1.9549950277137601E-2</v>
      </c>
      <c r="H853" s="3">
        <f>(Master_Table!H853-Master_Table!H852)/Master_Table!H852</f>
        <v>4.2506185931426065E-3</v>
      </c>
    </row>
    <row r="854" spans="1:8" x14ac:dyDescent="0.3">
      <c r="A854" s="1">
        <v>45084</v>
      </c>
      <c r="B854" s="3">
        <f>(Master_Table!B854-Master_Table!B853)/Master_Table!B853</f>
        <v>6.8498306360557804E-3</v>
      </c>
      <c r="C854" s="3">
        <f>(Master_Table!C854-Master_Table!C853)/Master_Table!C853</f>
        <v>7.5791905460037964E-3</v>
      </c>
      <c r="D854" s="3">
        <f>(Master_Table!D854-Master_Table!D853)/Master_Table!D853</f>
        <v>5.177255177255171E-3</v>
      </c>
      <c r="E854" s="3">
        <f>(Master_Table!E854-Master_Table!E853)/Master_Table!E853</f>
        <v>2.6021151137530902E-3</v>
      </c>
      <c r="F854" s="3">
        <f>(Master_Table!F854-Master_Table!F853)/Master_Table!F853</f>
        <v>1.3181491830334622E-2</v>
      </c>
      <c r="G854" s="3">
        <f>(Master_Table!G854-Master_Table!G853)/Master_Table!G853</f>
        <v>7.7840591903006627E-3</v>
      </c>
      <c r="H854" s="3">
        <f>(Master_Table!H854-Master_Table!H853)/Master_Table!H853</f>
        <v>1.6486127366003377E-2</v>
      </c>
    </row>
    <row r="855" spans="1:8" x14ac:dyDescent="0.3">
      <c r="A855" s="1">
        <v>45085</v>
      </c>
      <c r="B855" s="3">
        <f>(Master_Table!B855-Master_Table!B854)/Master_Table!B854</f>
        <v>-4.9048402255640264E-3</v>
      </c>
      <c r="C855" s="3">
        <f>(Master_Table!C855-Master_Table!C854)/Master_Table!C854</f>
        <v>5.9965784229004356E-4</v>
      </c>
      <c r="D855" s="3">
        <f>(Master_Table!D855-Master_Table!D854)/Master_Table!D854</f>
        <v>6.2355802207395396E-4</v>
      </c>
      <c r="E855" s="3">
        <f>(Master_Table!E855-Master_Table!E854)/Master_Table!E854</f>
        <v>-2.3572551073860874E-3</v>
      </c>
      <c r="F855" s="3">
        <f>(Master_Table!F855-Master_Table!F854)/Master_Table!F854</f>
        <v>-1.1743051720964537E-2</v>
      </c>
      <c r="G855" s="3">
        <f>(Master_Table!G855-Master_Table!G854)/Master_Table!G854</f>
        <v>-4.774796564019035E-3</v>
      </c>
      <c r="H855" s="3">
        <f>(Master_Table!H855-Master_Table!H854)/Master_Table!H854</f>
        <v>1.0708612338710828E-2</v>
      </c>
    </row>
    <row r="856" spans="1:8" x14ac:dyDescent="0.3">
      <c r="A856" s="1">
        <v>45086</v>
      </c>
      <c r="B856" s="3">
        <f>(Master_Table!B856-Master_Table!B855)/Master_Table!B855</f>
        <v>-3.8181764518058028E-3</v>
      </c>
      <c r="C856" s="3">
        <f>(Master_Table!C856-Master_Table!C855)/Master_Table!C855</f>
        <v>-7.0770098531718504E-3</v>
      </c>
      <c r="D856" s="3">
        <f>(Master_Table!D856-Master_Table!D855)/Master_Table!D855</f>
        <v>1.1840219355641949E-3</v>
      </c>
      <c r="E856" s="3">
        <f>(Master_Table!E856-Master_Table!E855)/Master_Table!E855</f>
        <v>-1.0047972505310476E-2</v>
      </c>
      <c r="F856" s="3">
        <f>(Master_Table!F856-Master_Table!F855)/Master_Table!F855</f>
        <v>-8.3873451041744217E-3</v>
      </c>
      <c r="G856" s="3">
        <f>(Master_Table!G856-Master_Table!G855)/Master_Table!G855</f>
        <v>-1.3130972632701219E-2</v>
      </c>
      <c r="H856" s="3">
        <f>(Master_Table!H856-Master_Table!H855)/Master_Table!H855</f>
        <v>9.7000895063445152E-3</v>
      </c>
    </row>
    <row r="857" spans="1:8" x14ac:dyDescent="0.3">
      <c r="A857" s="1">
        <v>45089</v>
      </c>
      <c r="B857" s="3">
        <f>(Master_Table!B857-Master_Table!B856)/Master_Table!B856</f>
        <v>2.0524257409740964E-3</v>
      </c>
      <c r="C857" s="3">
        <f>(Master_Table!C857-Master_Table!C856)/Master_Table!C856</f>
        <v>8.8760285098035728E-4</v>
      </c>
      <c r="D857" s="3">
        <f>(Master_Table!D857-Master_Table!D856)/Master_Table!D856</f>
        <v>-6.0873895182372547E-3</v>
      </c>
      <c r="E857" s="3">
        <f>(Master_Table!E857-Master_Table!E856)/Master_Table!E856</f>
        <v>-3.4235016153140439E-3</v>
      </c>
      <c r="F857" s="3">
        <f>(Master_Table!F857-Master_Table!F856)/Master_Table!F856</f>
        <v>1.1717013617154434E-2</v>
      </c>
      <c r="G857" s="3">
        <f>(Master_Table!G857-Master_Table!G856)/Master_Table!G856</f>
        <v>2.0534451805602004E-2</v>
      </c>
      <c r="H857" s="3">
        <f>(Master_Table!H857-Master_Table!H856)/Master_Table!H856</f>
        <v>-9.7511112619184034E-3</v>
      </c>
    </row>
    <row r="858" spans="1:8" x14ac:dyDescent="0.3">
      <c r="A858" s="1">
        <v>45090</v>
      </c>
      <c r="B858" s="3">
        <f>(Master_Table!B858-Master_Table!B857)/Master_Table!B857</f>
        <v>6.1634814396689221E-3</v>
      </c>
      <c r="C858" s="3">
        <f>(Master_Table!C858-Master_Table!C857)/Master_Table!C857</f>
        <v>1.4774349742379905E-2</v>
      </c>
      <c r="D858" s="3">
        <f>(Master_Table!D858-Master_Table!D857)/Master_Table!D857</f>
        <v>1.6908605854135379E-3</v>
      </c>
      <c r="E858" s="3">
        <f>(Master_Table!E858-Master_Table!E857)/Master_Table!E857</f>
        <v>1.9329398103348192E-2</v>
      </c>
      <c r="F858" s="3">
        <f>(Master_Table!F858-Master_Table!F857)/Master_Table!F857</f>
        <v>-9.870263279217232E-4</v>
      </c>
      <c r="G858" s="3">
        <f>(Master_Table!G858-Master_Table!G857)/Master_Table!G857</f>
        <v>9.9866896031010326E-3</v>
      </c>
      <c r="H858" s="3">
        <f>(Master_Table!H858-Master_Table!H857)/Master_Table!H857</f>
        <v>6.172125635523283E-3</v>
      </c>
    </row>
    <row r="859" spans="1:8" x14ac:dyDescent="0.3">
      <c r="A859" s="1">
        <v>45091</v>
      </c>
      <c r="B859" s="3">
        <f>(Master_Table!B859-Master_Table!B858)/Master_Table!B858</f>
        <v>2.1238342287275961E-3</v>
      </c>
      <c r="C859" s="3">
        <f>(Master_Table!C859-Master_Table!C858)/Master_Table!C858</f>
        <v>1.2295834097999577E-2</v>
      </c>
      <c r="D859" s="3">
        <f>(Master_Table!D859-Master_Table!D858)/Master_Table!D858</f>
        <v>-1.087826347904377E-3</v>
      </c>
      <c r="E859" s="3">
        <f>(Master_Table!E859-Master_Table!E858)/Master_Table!E858</f>
        <v>-2.0173252640323311E-3</v>
      </c>
      <c r="F859" s="3">
        <f>(Master_Table!F859-Master_Table!F858)/Master_Table!F858</f>
        <v>2.2671382644623489E-3</v>
      </c>
      <c r="G859" s="3">
        <f>(Master_Table!G859-Master_Table!G858)/Master_Table!G858</f>
        <v>-3.4141529355550225E-3</v>
      </c>
      <c r="H859" s="3">
        <f>(Master_Table!H859-Master_Table!H858)/Master_Table!H858</f>
        <v>2.7670171555067516E-4</v>
      </c>
    </row>
    <row r="860" spans="1:8" x14ac:dyDescent="0.3">
      <c r="A860" s="1">
        <v>45092</v>
      </c>
      <c r="B860" s="3">
        <f>(Master_Table!B860-Master_Table!B859)/Master_Table!B859</f>
        <v>-3.6148625232595025E-3</v>
      </c>
      <c r="C860" s="3">
        <f>(Master_Table!C860-Master_Table!C859)/Master_Table!C859</f>
        <v>2.7625263303304997E-4</v>
      </c>
      <c r="D860" s="3">
        <f>(Master_Table!D860-Master_Table!D859)/Master_Table!D859</f>
        <v>-1.2304572594474886E-2</v>
      </c>
      <c r="E860" s="3">
        <f>(Master_Table!E860-Master_Table!E859)/Master_Table!E859</f>
        <v>8.1093935790725914E-3</v>
      </c>
      <c r="F860" s="3">
        <f>(Master_Table!F860-Master_Table!F859)/Master_Table!F859</f>
        <v>-1.0688924185583749E-2</v>
      </c>
      <c r="G860" s="3">
        <f>(Master_Table!G860-Master_Table!G859)/Master_Table!G859</f>
        <v>-1.045541369257061E-2</v>
      </c>
      <c r="H860" s="3">
        <f>(Master_Table!H860-Master_Table!H859)/Master_Table!H859</f>
        <v>2.6556016597509445E-3</v>
      </c>
    </row>
    <row r="861" spans="1:8" x14ac:dyDescent="0.3">
      <c r="A861" s="1">
        <v>45093</v>
      </c>
      <c r="B861" s="3">
        <f>(Master_Table!B861-Master_Table!B860)/Master_Table!B860</f>
        <v>7.3790272954447735E-3</v>
      </c>
      <c r="C861" s="3">
        <f>(Master_Table!C861-Master_Table!C860)/Master_Table!C860</f>
        <v>9.7352159353747119E-3</v>
      </c>
      <c r="D861" s="3">
        <f>(Master_Table!D861-Master_Table!D860)/Master_Table!D860</f>
        <v>1.3091526626619068E-2</v>
      </c>
      <c r="E861" s="3">
        <f>(Master_Table!E861-Master_Table!E860)/Master_Table!E860</f>
        <v>1.1158028826873537E-2</v>
      </c>
      <c r="F861" s="3">
        <f>(Master_Table!F861-Master_Table!F860)/Master_Table!F860</f>
        <v>-1.2872211827691524E-2</v>
      </c>
      <c r="G861" s="3">
        <f>(Master_Table!G861-Master_Table!G860)/Master_Table!G860</f>
        <v>3.7668315632352271E-3</v>
      </c>
      <c r="H861" s="3">
        <f>(Master_Table!H861-Master_Table!H860)/Master_Table!H860</f>
        <v>2.3302306036953623E-3</v>
      </c>
    </row>
    <row r="862" spans="1:8" x14ac:dyDescent="0.3">
      <c r="A862" s="1">
        <v>45096</v>
      </c>
      <c r="B862" s="3">
        <f>(Master_Table!B862-Master_Table!B861)/Master_Table!B861</f>
        <v>-3.7474768936576687E-3</v>
      </c>
      <c r="C862" s="3">
        <f>(Master_Table!C862-Master_Table!C861)/Master_Table!C861</f>
        <v>-9.9319634859312434E-3</v>
      </c>
      <c r="D862" s="3">
        <f>(Master_Table!D862-Master_Table!D861)/Master_Table!D861</f>
        <v>8.6315815809561618E-4</v>
      </c>
      <c r="E862" s="3">
        <f>(Master_Table!E862-Master_Table!E861)/Master_Table!E861</f>
        <v>1.0964912280702391E-3</v>
      </c>
      <c r="F862" s="3">
        <f>(Master_Table!F862-Master_Table!F861)/Master_Table!F861</f>
        <v>1.1179459917854837E-2</v>
      </c>
      <c r="G862" s="3">
        <f>(Master_Table!G862-Master_Table!G861)/Master_Table!G861</f>
        <v>1.8218481637482719E-3</v>
      </c>
      <c r="H862" s="3">
        <f>(Master_Table!H862-Master_Table!H861)/Master_Table!H861</f>
        <v>-1.9055846333647462E-4</v>
      </c>
    </row>
    <row r="863" spans="1:8" x14ac:dyDescent="0.3">
      <c r="A863" s="1">
        <v>45097</v>
      </c>
      <c r="B863" s="3">
        <f>(Master_Table!B863-Master_Table!B862)/Master_Table!B862</f>
        <v>3.2657174314665869E-3</v>
      </c>
      <c r="C863" s="3">
        <f>(Master_Table!C863-Master_Table!C862)/Master_Table!C862</f>
        <v>2.0719305212632657E-3</v>
      </c>
      <c r="D863" s="3">
        <f>(Master_Table!D863-Master_Table!D862)/Master_Table!D862</f>
        <v>2.0997900209978374E-3</v>
      </c>
      <c r="E863" s="3">
        <f>(Master_Table!E863-Master_Table!E862)/Master_Table!E862</f>
        <v>-1.6545874018317828E-3</v>
      </c>
      <c r="F863" s="3">
        <f>(Master_Table!F863-Master_Table!F862)/Master_Table!F862</f>
        <v>5.38867626948382E-3</v>
      </c>
      <c r="G863" s="3">
        <f>(Master_Table!G863-Master_Table!G862)/Master_Table!G862</f>
        <v>7.2663687585000263E-3</v>
      </c>
      <c r="H863" s="3">
        <f>(Master_Table!H863-Master_Table!H862)/Master_Table!H862</f>
        <v>6.6115212428472618E-3</v>
      </c>
    </row>
    <row r="864" spans="1:8" x14ac:dyDescent="0.3">
      <c r="A864" s="1">
        <v>45098</v>
      </c>
      <c r="B864" s="3">
        <f>(Master_Table!B864-Master_Table!B863)/Master_Table!B863</f>
        <v>2.1337428985952808E-3</v>
      </c>
      <c r="C864" s="3">
        <f>(Master_Table!C864-Master_Table!C863)/Master_Table!C863</f>
        <v>2.8171683581163583E-3</v>
      </c>
      <c r="D864" s="3">
        <f>(Master_Table!D864-Master_Table!D863)/Master_Table!D863</f>
        <v>1.7474057074436229E-2</v>
      </c>
      <c r="E864" s="3">
        <f>(Master_Table!E864-Master_Table!E863)/Master_Table!E863</f>
        <v>-1.2791783380018585E-2</v>
      </c>
      <c r="F864" s="3">
        <f>(Master_Table!F864-Master_Table!F863)/Master_Table!F863</f>
        <v>9.4496717826451394E-3</v>
      </c>
      <c r="G864" s="3">
        <f>(Master_Table!G864-Master_Table!G863)/Master_Table!G863</f>
        <v>-3.1093279839518348E-3</v>
      </c>
      <c r="H864" s="3">
        <f>(Master_Table!H864-Master_Table!H863)/Master_Table!H863</f>
        <v>5.2258650868453249E-3</v>
      </c>
    </row>
    <row r="865" spans="1:8" x14ac:dyDescent="0.3">
      <c r="A865" s="1">
        <v>45099</v>
      </c>
      <c r="B865" s="3">
        <f>(Master_Table!B865-Master_Table!B864)/Master_Table!B864</f>
        <v>-4.5394644386521901E-3</v>
      </c>
      <c r="C865" s="3">
        <f>(Master_Table!C865-Master_Table!C864)/Master_Table!C864</f>
        <v>-1.1228425872629906E-2</v>
      </c>
      <c r="D865" s="3">
        <f>(Master_Table!D865-Master_Table!D864)/Master_Table!D864</f>
        <v>4.8910844968557427E-3</v>
      </c>
      <c r="E865" s="3">
        <f>(Master_Table!E865-Master_Table!E864)/Master_Table!E864</f>
        <v>1.3241274945616245E-3</v>
      </c>
      <c r="F865" s="3">
        <f>(Master_Table!F865-Master_Table!F864)/Master_Table!F864</f>
        <v>-6.0465532179935456E-3</v>
      </c>
      <c r="G865" s="3">
        <f>(Master_Table!G865-Master_Table!G864)/Master_Table!G864</f>
        <v>-1.3698948199400996E-2</v>
      </c>
      <c r="H865" s="3">
        <f>(Master_Table!H865-Master_Table!H864)/Master_Table!H864</f>
        <v>9.1039990623927401E-3</v>
      </c>
    </row>
    <row r="866" spans="1:8" x14ac:dyDescent="0.3">
      <c r="A866" s="1">
        <v>45100</v>
      </c>
      <c r="B866" s="3">
        <f>(Master_Table!B866-Master_Table!B865)/Master_Table!B865</f>
        <v>-5.6336152360657917E-3</v>
      </c>
      <c r="C866" s="3">
        <f>(Master_Table!C866-Master_Table!C865)/Master_Table!C865</f>
        <v>-8.1846143152554188E-3</v>
      </c>
      <c r="D866" s="3">
        <f>(Master_Table!D866-Master_Table!D865)/Master_Table!D865</f>
        <v>-6.0993461500871627E-5</v>
      </c>
      <c r="E866" s="3">
        <f>(Master_Table!E866-Master_Table!E865)/Master_Table!E865</f>
        <v>-6.4701993010295861E-3</v>
      </c>
      <c r="F866" s="3">
        <f>(Master_Table!F866-Master_Table!F865)/Master_Table!F865</f>
        <v>-6.8371613991983909E-3</v>
      </c>
      <c r="G866" s="3">
        <f>(Master_Table!G866-Master_Table!G865)/Master_Table!G865</f>
        <v>-1.2916186037022066E-2</v>
      </c>
      <c r="H866" s="3">
        <f>(Master_Table!H866-Master_Table!H865)/Master_Table!H865</f>
        <v>-1.1050227931690956E-2</v>
      </c>
    </row>
    <row r="867" spans="1:8" x14ac:dyDescent="0.3">
      <c r="A867" s="1">
        <v>45103</v>
      </c>
      <c r="B867" s="3">
        <f>(Master_Table!B867-Master_Table!B866)/Master_Table!B866</f>
        <v>1.3768717687713014E-3</v>
      </c>
      <c r="C867" s="3">
        <f>(Master_Table!C867-Master_Table!C866)/Master_Table!C866</f>
        <v>-7.6389375569416457E-3</v>
      </c>
      <c r="D867" s="3">
        <f>(Master_Table!D867-Master_Table!D866)/Master_Table!D866</f>
        <v>-4.830976808871474E-3</v>
      </c>
      <c r="E867" s="3">
        <f>(Master_Table!E867-Master_Table!E866)/Master_Table!E866</f>
        <v>2.13908827304268E-3</v>
      </c>
      <c r="F867" s="3">
        <f>(Master_Table!F867-Master_Table!F866)/Master_Table!F866</f>
        <v>-8.3023064044578602E-3</v>
      </c>
      <c r="G867" s="3">
        <f>(Master_Table!G867-Master_Table!G866)/Master_Table!G866</f>
        <v>4.2292373858224645E-3</v>
      </c>
      <c r="H867" s="3">
        <f>(Master_Table!H867-Master_Table!H866)/Master_Table!H866</f>
        <v>-5.0206151406989663E-3</v>
      </c>
    </row>
    <row r="868" spans="1:8" x14ac:dyDescent="0.3">
      <c r="A868" s="1">
        <v>45104</v>
      </c>
      <c r="B868" s="3">
        <f>(Master_Table!B868-Master_Table!B867)/Master_Table!B867</f>
        <v>6.7518404382811547E-3</v>
      </c>
      <c r="C868" s="3">
        <f>(Master_Table!C868-Master_Table!C867)/Master_Table!C867</f>
        <v>3.6193502824865984E-4</v>
      </c>
      <c r="D868" s="3">
        <f>(Master_Table!D868-Master_Table!D867)/Master_Table!D867</f>
        <v>1.4085197670855053E-2</v>
      </c>
      <c r="E868" s="3">
        <f>(Master_Table!E868-Master_Table!E867)/Master_Table!E867</f>
        <v>-1.3518641495114153E-3</v>
      </c>
      <c r="F868" s="3">
        <f>(Master_Table!F868-Master_Table!F867)/Master_Table!F867</f>
        <v>2.4126440184695946E-3</v>
      </c>
      <c r="G868" s="3">
        <f>(Master_Table!G868-Master_Table!G867)/Master_Table!G867</f>
        <v>6.9266879348970495E-3</v>
      </c>
      <c r="H868" s="3">
        <f>(Master_Table!H868-Master_Table!H867)/Master_Table!H867</f>
        <v>4.4178399797656261E-3</v>
      </c>
    </row>
    <row r="869" spans="1:8" x14ac:dyDescent="0.3">
      <c r="A869" s="1">
        <v>45105</v>
      </c>
      <c r="B869" s="3">
        <f>(Master_Table!B869-Master_Table!B868)/Master_Table!B868</f>
        <v>8.2211145004090404E-3</v>
      </c>
      <c r="C869" s="3">
        <f>(Master_Table!C869-Master_Table!C868)/Master_Table!C868</f>
        <v>1.3236734585822574E-2</v>
      </c>
      <c r="D869" s="3">
        <f>(Master_Table!D869-Master_Table!D868)/Master_Table!D868</f>
        <v>1.0577341521203036E-2</v>
      </c>
      <c r="E869" s="3">
        <f>(Master_Table!E869-Master_Table!E868)/Master_Table!E868</f>
        <v>9.5471061818699545E-3</v>
      </c>
      <c r="F869" s="3">
        <f>(Master_Table!F869-Master_Table!F868)/Master_Table!F868</f>
        <v>5.6620373279708362E-3</v>
      </c>
      <c r="G869" s="3">
        <f>(Master_Table!G869-Master_Table!G868)/Master_Table!G868</f>
        <v>1.1100803471752614E-2</v>
      </c>
      <c r="H869" s="3">
        <f>(Master_Table!H869-Master_Table!H868)/Master_Table!H868</f>
        <v>1.39842530260044E-2</v>
      </c>
    </row>
    <row r="870" spans="1:8" x14ac:dyDescent="0.3">
      <c r="A870" s="1">
        <v>45107</v>
      </c>
      <c r="B870" s="3">
        <f>(Master_Table!B870-Master_Table!B869)/Master_Table!B869</f>
        <v>1.1435212759789414E-2</v>
      </c>
      <c r="C870" s="3">
        <f>(Master_Table!C870-Master_Table!C869)/Master_Table!C869</f>
        <v>8.2040741676174846E-3</v>
      </c>
      <c r="D870" s="3">
        <f>(Master_Table!D870-Master_Table!D869)/Master_Table!D869</f>
        <v>1.5071950621418943E-2</v>
      </c>
      <c r="E870" s="3">
        <f>(Master_Table!E870-Master_Table!E869)/Master_Table!E869</f>
        <v>5.010703615705033E-3</v>
      </c>
      <c r="F870" s="3">
        <f>(Master_Table!F870-Master_Table!F869)/Master_Table!F869</f>
        <v>2.6994769763358378E-2</v>
      </c>
      <c r="G870" s="3">
        <f>(Master_Table!G870-Master_Table!G869)/Master_Table!G869</f>
        <v>3.2594666044631113E-2</v>
      </c>
      <c r="H870" s="3">
        <f>(Master_Table!H870-Master_Table!H869)/Master_Table!H869</f>
        <v>2.2342715231788088E-2</v>
      </c>
    </row>
    <row r="871" spans="1:8" x14ac:dyDescent="0.3">
      <c r="A871" s="1">
        <v>45110</v>
      </c>
      <c r="B871" s="3">
        <f>(Master_Table!B871-Master_Table!B870)/Master_Table!B870</f>
        <v>6.9570927169401303E-3</v>
      </c>
      <c r="C871" s="3">
        <f>(Master_Table!C871-Master_Table!C870)/Master_Table!C870</f>
        <v>2.5664504202551598E-2</v>
      </c>
      <c r="D871" s="3">
        <f>(Master_Table!D871-Master_Table!D870)/Master_Table!D870</f>
        <v>1.0817945061808353E-2</v>
      </c>
      <c r="E871" s="3">
        <f>(Master_Table!E871-Master_Table!E870)/Master_Table!E870</f>
        <v>2.5794672534057352E-2</v>
      </c>
      <c r="F871" s="3">
        <f>(Master_Table!F871-Master_Table!F870)/Master_Table!F870</f>
        <v>-9.069004752024613E-3</v>
      </c>
      <c r="G871" s="3">
        <f>(Master_Table!G871-Master_Table!G870)/Master_Table!G870</f>
        <v>-1.3478712669989636E-3</v>
      </c>
      <c r="H871" s="3">
        <f>(Master_Table!H871-Master_Table!H870)/Master_Table!H870</f>
        <v>-8.6842808443792323E-3</v>
      </c>
    </row>
    <row r="872" spans="1:8" x14ac:dyDescent="0.3">
      <c r="A872" s="1">
        <v>45111</v>
      </c>
      <c r="B872" s="3">
        <f>(Master_Table!B872-Master_Table!B871)/Master_Table!B871</f>
        <v>3.4389870902132862E-3</v>
      </c>
      <c r="C872" s="3">
        <f>(Master_Table!C872-Master_Table!C871)/Master_Table!C871</f>
        <v>-1.0300335203058954E-2</v>
      </c>
      <c r="D872" s="3">
        <f>(Master_Table!D872-Master_Table!D871)/Master_Table!D871</f>
        <v>4.8847593177658985E-3</v>
      </c>
      <c r="E872" s="3">
        <f>(Master_Table!E872-Master_Table!E871)/Master_Table!E871</f>
        <v>6.6858342460752252E-3</v>
      </c>
      <c r="F872" s="3">
        <f>(Master_Table!F872-Master_Table!F871)/Master_Table!F871</f>
        <v>1.1169068006054295E-2</v>
      </c>
      <c r="G872" s="3">
        <f>(Master_Table!G872-Master_Table!G871)/Master_Table!G871</f>
        <v>8.5807137525164418E-3</v>
      </c>
      <c r="H872" s="3">
        <f>(Master_Table!H872-Master_Table!H871)/Master_Table!H871</f>
        <v>3.1774166540739727E-3</v>
      </c>
    </row>
    <row r="873" spans="1:8" x14ac:dyDescent="0.3">
      <c r="A873" s="1">
        <v>45112</v>
      </c>
      <c r="B873" s="3">
        <f>(Master_Table!B873-Master_Table!B872)/Master_Table!B872</f>
        <v>4.8996853886224153E-4</v>
      </c>
      <c r="C873" s="3">
        <f>(Master_Table!C873-Master_Table!C872)/Master_Table!C872</f>
        <v>-1.6423994349463766E-3</v>
      </c>
      <c r="D873" s="3">
        <f>(Master_Table!D873-Master_Table!D872)/Master_Table!D872</f>
        <v>-3.1776416539050521E-2</v>
      </c>
      <c r="E873" s="3">
        <f>(Master_Table!E873-Master_Table!E872)/Master_Table!E872</f>
        <v>1.8768275268037201E-2</v>
      </c>
      <c r="F873" s="3">
        <f>(Master_Table!F873-Master_Table!F872)/Master_Table!F872</f>
        <v>3.3550016850912613E-3</v>
      </c>
      <c r="G873" s="3">
        <f>(Master_Table!G873-Master_Table!G872)/Master_Table!G872</f>
        <v>1.5998684220363934E-3</v>
      </c>
      <c r="H873" s="3">
        <f>(Master_Table!H873-Master_Table!H872)/Master_Table!H872</f>
        <v>3.6355346027170171E-3</v>
      </c>
    </row>
    <row r="874" spans="1:8" x14ac:dyDescent="0.3">
      <c r="A874" s="1">
        <v>45113</v>
      </c>
      <c r="B874" s="3">
        <f>(Master_Table!B874-Master_Table!B873)/Master_Table!B873</f>
        <v>5.0931773075237399E-3</v>
      </c>
      <c r="C874" s="3">
        <f>(Master_Table!C874-Master_Table!C873)/Master_Table!C873</f>
        <v>2.0994220835677289E-2</v>
      </c>
      <c r="D874" s="3">
        <f>(Master_Table!D874-Master_Table!D873)/Master_Table!D873</f>
        <v>1.0184885629724396E-3</v>
      </c>
      <c r="E874" s="3">
        <f>(Master_Table!E874-Master_Table!E873)/Master_Table!E873</f>
        <v>-2.5141840026699199E-3</v>
      </c>
      <c r="F874" s="3">
        <f>(Master_Table!F874-Master_Table!F873)/Master_Table!F873</f>
        <v>8.8663212936970174E-4</v>
      </c>
      <c r="G874" s="3">
        <f>(Master_Table!G874-Master_Table!G873)/Master_Table!G873</f>
        <v>-2.5228587423027499E-3</v>
      </c>
      <c r="H874" s="3">
        <f>(Master_Table!H874-Master_Table!H873)/Master_Table!H873</f>
        <v>7.2041667342734256E-3</v>
      </c>
    </row>
    <row r="875" spans="1:8" x14ac:dyDescent="0.3">
      <c r="A875" s="1">
        <v>45114</v>
      </c>
      <c r="B875" s="3">
        <f>(Master_Table!B875-Master_Table!B874)/Master_Table!B874</f>
        <v>-8.4883547978438049E-3</v>
      </c>
      <c r="C875" s="3">
        <f>(Master_Table!C875-Master_Table!C874)/Master_Table!C874</f>
        <v>-1.9535652565932145E-3</v>
      </c>
      <c r="D875" s="3">
        <f>(Master_Table!D875-Master_Table!D874)/Master_Table!D874</f>
        <v>-8.7141796940460765E-3</v>
      </c>
      <c r="E875" s="3">
        <f>(Master_Table!E875-Master_Table!E874)/Master_Table!E874</f>
        <v>-1.1621163454675187E-2</v>
      </c>
      <c r="F875" s="3">
        <f>(Master_Table!F875-Master_Table!F874)/Master_Table!F874</f>
        <v>1.9137916960185052E-3</v>
      </c>
      <c r="G875" s="3">
        <f>(Master_Table!G875-Master_Table!G874)/Master_Table!G874</f>
        <v>-1.0191788202369023E-2</v>
      </c>
      <c r="H875" s="3">
        <f>(Master_Table!H875-Master_Table!H874)/Master_Table!H874</f>
        <v>-1.5771244462343879E-2</v>
      </c>
    </row>
    <row r="876" spans="1:8" x14ac:dyDescent="0.3">
      <c r="A876" s="1">
        <v>45117</v>
      </c>
      <c r="B876" s="3">
        <f>(Master_Table!B876-Master_Table!B875)/Master_Table!B875</f>
        <v>1.2466505964267261E-3</v>
      </c>
      <c r="C876" s="3">
        <f>(Master_Table!C876-Master_Table!C875)/Master_Table!C875</f>
        <v>3.8520414564982772E-2</v>
      </c>
      <c r="D876" s="3">
        <f>(Master_Table!D876-Master_Table!D875)/Master_Table!D875</f>
        <v>-2.378824836380355E-3</v>
      </c>
      <c r="E876" s="3">
        <f>(Master_Table!E876-Master_Table!E875)/Master_Table!E875</f>
        <v>-5.4388300873372862E-3</v>
      </c>
      <c r="F876" s="3">
        <f>(Master_Table!F876-Master_Table!F875)/Master_Table!F875</f>
        <v>-1.7212347988774544E-2</v>
      </c>
      <c r="G876" s="3">
        <f>(Master_Table!G876-Master_Table!G875)/Master_Table!G875</f>
        <v>-7.9380079380075939E-4</v>
      </c>
      <c r="H876" s="3">
        <f>(Master_Table!H876-Master_Table!H875)/Master_Table!H875</f>
        <v>-4.3292523242110473E-3</v>
      </c>
    </row>
    <row r="877" spans="1:8" x14ac:dyDescent="0.3">
      <c r="A877" s="1">
        <v>45118</v>
      </c>
      <c r="B877" s="3">
        <f>(Master_Table!B877-Master_Table!B876)/Master_Table!B876</f>
        <v>4.3139301194984473E-3</v>
      </c>
      <c r="C877" s="3">
        <f>(Master_Table!C877-Master_Table!C876)/Master_Table!C876</f>
        <v>1.0841549068883334E-2</v>
      </c>
      <c r="D877" s="3">
        <f>(Master_Table!D877-Master_Table!D876)/Master_Table!D876</f>
        <v>-4.8658266458476854E-3</v>
      </c>
      <c r="E877" s="3">
        <f>(Master_Table!E877-Master_Table!E876)/Master_Table!E876</f>
        <v>1.5679600635352904E-2</v>
      </c>
      <c r="F877" s="3">
        <f>(Master_Table!F877-Master_Table!F876)/Master_Table!F876</f>
        <v>1.3816989370123926E-4</v>
      </c>
      <c r="G877" s="3">
        <f>(Master_Table!G877-Master_Table!G876)/Master_Table!G876</f>
        <v>1.463267004615262E-2</v>
      </c>
      <c r="H877" s="3">
        <f>(Master_Table!H877-Master_Table!H876)/Master_Table!H876</f>
        <v>1.4679894462572762E-2</v>
      </c>
    </row>
    <row r="878" spans="1:8" x14ac:dyDescent="0.3">
      <c r="A878" s="1">
        <v>45119</v>
      </c>
      <c r="B878" s="3">
        <f>(Master_Table!B878-Master_Table!B877)/Master_Table!B877</f>
        <v>-2.8344496229308611E-3</v>
      </c>
      <c r="C878" s="3">
        <f>(Master_Table!C878-Master_Table!C877)/Master_Table!C877</f>
        <v>1.0996191174360403E-3</v>
      </c>
      <c r="D878" s="3">
        <f>(Master_Table!D878-Master_Table!D877)/Master_Table!D877</f>
        <v>-9.3656875266069847E-3</v>
      </c>
      <c r="E878" s="3">
        <f>(Master_Table!E878-Master_Table!E877)/Master_Table!E877</f>
        <v>-1.8096110453296446E-3</v>
      </c>
      <c r="F878" s="3">
        <f>(Master_Table!F878-Master_Table!F877)/Master_Table!F877</f>
        <v>-3.8221722832643555E-3</v>
      </c>
      <c r="G878" s="3">
        <f>(Master_Table!G878-Master_Table!G877)/Master_Table!G877</f>
        <v>-1.1341943566187463E-2</v>
      </c>
      <c r="H878" s="3">
        <f>(Master_Table!H878-Master_Table!H877)/Master_Table!H877</f>
        <v>-7.9182496415524557E-3</v>
      </c>
    </row>
    <row r="879" spans="1:8" x14ac:dyDescent="0.3">
      <c r="A879" s="1">
        <v>45120</v>
      </c>
      <c r="B879" s="3">
        <f>(Master_Table!B879-Master_Table!B878)/Master_Table!B878</f>
        <v>1.5192707500400185E-3</v>
      </c>
      <c r="C879" s="3">
        <f>(Master_Table!C879-Master_Table!C878)/Master_Table!C878</f>
        <v>-8.9385208061382015E-3</v>
      </c>
      <c r="D879" s="3">
        <f>(Master_Table!D879-Master_Table!D878)/Master_Table!D878</f>
        <v>4.9849591749032418E-3</v>
      </c>
      <c r="E879" s="3">
        <f>(Master_Table!E879-Master_Table!E878)/Master_Table!E878</f>
        <v>-6.2667860340203567E-4</v>
      </c>
      <c r="F879" s="3">
        <f>(Master_Table!F879-Master_Table!F878)/Master_Table!F878</f>
        <v>2.4740666777611282E-2</v>
      </c>
      <c r="G879" s="3">
        <f>(Master_Table!G879-Master_Table!G878)/Master_Table!G878</f>
        <v>2.3849211437363856E-2</v>
      </c>
      <c r="H879" s="3">
        <f>(Master_Table!H879-Master_Table!H878)/Master_Table!H878</f>
        <v>-1.9555570071404221E-3</v>
      </c>
    </row>
    <row r="880" spans="1:8" x14ac:dyDescent="0.3">
      <c r="A880" s="1">
        <v>45121</v>
      </c>
      <c r="B880" s="3">
        <f>(Master_Table!B880-Master_Table!B879)/Master_Table!B879</f>
        <v>7.7651149314274673E-3</v>
      </c>
      <c r="C880" s="3">
        <f>(Master_Table!C880-Master_Table!C879)/Master_Table!C879</f>
        <v>-8.4328544007467639E-4</v>
      </c>
      <c r="D880" s="3">
        <f>(Master_Table!D880-Master_Table!D879)/Master_Table!D879</f>
        <v>2.076944692184635E-3</v>
      </c>
      <c r="E880" s="3">
        <f>(Master_Table!E880-Master_Table!E879)/Master_Table!E879</f>
        <v>1.9036101406432473E-3</v>
      </c>
      <c r="F880" s="3">
        <f>(Master_Table!F880-Master_Table!F879)/Master_Table!F879</f>
        <v>5.2118106305298478E-2</v>
      </c>
      <c r="G880" s="3">
        <f>(Master_Table!G880-Master_Table!G879)/Master_Table!G879</f>
        <v>4.4576227485358569E-2</v>
      </c>
      <c r="H880" s="3">
        <f>(Master_Table!H880-Master_Table!H879)/Master_Table!H879</f>
        <v>9.0197329668172746E-3</v>
      </c>
    </row>
    <row r="881" spans="1:8" x14ac:dyDescent="0.3">
      <c r="A881" s="1">
        <v>45124</v>
      </c>
      <c r="B881" s="3">
        <f>(Master_Table!B881-Master_Table!B880)/Master_Table!B880</f>
        <v>7.511053183061194E-3</v>
      </c>
      <c r="C881" s="3">
        <f>(Master_Table!C881-Master_Table!C880)/Master_Table!C880</f>
        <v>2.0432769596810556E-2</v>
      </c>
      <c r="D881" s="3">
        <f>(Master_Table!D881-Master_Table!D880)/Master_Table!D880</f>
        <v>2.0921471330512878E-2</v>
      </c>
      <c r="E881" s="3">
        <f>(Master_Table!E881-Master_Table!E880)/Master_Table!E880</f>
        <v>-1.1623488387687638E-3</v>
      </c>
      <c r="F881" s="3">
        <f>(Master_Table!F881-Master_Table!F880)/Master_Table!F880</f>
        <v>-6.5286241867804351E-3</v>
      </c>
      <c r="G881" s="3">
        <f>(Master_Table!G881-Master_Table!G880)/Master_Table!G880</f>
        <v>-2.1016107647606548E-3</v>
      </c>
      <c r="H881" s="3">
        <f>(Master_Table!H881-Master_Table!H880)/Master_Table!H880</f>
        <v>-1.3945814026083759E-3</v>
      </c>
    </row>
    <row r="882" spans="1:8" x14ac:dyDescent="0.3">
      <c r="A882" s="1">
        <v>45125</v>
      </c>
      <c r="B882" s="3">
        <f>(Master_Table!B882-Master_Table!B881)/Master_Table!B881</f>
        <v>1.9176671427012864E-3</v>
      </c>
      <c r="C882" s="3">
        <f>(Master_Table!C882-Master_Table!C881)/Master_Table!C881</f>
        <v>8.4994092162268328E-3</v>
      </c>
      <c r="D882" s="3">
        <f>(Master_Table!D882-Master_Table!D881)/Master_Table!D881</f>
        <v>-8.3595065502710332E-4</v>
      </c>
      <c r="E882" s="3">
        <f>(Master_Table!E882-Master_Table!E881)/Master_Table!E881</f>
        <v>3.1330424079665739E-4</v>
      </c>
      <c r="F882" s="3">
        <f>(Master_Table!F882-Master_Table!F881)/Master_Table!F881</f>
        <v>1.4731269421106833E-3</v>
      </c>
      <c r="G882" s="3">
        <f>(Master_Table!G882-Master_Table!G881)/Master_Table!G881</f>
        <v>3.6714299848761144E-2</v>
      </c>
      <c r="H882" s="3">
        <f>(Master_Table!H882-Master_Table!H881)/Master_Table!H881</f>
        <v>2.3870902263270514E-3</v>
      </c>
    </row>
    <row r="883" spans="1:8" x14ac:dyDescent="0.3">
      <c r="A883" s="1">
        <v>45126</v>
      </c>
      <c r="B883" s="3">
        <f>(Master_Table!B883-Master_Table!B882)/Master_Table!B882</f>
        <v>4.248262592250412E-3</v>
      </c>
      <c r="C883" s="3">
        <f>(Master_Table!C883-Master_Table!C882)/Master_Table!C882</f>
        <v>7.584219200337452E-3</v>
      </c>
      <c r="D883" s="3">
        <f>(Master_Table!D883-Master_Table!D882)/Master_Table!D882</f>
        <v>4.5298624308270615E-3</v>
      </c>
      <c r="E883" s="3">
        <f>(Master_Table!E883-Master_Table!E882)/Master_Table!E882</f>
        <v>1.344549095058053E-2</v>
      </c>
      <c r="F883" s="3">
        <f>(Master_Table!F883-Master_Table!F882)/Master_Table!F882</f>
        <v>-7.6622078190718068E-3</v>
      </c>
      <c r="G883" s="3">
        <f>(Master_Table!G883-Master_Table!G882)/Master_Table!G882</f>
        <v>-1.70423946609586E-4</v>
      </c>
      <c r="H883" s="3">
        <f>(Master_Table!H883-Master_Table!H882)/Master_Table!H882</f>
        <v>7.8610684735108526E-3</v>
      </c>
    </row>
    <row r="884" spans="1:8" x14ac:dyDescent="0.3">
      <c r="A884" s="1">
        <v>45127</v>
      </c>
      <c r="B884" s="3">
        <f>(Master_Table!B884-Master_Table!B883)/Master_Table!B883</f>
        <v>7.3614125844860745E-3</v>
      </c>
      <c r="C884" s="3">
        <f>(Master_Table!C884-Master_Table!C883)/Master_Table!C883</f>
        <v>1.5449612403100825E-2</v>
      </c>
      <c r="D884" s="3">
        <f>(Master_Table!D884-Master_Table!D883)/Master_Table!D883</f>
        <v>2.1654808081288061E-3</v>
      </c>
      <c r="E884" s="3">
        <f>(Master_Table!E884-Master_Table!E883)/Master_Table!E883</f>
        <v>2.7770419426048531E-2</v>
      </c>
      <c r="F884" s="3">
        <f>(Master_Table!F884-Master_Table!F883)/Master_Table!F883</f>
        <v>-1.9455421896035826E-3</v>
      </c>
      <c r="G884" s="3">
        <f>(Master_Table!G884-Master_Table!G883)/Master_Table!G883</f>
        <v>-1.7249843183243758E-2</v>
      </c>
      <c r="H884" s="3">
        <f>(Master_Table!H884-Master_Table!H883)/Master_Table!H883</f>
        <v>-1.7841786750464347E-3</v>
      </c>
    </row>
    <row r="885" spans="1:8" x14ac:dyDescent="0.3">
      <c r="A885" s="1">
        <v>45128</v>
      </c>
      <c r="B885" s="3">
        <f>(Master_Table!B885-Master_Table!B884)/Master_Table!B884</f>
        <v>-1.1719717805812631E-2</v>
      </c>
      <c r="C885" s="3">
        <f>(Master_Table!C885-Master_Table!C884)/Master_Table!C884</f>
        <v>-3.09558526028108E-2</v>
      </c>
      <c r="D885" s="3">
        <f>(Master_Table!D885-Master_Table!D884)/Master_Table!D884</f>
        <v>-7.6934036187491315E-3</v>
      </c>
      <c r="E885" s="3">
        <f>(Master_Table!E885-Master_Table!E884)/Master_Table!E884</f>
        <v>-3.4580523218350379E-3</v>
      </c>
      <c r="F885" s="3">
        <f>(Master_Table!F885-Master_Table!F884)/Master_Table!F884</f>
        <v>-2.7432824823849098E-2</v>
      </c>
      <c r="G885" s="3">
        <f>(Master_Table!G885-Master_Table!G884)/Master_Table!G884</f>
        <v>-8.13387170628148E-2</v>
      </c>
      <c r="H885" s="3">
        <f>(Master_Table!H885-Master_Table!H884)/Master_Table!H884</f>
        <v>3.8778632100156973E-2</v>
      </c>
    </row>
    <row r="886" spans="1:8" x14ac:dyDescent="0.3">
      <c r="A886" s="1">
        <v>45131</v>
      </c>
      <c r="B886" s="3">
        <f>(Master_Table!B886-Master_Table!B885)/Master_Table!B885</f>
        <v>-3.6794125094961488E-3</v>
      </c>
      <c r="C886" s="3">
        <f>(Master_Table!C886-Master_Table!C885)/Master_Table!C885</f>
        <v>-2.0230348674155935E-2</v>
      </c>
      <c r="D886" s="3">
        <f>(Master_Table!D886-Master_Table!D885)/Master_Table!D885</f>
        <v>1.5793251974157096E-3</v>
      </c>
      <c r="E886" s="3">
        <f>(Master_Table!E886-Master_Table!E885)/Master_Table!E885</f>
        <v>-3.8946483608854124E-2</v>
      </c>
      <c r="F886" s="3">
        <f>(Master_Table!F886-Master_Table!F885)/Master_Table!F885</f>
        <v>7.8532313675896658E-3</v>
      </c>
      <c r="G886" s="3">
        <f>(Master_Table!G886-Master_Table!G885)/Master_Table!G885</f>
        <v>3.7533795520109654E-3</v>
      </c>
      <c r="H886" s="3">
        <f>(Master_Table!H886-Master_Table!H885)/Master_Table!H885</f>
        <v>7.34761260720114E-3</v>
      </c>
    </row>
    <row r="887" spans="1:8" x14ac:dyDescent="0.3">
      <c r="A887" s="1">
        <v>45132</v>
      </c>
      <c r="B887" s="3">
        <f>(Master_Table!B887-Master_Table!B886)/Master_Table!B886</f>
        <v>4.1937033450502868E-4</v>
      </c>
      <c r="C887" s="3">
        <f>(Master_Table!C887-Master_Table!C886)/Master_Table!C886</f>
        <v>-6.4324193937441063E-4</v>
      </c>
      <c r="D887" s="3">
        <f>(Master_Table!D887-Master_Table!D886)/Master_Table!D886</f>
        <v>1.0834766819571925E-2</v>
      </c>
      <c r="E887" s="3">
        <f>(Master_Table!E887-Master_Table!E886)/Master_Table!E886</f>
        <v>-1.919712940121104E-2</v>
      </c>
      <c r="F887" s="3">
        <f>(Master_Table!F887-Master_Table!F886)/Master_Table!F886</f>
        <v>1.2962069669643762E-3</v>
      </c>
      <c r="G887" s="3">
        <f>(Master_Table!G887-Master_Table!G886)/Master_Table!G886</f>
        <v>-1.4972425156683867E-3</v>
      </c>
      <c r="H887" s="3">
        <f>(Master_Table!H887-Master_Table!H886)/Master_Table!H886</f>
        <v>-1.7023224679636378E-2</v>
      </c>
    </row>
    <row r="888" spans="1:8" x14ac:dyDescent="0.3">
      <c r="A888" s="1">
        <v>45133</v>
      </c>
      <c r="B888" s="3">
        <f>(Master_Table!B888-Master_Table!B887)/Master_Table!B887</f>
        <v>4.9642795443228726E-3</v>
      </c>
      <c r="C888" s="3">
        <f>(Master_Table!C888-Master_Table!C887)/Master_Table!C887</f>
        <v>1.6252313138627256E-2</v>
      </c>
      <c r="D888" s="3">
        <f>(Master_Table!D888-Master_Table!D887)/Master_Table!D887</f>
        <v>-3.4743970030372074E-3</v>
      </c>
      <c r="E888" s="3">
        <f>(Master_Table!E888-Master_Table!E887)/Master_Table!E887</f>
        <v>2.153930580326523E-2</v>
      </c>
      <c r="F888" s="3">
        <f>(Master_Table!F888-Master_Table!F887)/Master_Table!F887</f>
        <v>-3.1919892891025272E-3</v>
      </c>
      <c r="G888" s="3">
        <f>(Master_Table!G888-Master_Table!G887)/Master_Table!G887</f>
        <v>1.0677256013020732E-2</v>
      </c>
      <c r="H888" s="3">
        <f>(Master_Table!H888-Master_Table!H887)/Master_Table!H887</f>
        <v>3.3328897829473264E-2</v>
      </c>
    </row>
    <row r="889" spans="1:8" x14ac:dyDescent="0.3">
      <c r="A889" s="1">
        <v>45134</v>
      </c>
      <c r="B889" s="3">
        <f>(Master_Table!B889-Master_Table!B888)/Master_Table!B888</f>
        <v>-5.9863587871555098E-3</v>
      </c>
      <c r="C889" s="3">
        <f>(Master_Table!C889-Master_Table!C888)/Master_Table!C888</f>
        <v>-9.3025096983611749E-3</v>
      </c>
      <c r="D889" s="3">
        <f>(Master_Table!D889-Master_Table!D888)/Master_Table!D888</f>
        <v>-1.0376519418914912E-2</v>
      </c>
      <c r="E889" s="3">
        <f>(Master_Table!E889-Master_Table!E888)/Master_Table!E888</f>
        <v>-1.5265466917360537E-2</v>
      </c>
      <c r="F889" s="3">
        <f>(Master_Table!F889-Master_Table!F888)/Master_Table!F888</f>
        <v>2.5380484897721822E-3</v>
      </c>
      <c r="G889" s="3">
        <f>(Master_Table!G889-Master_Table!G888)/Master_Table!G888</f>
        <v>3.190957958383327E-3</v>
      </c>
      <c r="H889" s="3">
        <f>(Master_Table!H889-Master_Table!H888)/Master_Table!H888</f>
        <v>5.2721281672535765E-3</v>
      </c>
    </row>
    <row r="890" spans="1:8" x14ac:dyDescent="0.3">
      <c r="A890" s="1">
        <v>45135</v>
      </c>
      <c r="B890" s="3">
        <f>(Master_Table!B890-Master_Table!B889)/Master_Table!B889</f>
        <v>-7.0447967690589379E-4</v>
      </c>
      <c r="C890" s="3">
        <f>(Master_Table!C890-Master_Table!C889)/Master_Table!C889</f>
        <v>1.005314260598566E-2</v>
      </c>
      <c r="D890" s="3">
        <f>(Master_Table!D890-Master_Table!D889)/Master_Table!D889</f>
        <v>-1.7723187537447529E-2</v>
      </c>
      <c r="E890" s="3">
        <f>(Master_Table!E890-Master_Table!E889)/Master_Table!E889</f>
        <v>7.31917988816663E-3</v>
      </c>
      <c r="F890" s="3">
        <f>(Master_Table!F890-Master_Table!F889)/Master_Table!F889</f>
        <v>-1.2214489993286521E-2</v>
      </c>
      <c r="G890" s="3">
        <f>(Master_Table!G890-Master_Table!G889)/Master_Table!G889</f>
        <v>-9.3491977377616383E-3</v>
      </c>
      <c r="H890" s="3">
        <f>(Master_Table!H890-Master_Table!H889)/Master_Table!H889</f>
        <v>-4.0049430717874384E-3</v>
      </c>
    </row>
    <row r="891" spans="1:8" x14ac:dyDescent="0.3">
      <c r="A891" s="1">
        <v>45138</v>
      </c>
      <c r="B891" s="3">
        <f>(Master_Table!B891-Master_Table!B890)/Master_Table!B890</f>
        <v>5.4845630546598431E-3</v>
      </c>
      <c r="C891" s="3">
        <f>(Master_Table!C891-Master_Table!C890)/Master_Table!C890</f>
        <v>8.4656586994533278E-3</v>
      </c>
      <c r="D891" s="3">
        <f>(Master_Table!D891-Master_Table!D890)/Master_Table!D890</f>
        <v>4.6845835722388622E-3</v>
      </c>
      <c r="E891" s="3">
        <f>(Master_Table!E891-Master_Table!E890)/Master_Table!E890</f>
        <v>-5.8669555013990942E-3</v>
      </c>
      <c r="F891" s="3">
        <f>(Master_Table!F891-Master_Table!F890)/Master_Table!F890</f>
        <v>1.9683047249493324E-2</v>
      </c>
      <c r="G891" s="3">
        <f>(Master_Table!G891-Master_Table!G890)/Master_Table!G890</f>
        <v>1.1335418870359042E-2</v>
      </c>
      <c r="H891" s="3">
        <f>(Master_Table!H891-Master_Table!H890)/Master_Table!H890</f>
        <v>1.2002617652510417E-2</v>
      </c>
    </row>
    <row r="892" spans="1:8" x14ac:dyDescent="0.3">
      <c r="A892" s="1">
        <v>45139</v>
      </c>
      <c r="B892" s="3">
        <f>(Master_Table!B892-Master_Table!B891)/Master_Table!B891</f>
        <v>-1.0251192175682654E-3</v>
      </c>
      <c r="C892" s="3">
        <f>(Master_Table!C892-Master_Table!C891)/Master_Table!C891</f>
        <v>-1.4145281375771949E-2</v>
      </c>
      <c r="D892" s="3">
        <f>(Master_Table!D892-Master_Table!D891)/Master_Table!D891</f>
        <v>6.690547022038724E-3</v>
      </c>
      <c r="E892" s="3">
        <f>(Master_Table!E892-Master_Table!E891)/Master_Table!E891</f>
        <v>-1.9293626293808398E-3</v>
      </c>
      <c r="F892" s="3">
        <f>(Master_Table!F892-Master_Table!F891)/Master_Table!F891</f>
        <v>8.9439082471290624E-3</v>
      </c>
      <c r="G892" s="3">
        <f>(Master_Table!G892-Master_Table!G891)/Master_Table!G891</f>
        <v>7.0098657369631672E-3</v>
      </c>
      <c r="H892" s="3">
        <f>(Master_Table!H892-Master_Table!H891)/Master_Table!H891</f>
        <v>-5.483456184680738E-3</v>
      </c>
    </row>
    <row r="893" spans="1:8" x14ac:dyDescent="0.3">
      <c r="A893" s="1">
        <v>45140</v>
      </c>
      <c r="B893" s="3">
        <f>(Master_Table!B893-Master_Table!B892)/Master_Table!B892</f>
        <v>-1.0489749690248334E-2</v>
      </c>
      <c r="C893" s="3">
        <f>(Master_Table!C893-Master_Table!C892)/Master_Table!C892</f>
        <v>-1.0679611650485315E-2</v>
      </c>
      <c r="D893" s="3">
        <f>(Master_Table!D893-Master_Table!D892)/Master_Table!D892</f>
        <v>-1.3087110703688405E-2</v>
      </c>
      <c r="E893" s="3">
        <f>(Master_Table!E893-Master_Table!E892)/Master_Table!E892</f>
        <v>-1.0120306565690998E-2</v>
      </c>
      <c r="F893" s="3">
        <f>(Master_Table!F893-Master_Table!F892)/Master_Table!F892</f>
        <v>-3.3031346311111361E-3</v>
      </c>
      <c r="G893" s="3">
        <f>(Master_Table!G893-Master_Table!G892)/Master_Table!G892</f>
        <v>-6.1139552870980475E-3</v>
      </c>
      <c r="H893" s="3">
        <f>(Master_Table!H893-Master_Table!H892)/Master_Table!H892</f>
        <v>-1.4470148272038788E-2</v>
      </c>
    </row>
    <row r="894" spans="1:8" x14ac:dyDescent="0.3">
      <c r="A894" s="1">
        <v>45141</v>
      </c>
      <c r="B894" s="3">
        <f>(Master_Table!B894-Master_Table!B893)/Master_Table!B893</f>
        <v>-7.4206657089961013E-3</v>
      </c>
      <c r="C894" s="3">
        <f>(Master_Table!C894-Master_Table!C893)/Master_Table!C893</f>
        <v>-4.2069531363117313E-3</v>
      </c>
      <c r="D894" s="3">
        <f>(Master_Table!D894-Master_Table!D893)/Master_Table!D893</f>
        <v>-7.2230845381993395E-3</v>
      </c>
      <c r="E894" s="3">
        <f>(Master_Table!E894-Master_Table!E893)/Master_Table!E893</f>
        <v>-8.7993383265174471E-3</v>
      </c>
      <c r="F894" s="3">
        <f>(Master_Table!F894-Master_Table!F893)/Master_Table!F893</f>
        <v>-1.182849701294688E-2</v>
      </c>
      <c r="G894" s="3">
        <f>(Master_Table!G894-Master_Table!G893)/Master_Table!G893</f>
        <v>5.4845284417269526E-3</v>
      </c>
      <c r="H894" s="3">
        <f>(Master_Table!H894-Master_Table!H893)/Master_Table!H893</f>
        <v>-9.1718627843564177E-3</v>
      </c>
    </row>
    <row r="895" spans="1:8" x14ac:dyDescent="0.3">
      <c r="A895" s="1">
        <v>45142</v>
      </c>
      <c r="B895" s="3">
        <f>(Master_Table!B895-Master_Table!B894)/Master_Table!B894</f>
        <v>6.9834095652330187E-3</v>
      </c>
      <c r="C895" s="3">
        <f>(Master_Table!C895-Master_Table!C894)/Master_Table!C894</f>
        <v>1.3595056343147886E-2</v>
      </c>
      <c r="D895" s="3">
        <f>(Master_Table!D895-Master_Table!D894)/Master_Table!D894</f>
        <v>1.4465099101317248E-2</v>
      </c>
      <c r="E895" s="3">
        <f>(Master_Table!E895-Master_Table!E894)/Master_Table!E894</f>
        <v>-2.4105880444104965E-3</v>
      </c>
      <c r="F895" s="3">
        <f>(Master_Table!F895-Master_Table!F894)/Master_Table!F894</f>
        <v>1.2824035907300567E-2</v>
      </c>
      <c r="G895" s="3">
        <f>(Master_Table!G895-Master_Table!G894)/Master_Table!G894</f>
        <v>1.0304794899200248E-2</v>
      </c>
      <c r="H895" s="3">
        <f>(Master_Table!H895-Master_Table!H894)/Master_Table!H894</f>
        <v>1.1085023671144369E-2</v>
      </c>
    </row>
    <row r="896" spans="1:8" x14ac:dyDescent="0.3">
      <c r="A896" s="1">
        <v>45145</v>
      </c>
      <c r="B896" s="3">
        <f>(Master_Table!B896-Master_Table!B895)/Master_Table!B895</f>
        <v>4.1143618383972574E-3</v>
      </c>
      <c r="C896" s="3">
        <f>(Master_Table!C896-Master_Table!C895)/Master_Table!C895</f>
        <v>5.6982100447888007E-3</v>
      </c>
      <c r="D896" s="3">
        <f>(Master_Table!D896-Master_Table!D895)/Master_Table!D895</f>
        <v>-5.7035374067097096E-4</v>
      </c>
      <c r="E896" s="3">
        <f>(Master_Table!E896-Master_Table!E895)/Master_Table!E895</f>
        <v>-1.1617370292063331E-4</v>
      </c>
      <c r="F896" s="3">
        <f>(Master_Table!F896-Master_Table!F895)/Master_Table!F895</f>
        <v>1.1760175279417197E-2</v>
      </c>
      <c r="G896" s="3">
        <f>(Master_Table!G896-Master_Table!G895)/Master_Table!G895</f>
        <v>1.0622852265016776E-2</v>
      </c>
      <c r="H896" s="3">
        <f>(Master_Table!H896-Master_Table!H895)/Master_Table!H895</f>
        <v>3.4260915908485286E-3</v>
      </c>
    </row>
    <row r="897" spans="1:8" x14ac:dyDescent="0.3">
      <c r="A897" s="1">
        <v>45146</v>
      </c>
      <c r="B897" s="3">
        <f>(Master_Table!B897-Master_Table!B896)/Master_Table!B896</f>
        <v>-1.3496757206350226E-3</v>
      </c>
      <c r="C897" s="3">
        <f>(Master_Table!C897-Master_Table!C896)/Master_Table!C896</f>
        <v>-6.0304454288273735E-3</v>
      </c>
      <c r="D897" s="3">
        <f>(Master_Table!D897-Master_Table!D896)/Master_Table!D896</f>
        <v>-8.2566356638099953E-4</v>
      </c>
      <c r="E897" s="3">
        <f>(Master_Table!E897-Master_Table!E896)/Master_Table!E896</f>
        <v>-5.6002230794254971E-3</v>
      </c>
      <c r="F897" s="3">
        <f>(Master_Table!F897-Master_Table!F896)/Master_Table!F896</f>
        <v>-3.8610372608838205E-3</v>
      </c>
      <c r="G897" s="3">
        <f>(Master_Table!G897-Master_Table!G896)/Master_Table!G896</f>
        <v>-2.0069448956460648E-3</v>
      </c>
      <c r="H897" s="3">
        <f>(Master_Table!H897-Master_Table!H896)/Master_Table!H896</f>
        <v>-1.4036951325923869E-3</v>
      </c>
    </row>
    <row r="898" spans="1:8" x14ac:dyDescent="0.3">
      <c r="A898" s="1">
        <v>45147</v>
      </c>
      <c r="B898" s="3">
        <f>(Master_Table!B898-Master_Table!B897)/Master_Table!B897</f>
        <v>3.1526479432421551E-3</v>
      </c>
      <c r="C898" s="3">
        <f>(Master_Table!C898-Master_Table!C897)/Master_Table!C897</f>
        <v>6.6011863001466716E-3</v>
      </c>
      <c r="D898" s="3">
        <f>(Master_Table!D898-Master_Table!D897)/Master_Table!D897</f>
        <v>3.6456434560708256E-4</v>
      </c>
      <c r="E898" s="3">
        <f>(Master_Table!E898-Master_Table!E897)/Master_Table!E897</f>
        <v>1.3927511508891594E-2</v>
      </c>
      <c r="F898" s="3">
        <f>(Master_Table!F898-Master_Table!F897)/Master_Table!F897</f>
        <v>-2.3331278096677018E-3</v>
      </c>
      <c r="G898" s="3">
        <f>(Master_Table!G898-Master_Table!G897)/Master_Table!G897</f>
        <v>3.0237049789858554E-3</v>
      </c>
      <c r="H898" s="3">
        <f>(Master_Table!H898-Master_Table!H897)/Master_Table!H897</f>
        <v>7.3702606184940702E-3</v>
      </c>
    </row>
    <row r="899" spans="1:8" x14ac:dyDescent="0.3">
      <c r="A899" s="1">
        <v>45148</v>
      </c>
      <c r="B899" s="3">
        <f>(Master_Table!B899-Master_Table!B898)/Master_Table!B898</f>
        <v>-4.5562089489139587E-3</v>
      </c>
      <c r="C899" s="3">
        <f>(Master_Table!C899-Master_Table!C898)/Master_Table!C898</f>
        <v>4.4511325835578323E-3</v>
      </c>
      <c r="D899" s="3">
        <f>(Master_Table!D899-Master_Table!D898)/Master_Table!D898</f>
        <v>-8.8799805636541052E-3</v>
      </c>
      <c r="E899" s="3">
        <f>(Master_Table!E899-Master_Table!E898)/Master_Table!E898</f>
        <v>-1.5049897439443115E-2</v>
      </c>
      <c r="F899" s="3">
        <f>(Master_Table!F899-Master_Table!F898)/Master_Table!F898</f>
        <v>-5.8899820979362374E-3</v>
      </c>
      <c r="G899" s="3">
        <f>(Master_Table!G899-Master_Table!G898)/Master_Table!G898</f>
        <v>-3.8079028407820431E-3</v>
      </c>
      <c r="H899" s="3">
        <f>(Master_Table!H899-Master_Table!H898)/Master_Table!H898</f>
        <v>-3.0547593905566107E-3</v>
      </c>
    </row>
    <row r="900" spans="1:8" x14ac:dyDescent="0.3">
      <c r="A900" s="1">
        <v>45149</v>
      </c>
      <c r="B900" s="3">
        <f>(Master_Table!B900-Master_Table!B899)/Master_Table!B899</f>
        <v>-5.8741960077981119E-3</v>
      </c>
      <c r="C900" s="3">
        <f>(Master_Table!C900-Master_Table!C899)/Master_Table!C899</f>
        <v>4.2185109838986205E-3</v>
      </c>
      <c r="D900" s="3">
        <f>(Master_Table!D900-Master_Table!D899)/Master_Table!D899</f>
        <v>-1.0418071063501207E-2</v>
      </c>
      <c r="E900" s="3">
        <f>(Master_Table!E900-Master_Table!E899)/Master_Table!E899</f>
        <v>-6.6454511418944954E-3</v>
      </c>
      <c r="F900" s="3">
        <f>(Master_Table!F900-Master_Table!F899)/Master_Table!F899</f>
        <v>1.9438274721778324E-3</v>
      </c>
      <c r="G900" s="3">
        <f>(Master_Table!G900-Master_Table!G899)/Master_Table!G899</f>
        <v>-1.2415750266051693E-2</v>
      </c>
      <c r="H900" s="3">
        <f>(Master_Table!H900-Master_Table!H899)/Master_Table!H899</f>
        <v>-1.8914318138831096E-3</v>
      </c>
    </row>
    <row r="901" spans="1:8" x14ac:dyDescent="0.3">
      <c r="A901" s="1">
        <v>45152</v>
      </c>
      <c r="B901" s="3">
        <f>(Master_Table!B901-Master_Table!B900)/Master_Table!B900</f>
        <v>3.2169567074834135E-4</v>
      </c>
      <c r="C901" s="3">
        <f>(Master_Table!C901-Master_Table!C900)/Master_Table!C900</f>
        <v>1.1825027285504663E-2</v>
      </c>
      <c r="D901" s="3">
        <f>(Master_Table!D901-Master_Table!D900)/Master_Table!D900</f>
        <v>-4.8799217230829474E-3</v>
      </c>
      <c r="E901" s="3">
        <f>(Master_Table!E901-Master_Table!E900)/Master_Table!E900</f>
        <v>1.0129086968811995E-3</v>
      </c>
      <c r="F901" s="3">
        <f>(Master_Table!F901-Master_Table!F900)/Master_Table!F900</f>
        <v>3.0586473787397263E-4</v>
      </c>
      <c r="G901" s="3">
        <f>(Master_Table!G901-Master_Table!G900)/Master_Table!G900</f>
        <v>1.5819258737977897E-2</v>
      </c>
      <c r="H901" s="3">
        <f>(Master_Table!H901-Master_Table!H900)/Master_Table!H900</f>
        <v>8.1106689406860305E-3</v>
      </c>
    </row>
    <row r="902" spans="1:8" x14ac:dyDescent="0.3">
      <c r="A902" s="1">
        <v>45154</v>
      </c>
      <c r="B902" s="3">
        <f>(Master_Table!B902-Master_Table!B901)/Master_Table!B901</f>
        <v>1.5667972759853318E-3</v>
      </c>
      <c r="C902" s="3">
        <f>(Master_Table!C902-Master_Table!C901)/Master_Table!C901</f>
        <v>-8.2257901802703086E-4</v>
      </c>
      <c r="D902" s="3">
        <f>(Master_Table!D902-Master_Table!D901)/Master_Table!D901</f>
        <v>-2.9124401020599062E-3</v>
      </c>
      <c r="E902" s="3">
        <f>(Master_Table!E902-Master_Table!E901)/Master_Table!E901</f>
        <v>2.3296858453935973E-3</v>
      </c>
      <c r="F902" s="3">
        <f>(Master_Table!F902-Master_Table!F901)/Master_Table!F901</f>
        <v>2.4782028806559706E-3</v>
      </c>
      <c r="G902" s="3">
        <f>(Master_Table!G902-Master_Table!G901)/Master_Table!G901</f>
        <v>1.7903791476034426E-2</v>
      </c>
      <c r="H902" s="3">
        <f>(Master_Table!H902-Master_Table!H901)/Master_Table!H901</f>
        <v>1.1710966577690924E-2</v>
      </c>
    </row>
    <row r="903" spans="1:8" x14ac:dyDescent="0.3">
      <c r="A903" s="1">
        <v>45155</v>
      </c>
      <c r="B903" s="3">
        <f>(Master_Table!B903-Master_Table!B902)/Master_Table!B902</f>
        <v>-5.124582584125353E-3</v>
      </c>
      <c r="C903" s="3">
        <f>(Master_Table!C903-Master_Table!C902)/Master_Table!C902</f>
        <v>-1.4422516834036159E-2</v>
      </c>
      <c r="D903" s="3">
        <f>(Master_Table!D903-Master_Table!D902)/Master_Table!D902</f>
        <v>-5.5423100448128903E-3</v>
      </c>
      <c r="E903" s="3">
        <f>(Master_Table!E903-Master_Table!E902)/Master_Table!E902</f>
        <v>-2.0542799455322346E-2</v>
      </c>
      <c r="F903" s="3">
        <f>(Master_Table!F903-Master_Table!F902)/Master_Table!F902</f>
        <v>-6.5505671832560321E-3</v>
      </c>
      <c r="G903" s="3">
        <f>(Master_Table!G903-Master_Table!G902)/Master_Table!G902</f>
        <v>-4.8987983410725281E-3</v>
      </c>
      <c r="H903" s="3">
        <f>(Master_Table!H903-Master_Table!H902)/Master_Table!H902</f>
        <v>-1.4325263373032898E-2</v>
      </c>
    </row>
    <row r="904" spans="1:8" x14ac:dyDescent="0.3">
      <c r="A904" s="1">
        <v>45156</v>
      </c>
      <c r="B904" s="3">
        <f>(Master_Table!B904-Master_Table!B903)/Master_Table!B903</f>
        <v>-2.8453027975367498E-3</v>
      </c>
      <c r="C904" s="3">
        <f>(Master_Table!C904-Master_Table!C903)/Master_Table!C903</f>
        <v>7.4074074074074788E-3</v>
      </c>
      <c r="D904" s="3">
        <f>(Master_Table!D904-Master_Table!D903)/Master_Table!D903</f>
        <v>-4.104585336463005E-3</v>
      </c>
      <c r="E904" s="3">
        <f>(Master_Table!E904-Master_Table!E903)/Master_Table!E903</f>
        <v>1.4861334164289761E-3</v>
      </c>
      <c r="F904" s="3">
        <f>(Master_Table!F904-Master_Table!F903)/Master_Table!F903</f>
        <v>-1.9980116377671841E-2</v>
      </c>
      <c r="G904" s="3">
        <f>(Master_Table!G904-Master_Table!G903)/Master_Table!G903</f>
        <v>-1.6115243224758567E-2</v>
      </c>
      <c r="H904" s="3">
        <f>(Master_Table!H904-Master_Table!H903)/Master_Table!H903</f>
        <v>-3.9773798303487963E-3</v>
      </c>
    </row>
    <row r="905" spans="1:8" x14ac:dyDescent="0.3">
      <c r="A905" s="1">
        <v>45159</v>
      </c>
      <c r="B905" s="3">
        <f>(Master_Table!B905-Master_Table!B904)/Master_Table!B904</f>
        <v>4.3215614586109936E-3</v>
      </c>
      <c r="C905" s="3">
        <f>(Master_Table!C905-Master_Table!C904)/Master_Table!C904</f>
        <v>-1.439299123904888E-2</v>
      </c>
      <c r="D905" s="3">
        <f>(Master_Table!D905-Master_Table!D904)/Master_Table!D904</f>
        <v>-7.8144693723217109E-4</v>
      </c>
      <c r="E905" s="3">
        <f>(Master_Table!E905-Master_Table!E904)/Master_Table!E904</f>
        <v>1.3929776692755063E-2</v>
      </c>
      <c r="F905" s="3">
        <f>(Master_Table!F905-Master_Table!F904)/Master_Table!F904</f>
        <v>1.0260862819514398E-2</v>
      </c>
      <c r="G905" s="3">
        <f>(Master_Table!G905-Master_Table!G904)/Master_Table!G904</f>
        <v>1.1947690837207281E-2</v>
      </c>
      <c r="H905" s="3">
        <f>(Master_Table!H905-Master_Table!H904)/Master_Table!H904</f>
        <v>7.6837184655274265E-3</v>
      </c>
    </row>
    <row r="906" spans="1:8" x14ac:dyDescent="0.3">
      <c r="A906" s="1">
        <v>45160</v>
      </c>
      <c r="B906" s="3">
        <f>(Master_Table!B906-Master_Table!B905)/Master_Table!B905</f>
        <v>1.4695569672480525E-4</v>
      </c>
      <c r="C906" s="3">
        <f>(Master_Table!C906-Master_Table!C905)/Master_Table!C905</f>
        <v>-2.3809523809520199E-4</v>
      </c>
      <c r="D906" s="3">
        <f>(Master_Table!D906-Master_Table!D905)/Master_Table!D905</f>
        <v>-4.2760917278437732E-3</v>
      </c>
      <c r="E906" s="3">
        <f>(Master_Table!E906-Master_Table!E905)/Master_Table!E905</f>
        <v>1.4399357930269393E-2</v>
      </c>
      <c r="F906" s="3">
        <f>(Master_Table!F906-Master_Table!F905)/Master_Table!F905</f>
        <v>-5.732495363205665E-3</v>
      </c>
      <c r="G906" s="3">
        <f>(Master_Table!G906-Master_Table!G905)/Master_Table!G905</f>
        <v>-1.1735073558874812E-3</v>
      </c>
      <c r="H906" s="3">
        <f>(Master_Table!H906-Master_Table!H905)/Master_Table!H905</f>
        <v>6.2165461545685722E-3</v>
      </c>
    </row>
    <row r="907" spans="1:8" x14ac:dyDescent="0.3">
      <c r="A907" s="1">
        <v>45161</v>
      </c>
      <c r="B907" s="3">
        <f>(Master_Table!B907-Master_Table!B906)/Master_Table!B906</f>
        <v>2.4514795233147959E-3</v>
      </c>
      <c r="C907" s="3">
        <f>(Master_Table!C907-Master_Table!C906)/Master_Table!C906</f>
        <v>1.1113757243787119E-3</v>
      </c>
      <c r="D907" s="3">
        <f>(Master_Table!D907-Master_Table!D906)/Master_Table!D906</f>
        <v>2.4575938382802604E-3</v>
      </c>
      <c r="E907" s="3">
        <f>(Master_Table!E907-Master_Table!E906)/Master_Table!E906</f>
        <v>-8.3773532217904789E-3</v>
      </c>
      <c r="F907" s="3">
        <f>(Master_Table!F907-Master_Table!F906)/Master_Table!F906</f>
        <v>4.7615511428613106E-3</v>
      </c>
      <c r="G907" s="3">
        <f>(Master_Table!G907-Master_Table!G906)/Master_Table!G906</f>
        <v>2.9945267501503251E-3</v>
      </c>
      <c r="H907" s="3">
        <f>(Master_Table!H907-Master_Table!H906)/Master_Table!H906</f>
        <v>1.4484097357025431E-2</v>
      </c>
    </row>
    <row r="908" spans="1:8" x14ac:dyDescent="0.3">
      <c r="A908" s="1">
        <v>45162</v>
      </c>
      <c r="B908" s="3">
        <f>(Master_Table!B908-Master_Table!B907)/Master_Table!B907</f>
        <v>-2.9469245011314168E-3</v>
      </c>
      <c r="C908" s="3">
        <f>(Master_Table!C908-Master_Table!C907)/Master_Table!C907</f>
        <v>-1.6810720799302053E-2</v>
      </c>
      <c r="D908" s="3">
        <f>(Master_Table!D908-Master_Table!D907)/Master_Table!D907</f>
        <v>-4.5998508839548433E-3</v>
      </c>
      <c r="E908" s="3">
        <f>(Master_Table!E908-Master_Table!E907)/Master_Table!E907</f>
        <v>1.0090817356206013E-3</v>
      </c>
      <c r="F908" s="3">
        <f>(Master_Table!F908-Master_Table!F907)/Master_Table!F907</f>
        <v>-3.0893578274570942E-3</v>
      </c>
      <c r="G908" s="3">
        <f>(Master_Table!G908-Master_Table!G907)/Master_Table!G907</f>
        <v>1.1113809408168182E-2</v>
      </c>
      <c r="H908" s="3">
        <f>(Master_Table!H908-Master_Table!H907)/Master_Table!H907</f>
        <v>-1.083676773623779E-2</v>
      </c>
    </row>
    <row r="909" spans="1:8" x14ac:dyDescent="0.3">
      <c r="A909" s="1">
        <v>45163</v>
      </c>
      <c r="B909" s="3">
        <f>(Master_Table!B909-Master_Table!B908)/Master_Table!B908</f>
        <v>-6.2362341192674078E-3</v>
      </c>
      <c r="C909" s="3">
        <f>(Master_Table!C909-Master_Table!C908)/Master_Table!C908</f>
        <v>-4.6132752641342258E-3</v>
      </c>
      <c r="D909" s="3">
        <f>(Master_Table!D909-Master_Table!D908)/Master_Table!D908</f>
        <v>-1.1273470527745825E-2</v>
      </c>
      <c r="E909" s="3">
        <f>(Master_Table!E909-Master_Table!E908)/Master_Table!E908</f>
        <v>-1.6738559639909945E-2</v>
      </c>
      <c r="F909" s="3">
        <f>(Master_Table!F909-Master_Table!F908)/Master_Table!F908</f>
        <v>-1.9038411923621192E-3</v>
      </c>
      <c r="G909" s="3">
        <f>(Master_Table!G909-Master_Table!G908)/Master_Table!G908</f>
        <v>-2.4582868283860014E-3</v>
      </c>
      <c r="H909" s="3">
        <f>(Master_Table!H909-Master_Table!H908)/Master_Table!H908</f>
        <v>-1.8507151758644421E-2</v>
      </c>
    </row>
    <row r="910" spans="1:8" x14ac:dyDescent="0.3">
      <c r="A910" s="1">
        <v>45166</v>
      </c>
      <c r="B910" s="3">
        <f>(Master_Table!B910-Master_Table!B909)/Master_Table!B909</f>
        <v>2.0891943236200938E-3</v>
      </c>
      <c r="C910" s="3">
        <f>(Master_Table!C910-Master_Table!C909)/Master_Table!C909</f>
        <v>-9.9661313584727945E-3</v>
      </c>
      <c r="D910" s="3">
        <f>(Master_Table!D910-Master_Table!D909)/Master_Table!D909</f>
        <v>1.0413322890050224E-2</v>
      </c>
      <c r="E910" s="3">
        <f>(Master_Table!E910-Master_Table!E909)/Master_Table!E909</f>
        <v>-4.4108530828287223E-3</v>
      </c>
      <c r="F910" s="3">
        <f>(Master_Table!F910-Master_Table!F909)/Master_Table!F909</f>
        <v>-1.702463967483835E-3</v>
      </c>
      <c r="G910" s="3">
        <f>(Master_Table!G910-Master_Table!G909)/Master_Table!G909</f>
        <v>-3.1300012746612038E-3</v>
      </c>
      <c r="H910" s="3">
        <f>(Master_Table!H910-Master_Table!H909)/Master_Table!H909</f>
        <v>2.1585051546391683E-2</v>
      </c>
    </row>
    <row r="911" spans="1:8" x14ac:dyDescent="0.3">
      <c r="A911" s="1">
        <v>45167</v>
      </c>
      <c r="B911" s="3">
        <f>(Master_Table!B911-Master_Table!B910)/Master_Table!B910</f>
        <v>1.8957787843708156E-3</v>
      </c>
      <c r="C911" s="3">
        <f>(Master_Table!C911-Master_Table!C910)/Master_Table!C910</f>
        <v>-9.5754083870756897E-3</v>
      </c>
      <c r="D911" s="3">
        <f>(Master_Table!D911-Master_Table!D910)/Master_Table!D910</f>
        <v>7.9550653179484461E-3</v>
      </c>
      <c r="E911" s="3">
        <f>(Master_Table!E911-Master_Table!E910)/Master_Table!E910</f>
        <v>-2.9456139090452338E-3</v>
      </c>
      <c r="F911" s="3">
        <f>(Master_Table!F911-Master_Table!F910)/Master_Table!F910</f>
        <v>1.7857249150289855E-4</v>
      </c>
      <c r="G911" s="3">
        <f>(Master_Table!G911-Master_Table!G910)/Master_Table!G910</f>
        <v>1.4065297076123221E-3</v>
      </c>
      <c r="H911" s="3">
        <f>(Master_Table!H911-Master_Table!H910)/Master_Table!H910</f>
        <v>8.7558202088782195E-3</v>
      </c>
    </row>
    <row r="912" spans="1:8" x14ac:dyDescent="0.3">
      <c r="A912" s="1">
        <v>45168</v>
      </c>
      <c r="B912" s="3">
        <f>(Master_Table!B912-Master_Table!B911)/Master_Table!B911</f>
        <v>2.4815627641503477E-4</v>
      </c>
      <c r="C912" s="3">
        <f>(Master_Table!C912-Master_Table!C911)/Master_Table!C911</f>
        <v>-9.5027186038448071E-4</v>
      </c>
      <c r="D912" s="3">
        <f>(Master_Table!D912-Master_Table!D911)/Master_Table!D911</f>
        <v>-7.2997301999545676E-3</v>
      </c>
      <c r="E912" s="3">
        <f>(Master_Table!E912-Master_Table!E911)/Master_Table!E911</f>
        <v>6.1248018446462306E-3</v>
      </c>
      <c r="F912" s="3">
        <f>(Master_Table!F912-Master_Table!F911)/Master_Table!F911</f>
        <v>4.383171952460593E-3</v>
      </c>
      <c r="G912" s="3">
        <f>(Master_Table!G912-Master_Table!G911)/Master_Table!G911</f>
        <v>1.235014542101146E-2</v>
      </c>
      <c r="H912" s="3">
        <f>(Master_Table!H912-Master_Table!H911)/Master_Table!H911</f>
        <v>-3.659500910277798E-3</v>
      </c>
    </row>
    <row r="913" spans="1:8" x14ac:dyDescent="0.3">
      <c r="A913" s="1">
        <v>45169</v>
      </c>
      <c r="B913" s="3">
        <f>(Master_Table!B913-Master_Table!B912)/Master_Table!B912</f>
        <v>-4.8404311679317667E-3</v>
      </c>
      <c r="C913" s="3">
        <f>(Master_Table!C913-Master_Table!C912)/Master_Table!C912</f>
        <v>-4.5739146257743587E-3</v>
      </c>
      <c r="D913" s="3">
        <f>(Master_Table!D913-Master_Table!D912)/Master_Table!D912</f>
        <v>-4.5974675827734728E-3</v>
      </c>
      <c r="E913" s="3">
        <f>(Master_Table!E913-Master_Table!E912)/Master_Table!E912</f>
        <v>-6.9946764066938982E-3</v>
      </c>
      <c r="F913" s="3">
        <f>(Master_Table!F913-Master_Table!F912)/Master_Table!F912</f>
        <v>-1.0070186145865056E-2</v>
      </c>
      <c r="G913" s="3">
        <f>(Master_Table!G913-Master_Table!G912)/Master_Table!G912</f>
        <v>2.1021504999627354E-4</v>
      </c>
      <c r="H913" s="3">
        <f>(Master_Table!H913-Master_Table!H912)/Master_Table!H912</f>
        <v>-2.3255813953489044E-3</v>
      </c>
    </row>
    <row r="914" spans="1:8" x14ac:dyDescent="0.3">
      <c r="A914" s="1">
        <v>45170</v>
      </c>
      <c r="B914" s="3">
        <f>(Master_Table!B914-Master_Table!B913)/Master_Table!B913</f>
        <v>9.4267105714196681E-3</v>
      </c>
      <c r="C914" s="3">
        <f>(Master_Table!C914-Master_Table!C913)/Master_Table!C913</f>
        <v>2.3431657665142804E-3</v>
      </c>
      <c r="D914" s="3">
        <f>(Master_Table!D914-Master_Table!D913)/Master_Table!D913</f>
        <v>2.079691746303119E-3</v>
      </c>
      <c r="E914" s="3">
        <f>(Master_Table!E914-Master_Table!E913)/Master_Table!E913</f>
        <v>3.0772189633619328E-3</v>
      </c>
      <c r="F914" s="3">
        <f>(Master_Table!F914-Master_Table!F913)/Master_Table!F913</f>
        <v>6.6710162450767845E-3</v>
      </c>
      <c r="G914" s="3">
        <f>(Master_Table!G914-Master_Table!G913)/Master_Table!G913</f>
        <v>5.849755851507211E-3</v>
      </c>
      <c r="H914" s="3">
        <f>(Master_Table!H914-Master_Table!H913)/Master_Table!H913</f>
        <v>-2.2200022200018836E-4</v>
      </c>
    </row>
    <row r="915" spans="1:8" x14ac:dyDescent="0.3">
      <c r="A915" s="1">
        <v>45173</v>
      </c>
      <c r="B915" s="3">
        <f>(Master_Table!B915-Master_Table!B914)/Master_Table!B914</f>
        <v>4.8108338950260607E-3</v>
      </c>
      <c r="C915" s="3">
        <f>(Master_Table!C915-Master_Table!C914)/Master_Table!C914</f>
        <v>-8.0409841501428091E-4</v>
      </c>
      <c r="D915" s="3">
        <f>(Master_Table!D915-Master_Table!D914)/Master_Table!D914</f>
        <v>6.2515915457091523E-3</v>
      </c>
      <c r="E915" s="3">
        <f>(Master_Table!E915-Master_Table!E914)/Master_Table!E914</f>
        <v>-8.0529191832039437E-3</v>
      </c>
      <c r="F915" s="3">
        <f>(Master_Table!F915-Master_Table!F914)/Master_Table!F914</f>
        <v>1.1630361427157098E-2</v>
      </c>
      <c r="G915" s="3">
        <f>(Master_Table!G915-Master_Table!G914)/Master_Table!G914</f>
        <v>1.4716944336100816E-2</v>
      </c>
      <c r="H915" s="3">
        <f>(Master_Table!H915-Master_Table!H914)/Master_Table!H914</f>
        <v>3.3307427556345066E-3</v>
      </c>
    </row>
    <row r="916" spans="1:8" x14ac:dyDescent="0.3">
      <c r="A916" s="1">
        <v>45174</v>
      </c>
      <c r="B916" s="3">
        <f>(Master_Table!B916-Master_Table!B915)/Master_Table!B915</f>
        <v>2.3606161156856636E-3</v>
      </c>
      <c r="C916" s="3">
        <f>(Master_Table!C916-Master_Table!C915)/Master_Table!C915</f>
        <v>5.3511428215871288E-3</v>
      </c>
      <c r="D916" s="3">
        <f>(Master_Table!D916-Master_Table!D915)/Master_Table!D915</f>
        <v>-6.0862193316545982E-3</v>
      </c>
      <c r="E916" s="3">
        <f>(Master_Table!E916-Master_Table!E915)/Master_Table!E915</f>
        <v>1.2805644148062267E-2</v>
      </c>
      <c r="F916" s="3">
        <f>(Master_Table!F916-Master_Table!F915)/Master_Table!F915</f>
        <v>3.1739221154779198E-3</v>
      </c>
      <c r="G916" s="3">
        <f>(Master_Table!G916-Master_Table!G915)/Master_Table!G915</f>
        <v>9.4173204565888968E-3</v>
      </c>
      <c r="H916" s="3">
        <f>(Master_Table!H916-Master_Table!H915)/Master_Table!H915</f>
        <v>8.0594592600789008E-3</v>
      </c>
    </row>
    <row r="917" spans="1:8" x14ac:dyDescent="0.3">
      <c r="A917" s="1">
        <v>45175</v>
      </c>
      <c r="B917" s="3">
        <f>(Master_Table!B917-Master_Table!B916)/Master_Table!B916</f>
        <v>1.8467527292603187E-3</v>
      </c>
      <c r="C917" s="3">
        <f>(Master_Table!C917-Master_Table!C916)/Master_Table!C916</f>
        <v>2.1043076415249665E-3</v>
      </c>
      <c r="D917" s="3">
        <f>(Master_Table!D917-Master_Table!D916)/Master_Table!D916</f>
        <v>1.3074474856779098E-2</v>
      </c>
      <c r="E917" s="3">
        <f>(Master_Table!E917-Master_Table!E916)/Master_Table!E916</f>
        <v>9.804857101961004E-3</v>
      </c>
      <c r="F917" s="3">
        <f>(Master_Table!F917-Master_Table!F916)/Master_Table!F916</f>
        <v>1.6112352901533812E-4</v>
      </c>
      <c r="G917" s="3">
        <f>(Master_Table!G917-Master_Table!G916)/Master_Table!G916</f>
        <v>-9.7918550805436337E-4</v>
      </c>
      <c r="H917" s="3">
        <f>(Master_Table!H917-Master_Table!H916)/Master_Table!H916</f>
        <v>-9.1476243619532016E-4</v>
      </c>
    </row>
    <row r="918" spans="1:8" x14ac:dyDescent="0.3">
      <c r="A918" s="1">
        <v>45176</v>
      </c>
      <c r="B918" s="3">
        <f>(Master_Table!B918-Master_Table!B917)/Master_Table!B917</f>
        <v>5.9150325964188559E-3</v>
      </c>
      <c r="C918" s="3">
        <f>(Master_Table!C918-Master_Table!C917)/Master_Table!C917</f>
        <v>1.3587515955038425E-3</v>
      </c>
      <c r="D918" s="3">
        <f>(Master_Table!D918-Master_Table!D917)/Master_Table!D917</f>
        <v>9.6258969300174278E-3</v>
      </c>
      <c r="E918" s="3">
        <f>(Master_Table!E918-Master_Table!E917)/Master_Table!E917</f>
        <v>-3.4491719624844346E-3</v>
      </c>
      <c r="F918" s="3">
        <f>(Master_Table!F918-Master_Table!F917)/Master_Table!F917</f>
        <v>7.3899850032805381E-3</v>
      </c>
      <c r="G918" s="3">
        <f>(Master_Table!G918-Master_Table!G917)/Master_Table!G917</f>
        <v>-7.6165453963803059E-3</v>
      </c>
      <c r="H918" s="3">
        <f>(Master_Table!H918-Master_Table!H917)/Master_Table!H917</f>
        <v>4.2465527660275879E-2</v>
      </c>
    </row>
    <row r="919" spans="1:8" x14ac:dyDescent="0.3">
      <c r="A919" s="1">
        <v>45177</v>
      </c>
      <c r="B919" s="3">
        <f>(Master_Table!B919-Master_Table!B918)/Master_Table!B918</f>
        <v>4.709269759036524E-3</v>
      </c>
      <c r="C919" s="3">
        <f>(Master_Table!C919-Master_Table!C918)/Master_Table!C918</f>
        <v>6.6611842105262411E-3</v>
      </c>
      <c r="D919" s="3">
        <f>(Master_Table!D919-Master_Table!D918)/Master_Table!D918</f>
        <v>7.7915935426858653E-3</v>
      </c>
      <c r="E919" s="3">
        <f>(Master_Table!E919-Master_Table!E918)/Master_Table!E918</f>
        <v>-7.3015195694947823E-3</v>
      </c>
      <c r="F919" s="3">
        <f>(Master_Table!F919-Master_Table!F918)/Master_Table!F918</f>
        <v>-3.8612396091075667E-3</v>
      </c>
      <c r="G919" s="3">
        <f>(Master_Table!G919-Master_Table!G918)/Master_Table!G918</f>
        <v>2.3182759708637165E-3</v>
      </c>
      <c r="H919" s="3">
        <f>(Master_Table!H919-Master_Table!H918)/Master_Table!H918</f>
        <v>1.9392917369308534E-2</v>
      </c>
    </row>
    <row r="920" spans="1:8" x14ac:dyDescent="0.3">
      <c r="A920" s="1">
        <v>45180</v>
      </c>
      <c r="B920" s="3">
        <f>(Master_Table!B920-Master_Table!B919)/Master_Table!B919</f>
        <v>8.9001233605532706E-3</v>
      </c>
      <c r="C920" s="3">
        <f>(Master_Table!C920-Master_Table!C919)/Master_Table!C919</f>
        <v>1.0783432726084508E-2</v>
      </c>
      <c r="D920" s="3">
        <f>(Master_Table!D920-Master_Table!D919)/Master_Table!D919</f>
        <v>5.1624695871258751E-3</v>
      </c>
      <c r="E920" s="3">
        <f>(Master_Table!E920-Master_Table!E919)/Master_Table!E919</f>
        <v>1.0292537313432841E-2</v>
      </c>
      <c r="F920" s="3">
        <f>(Master_Table!F920-Master_Table!F919)/Master_Table!F919</f>
        <v>1.1257928272665361E-2</v>
      </c>
      <c r="G920" s="3">
        <f>(Master_Table!G920-Master_Table!G919)/Master_Table!G919</f>
        <v>4.6668856407730908E-3</v>
      </c>
      <c r="H920" s="3">
        <f>(Master_Table!H920-Master_Table!H919)/Master_Table!H919</f>
        <v>-2.5503170664461301E-3</v>
      </c>
    </row>
    <row r="921" spans="1:8" x14ac:dyDescent="0.3">
      <c r="A921" s="1">
        <v>45181</v>
      </c>
      <c r="B921" s="3">
        <f>(Master_Table!B921-Master_Table!B920)/Master_Table!B920</f>
        <v>-1.5752874899658276E-4</v>
      </c>
      <c r="C921" s="3">
        <f>(Master_Table!C921-Master_Table!C920)/Master_Table!C920</f>
        <v>-1.4442738220318347E-2</v>
      </c>
      <c r="D921" s="3">
        <f>(Master_Table!D921-Master_Table!D920)/Master_Table!D920</f>
        <v>3.1331785174535916E-3</v>
      </c>
      <c r="E921" s="3">
        <f>(Master_Table!E921-Master_Table!E920)/Master_Table!E920</f>
        <v>8.8167163050158794E-3</v>
      </c>
      <c r="F921" s="3">
        <f>(Master_Table!F921-Master_Table!F920)/Master_Table!F920</f>
        <v>2.877099809501827E-2</v>
      </c>
      <c r="G921" s="3">
        <f>(Master_Table!G921-Master_Table!G920)/Master_Table!G920</f>
        <v>1.6694138320914324E-2</v>
      </c>
      <c r="H921" s="3">
        <f>(Master_Table!H921-Master_Table!H920)/Master_Table!H920</f>
        <v>1.7241379310344859E-2</v>
      </c>
    </row>
    <row r="922" spans="1:8" x14ac:dyDescent="0.3">
      <c r="A922" s="1">
        <v>45182</v>
      </c>
      <c r="B922" s="3">
        <f>(Master_Table!B922-Master_Table!B921)/Master_Table!B921</f>
        <v>3.841306044054942E-3</v>
      </c>
      <c r="C922" s="3">
        <f>(Master_Table!C922-Master_Table!C921)/Master_Table!C921</f>
        <v>5.0023371575243425E-3</v>
      </c>
      <c r="D922" s="3">
        <f>(Master_Table!D922-Master_Table!D921)/Master_Table!D921</f>
        <v>4.2747605399181907E-3</v>
      </c>
      <c r="E922" s="3">
        <f>(Master_Table!E922-Master_Table!E921)/Master_Table!E921</f>
        <v>5.2250521333676078E-3</v>
      </c>
      <c r="F922" s="3">
        <f>(Master_Table!F922-Master_Table!F921)/Master_Table!F921</f>
        <v>-3.6136330479087245E-3</v>
      </c>
      <c r="G922" s="3">
        <f>(Master_Table!G922-Master_Table!G921)/Master_Table!G921</f>
        <v>-1.8356122168702203E-3</v>
      </c>
      <c r="H922" s="3">
        <f>(Master_Table!H922-Master_Table!H921)/Master_Table!H921</f>
        <v>-1.2686389728609731E-2</v>
      </c>
    </row>
    <row r="923" spans="1:8" x14ac:dyDescent="0.3">
      <c r="A923" s="1">
        <v>45183</v>
      </c>
      <c r="B923" s="3">
        <f>(Master_Table!B923-Master_Table!B922)/Master_Table!B922</f>
        <v>1.6492277030392898E-3</v>
      </c>
      <c r="C923" s="3">
        <f>(Master_Table!C923-Master_Table!C922)/Master_Table!C922</f>
        <v>9.1389031684260542E-4</v>
      </c>
      <c r="D923" s="3">
        <f>(Master_Table!D923-Master_Table!D922)/Master_Table!D922</f>
        <v>-6.0982302935688065E-4</v>
      </c>
      <c r="E923" s="3">
        <f>(Master_Table!E923-Master_Table!E922)/Master_Table!E922</f>
        <v>-7.8318027131601253E-3</v>
      </c>
      <c r="F923" s="3">
        <f>(Master_Table!F923-Master_Table!F922)/Master_Table!F922</f>
        <v>-2.1878695725629279E-3</v>
      </c>
      <c r="G923" s="3">
        <f>(Master_Table!G923-Master_Table!G922)/Master_Table!G922</f>
        <v>5.7451592335312895E-3</v>
      </c>
      <c r="H923" s="3">
        <f>(Master_Table!H923-Master_Table!H922)/Master_Table!H922</f>
        <v>4.076717984002721E-3</v>
      </c>
    </row>
    <row r="924" spans="1:8" x14ac:dyDescent="0.3">
      <c r="A924" s="1">
        <v>45184</v>
      </c>
      <c r="B924" s="3">
        <f>(Master_Table!B924-Master_Table!B923)/Master_Table!B923</f>
        <v>4.4396137909078707E-3</v>
      </c>
      <c r="C924" s="3">
        <f>(Master_Table!C924-Master_Table!C923)/Master_Table!C923</f>
        <v>1.8587209065340337E-3</v>
      </c>
      <c r="D924" s="3">
        <f>(Master_Table!D924-Master_Table!D923)/Master_Table!D923</f>
        <v>1.1471668639630927E-2</v>
      </c>
      <c r="E924" s="3">
        <f>(Master_Table!E924-Master_Table!E923)/Master_Table!E923</f>
        <v>-3.5709251515294803E-3</v>
      </c>
      <c r="F924" s="3">
        <f>(Master_Table!F924-Master_Table!F923)/Master_Table!F923</f>
        <v>1.0746042899512627E-2</v>
      </c>
      <c r="G924" s="3">
        <f>(Master_Table!G924-Master_Table!G923)/Master_Table!G923</f>
        <v>3.0830625087587792E-3</v>
      </c>
      <c r="H924" s="3">
        <f>(Master_Table!H924-Master_Table!H923)/Master_Table!H923</f>
        <v>-3.4434317823613127E-3</v>
      </c>
    </row>
    <row r="925" spans="1:8" x14ac:dyDescent="0.3">
      <c r="A925" s="1">
        <v>45187</v>
      </c>
      <c r="B925" s="3">
        <f>(Master_Table!B925-Master_Table!B924)/Master_Table!B924</f>
        <v>-2.9243748251193782E-3</v>
      </c>
      <c r="C925" s="3">
        <f>(Master_Table!C925-Master_Table!C924)/Master_Table!C924</f>
        <v>-8.7148983261862243E-3</v>
      </c>
      <c r="D925" s="3">
        <f>(Master_Table!D925-Master_Table!D924)/Master_Table!D924</f>
        <v>-1.9678816616594812E-2</v>
      </c>
      <c r="E925" s="3">
        <f>(Master_Table!E925-Master_Table!E924)/Master_Table!E924</f>
        <v>8.2519922667043909E-3</v>
      </c>
      <c r="F925" s="3">
        <f>(Master_Table!F925-Master_Table!F924)/Master_Table!F924</f>
        <v>2.1805227112189278E-3</v>
      </c>
      <c r="G925" s="3">
        <f>(Master_Table!G925-Master_Table!G924)/Master_Table!G924</f>
        <v>-1.3099332725712383E-2</v>
      </c>
      <c r="H925" s="3">
        <f>(Master_Table!H925-Master_Table!H924)/Master_Table!H924</f>
        <v>3.8850973852949844E-3</v>
      </c>
    </row>
    <row r="926" spans="1:8" x14ac:dyDescent="0.3">
      <c r="A926" s="1">
        <v>45189</v>
      </c>
      <c r="B926" s="3">
        <f>(Master_Table!B926-Master_Table!B925)/Master_Table!B925</f>
        <v>-1.1518230990448552E-2</v>
      </c>
      <c r="C926" s="3">
        <f>(Master_Table!C926-Master_Table!C925)/Master_Table!C925</f>
        <v>-2.2286614897145091E-2</v>
      </c>
      <c r="D926" s="3">
        <f>(Master_Table!D926-Master_Table!D925)/Master_Table!D925</f>
        <v>-4.0110769230769269E-2</v>
      </c>
      <c r="E926" s="3">
        <f>(Master_Table!E926-Master_Table!E925)/Master_Table!E925</f>
        <v>2.0110373211112472E-3</v>
      </c>
      <c r="F926" s="3">
        <f>(Master_Table!F926-Master_Table!F925)/Master_Table!F925</f>
        <v>-2.7858878067237138E-5</v>
      </c>
      <c r="G926" s="3">
        <f>(Master_Table!G926-Master_Table!G925)/Master_Table!G925</f>
        <v>-1.0381275953189636E-3</v>
      </c>
      <c r="H926" s="3">
        <f>(Master_Table!H926-Master_Table!H925)/Master_Table!H925</f>
        <v>-1.0223127900405813E-2</v>
      </c>
    </row>
    <row r="927" spans="1:8" x14ac:dyDescent="0.3">
      <c r="A927" s="1">
        <v>45190</v>
      </c>
      <c r="B927" s="3">
        <f>(Master_Table!B927-Master_Table!B926)/Master_Table!B926</f>
        <v>-7.9919000673320927E-3</v>
      </c>
      <c r="C927" s="3">
        <f>(Master_Table!C927-Master_Table!C926)/Master_Table!C926</f>
        <v>-7.2791691504276376E-3</v>
      </c>
      <c r="D927" s="3">
        <f>(Master_Table!D927-Master_Table!D926)/Master_Table!D926</f>
        <v>-6.6161480170788536E-3</v>
      </c>
      <c r="E927" s="3">
        <f>(Master_Table!E927-Master_Table!E926)/Master_Table!E926</f>
        <v>-1.2042007001166919E-2</v>
      </c>
      <c r="F927" s="3">
        <f>(Master_Table!F927-Master_Table!F926)/Master_Table!F926</f>
        <v>-5.7558045589537737E-3</v>
      </c>
      <c r="G927" s="3">
        <f>(Master_Table!G927-Master_Table!G926)/Master_Table!G926</f>
        <v>7.7130710574261664E-3</v>
      </c>
      <c r="H927" s="3">
        <f>(Master_Table!H927-Master_Table!H926)/Master_Table!H926</f>
        <v>3.2352941176470272E-3</v>
      </c>
    </row>
    <row r="928" spans="1:8" x14ac:dyDescent="0.3">
      <c r="A928" s="1">
        <v>45191</v>
      </c>
      <c r="B928" s="3">
        <f>(Master_Table!B928-Master_Table!B927)/Master_Table!B927</f>
        <v>-3.449437377009249E-3</v>
      </c>
      <c r="C928" s="3">
        <f>(Master_Table!C928-Master_Table!C927)/Master_Table!C927</f>
        <v>-4.1694857916103377E-3</v>
      </c>
      <c r="D928" s="3">
        <f>(Master_Table!D928-Master_Table!D927)/Master_Table!D927</f>
        <v>-1.5256534365924557E-2</v>
      </c>
      <c r="E928" s="3">
        <f>(Master_Table!E928-Master_Table!E927)/Master_Table!E927</f>
        <v>-9.8266169036707336E-3</v>
      </c>
      <c r="F928" s="3">
        <f>(Master_Table!F928-Master_Table!F927)/Master_Table!F927</f>
        <v>5.1194252345352397E-3</v>
      </c>
      <c r="G928" s="3">
        <f>(Master_Table!G928-Master_Table!G927)/Master_Table!G927</f>
        <v>-3.7232225964789738E-3</v>
      </c>
      <c r="H928" s="3">
        <f>(Master_Table!H928-Master_Table!H927)/Master_Table!H927</f>
        <v>6.6049286909135125E-3</v>
      </c>
    </row>
    <row r="929" spans="1:8" x14ac:dyDescent="0.3">
      <c r="A929" s="1">
        <v>45194</v>
      </c>
      <c r="B929" s="3">
        <f>(Master_Table!B929-Master_Table!B928)/Master_Table!B928</f>
        <v>1.5248357624777179E-5</v>
      </c>
      <c r="C929" s="3">
        <f>(Master_Table!C929-Master_Table!C928)/Master_Table!C928</f>
        <v>-6.1572693996450011E-3</v>
      </c>
      <c r="D929" s="3">
        <f>(Master_Table!D929-Master_Table!D928)/Master_Table!D928</f>
        <v>8.7819328116612639E-4</v>
      </c>
      <c r="E929" s="3">
        <f>(Master_Table!E929-Master_Table!E928)/Master_Table!E928</f>
        <v>-1.1450928002290619E-3</v>
      </c>
      <c r="F929" s="3">
        <f>(Master_Table!F929-Master_Table!F928)/Master_Table!F928</f>
        <v>-7.3542735912440396E-3</v>
      </c>
      <c r="G929" s="3">
        <f>(Master_Table!G929-Master_Table!G928)/Master_Table!G928</f>
        <v>-1.4706574268872126E-2</v>
      </c>
      <c r="H929" s="3">
        <f>(Master_Table!H929-Master_Table!H928)/Master_Table!H928</f>
        <v>-5.482268288504369E-3</v>
      </c>
    </row>
    <row r="930" spans="1:8" x14ac:dyDescent="0.3">
      <c r="A930" s="1">
        <v>45195</v>
      </c>
      <c r="B930" s="3">
        <f>(Master_Table!B930-Master_Table!B929)/Master_Table!B929</f>
        <v>-5.0064677464026089E-4</v>
      </c>
      <c r="C930" s="3">
        <f>(Master_Table!C930-Master_Table!C929)/Master_Table!C929</f>
        <v>8.8017637709146372E-4</v>
      </c>
      <c r="D930" s="3">
        <f>(Master_Table!D930-Master_Table!D929)/Master_Table!D929</f>
        <v>4.3478260869564385E-3</v>
      </c>
      <c r="E930" s="3">
        <f>(Master_Table!E930-Master_Table!E929)/Master_Table!E929</f>
        <v>-3.3436828278000084E-4</v>
      </c>
      <c r="F930" s="3">
        <f>(Master_Table!F930-Master_Table!F929)/Master_Table!F929</f>
        <v>2.3900130594132428E-3</v>
      </c>
      <c r="G930" s="3">
        <f>(Master_Table!G930-Master_Table!G929)/Master_Table!G929</f>
        <v>-9.1616697023651581E-3</v>
      </c>
      <c r="H930" s="3">
        <f>(Master_Table!H930-Master_Table!H929)/Master_Table!H929</f>
        <v>3.4625322997416646E-3</v>
      </c>
    </row>
    <row r="931" spans="1:8" x14ac:dyDescent="0.3">
      <c r="A931" s="1">
        <v>45196</v>
      </c>
      <c r="B931" s="3">
        <f>(Master_Table!B931-Master_Table!B930)/Master_Table!B930</f>
        <v>2.6316190941128009E-3</v>
      </c>
      <c r="C931" s="3">
        <f>(Master_Table!C931-Master_Table!C930)/Master_Table!C930</f>
        <v>1.1270010672358629E-2</v>
      </c>
      <c r="D931" s="3">
        <f>(Master_Table!D931-Master_Table!D930)/Master_Table!D930</f>
        <v>-7.0281124497991792E-3</v>
      </c>
      <c r="E931" s="3">
        <f>(Master_Table!E931-Master_Table!E930)/Master_Table!E930</f>
        <v>1.514717125382257E-2</v>
      </c>
      <c r="F931" s="3">
        <f>(Master_Table!F931-Master_Table!F930)/Master_Table!F930</f>
        <v>1.0058389088749582E-3</v>
      </c>
      <c r="G931" s="3">
        <f>(Master_Table!G931-Master_Table!G930)/Master_Table!G930</f>
        <v>4.3512385883259681E-3</v>
      </c>
      <c r="H931" s="3">
        <f>(Master_Table!H931-Master_Table!H930)/Master_Table!H930</f>
        <v>1.802544162331977E-2</v>
      </c>
    </row>
    <row r="932" spans="1:8" x14ac:dyDescent="0.3">
      <c r="A932" s="1">
        <v>45197</v>
      </c>
      <c r="B932" s="3">
        <f>(Master_Table!B932-Master_Table!B931)/Master_Table!B931</f>
        <v>-9.7837085276508418E-3</v>
      </c>
      <c r="C932" s="3">
        <f>(Master_Table!C932-Master_Table!C931)/Master_Table!C931</f>
        <v>-1.4690362615560041E-2</v>
      </c>
      <c r="D932" s="3">
        <f>(Master_Table!D932-Master_Table!D931)/Master_Table!D931</f>
        <v>-2.0616390687168418E-3</v>
      </c>
      <c r="E932" s="3">
        <f>(Master_Table!E932-Master_Table!E931)/Master_Table!E931</f>
        <v>-1.8710284772887713E-2</v>
      </c>
      <c r="F932" s="3">
        <f>(Master_Table!F932-Master_Table!F931)/Master_Table!F931</f>
        <v>-1.4641382688405275E-2</v>
      </c>
      <c r="G932" s="3">
        <f>(Master_Table!G932-Master_Table!G931)/Master_Table!G931</f>
        <v>-1.8782818519584764E-2</v>
      </c>
      <c r="H932" s="3">
        <f>(Master_Table!H932-Master_Table!H931)/Master_Table!H931</f>
        <v>1.5159946712534296E-2</v>
      </c>
    </row>
    <row r="933" spans="1:8" x14ac:dyDescent="0.3">
      <c r="A933" s="1">
        <v>45198</v>
      </c>
      <c r="B933" s="3">
        <f>(Master_Table!B933-Master_Table!B932)/Master_Table!B932</f>
        <v>5.8775171523621477E-3</v>
      </c>
      <c r="C933" s="3">
        <f>(Master_Table!C933-Master_Table!C932)/Master_Table!C932</f>
        <v>4.6698941776273902E-3</v>
      </c>
      <c r="D933" s="3">
        <f>(Master_Table!D933-Master_Table!D932)/Master_Table!D932</f>
        <v>1.7106163482287942E-3</v>
      </c>
      <c r="E933" s="3">
        <f>(Master_Table!E933-Master_Table!E932)/Master_Table!E932</f>
        <v>8.2983571171604178E-3</v>
      </c>
      <c r="F933" s="3">
        <f>(Master_Table!F933-Master_Table!F932)/Master_Table!F932</f>
        <v>-2.3036893115633635E-3</v>
      </c>
      <c r="G933" s="3">
        <f>(Master_Table!G933-Master_Table!G932)/Master_Table!G932</f>
        <v>-2.773547206192644E-3</v>
      </c>
      <c r="H933" s="3">
        <f>(Master_Table!H933-Master_Table!H932)/Master_Table!H932</f>
        <v>4.5016611295681666E-3</v>
      </c>
    </row>
    <row r="934" spans="1:8" x14ac:dyDescent="0.3">
      <c r="A934" s="1">
        <v>45202</v>
      </c>
      <c r="B934" s="3">
        <f>(Master_Table!B934-Master_Table!B933)/Master_Table!B933</f>
        <v>-5.578385094432781E-3</v>
      </c>
      <c r="C934" s="3">
        <f>(Master_Table!C934-Master_Table!C933)/Master_Table!C933</f>
        <v>-1.1454157782516046E-2</v>
      </c>
      <c r="D934" s="3">
        <f>(Master_Table!D934-Master_Table!D933)/Master_Table!D933</f>
        <v>-1.1967002075506415E-2</v>
      </c>
      <c r="E934" s="3">
        <f>(Master_Table!E934-Master_Table!E933)/Master_Table!E933</f>
        <v>-1.0465973692348026E-2</v>
      </c>
      <c r="F934" s="3">
        <f>(Master_Table!F934-Master_Table!F933)/Master_Table!F933</f>
        <v>-4.1824088283276498E-3</v>
      </c>
      <c r="G934" s="3">
        <f>(Master_Table!G934-Master_Table!G933)/Master_Table!G933</f>
        <v>-1.015825866429439E-3</v>
      </c>
      <c r="H934" s="3">
        <f>(Master_Table!H934-Master_Table!H933)/Master_Table!H933</f>
        <v>1.643763126126567E-2</v>
      </c>
    </row>
    <row r="935" spans="1:8" x14ac:dyDescent="0.3">
      <c r="A935" s="1">
        <v>45203</v>
      </c>
      <c r="B935" s="3">
        <f>(Master_Table!B935-Master_Table!B934)/Master_Table!B934</f>
        <v>-4.744287268770477E-3</v>
      </c>
      <c r="C935" s="3">
        <f>(Master_Table!C935-Master_Table!C934)/Master_Table!C934</f>
        <v>-1.7255213231297506E-3</v>
      </c>
      <c r="D935" s="3">
        <f>(Master_Table!D935-Master_Table!D934)/Master_Table!D934</f>
        <v>1.4265771455161894E-2</v>
      </c>
      <c r="E935" s="3">
        <f>(Master_Table!E935-Master_Table!E934)/Master_Table!E934</f>
        <v>-8.2930698781279021E-3</v>
      </c>
      <c r="F935" s="3">
        <f>(Master_Table!F935-Master_Table!F934)/Master_Table!F934</f>
        <v>6.8017291659518888E-3</v>
      </c>
      <c r="G935" s="3">
        <f>(Master_Table!G935-Master_Table!G934)/Master_Table!G934</f>
        <v>7.2232040169429397E-3</v>
      </c>
      <c r="H935" s="3">
        <f>(Master_Table!H935-Master_Table!H934)/Master_Table!H934</f>
        <v>-1.4805173676075815E-2</v>
      </c>
    </row>
    <row r="936" spans="1:8" x14ac:dyDescent="0.3">
      <c r="A936" s="1">
        <v>45204</v>
      </c>
      <c r="B936" s="3">
        <f>(Master_Table!B936-Master_Table!B935)/Master_Table!B935</f>
        <v>5.6415638939911542E-3</v>
      </c>
      <c r="C936" s="3">
        <f>(Master_Table!C936-Master_Table!C935)/Master_Table!C935</f>
        <v>-1.7285038934534482E-5</v>
      </c>
      <c r="D936" s="3">
        <f>(Master_Table!D936-Master_Table!D935)/Master_Table!D935</f>
        <v>4.0504404362416528E-3</v>
      </c>
      <c r="E936" s="3">
        <f>(Master_Table!E936-Master_Table!E935)/Master_Table!E935</f>
        <v>-1.2119449292226917E-4</v>
      </c>
      <c r="F936" s="3">
        <f>(Master_Table!F936-Master_Table!F935)/Master_Table!F935</f>
        <v>1.4587823696623346E-2</v>
      </c>
      <c r="G936" s="3">
        <f>(Master_Table!G936-Master_Table!G935)/Master_Table!G935</f>
        <v>1.3221840056814232E-2</v>
      </c>
      <c r="H936" s="3">
        <f>(Master_Table!H936-Master_Table!H935)/Master_Table!H935</f>
        <v>2.2558005119313083E-2</v>
      </c>
    </row>
    <row r="937" spans="1:8" x14ac:dyDescent="0.3">
      <c r="A937" s="1">
        <v>45205</v>
      </c>
      <c r="B937" s="3">
        <f>(Master_Table!B937-Master_Table!B936)/Master_Table!B936</f>
        <v>5.512707366051443E-3</v>
      </c>
      <c r="C937" s="3">
        <f>(Master_Table!C937-Master_Table!C936)/Master_Table!C936</f>
        <v>1.6853204269478808E-3</v>
      </c>
      <c r="D937" s="3">
        <f>(Master_Table!D937-Master_Table!D936)/Master_Table!D936</f>
        <v>-1.109704035406116E-3</v>
      </c>
      <c r="E937" s="3">
        <f>(Master_Table!E937-Master_Table!E936)/Master_Table!E936</f>
        <v>1.3987539696007325E-2</v>
      </c>
      <c r="F937" s="3">
        <f>(Master_Table!F937-Master_Table!F936)/Master_Table!F936</f>
        <v>8.9285714285713257E-3</v>
      </c>
      <c r="G937" s="3">
        <f>(Master_Table!G937-Master_Table!G936)/Master_Table!G936</f>
        <v>1.0417454045696672E-2</v>
      </c>
      <c r="H937" s="3">
        <f>(Master_Table!H937-Master_Table!H936)/Master_Table!H936</f>
        <v>-7.5903166938530182E-4</v>
      </c>
    </row>
    <row r="938" spans="1:8" x14ac:dyDescent="0.3">
      <c r="A938" s="1">
        <v>45208</v>
      </c>
      <c r="B938" s="3">
        <f>(Master_Table!B938-Master_Table!B937)/Master_Table!B937</f>
        <v>-7.1819268832524208E-3</v>
      </c>
      <c r="C938" s="3">
        <f>(Master_Table!C938-Master_Table!C937)/Master_Table!C937</f>
        <v>-8.5159620362380423E-3</v>
      </c>
      <c r="D938" s="3">
        <f>(Master_Table!D938-Master_Table!D937)/Master_Table!D937</f>
        <v>-1.1606022584692592E-2</v>
      </c>
      <c r="E938" s="3">
        <f>(Master_Table!E938-Master_Table!E937)/Master_Table!E937</f>
        <v>-3.8490962991296666E-3</v>
      </c>
      <c r="F938" s="3">
        <f>(Master_Table!F938-Master_Table!F937)/Master_Table!F937</f>
        <v>4.680001109662481E-3</v>
      </c>
      <c r="G938" s="3">
        <f>(Master_Table!G938-Master_Table!G937)/Master_Table!G937</f>
        <v>-2.1966662359478089E-3</v>
      </c>
      <c r="H938" s="3">
        <f>(Master_Table!H938-Master_Table!H937)/Master_Table!H937</f>
        <v>-6.1415133981963348E-3</v>
      </c>
    </row>
    <row r="939" spans="1:8" x14ac:dyDescent="0.3">
      <c r="A939" s="1">
        <v>45209</v>
      </c>
      <c r="B939" s="3">
        <f>(Master_Table!B939-Master_Table!B938)/Master_Table!B938</f>
        <v>9.0968027941278218E-3</v>
      </c>
      <c r="C939" s="3">
        <f>(Master_Table!C939-Master_Table!C938)/Master_Table!C938</f>
        <v>4.4120334513936075E-3</v>
      </c>
      <c r="D939" s="3">
        <f>(Master_Table!D939-Master_Table!D938)/Master_Table!D938</f>
        <v>5.6728022849888444E-3</v>
      </c>
      <c r="E939" s="3">
        <f>(Master_Table!E939-Master_Table!E938)/Master_Table!E938</f>
        <v>8.9759281925744817E-3</v>
      </c>
      <c r="F939" s="3">
        <f>(Master_Table!F939-Master_Table!F938)/Master_Table!F938</f>
        <v>-2.5983206178536683E-3</v>
      </c>
      <c r="G939" s="3">
        <f>(Master_Table!G939-Master_Table!G938)/Master_Table!G938</f>
        <v>1.3352144931092243E-2</v>
      </c>
      <c r="H939" s="3">
        <f>(Master_Table!H939-Master_Table!H938)/Master_Table!H938</f>
        <v>4.2280547695716067E-4</v>
      </c>
    </row>
    <row r="940" spans="1:8" x14ac:dyDescent="0.3">
      <c r="A940" s="1">
        <v>45210</v>
      </c>
      <c r="B940" s="3">
        <f>(Master_Table!B940-Master_Table!B939)/Master_Table!B939</f>
        <v>6.1706920062875037E-3</v>
      </c>
      <c r="C940" s="3">
        <f>(Master_Table!C940-Master_Table!C939)/Master_Table!C939</f>
        <v>1.5881129786865296E-2</v>
      </c>
      <c r="D940" s="3">
        <f>(Master_Table!D940-Master_Table!D939)/Master_Table!D939</f>
        <v>9.6774617700814084E-3</v>
      </c>
      <c r="E940" s="3">
        <f>(Master_Table!E940-Master_Table!E939)/Master_Table!E939</f>
        <v>8.658214600033267E-3</v>
      </c>
      <c r="F940" s="3">
        <f>(Master_Table!F940-Master_Table!F939)/Master_Table!F939</f>
        <v>-5.2350947909283792E-3</v>
      </c>
      <c r="G940" s="3">
        <f>(Master_Table!G940-Master_Table!G939)/Master_Table!G939</f>
        <v>-4.9772325241968101E-4</v>
      </c>
      <c r="H940" s="3">
        <f>(Master_Table!H940-Master_Table!H939)/Master_Table!H939</f>
        <v>4.1287386215864167E-3</v>
      </c>
    </row>
    <row r="941" spans="1:8" x14ac:dyDescent="0.3">
      <c r="A941" s="1">
        <v>45211</v>
      </c>
      <c r="B941" s="3">
        <f>(Master_Table!B941-Master_Table!B940)/Master_Table!B940</f>
        <v>-8.7576061197235653E-4</v>
      </c>
      <c r="C941" s="3">
        <f>(Master_Table!C941-Master_Table!C940)/Master_Table!C940</f>
        <v>1.8506989160192685E-3</v>
      </c>
      <c r="D941" s="3">
        <f>(Master_Table!D941-Master_Table!D940)/Master_Table!D940</f>
        <v>6.6545989659977517E-3</v>
      </c>
      <c r="E941" s="3">
        <f>(Master_Table!E941-Master_Table!E940)/Master_Table!E940</f>
        <v>5.4710529418700461E-3</v>
      </c>
      <c r="F941" s="3">
        <f>(Master_Table!F941-Master_Table!F940)/Master_Table!F940</f>
        <v>-1.8657204480623382E-2</v>
      </c>
      <c r="G941" s="3">
        <f>(Master_Table!G941-Master_Table!G940)/Master_Table!G940</f>
        <v>-1.9340120993519654E-2</v>
      </c>
      <c r="H941" s="3">
        <f>(Master_Table!H941-Master_Table!H940)/Master_Table!H940</f>
        <v>-2.250137598342286E-3</v>
      </c>
    </row>
    <row r="942" spans="1:8" x14ac:dyDescent="0.3">
      <c r="A942" s="1">
        <v>45212</v>
      </c>
      <c r="B942" s="3">
        <f>(Master_Table!B942-Master_Table!B941)/Master_Table!B941</f>
        <v>-2.1698494493281161E-3</v>
      </c>
      <c r="C942" s="3">
        <f>(Master_Table!C942-Master_Table!C941)/Master_Table!C941</f>
        <v>-4.2564058908618815E-5</v>
      </c>
      <c r="D942" s="3">
        <f>(Master_Table!D942-Master_Table!D941)/Master_Table!D941</f>
        <v>-9.0944372574385153E-3</v>
      </c>
      <c r="E942" s="3">
        <f>(Master_Table!E942-Master_Table!E941)/Master_Table!E941</f>
        <v>-5.230199122827634E-3</v>
      </c>
      <c r="F942" s="3">
        <f>(Master_Table!F942-Master_Table!F941)/Master_Table!F941</f>
        <v>7.9887471251003407E-3</v>
      </c>
      <c r="G942" s="3">
        <f>(Master_Table!G942-Master_Table!G941)/Master_Table!G941</f>
        <v>-2.3440770196734937E-2</v>
      </c>
      <c r="H942" s="3">
        <f>(Master_Table!H942-Master_Table!H941)/Master_Table!H941</f>
        <v>2.5472539952948515E-3</v>
      </c>
    </row>
    <row r="943" spans="1:8" x14ac:dyDescent="0.3">
      <c r="A943" s="1">
        <v>45215</v>
      </c>
      <c r="B943" s="3">
        <f>(Master_Table!B943-Master_Table!B942)/Master_Table!B942</f>
        <v>-9.7716323942267751E-4</v>
      </c>
      <c r="C943" s="3">
        <f>(Master_Table!C943-Master_Table!C942)/Master_Table!C942</f>
        <v>-2.2304516238880671E-3</v>
      </c>
      <c r="D943" s="3">
        <f>(Master_Table!D943-Master_Table!D942)/Master_Table!D942</f>
        <v>-4.0079898690549886E-3</v>
      </c>
      <c r="E943" s="3">
        <f>(Master_Table!E943-Master_Table!E942)/Master_Table!E942</f>
        <v>1.343895883434699E-3</v>
      </c>
      <c r="F943" s="3">
        <f>(Master_Table!F943-Master_Table!F942)/Master_Table!F942</f>
        <v>-1.3104957826681425E-2</v>
      </c>
      <c r="G943" s="3">
        <f>(Master_Table!G943-Master_Table!G942)/Master_Table!G942</f>
        <v>2.093975954410202E-3</v>
      </c>
      <c r="H943" s="3">
        <f>(Master_Table!H943-Master_Table!H942)/Master_Table!H942</f>
        <v>3.9810978767478578E-3</v>
      </c>
    </row>
    <row r="944" spans="1:8" x14ac:dyDescent="0.3">
      <c r="A944" s="1">
        <v>45216</v>
      </c>
      <c r="B944" s="3">
        <f>(Master_Table!B944-Master_Table!B943)/Master_Table!B943</f>
        <v>4.0417094276990126E-3</v>
      </c>
      <c r="C944" s="3">
        <f>(Master_Table!C944-Master_Table!C943)/Master_Table!C943</f>
        <v>4.7780346919448621E-3</v>
      </c>
      <c r="D944" s="3">
        <f>(Master_Table!D944-Master_Table!D943)/Master_Table!D943</f>
        <v>7.5894612662211003E-3</v>
      </c>
      <c r="E944" s="3">
        <f>(Master_Table!E944-Master_Table!E943)/Master_Table!E943</f>
        <v>1.0030373666737416E-2</v>
      </c>
      <c r="F944" s="3">
        <f>(Master_Table!F944-Master_Table!F943)/Master_Table!F943</f>
        <v>-4.8235361195051235E-3</v>
      </c>
      <c r="G944" s="3">
        <f>(Master_Table!G944-Master_Table!G943)/Master_Table!G943</f>
        <v>5.7919795808177429E-3</v>
      </c>
      <c r="H944" s="3">
        <f>(Master_Table!H944-Master_Table!H943)/Master_Table!H943</f>
        <v>-1.1476836777458947E-2</v>
      </c>
    </row>
    <row r="945" spans="1:8" x14ac:dyDescent="0.3">
      <c r="A945" s="1">
        <v>45217</v>
      </c>
      <c r="B945" s="3">
        <f>(Master_Table!B945-Master_Table!B944)/Master_Table!B944</f>
        <v>-7.0867930242536634E-3</v>
      </c>
      <c r="C945" s="3">
        <f>(Master_Table!C945-Master_Table!C944)/Master_Table!C944</f>
        <v>-1.3272420030060466E-2</v>
      </c>
      <c r="D945" s="3">
        <f>(Master_Table!D945-Master_Table!D944)/Master_Table!D944</f>
        <v>-1.3919785609283385E-2</v>
      </c>
      <c r="E945" s="3">
        <f>(Master_Table!E945-Master_Table!E944)/Master_Table!E944</f>
        <v>-3.9629810942491206E-3</v>
      </c>
      <c r="F945" s="3">
        <f>(Master_Table!F945-Master_Table!F944)/Master_Table!F944</f>
        <v>-5.6461408011733534E-3</v>
      </c>
      <c r="G945" s="3">
        <f>(Master_Table!G945-Master_Table!G944)/Master_Table!G944</f>
        <v>-1.3176516519446675E-3</v>
      </c>
      <c r="H945" s="3">
        <f>(Master_Table!H945-Master_Table!H944)/Master_Table!H944</f>
        <v>-6.750807161725947E-3</v>
      </c>
    </row>
    <row r="946" spans="1:8" x14ac:dyDescent="0.3">
      <c r="A946" s="1">
        <v>45218</v>
      </c>
      <c r="B946" s="3">
        <f>(Master_Table!B946-Master_Table!B945)/Master_Table!B945</f>
        <v>-2.3587903065917931E-3</v>
      </c>
      <c r="C946" s="3">
        <f>(Master_Table!C946-Master_Table!C945)/Master_Table!C945</f>
        <v>-7.6850258175559932E-3</v>
      </c>
      <c r="D946" s="3">
        <f>(Master_Table!D946-Master_Table!D945)/Master_Table!D945</f>
        <v>-3.1662686842834037E-3</v>
      </c>
      <c r="E946" s="3">
        <f>(Master_Table!E946-Master_Table!E945)/Master_Table!E945</f>
        <v>-2.7851241603669757E-3</v>
      </c>
      <c r="F946" s="3">
        <f>(Master_Table!F946-Master_Table!F945)/Master_Table!F945</f>
        <v>-9.063226520164681E-3</v>
      </c>
      <c r="G946" s="3">
        <f>(Master_Table!G946-Master_Table!G945)/Master_Table!G945</f>
        <v>-4.7888975762315194E-3</v>
      </c>
      <c r="H946" s="3">
        <f>(Master_Table!H946-Master_Table!H945)/Master_Table!H945</f>
        <v>2.8894142369320273E-3</v>
      </c>
    </row>
    <row r="947" spans="1:8" x14ac:dyDescent="0.3">
      <c r="A947" s="1">
        <v>45219</v>
      </c>
      <c r="B947" s="3">
        <f>(Master_Table!B947-Master_Table!B946)/Master_Table!B946</f>
        <v>-4.1809556324427519E-3</v>
      </c>
      <c r="C947" s="3">
        <f>(Master_Table!C947-Master_Table!C946)/Master_Table!C946</f>
        <v>-3.0527201297405899E-3</v>
      </c>
      <c r="D947" s="3">
        <f>(Master_Table!D947-Master_Table!D946)/Master_Table!D946</f>
        <v>5.1879987824083942E-3</v>
      </c>
      <c r="E947" s="3">
        <f>(Master_Table!E947-Master_Table!E946)/Master_Table!E946</f>
        <v>-2.6849417949680807E-2</v>
      </c>
      <c r="F947" s="3">
        <f>(Master_Table!F947-Master_Table!F946)/Master_Table!F946</f>
        <v>1.1256762924781392E-2</v>
      </c>
      <c r="G947" s="3">
        <f>(Master_Table!G947-Master_Table!G946)/Master_Table!G946</f>
        <v>-4.4682313660020841E-3</v>
      </c>
      <c r="H947" s="3">
        <f>(Master_Table!H947-Master_Table!H946)/Master_Table!H946</f>
        <v>-1.3767024620220069E-2</v>
      </c>
    </row>
    <row r="948" spans="1:8" x14ac:dyDescent="0.3">
      <c r="A948" s="1">
        <v>45222</v>
      </c>
      <c r="B948" s="3">
        <f>(Master_Table!B948-Master_Table!B947)/Master_Table!B947</f>
        <v>-1.335028770407296E-2</v>
      </c>
      <c r="C948" s="3">
        <f>(Master_Table!C948-Master_Table!C947)/Master_Table!C947</f>
        <v>-1.5614805793571438E-2</v>
      </c>
      <c r="D948" s="3">
        <f>(Master_Table!D948-Master_Table!D947)/Master_Table!D947</f>
        <v>-1.0993930297165307E-2</v>
      </c>
      <c r="E948" s="3">
        <f>(Master_Table!E948-Master_Table!E947)/Master_Table!E947</f>
        <v>-5.4746285934786365E-3</v>
      </c>
      <c r="F948" s="3">
        <f>(Master_Table!F948-Master_Table!F947)/Master_Table!F947</f>
        <v>-2.4151700623557114E-2</v>
      </c>
      <c r="G948" s="3">
        <f>(Master_Table!G948-Master_Table!G947)/Master_Table!G947</f>
        <v>-1.3028007750572492E-2</v>
      </c>
      <c r="H948" s="3">
        <f>(Master_Table!H948-Master_Table!H947)/Master_Table!H947</f>
        <v>-1.794280213122636E-2</v>
      </c>
    </row>
    <row r="949" spans="1:8" x14ac:dyDescent="0.3">
      <c r="A949" s="1">
        <v>45224</v>
      </c>
      <c r="B949" s="3">
        <f>(Master_Table!B949-Master_Table!B948)/Master_Table!B948</f>
        <v>-8.2772569917148875E-3</v>
      </c>
      <c r="C949" s="3">
        <f>(Master_Table!C949-Master_Table!C948)/Master_Table!C948</f>
        <v>-2.3241428066453533E-3</v>
      </c>
      <c r="D949" s="3">
        <f>(Master_Table!D949-Master_Table!D948)/Master_Table!D948</f>
        <v>-6.3501783907556073E-3</v>
      </c>
      <c r="E949" s="3">
        <f>(Master_Table!E949-Master_Table!E948)/Master_Table!E948</f>
        <v>-7.3477702063681387E-3</v>
      </c>
      <c r="F949" s="3">
        <f>(Master_Table!F949-Master_Table!F948)/Master_Table!F948</f>
        <v>-5.8772927333683731E-3</v>
      </c>
      <c r="G949" s="3">
        <f>(Master_Table!G949-Master_Table!G948)/Master_Table!G948</f>
        <v>-2.7406550729604E-2</v>
      </c>
      <c r="H949" s="3">
        <f>(Master_Table!H949-Master_Table!H948)/Master_Table!H948</f>
        <v>-1.4264949464219407E-2</v>
      </c>
    </row>
    <row r="950" spans="1:8" x14ac:dyDescent="0.3">
      <c r="A950" s="1">
        <v>45225</v>
      </c>
      <c r="B950" s="3">
        <f>(Master_Table!B950-Master_Table!B949)/Master_Table!B949</f>
        <v>-1.3853044767455618E-2</v>
      </c>
      <c r="C950" s="3">
        <f>(Master_Table!C950-Master_Table!C949)/Master_Table!C949</f>
        <v>-1.3924196391401035E-2</v>
      </c>
      <c r="D950" s="3">
        <f>(Master_Table!D950-Master_Table!D949)/Master_Table!D949</f>
        <v>-2.2119803319980161E-2</v>
      </c>
      <c r="E950" s="3">
        <f>(Master_Table!E950-Master_Table!E949)/Master_Table!E949</f>
        <v>3.8110128499535896E-3</v>
      </c>
      <c r="F950" s="3">
        <f>(Master_Table!F950-Master_Table!F949)/Master_Table!F949</f>
        <v>-1.5738767865768454E-2</v>
      </c>
      <c r="G950" s="3">
        <f>(Master_Table!G950-Master_Table!G949)/Master_Table!G949</f>
        <v>-7.7365179796971195E-3</v>
      </c>
      <c r="H950" s="3">
        <f>(Master_Table!H950-Master_Table!H949)/Master_Table!H949</f>
        <v>-1.7660574054387711E-2</v>
      </c>
    </row>
    <row r="951" spans="1:8" x14ac:dyDescent="0.3">
      <c r="A951" s="1">
        <v>45226</v>
      </c>
      <c r="B951" s="3">
        <f>(Master_Table!B951-Master_Table!B950)/Master_Table!B950</f>
        <v>1.007570032746026E-2</v>
      </c>
      <c r="C951" s="3">
        <f>(Master_Table!C951-Master_Table!C950)/Master_Table!C950</f>
        <v>1.7651021783067676E-2</v>
      </c>
      <c r="D951" s="3">
        <f>(Master_Table!D951-Master_Table!D950)/Master_Table!D950</f>
        <v>3.9321532306680609E-3</v>
      </c>
      <c r="E951" s="3">
        <f>(Master_Table!E951-Master_Table!E950)/Master_Table!E950</f>
        <v>-1.3871988318325461E-3</v>
      </c>
      <c r="F951" s="3">
        <f>(Master_Table!F951-Master_Table!F950)/Master_Table!F950</f>
        <v>4.2572921935592261E-3</v>
      </c>
      <c r="G951" s="3">
        <f>(Master_Table!G951-Master_Table!G950)/Master_Table!G950</f>
        <v>1.5371755324264127E-2</v>
      </c>
      <c r="H951" s="3">
        <f>(Master_Table!H951-Master_Table!H950)/Master_Table!H950</f>
        <v>1.3021015150457371E-2</v>
      </c>
    </row>
    <row r="952" spans="1:8" x14ac:dyDescent="0.3">
      <c r="A952" s="1">
        <v>45229</v>
      </c>
      <c r="B952" s="3">
        <f>(Master_Table!B952-Master_Table!B951)/Master_Table!B951</f>
        <v>4.9167202614551417E-3</v>
      </c>
      <c r="C952" s="3">
        <f>(Master_Table!C952-Master_Table!C951)/Master_Table!C951</f>
        <v>2.061082178479999E-2</v>
      </c>
      <c r="D952" s="3">
        <f>(Master_Table!D952-Master_Table!D951)/Master_Table!D951</f>
        <v>1.0863186625725059E-2</v>
      </c>
      <c r="E952" s="3">
        <f>(Master_Table!E952-Master_Table!E951)/Master_Table!E951</f>
        <v>-7.6036360977749726E-3</v>
      </c>
      <c r="F952" s="3">
        <f>(Master_Table!F952-Master_Table!F951)/Master_Table!F951</f>
        <v>8.2356468295607249E-3</v>
      </c>
      <c r="G952" s="3">
        <f>(Master_Table!G952-Master_Table!G951)/Master_Table!G951</f>
        <v>-2.3896081188392719E-3</v>
      </c>
      <c r="H952" s="3">
        <f>(Master_Table!H952-Master_Table!H951)/Master_Table!H951</f>
        <v>8.4255143182052506E-3</v>
      </c>
    </row>
    <row r="953" spans="1:8" x14ac:dyDescent="0.3">
      <c r="A953" s="1">
        <v>45230</v>
      </c>
      <c r="B953" s="3">
        <f>(Master_Table!B953-Master_Table!B952)/Master_Table!B952</f>
        <v>-3.2025662325179541E-3</v>
      </c>
      <c r="C953" s="3">
        <f>(Master_Table!C953-Master_Table!C952)/Master_Table!C952</f>
        <v>-1.0637837837837798E-2</v>
      </c>
      <c r="D953" s="3">
        <f>(Master_Table!D953-Master_Table!D952)/Master_Table!D952</f>
        <v>-5.7917403572249285E-3</v>
      </c>
      <c r="E953" s="3">
        <f>(Master_Table!E953-Master_Table!E952)/Master_Table!E952</f>
        <v>-4.7641266177156699E-3</v>
      </c>
      <c r="F953" s="3">
        <f>(Master_Table!F953-Master_Table!F952)/Master_Table!F952</f>
        <v>-2.9021965702934502E-3</v>
      </c>
      <c r="G953" s="3">
        <f>(Master_Table!G953-Master_Table!G952)/Master_Table!G952</f>
        <v>-6.2804437206516392E-3</v>
      </c>
      <c r="H953" s="3">
        <f>(Master_Table!H953-Master_Table!H952)/Master_Table!H952</f>
        <v>9.2265108411511713E-4</v>
      </c>
    </row>
    <row r="954" spans="1:8" x14ac:dyDescent="0.3">
      <c r="A954" s="1">
        <v>45231</v>
      </c>
      <c r="B954" s="3">
        <f>(Master_Table!B954-Master_Table!B953)/Master_Table!B953</f>
        <v>-4.7406654227550417E-3</v>
      </c>
      <c r="C954" s="3">
        <f>(Master_Table!C954-Master_Table!C953)/Master_Table!C953</f>
        <v>4.1522793828401589E-3</v>
      </c>
      <c r="D954" s="3">
        <f>(Master_Table!D954-Master_Table!D953)/Master_Table!D953</f>
        <v>-1.3579207517449283E-3</v>
      </c>
      <c r="E954" s="3">
        <f>(Master_Table!E954-Master_Table!E953)/Master_Table!E953</f>
        <v>-6.9089742640701939E-4</v>
      </c>
      <c r="F954" s="3">
        <f>(Master_Table!F954-Master_Table!F953)/Master_Table!F953</f>
        <v>-1.1308567014890232E-2</v>
      </c>
      <c r="G954" s="3">
        <f>(Master_Table!G954-Master_Table!G953)/Master_Table!G953</f>
        <v>-1.0413528032747182E-2</v>
      </c>
      <c r="H954" s="3">
        <f>(Master_Table!H954-Master_Table!H953)/Master_Table!H953</f>
        <v>-1.1522507297587954E-2</v>
      </c>
    </row>
    <row r="955" spans="1:8" x14ac:dyDescent="0.3">
      <c r="A955" s="1">
        <v>45232</v>
      </c>
      <c r="B955" s="3">
        <f>(Master_Table!B955-Master_Table!B954)/Master_Table!B954</f>
        <v>7.5885439843278151E-3</v>
      </c>
      <c r="C955" s="3">
        <f>(Master_Table!C955-Master_Table!C954)/Master_Table!C954</f>
        <v>9.9242622094540458E-3</v>
      </c>
      <c r="D955" s="3">
        <f>(Master_Table!D955-Master_Table!D954)/Master_Table!D954</f>
        <v>1.5229392727965035E-3</v>
      </c>
      <c r="E955" s="3">
        <f>(Master_Table!E955-Master_Table!E954)/Master_Table!E954</f>
        <v>7.1112866984369867E-3</v>
      </c>
      <c r="F955" s="3">
        <f>(Master_Table!F955-Master_Table!F954)/Master_Table!F954</f>
        <v>8.8408555510980768E-3</v>
      </c>
      <c r="G955" s="3">
        <f>(Master_Table!G955-Master_Table!G954)/Master_Table!G954</f>
        <v>1.181529230038029E-2</v>
      </c>
      <c r="H955" s="3">
        <f>(Master_Table!H955-Master_Table!H954)/Master_Table!H954</f>
        <v>7.8748316236658469E-3</v>
      </c>
    </row>
    <row r="956" spans="1:8" x14ac:dyDescent="0.3">
      <c r="A956" s="1">
        <v>45233</v>
      </c>
      <c r="B956" s="3">
        <f>(Master_Table!B956-Master_Table!B955)/Master_Table!B955</f>
        <v>5.0880012543607876E-3</v>
      </c>
      <c r="C956" s="3">
        <f>(Master_Table!C956-Master_Table!C955)/Master_Table!C955</f>
        <v>-2.1549866390828379E-4</v>
      </c>
      <c r="D956" s="3">
        <f>(Master_Table!D956-Master_Table!D955)/Master_Table!D955</f>
        <v>4.7383713036630859E-3</v>
      </c>
      <c r="E956" s="3">
        <f>(Master_Table!E956-Master_Table!E955)/Master_Table!E955</f>
        <v>4.8790055654988332E-3</v>
      </c>
      <c r="F956" s="3">
        <f>(Master_Table!F956-Master_Table!F955)/Master_Table!F955</f>
        <v>-2.7357531543383638E-3</v>
      </c>
      <c r="G956" s="3">
        <f>(Master_Table!G956-Master_Table!G955)/Master_Table!G955</f>
        <v>1.3798468957114618E-2</v>
      </c>
      <c r="H956" s="3">
        <f>(Master_Table!H956-Master_Table!H955)/Master_Table!H955</f>
        <v>-2.3474178403755557E-3</v>
      </c>
    </row>
    <row r="957" spans="1:8" x14ac:dyDescent="0.3">
      <c r="A957" s="1">
        <v>45236</v>
      </c>
      <c r="B957" s="3">
        <f>(Master_Table!B957-Master_Table!B956)/Master_Table!B956</f>
        <v>9.4198828949695525E-3</v>
      </c>
      <c r="C957" s="3">
        <f>(Master_Table!C957-Master_Table!C956)/Master_Table!C956</f>
        <v>8.3200413846618894E-3</v>
      </c>
      <c r="D957" s="3">
        <f>(Master_Table!D957-Master_Table!D956)/Master_Table!D956</f>
        <v>7.2564625758415264E-3</v>
      </c>
      <c r="E957" s="3">
        <f>(Master_Table!E957-Master_Table!E956)/Master_Table!E956</f>
        <v>4.8553164495193698E-3</v>
      </c>
      <c r="F957" s="3">
        <f>(Master_Table!F957-Master_Table!F956)/Master_Table!F956</f>
        <v>8.7574390262183631E-3</v>
      </c>
      <c r="G957" s="3">
        <f>(Master_Table!G957-Master_Table!G956)/Master_Table!G956</f>
        <v>1.0258674987511545E-2</v>
      </c>
      <c r="H957" s="3">
        <f>(Master_Table!H957-Master_Table!H956)/Master_Table!H956</f>
        <v>2.2052382996994357E-2</v>
      </c>
    </row>
    <row r="958" spans="1:8" x14ac:dyDescent="0.3">
      <c r="A958" s="1">
        <v>45237</v>
      </c>
      <c r="B958" s="3">
        <f>(Master_Table!B958-Master_Table!B957)/Master_Table!B957</f>
        <v>-2.6015171223610817E-4</v>
      </c>
      <c r="C958" s="3">
        <f>(Master_Table!C958-Master_Table!C957)/Master_Table!C957</f>
        <v>-6.49850363403156E-3</v>
      </c>
      <c r="D958" s="3">
        <f>(Master_Table!D958-Master_Table!D957)/Master_Table!D957</f>
        <v>-4.8564529111886296E-3</v>
      </c>
      <c r="E958" s="3">
        <f>(Master_Table!E958-Master_Table!E957)/Master_Table!E957</f>
        <v>-6.0944518635426678E-3</v>
      </c>
      <c r="F958" s="3">
        <f>(Master_Table!F958-Master_Table!F957)/Master_Table!F957</f>
        <v>-2.8977667877289237E-3</v>
      </c>
      <c r="G958" s="3">
        <f>(Master_Table!G958-Master_Table!G957)/Master_Table!G957</f>
        <v>7.0945364902827001E-4</v>
      </c>
      <c r="H958" s="3">
        <f>(Master_Table!H958-Master_Table!H957)/Master_Table!H957</f>
        <v>-4.7555831890973253E-3</v>
      </c>
    </row>
    <row r="959" spans="1:8" x14ac:dyDescent="0.3">
      <c r="A959" s="1">
        <v>45238</v>
      </c>
      <c r="B959" s="3">
        <f>(Master_Table!B959-Master_Table!B958)/Master_Table!B958</f>
        <v>1.8962523252278477E-3</v>
      </c>
      <c r="C959" s="3">
        <f>(Master_Table!C959-Master_Table!C958)/Master_Table!C958</f>
        <v>5.2069885532317357E-3</v>
      </c>
      <c r="D959" s="3">
        <f>(Master_Table!D959-Master_Table!D958)/Master_Table!D958</f>
        <v>2.8849524117662735E-3</v>
      </c>
      <c r="E959" s="3">
        <f>(Master_Table!E959-Master_Table!E958)/Master_Table!E958</f>
        <v>9.8206869594958685E-3</v>
      </c>
      <c r="F959" s="3">
        <f>(Master_Table!F959-Master_Table!F958)/Master_Table!F958</f>
        <v>3.2906993034090225E-3</v>
      </c>
      <c r="G959" s="3">
        <f>(Master_Table!G959-Master_Table!G958)/Master_Table!G958</f>
        <v>-9.4741591057195974E-3</v>
      </c>
      <c r="H959" s="3">
        <f>(Master_Table!H959-Master_Table!H958)/Master_Table!H958</f>
        <v>1.1869786917907552E-2</v>
      </c>
    </row>
    <row r="960" spans="1:8" x14ac:dyDescent="0.3">
      <c r="A960" s="1">
        <v>45239</v>
      </c>
      <c r="B960" s="3">
        <f>(Master_Table!B960-Master_Table!B959)/Master_Table!B959</f>
        <v>-2.4789775503381967E-3</v>
      </c>
      <c r="C960" s="3">
        <f>(Master_Table!C960-Master_Table!C959)/Master_Table!C959</f>
        <v>-1.0848067126161284E-2</v>
      </c>
      <c r="D960" s="3">
        <f>(Master_Table!D960-Master_Table!D959)/Master_Table!D959</f>
        <v>-3.9520378535325583E-3</v>
      </c>
      <c r="E960" s="3">
        <f>(Master_Table!E960-Master_Table!E959)/Master_Table!E959</f>
        <v>-5.8302690149023249E-3</v>
      </c>
      <c r="F960" s="3">
        <f>(Master_Table!F960-Master_Table!F959)/Master_Table!F959</f>
        <v>-1.0083334571220489E-2</v>
      </c>
      <c r="G960" s="3">
        <f>(Master_Table!G960-Master_Table!G959)/Master_Table!G959</f>
        <v>-1.1639676113360422E-2</v>
      </c>
      <c r="H960" s="3">
        <f>(Master_Table!H960-Master_Table!H959)/Master_Table!H959</f>
        <v>9.4778821605566894E-3</v>
      </c>
    </row>
    <row r="961" spans="1:8" x14ac:dyDescent="0.3">
      <c r="A961" s="1">
        <v>45240</v>
      </c>
      <c r="B961" s="3">
        <f>(Master_Table!B961-Master_Table!B960)/Master_Table!B960</f>
        <v>1.5493444288048792E-3</v>
      </c>
      <c r="C961" s="3">
        <f>(Master_Table!C961-Master_Table!C960)/Master_Table!C960</f>
        <v>1.8783325254484392E-3</v>
      </c>
      <c r="D961" s="3">
        <f>(Master_Table!D961-Master_Table!D960)/Master_Table!D960</f>
        <v>3.9407271451320667E-3</v>
      </c>
      <c r="E961" s="3">
        <f>(Master_Table!E961-Master_Table!E960)/Master_Table!E960</f>
        <v>4.9397736950967993E-3</v>
      </c>
      <c r="F961" s="3">
        <f>(Master_Table!F961-Master_Table!F960)/Master_Table!F960</f>
        <v>-4.1806597219096854E-3</v>
      </c>
      <c r="G961" s="3">
        <f>(Master_Table!G961-Master_Table!G960)/Master_Table!G960</f>
        <v>-4.3303342842512223E-3</v>
      </c>
      <c r="H961" s="3">
        <f>(Master_Table!H961-Master_Table!H960)/Master_Table!H960</f>
        <v>2.7769972064730785E-3</v>
      </c>
    </row>
    <row r="962" spans="1:8" x14ac:dyDescent="0.3">
      <c r="A962" s="1">
        <v>45242</v>
      </c>
      <c r="B962" s="3">
        <f>(Master_Table!B962-Master_Table!B961)/Master_Table!B961</f>
        <v>5.1582082176125903E-3</v>
      </c>
      <c r="C962" s="3">
        <f>(Master_Table!C962-Master_Table!C961)/Master_Table!C961</f>
        <v>6.8080694630436572E-3</v>
      </c>
      <c r="D962" s="3">
        <f>(Master_Table!D962-Master_Table!D961)/Master_Table!D961</f>
        <v>5.6996908186584339E-3</v>
      </c>
      <c r="E962" s="3">
        <f>(Master_Table!E962-Master_Table!E961)/Master_Table!E961</f>
        <v>6.167368879848896E-2</v>
      </c>
      <c r="F962" s="3">
        <f>(Master_Table!F962-Master_Table!F961)/Master_Table!F961</f>
        <v>1.2302295303307986E-2</v>
      </c>
      <c r="G962" s="3">
        <f>(Master_Table!G962-Master_Table!G961)/Master_Table!G961</f>
        <v>1.985042389691296E-2</v>
      </c>
      <c r="H962" s="3">
        <f>(Master_Table!H962-Master_Table!H961)/Master_Table!H961</f>
        <v>6.1814885024313853E-3</v>
      </c>
    </row>
    <row r="963" spans="1:8" x14ac:dyDescent="0.3">
      <c r="A963" s="1">
        <v>45243</v>
      </c>
      <c r="B963" s="3">
        <f>(Master_Table!B963-Master_Table!B962)/Master_Table!B962</f>
        <v>-4.1996256187405738E-3</v>
      </c>
      <c r="C963" s="3">
        <f>(Master_Table!C963-Master_Table!C962)/Master_Table!C962</f>
        <v>-6.8907519758351484E-3</v>
      </c>
      <c r="D963" s="3">
        <f>(Master_Table!D963-Master_Table!D962)/Master_Table!D962</f>
        <v>-7.4718635549496509E-3</v>
      </c>
      <c r="E963" s="3">
        <f>(Master_Table!E963-Master_Table!E962)/Master_Table!E962</f>
        <v>-5.927699851750487E-2</v>
      </c>
      <c r="F963" s="3">
        <f>(Master_Table!F963-Master_Table!F962)/Master_Table!F962</f>
        <v>-1.2715472327250003E-2</v>
      </c>
      <c r="G963" s="3">
        <f>(Master_Table!G963-Master_Table!G962)/Master_Table!G962</f>
        <v>-1.6099985592854152E-2</v>
      </c>
      <c r="H963" s="3">
        <f>(Master_Table!H963-Master_Table!H962)/Master_Table!H962</f>
        <v>-1.1467889908256881E-3</v>
      </c>
    </row>
    <row r="964" spans="1:8" x14ac:dyDescent="0.3">
      <c r="A964" s="1">
        <v>45245</v>
      </c>
      <c r="B964" s="3">
        <f>(Master_Table!B964-Master_Table!B963)/Master_Table!B963</f>
        <v>1.1926834348665828E-2</v>
      </c>
      <c r="C964" s="3">
        <f>(Master_Table!C964-Master_Table!C963)/Master_Table!C963</f>
        <v>1.8076557504536486E-2</v>
      </c>
      <c r="D964" s="3">
        <f>(Master_Table!D964-Master_Table!D963)/Master_Table!D963</f>
        <v>1.0477408928691787E-2</v>
      </c>
      <c r="E964" s="3">
        <f>(Master_Table!E964-Master_Table!E963)/Master_Table!E963</f>
        <v>1.3649808466275507E-2</v>
      </c>
      <c r="F964" s="3">
        <f>(Master_Table!F964-Master_Table!F963)/Master_Table!F963</f>
        <v>2.1835298942461032E-2</v>
      </c>
      <c r="G964" s="3">
        <f>(Master_Table!G964-Master_Table!G963)/Master_Table!G963</f>
        <v>2.6906322070505549E-2</v>
      </c>
      <c r="H964" s="3">
        <f>(Master_Table!H964-Master_Table!H963)/Master_Table!H963</f>
        <v>5.3960964408725004E-3</v>
      </c>
    </row>
    <row r="965" spans="1:8" x14ac:dyDescent="0.3">
      <c r="A965" s="1">
        <v>45246</v>
      </c>
      <c r="B965" s="3">
        <f>(Master_Table!B965-Master_Table!B964)/Master_Table!B964</f>
        <v>4.5615220998757337E-3</v>
      </c>
      <c r="C965" s="3">
        <f>(Master_Table!C965-Master_Table!C964)/Master_Table!C964</f>
        <v>1.807811783877274E-3</v>
      </c>
      <c r="D965" s="3">
        <f>(Master_Table!D965-Master_Table!D964)/Master_Table!D964</f>
        <v>2.625511441632233E-3</v>
      </c>
      <c r="E965" s="3">
        <f>(Master_Table!E965-Master_Table!E964)/Master_Table!E964</f>
        <v>-7.4625080724244732E-3</v>
      </c>
      <c r="F965" s="3">
        <f>(Master_Table!F965-Master_Table!F964)/Master_Table!F964</f>
        <v>2.7480375376261551E-2</v>
      </c>
      <c r="G965" s="3">
        <f>(Master_Table!G965-Master_Table!G964)/Master_Table!G964</f>
        <v>2.4383288179095998E-2</v>
      </c>
      <c r="H965" s="3">
        <f>(Master_Table!H965-Master_Table!H964)/Master_Table!H964</f>
        <v>-4.5025204326333964E-3</v>
      </c>
    </row>
    <row r="966" spans="1:8" x14ac:dyDescent="0.3">
      <c r="A966" s="1">
        <v>45247</v>
      </c>
      <c r="B966" s="3">
        <f>(Master_Table!B966-Master_Table!B965)/Master_Table!B965</f>
        <v>-1.6898387064133657E-3</v>
      </c>
      <c r="C966" s="3">
        <f>(Master_Table!C966-Master_Table!C965)/Master_Table!C965</f>
        <v>-2.1773202863556882E-3</v>
      </c>
      <c r="D966" s="3">
        <f>(Master_Table!D966-Master_Table!D965)/Master_Table!D965</f>
        <v>-2.1533962514954201E-3</v>
      </c>
      <c r="E966" s="3">
        <f>(Master_Table!E966-Master_Table!E965)/Master_Table!E965</f>
        <v>1.3735932718027643E-3</v>
      </c>
      <c r="F966" s="3">
        <f>(Master_Table!F966-Master_Table!F965)/Master_Table!F965</f>
        <v>1.3154417931368354E-3</v>
      </c>
      <c r="G966" s="3">
        <f>(Master_Table!G966-Master_Table!G965)/Master_Table!G965</f>
        <v>-5.0876948775055303E-3</v>
      </c>
      <c r="H966" s="3">
        <f>(Master_Table!H966-Master_Table!H965)/Master_Table!H965</f>
        <v>1.8960064238074139E-2</v>
      </c>
    </row>
    <row r="967" spans="1:8" x14ac:dyDescent="0.3">
      <c r="A967" s="1">
        <v>45250</v>
      </c>
      <c r="B967" s="3">
        <f>(Master_Table!B967-Master_Table!B966)/Master_Table!B966</f>
        <v>-1.9156893947840173E-3</v>
      </c>
      <c r="C967" s="3">
        <f>(Master_Table!C967-Master_Table!C966)/Master_Table!C966</f>
        <v>-2.6320705055272709E-3</v>
      </c>
      <c r="D967" s="3">
        <f>(Master_Table!D967-Master_Table!D966)/Master_Table!D966</f>
        <v>6.6606276975633041E-5</v>
      </c>
      <c r="E967" s="3">
        <f>(Master_Table!E967-Master_Table!E966)/Master_Table!E966</f>
        <v>-5.5830966934590966E-3</v>
      </c>
      <c r="F967" s="3">
        <f>(Master_Table!F967-Master_Table!F966)/Master_Table!F966</f>
        <v>4.8963084071937894E-3</v>
      </c>
      <c r="G967" s="3">
        <f>(Master_Table!G967-Master_Table!G966)/Master_Table!G966</f>
        <v>-6.5757717787466477E-4</v>
      </c>
      <c r="H967" s="3">
        <f>(Master_Table!H967-Master_Table!H966)/Master_Table!H966</f>
        <v>-6.4972660019298224E-3</v>
      </c>
    </row>
    <row r="968" spans="1:8" x14ac:dyDescent="0.3">
      <c r="A968" s="1">
        <v>45251</v>
      </c>
      <c r="B968" s="3">
        <f>(Master_Table!B968-Master_Table!B967)/Master_Table!B967</f>
        <v>4.5394536407028256E-3</v>
      </c>
      <c r="C968" s="3">
        <f>(Master_Table!C968-Master_Table!C967)/Master_Table!C967</f>
        <v>1.2573637075629092E-2</v>
      </c>
      <c r="D968" s="3">
        <f>(Master_Table!D968-Master_Table!D967)/Master_Table!D967</f>
        <v>8.4717541592849808E-3</v>
      </c>
      <c r="E968" s="3">
        <f>(Master_Table!E968-Master_Table!E967)/Master_Table!E967</f>
        <v>-1.2584095639127791E-3</v>
      </c>
      <c r="F968" s="3">
        <f>(Master_Table!F968-Master_Table!F967)/Master_Table!F967</f>
        <v>-2.671713236112564E-3</v>
      </c>
      <c r="G968" s="3">
        <f>(Master_Table!G968-Master_Table!G967)/Master_Table!G967</f>
        <v>1.6730250953765008E-3</v>
      </c>
      <c r="H968" s="3">
        <f>(Master_Table!H968-Master_Table!H967)/Master_Table!H967</f>
        <v>-4.5163170163171045E-3</v>
      </c>
    </row>
    <row r="969" spans="1:8" x14ac:dyDescent="0.3">
      <c r="A969" s="1">
        <v>45252</v>
      </c>
      <c r="B969" s="3">
        <f>(Master_Table!B969-Master_Table!B968)/Master_Table!B968</f>
        <v>1.4380743451579145E-3</v>
      </c>
      <c r="C969" s="3">
        <f>(Master_Table!C969-Master_Table!C968)/Master_Table!C968</f>
        <v>3.9093698768337161E-3</v>
      </c>
      <c r="D969" s="3">
        <f>(Master_Table!D969-Master_Table!D968)/Master_Table!D968</f>
        <v>-3.5530782337635609E-3</v>
      </c>
      <c r="E969" s="3">
        <f>(Master_Table!E969-Master_Table!E968)/Master_Table!E968</f>
        <v>7.8992003876907947E-3</v>
      </c>
      <c r="F969" s="3">
        <f>(Master_Table!F969-Master_Table!F968)/Master_Table!F968</f>
        <v>5.6840134973854314E-3</v>
      </c>
      <c r="G969" s="3">
        <f>(Master_Table!G969-Master_Table!G968)/Master_Table!G968</f>
        <v>1.3061344291165285E-2</v>
      </c>
      <c r="H969" s="3">
        <f>(Master_Table!H969-Master_Table!H968)/Master_Table!H968</f>
        <v>2.4228824170285618E-3</v>
      </c>
    </row>
    <row r="970" spans="1:8" x14ac:dyDescent="0.3">
      <c r="A970" s="1">
        <v>45253</v>
      </c>
      <c r="B970" s="3">
        <f>(Master_Table!B970-Master_Table!B969)/Master_Table!B969</f>
        <v>-4.9717719445677947E-4</v>
      </c>
      <c r="C970" s="3">
        <f>(Master_Table!C970-Master_Table!C969)/Master_Table!C969</f>
        <v>3.0566954191442019E-3</v>
      </c>
      <c r="D970" s="3">
        <f>(Master_Table!D970-Master_Table!D969)/Master_Table!D969</f>
        <v>5.7794273594910048E-3</v>
      </c>
      <c r="E970" s="3">
        <f>(Master_Table!E970-Master_Table!E969)/Master_Table!E969</f>
        <v>1.4905279353784127E-3</v>
      </c>
      <c r="F970" s="3">
        <f>(Master_Table!F970-Master_Table!F969)/Master_Table!F969</f>
        <v>-6.2039859186594059E-3</v>
      </c>
      <c r="G970" s="3">
        <f>(Master_Table!G970-Master_Table!G969)/Master_Table!G969</f>
        <v>-5.8635651855990832E-3</v>
      </c>
      <c r="H970" s="3">
        <f>(Master_Table!H970-Master_Table!H969)/Master_Table!H969</f>
        <v>-1.1890471401226385E-2</v>
      </c>
    </row>
    <row r="971" spans="1:8" x14ac:dyDescent="0.3">
      <c r="A971" s="1">
        <v>45254</v>
      </c>
      <c r="B971" s="3">
        <f>(Master_Table!B971-Master_Table!B970)/Master_Table!B970</f>
        <v>-3.6864963135033191E-4</v>
      </c>
      <c r="C971" s="3">
        <f>(Master_Table!C971-Master_Table!C970)/Master_Table!C970</f>
        <v>-6.6791901481941523E-4</v>
      </c>
      <c r="D971" s="3">
        <f>(Master_Table!D971-Master_Table!D970)/Master_Table!D970</f>
        <v>7.1036955031893965E-3</v>
      </c>
      <c r="E971" s="3">
        <f>(Master_Table!E971-Master_Table!E970)/Master_Table!E970</f>
        <v>-5.8092083153294906E-3</v>
      </c>
      <c r="F971" s="3">
        <f>(Master_Table!F971-Master_Table!F970)/Master_Table!F970</f>
        <v>-1.4578745557792457E-2</v>
      </c>
      <c r="G971" s="3">
        <f>(Master_Table!G971-Master_Table!G970)/Master_Table!G970</f>
        <v>-8.1810801246245592E-3</v>
      </c>
      <c r="H971" s="3">
        <f>(Master_Table!H971-Master_Table!H970)/Master_Table!H970</f>
        <v>2.8236993745177248E-3</v>
      </c>
    </row>
    <row r="972" spans="1:8" x14ac:dyDescent="0.3">
      <c r="A972" s="1">
        <v>45258</v>
      </c>
      <c r="B972" s="3">
        <f>(Master_Table!B972-Master_Table!B971)/Master_Table!B971</f>
        <v>4.7992644495748861E-3</v>
      </c>
      <c r="C972" s="3">
        <f>(Master_Table!C972-Master_Table!C971)/Master_Table!C971</f>
        <v>2.0886419649943606E-4</v>
      </c>
      <c r="D972" s="3">
        <f>(Master_Table!D972-Master_Table!D971)/Master_Table!D971</f>
        <v>-2.2508669763790191E-3</v>
      </c>
      <c r="E972" s="3">
        <f>(Master_Table!E972-Master_Table!E971)/Master_Table!E971</f>
        <v>-5.8190071469963901E-3</v>
      </c>
      <c r="F972" s="3">
        <f>(Master_Table!F972-Master_Table!F971)/Master_Table!F971</f>
        <v>3.7748898627207794E-3</v>
      </c>
      <c r="G972" s="3">
        <f>(Master_Table!G972-Master_Table!G971)/Master_Table!G971</f>
        <v>3.6870163851847582E-3</v>
      </c>
      <c r="H972" s="3">
        <f>(Master_Table!H972-Master_Table!H971)/Master_Table!H971</f>
        <v>-1.3915036424654171E-3</v>
      </c>
    </row>
    <row r="973" spans="1:8" x14ac:dyDescent="0.3">
      <c r="A973" s="1">
        <v>45259</v>
      </c>
      <c r="B973" s="3">
        <f>(Master_Table!B973-Master_Table!B972)/Master_Table!B972</f>
        <v>1.0402369065395546E-2</v>
      </c>
      <c r="C973" s="3">
        <f>(Master_Table!C973-Master_Table!C972)/Master_Table!C972</f>
        <v>2.6311393250917671E-3</v>
      </c>
      <c r="D973" s="3">
        <f>(Master_Table!D973-Master_Table!D972)/Master_Table!D972</f>
        <v>1.9949372401400833E-2</v>
      </c>
      <c r="E973" s="3">
        <f>(Master_Table!E973-Master_Table!E972)/Master_Table!E972</f>
        <v>4.4930176077717611E-3</v>
      </c>
      <c r="F973" s="3">
        <f>(Master_Table!F973-Master_Table!F972)/Master_Table!F972</f>
        <v>1.2561701142104387E-2</v>
      </c>
      <c r="G973" s="3">
        <f>(Master_Table!G973-Master_Table!G972)/Master_Table!G972</f>
        <v>1.1717470253239678E-2</v>
      </c>
      <c r="H973" s="3">
        <f>(Master_Table!H973-Master_Table!H972)/Master_Table!H972</f>
        <v>1.1065573770491803E-2</v>
      </c>
    </row>
    <row r="974" spans="1:8" x14ac:dyDescent="0.3">
      <c r="A974" s="1">
        <v>45260</v>
      </c>
      <c r="B974" s="3">
        <f>(Master_Table!B974-Master_Table!B973)/Master_Table!B973</f>
        <v>1.8187156036345905E-3</v>
      </c>
      <c r="C974" s="3">
        <f>(Master_Table!C974-Master_Table!C973)/Master_Table!C973</f>
        <v>-9.6888407547797584E-3</v>
      </c>
      <c r="D974" s="3">
        <f>(Master_Table!D974-Master_Table!D973)/Master_Table!D973</f>
        <v>-2.1861015379862029E-4</v>
      </c>
      <c r="E974" s="3">
        <f>(Master_Table!E974-Master_Table!E973)/Master_Table!E973</f>
        <v>-3.2156673114120912E-3</v>
      </c>
      <c r="F974" s="3">
        <f>(Master_Table!F974-Master_Table!F973)/Master_Table!F973</f>
        <v>-7.4423737827157789E-3</v>
      </c>
      <c r="G974" s="3">
        <f>(Master_Table!G974-Master_Table!G973)/Master_Table!G973</f>
        <v>-3.0521833790357468E-3</v>
      </c>
      <c r="H974" s="3">
        <f>(Master_Table!H974-Master_Table!H973)/Master_Table!H973</f>
        <v>8.2529387920550687E-3</v>
      </c>
    </row>
    <row r="975" spans="1:8" x14ac:dyDescent="0.3">
      <c r="A975" s="1">
        <v>45261</v>
      </c>
      <c r="B975" s="3">
        <f>(Master_Table!B975-Master_Table!B974)/Master_Table!B974</f>
        <v>6.6929417403635292E-3</v>
      </c>
      <c r="C975" s="3">
        <f>(Master_Table!C975-Master_Table!C974)/Master_Table!C974</f>
        <v>7.0916616192207276E-3</v>
      </c>
      <c r="D975" s="3">
        <f>(Master_Table!D975-Master_Table!D974)/Master_Table!D974</f>
        <v>-2.186579546477736E-3</v>
      </c>
      <c r="E975" s="3">
        <f>(Master_Table!E975-Master_Table!E974)/Master_Table!E974</f>
        <v>3.2139132122152962E-2</v>
      </c>
      <c r="F975" s="3">
        <f>(Master_Table!F975-Master_Table!F974)/Master_Table!F974</f>
        <v>6.8961345351157268E-3</v>
      </c>
      <c r="G975" s="3">
        <f>(Master_Table!G975-Master_Table!G974)/Master_Table!G974</f>
        <v>-1.955784075909251E-3</v>
      </c>
      <c r="H975" s="3">
        <f>(Master_Table!H975-Master_Table!H974)/Master_Table!H974</f>
        <v>2.6196449247394917E-2</v>
      </c>
    </row>
    <row r="976" spans="1:8" x14ac:dyDescent="0.3">
      <c r="A976" s="1">
        <v>45264</v>
      </c>
      <c r="B976" s="3">
        <f>(Master_Table!B976-Master_Table!B975)/Master_Table!B975</f>
        <v>2.0668150129021644E-2</v>
      </c>
      <c r="C976" s="3">
        <f>(Master_Table!C976-Master_Table!C975)/Master_Table!C975</f>
        <v>1.0817357891659204E-2</v>
      </c>
      <c r="D976" s="3">
        <f>(Master_Table!D976-Master_Table!D975)/Master_Table!D975</f>
        <v>3.4713897160240877E-2</v>
      </c>
      <c r="E976" s="3">
        <f>(Master_Table!E976-Master_Table!E975)/Master_Table!E975</f>
        <v>9.4472645234067471E-3</v>
      </c>
      <c r="F976" s="3">
        <f>(Master_Table!F976-Master_Table!F975)/Master_Table!F975</f>
        <v>2.2886895821716286E-4</v>
      </c>
      <c r="G976" s="3">
        <f>(Master_Table!G976-Master_Table!G975)/Master_Table!G975</f>
        <v>8.2954797252382129E-3</v>
      </c>
      <c r="H976" s="3">
        <f>(Master_Table!H976-Master_Table!H975)/Master_Table!H975</f>
        <v>3.8518797110306702E-2</v>
      </c>
    </row>
    <row r="977" spans="1:8" x14ac:dyDescent="0.3">
      <c r="A977" s="1">
        <v>45265</v>
      </c>
      <c r="B977" s="3">
        <f>(Master_Table!B977-Master_Table!B976)/Master_Table!B976</f>
        <v>8.1356227159347649E-3</v>
      </c>
      <c r="C977" s="3">
        <f>(Master_Table!C977-Master_Table!C976)/Master_Table!C976</f>
        <v>7.2555987108505089E-3</v>
      </c>
      <c r="D977" s="3">
        <f>(Master_Table!D977-Master_Table!D976)/Master_Table!D976</f>
        <v>8.8825214899713404E-3</v>
      </c>
      <c r="E977" s="3">
        <f>(Master_Table!E977-Master_Table!E976)/Master_Table!E976</f>
        <v>-5.0751967220747929E-3</v>
      </c>
      <c r="F977" s="3">
        <f>(Master_Table!F977-Master_Table!F976)/Master_Table!F976</f>
        <v>5.4515552377547216E-3</v>
      </c>
      <c r="G977" s="3">
        <f>(Master_Table!G977-Master_Table!G976)/Master_Table!G976</f>
        <v>-7.100965566497826E-3</v>
      </c>
      <c r="H977" s="3">
        <f>(Master_Table!H977-Master_Table!H976)/Master_Table!H976</f>
        <v>5.7340314768137982E-4</v>
      </c>
    </row>
    <row r="978" spans="1:8" x14ac:dyDescent="0.3">
      <c r="A978" s="1">
        <v>45266</v>
      </c>
      <c r="B978" s="3">
        <f>(Master_Table!B978-Master_Table!B977)/Master_Table!B977</f>
        <v>3.9606619004465184E-3</v>
      </c>
      <c r="C978" s="3">
        <f>(Master_Table!C978-Master_Table!C977)/Master_Table!C977</f>
        <v>9.5743633499604918E-3</v>
      </c>
      <c r="D978" s="3">
        <f>(Master_Table!D978-Master_Table!D977)/Master_Table!D977</f>
        <v>2.531395478063241E-3</v>
      </c>
      <c r="E978" s="3">
        <f>(Master_Table!E978-Master_Table!E977)/Master_Table!E977</f>
        <v>2.5458629726694111E-2</v>
      </c>
      <c r="F978" s="3">
        <f>(Master_Table!F978-Master_Table!F977)/Master_Table!F977</f>
        <v>2.0530195061033044E-2</v>
      </c>
      <c r="G978" s="3">
        <f>(Master_Table!G978-Master_Table!G977)/Master_Table!G977</f>
        <v>1.3999170009683226E-2</v>
      </c>
      <c r="H978" s="3">
        <f>(Master_Table!H978-Master_Table!H977)/Master_Table!H977</f>
        <v>2.3179357251655239E-2</v>
      </c>
    </row>
    <row r="979" spans="1:8" x14ac:dyDescent="0.3">
      <c r="A979" s="1">
        <v>45267</v>
      </c>
      <c r="B979" s="3">
        <f>(Master_Table!B979-Master_Table!B978)/Master_Table!B978</f>
        <v>-1.7456549668778934E-3</v>
      </c>
      <c r="C979" s="3">
        <f>(Master_Table!C979-Master_Table!C978)/Master_Table!C978</f>
        <v>-1.641542399739939E-3</v>
      </c>
      <c r="D979" s="3">
        <f>(Master_Table!D979-Master_Table!D978)/Master_Table!D978</f>
        <v>1.6258560378381657E-3</v>
      </c>
      <c r="E979" s="3">
        <f>(Master_Table!E979-Master_Table!E978)/Master_Table!E978</f>
        <v>-1.1112632347572116E-2</v>
      </c>
      <c r="F979" s="3">
        <f>(Master_Table!F979-Master_Table!F978)/Master_Table!F978</f>
        <v>2.9965323848495321E-3</v>
      </c>
      <c r="G979" s="3">
        <f>(Master_Table!G979-Master_Table!G978)/Master_Table!G978</f>
        <v>-5.695615399306915E-3</v>
      </c>
      <c r="H979" s="3">
        <f>(Master_Table!H979-Master_Table!H978)/Master_Table!H978</f>
        <v>-1.0818618636323519E-2</v>
      </c>
    </row>
    <row r="980" spans="1:8" x14ac:dyDescent="0.3">
      <c r="A980" s="1">
        <v>45268</v>
      </c>
      <c r="B980" s="3">
        <f>(Master_Table!B980-Master_Table!B979)/Master_Table!B979</f>
        <v>3.2653705657344212E-3</v>
      </c>
      <c r="C980" s="3">
        <f>(Master_Table!C980-Master_Table!C979)/Master_Table!C979</f>
        <v>-5.2908760876809163E-4</v>
      </c>
      <c r="D980" s="3">
        <f>(Master_Table!D980-Master_Table!D979)/Master_Table!D979</f>
        <v>1.3957206099360438E-2</v>
      </c>
      <c r="E980" s="3">
        <f>(Master_Table!E980-Master_Table!E979)/Master_Table!E979</f>
        <v>-1.9544500080762459E-2</v>
      </c>
      <c r="F980" s="3">
        <f>(Master_Table!F980-Master_Table!F979)/Master_Table!F979</f>
        <v>3.2627152794567835E-3</v>
      </c>
      <c r="G980" s="3">
        <f>(Master_Table!G980-Master_Table!G979)/Master_Table!G979</f>
        <v>1.7219024621147095E-2</v>
      </c>
      <c r="H980" s="3">
        <f>(Master_Table!H980-Master_Table!H979)/Master_Table!H979</f>
        <v>6.8095124567886245E-3</v>
      </c>
    </row>
    <row r="981" spans="1:8" x14ac:dyDescent="0.3">
      <c r="A981" s="1">
        <v>45271</v>
      </c>
      <c r="B981" s="3">
        <f>(Master_Table!B981-Master_Table!B980)/Master_Table!B980</f>
        <v>1.3209724646388113E-3</v>
      </c>
      <c r="C981" s="3">
        <f>(Master_Table!C981-Master_Table!C980)/Master_Table!C980</f>
        <v>1.4659412971951284E-3</v>
      </c>
      <c r="D981" s="3">
        <f>(Master_Table!D981-Master_Table!D980)/Master_Table!D980</f>
        <v>-1.3340610029712074E-3</v>
      </c>
      <c r="E981" s="3">
        <f>(Master_Table!E981-Master_Table!E980)/Master_Table!E980</f>
        <v>7.3429042127559534E-3</v>
      </c>
      <c r="F981" s="3">
        <f>(Master_Table!F981-Master_Table!F980)/Master_Table!F980</f>
        <v>4.4681811760208835E-3</v>
      </c>
      <c r="G981" s="3">
        <f>(Master_Table!G981-Master_Table!G980)/Master_Table!G980</f>
        <v>-1.7736833941420444E-3</v>
      </c>
      <c r="H981" s="3">
        <f>(Master_Table!H981-Master_Table!H980)/Master_Table!H980</f>
        <v>2.1755538782578889E-3</v>
      </c>
    </row>
    <row r="982" spans="1:8" x14ac:dyDescent="0.3">
      <c r="A982" s="1">
        <v>45272</v>
      </c>
      <c r="B982" s="3">
        <f>(Master_Table!B982-Master_Table!B981)/Master_Table!B981</f>
        <v>-4.3196441413336653E-3</v>
      </c>
      <c r="C982" s="3">
        <f>(Master_Table!C982-Master_Table!C981)/Master_Table!C981</f>
        <v>-1.4353327695010158E-2</v>
      </c>
      <c r="D982" s="3">
        <f>(Master_Table!D982-Master_Table!D981)/Master_Table!D981</f>
        <v>-9.933815046450984E-3</v>
      </c>
      <c r="E982" s="3">
        <f>(Master_Table!E982-Master_Table!E981)/Master_Table!E981</f>
        <v>1.4485304425026974E-3</v>
      </c>
      <c r="F982" s="3">
        <f>(Master_Table!F982-Master_Table!F981)/Master_Table!F981</f>
        <v>8.0141198532858848E-3</v>
      </c>
      <c r="G982" s="3">
        <f>(Master_Table!G982-Master_Table!G981)/Master_Table!G981</f>
        <v>-8.3639606529024614E-3</v>
      </c>
      <c r="H982" s="3">
        <f>(Master_Table!H982-Master_Table!H981)/Master_Table!H981</f>
        <v>-1.2818240888416352E-2</v>
      </c>
    </row>
    <row r="983" spans="1:8" x14ac:dyDescent="0.3">
      <c r="A983" s="1">
        <v>45273</v>
      </c>
      <c r="B983" s="3">
        <f>(Master_Table!B983-Master_Table!B982)/Master_Table!B982</f>
        <v>9.5425324302591977E-4</v>
      </c>
      <c r="C983" s="3">
        <f>(Master_Table!C983-Master_Table!C982)/Master_Table!C982</f>
        <v>4.075806704454555E-3</v>
      </c>
      <c r="D983" s="3">
        <f>(Master_Table!D983-Master_Table!D982)/Master_Table!D982</f>
        <v>-2.256921020030213E-3</v>
      </c>
      <c r="E983" s="3">
        <f>(Master_Table!E983-Master_Table!E982)/Master_Table!E982</f>
        <v>5.6224337439343625E-3</v>
      </c>
      <c r="F983" s="3">
        <f>(Master_Table!F983-Master_Table!F982)/Master_Table!F982</f>
        <v>-2.13889405662132E-2</v>
      </c>
      <c r="G983" s="3">
        <f>(Master_Table!G983-Master_Table!G982)/Master_Table!G982</f>
        <v>-1.8326997233917796E-2</v>
      </c>
      <c r="H983" s="3">
        <f>(Master_Table!H983-Master_Table!H982)/Master_Table!H982</f>
        <v>1.7173288654858811E-2</v>
      </c>
    </row>
    <row r="984" spans="1:8" x14ac:dyDescent="0.3">
      <c r="A984" s="1">
        <v>45274</v>
      </c>
      <c r="B984" s="3">
        <f>(Master_Table!B984-Master_Table!B983)/Master_Table!B983</f>
        <v>1.2250105727945973E-2</v>
      </c>
      <c r="C984" s="3">
        <f>(Master_Table!C984-Master_Table!C983)/Master_Table!C983</f>
        <v>1.2407865436288412E-2</v>
      </c>
      <c r="D984" s="3">
        <f>(Master_Table!D984-Master_Table!D983)/Master_Table!D983</f>
        <v>1.1801876006540235E-2</v>
      </c>
      <c r="E984" s="3">
        <f>(Master_Table!E984-Master_Table!E983)/Master_Table!E983</f>
        <v>9.766848393457787E-3</v>
      </c>
      <c r="F984" s="3">
        <f>(Master_Table!F984-Master_Table!F983)/Master_Table!F983</f>
        <v>2.0508920933301311E-2</v>
      </c>
      <c r="G984" s="3">
        <f>(Master_Table!G984-Master_Table!G983)/Master_Table!G983</f>
        <v>3.620009993892611E-2</v>
      </c>
      <c r="H984" s="3">
        <f>(Master_Table!H984-Master_Table!H983)/Master_Table!H983</f>
        <v>9.7946938055178904E-3</v>
      </c>
    </row>
    <row r="985" spans="1:8" x14ac:dyDescent="0.3">
      <c r="A985" s="1">
        <v>45275</v>
      </c>
      <c r="B985" s="3">
        <f>(Master_Table!B985-Master_Table!B984)/Master_Table!B984</f>
        <v>1.2932723401643828E-2</v>
      </c>
      <c r="C985" s="3">
        <f>(Master_Table!C985-Master_Table!C984)/Master_Table!C984</f>
        <v>1.2767131737644792E-2</v>
      </c>
      <c r="D985" s="3">
        <f>(Master_Table!D985-Master_Table!D984)/Master_Table!D984</f>
        <v>3.875921898351281E-3</v>
      </c>
      <c r="E985" s="3">
        <f>(Master_Table!E985-Master_Table!E984)/Master_Table!E984</f>
        <v>-4.1354592657262589E-3</v>
      </c>
      <c r="F985" s="3">
        <f>(Master_Table!F985-Master_Table!F984)/Master_Table!F984</f>
        <v>5.2830695222910715E-2</v>
      </c>
      <c r="G985" s="3">
        <f>(Master_Table!G985-Master_Table!G984)/Master_Table!G984</f>
        <v>5.1251138616513946E-2</v>
      </c>
      <c r="H985" s="3">
        <f>(Master_Table!H985-Master_Table!H984)/Master_Table!H984</f>
        <v>1.5991378054819285E-2</v>
      </c>
    </row>
    <row r="986" spans="1:8" x14ac:dyDescent="0.3">
      <c r="A986" s="1">
        <v>45278</v>
      </c>
      <c r="B986" s="3">
        <f>(Master_Table!B986-Master_Table!B985)/Master_Table!B985</f>
        <v>-1.7710127163373592E-3</v>
      </c>
      <c r="C986" s="3">
        <f>(Master_Table!C986-Master_Table!C985)/Master_Table!C985</f>
        <v>1.0177913127103739E-2</v>
      </c>
      <c r="D986" s="3">
        <f>(Master_Table!D986-Master_Table!D985)/Master_Table!D985</f>
        <v>-5.0833918326846693E-4</v>
      </c>
      <c r="E986" s="3">
        <f>(Master_Table!E986-Master_Table!E985)/Master_Table!E985</f>
        <v>-1.4280441101831768E-2</v>
      </c>
      <c r="F986" s="3">
        <f>(Master_Table!F986-Master_Table!F985)/Master_Table!F985</f>
        <v>-4.6575891381897945E-4</v>
      </c>
      <c r="G986" s="3">
        <f>(Master_Table!G986-Master_Table!G985)/Master_Table!G985</f>
        <v>-8.9069548153622793E-3</v>
      </c>
      <c r="H986" s="3">
        <f>(Master_Table!H986-Master_Table!H985)/Master_Table!H985</f>
        <v>1.0321100917430931E-3</v>
      </c>
    </row>
    <row r="987" spans="1:8" x14ac:dyDescent="0.3">
      <c r="A987" s="1">
        <v>45279</v>
      </c>
      <c r="B987" s="3">
        <f>(Master_Table!B987-Master_Table!B986)/Master_Table!B986</f>
        <v>1.6084113611267324E-3</v>
      </c>
      <c r="C987" s="3">
        <f>(Master_Table!C987-Master_Table!C986)/Master_Table!C986</f>
        <v>1.4716382387941257E-2</v>
      </c>
      <c r="D987" s="3">
        <f>(Master_Table!D987-Master_Table!D986)/Master_Table!D986</f>
        <v>-1.6953257447323532E-3</v>
      </c>
      <c r="E987" s="3">
        <f>(Master_Table!E987-Master_Table!E986)/Master_Table!E986</f>
        <v>9.8532543824748665E-3</v>
      </c>
      <c r="F987" s="3">
        <f>(Master_Table!F987-Master_Table!F986)/Master_Table!F986</f>
        <v>-1.1141771229239386E-2</v>
      </c>
      <c r="G987" s="3">
        <f>(Master_Table!G987-Master_Table!G986)/Master_Table!G986</f>
        <v>-3.8635107162601672E-3</v>
      </c>
      <c r="H987" s="3">
        <f>(Master_Table!H987-Master_Table!H986)/Master_Table!H986</f>
        <v>2.1050521251002145E-3</v>
      </c>
    </row>
    <row r="988" spans="1:8" x14ac:dyDescent="0.3">
      <c r="A988" s="1">
        <v>45280</v>
      </c>
      <c r="B988" s="3">
        <f>(Master_Table!B988-Master_Table!B987)/Master_Table!B987</f>
        <v>-1.4121502253753401E-2</v>
      </c>
      <c r="C988" s="3">
        <f>(Master_Table!C988-Master_Table!C987)/Master_Table!C987</f>
        <v>-1.2102732496774965E-2</v>
      </c>
      <c r="D988" s="3">
        <f>(Master_Table!D988-Master_Table!D987)/Master_Table!D987</f>
        <v>2.474526928675494E-3</v>
      </c>
      <c r="E988" s="3">
        <f>(Master_Table!E988-Master_Table!E987)/Master_Table!E987</f>
        <v>-1.1194029850746363E-2</v>
      </c>
      <c r="F988" s="3">
        <f>(Master_Table!F988-Master_Table!F987)/Master_Table!F987</f>
        <v>-9.4719107039435632E-3</v>
      </c>
      <c r="G988" s="3">
        <f>(Master_Table!G988-Master_Table!G987)/Master_Table!G987</f>
        <v>-1.4055512174345124E-2</v>
      </c>
      <c r="H988" s="3">
        <f>(Master_Table!H988-Master_Table!H987)/Master_Table!H987</f>
        <v>-2.2992612069335037E-2</v>
      </c>
    </row>
    <row r="989" spans="1:8" x14ac:dyDescent="0.3">
      <c r="A989" s="1">
        <v>45281</v>
      </c>
      <c r="B989" s="3">
        <f>(Master_Table!B989-Master_Table!B988)/Master_Table!B988</f>
        <v>4.9597756989902108E-3</v>
      </c>
      <c r="C989" s="3">
        <f>(Master_Table!C989-Master_Table!C988)/Master_Table!C988</f>
        <v>1.4015843997562491E-2</v>
      </c>
      <c r="D989" s="3">
        <f>(Master_Table!D989-Master_Table!D988)/Master_Table!D988</f>
        <v>1.7932336285755694E-2</v>
      </c>
      <c r="E989" s="3">
        <f>(Master_Table!E989-Master_Table!E988)/Master_Table!E988</f>
        <v>1.0078518692136571E-3</v>
      </c>
      <c r="F989" s="3">
        <f>(Master_Table!F989-Master_Table!F988)/Master_Table!F988</f>
        <v>1.9693724053984484E-3</v>
      </c>
      <c r="G989" s="3">
        <f>(Master_Table!G989-Master_Table!G988)/Master_Table!G988</f>
        <v>-2.6181608728939419E-4</v>
      </c>
      <c r="H989" s="3">
        <f>(Master_Table!H989-Master_Table!H988)/Master_Table!H988</f>
        <v>1.652771683486936E-3</v>
      </c>
    </row>
    <row r="990" spans="1:8" x14ac:dyDescent="0.3">
      <c r="A990" s="1">
        <v>45282</v>
      </c>
      <c r="B990" s="3">
        <f>(Master_Table!B990-Master_Table!B989)/Master_Table!B989</f>
        <v>4.4389450977533424E-3</v>
      </c>
      <c r="C990" s="3">
        <f>(Master_Table!C990-Master_Table!C989)/Master_Table!C989</f>
        <v>9.7558691308691312E-4</v>
      </c>
      <c r="D990" s="3">
        <f>(Master_Table!D990-Master_Table!D989)/Master_Table!D989</f>
        <v>-9.4025628224329791E-3</v>
      </c>
      <c r="E990" s="3">
        <f>(Master_Table!E990-Master_Table!E989)/Master_Table!E989</f>
        <v>8.3122599981268423E-3</v>
      </c>
      <c r="F990" s="3">
        <f>(Master_Table!F990-Master_Table!F989)/Master_Table!F989</f>
        <v>9.636528091288378E-3</v>
      </c>
      <c r="G990" s="3">
        <f>(Master_Table!G990-Master_Table!G989)/Master_Table!G989</f>
        <v>1.7513536162997008E-2</v>
      </c>
      <c r="H990" s="3">
        <f>(Master_Table!H990-Master_Table!H989)/Master_Table!H989</f>
        <v>1.5711928507804777E-2</v>
      </c>
    </row>
    <row r="991" spans="1:8" x14ac:dyDescent="0.3">
      <c r="A991" s="1">
        <v>45286</v>
      </c>
      <c r="B991" s="3">
        <f>(Master_Table!B991-Master_Table!B990)/Master_Table!B990</f>
        <v>4.3069126064431357E-3</v>
      </c>
      <c r="C991" s="3">
        <f>(Master_Table!C991-Master_Table!C990)/Master_Table!C990</f>
        <v>5.0681075686338723E-3</v>
      </c>
      <c r="D991" s="3">
        <f>(Master_Table!D991-Master_Table!D990)/Master_Table!D990</f>
        <v>6.9478610427791002E-3</v>
      </c>
      <c r="E991" s="3">
        <f>(Master_Table!E991-Master_Table!E990)/Master_Table!E990</f>
        <v>2.7401713768200235E-3</v>
      </c>
      <c r="F991" s="3">
        <f>(Master_Table!F991-Master_Table!F990)/Master_Table!F990</f>
        <v>-7.4401790687166122E-3</v>
      </c>
      <c r="G991" s="3">
        <f>(Master_Table!G991-Master_Table!G990)/Master_Table!G990</f>
        <v>-1.2122460010037799E-2</v>
      </c>
      <c r="H991" s="3">
        <f>(Master_Table!H991-Master_Table!H990)/Master_Table!H990</f>
        <v>3.4790609410717131E-3</v>
      </c>
    </row>
    <row r="992" spans="1:8" x14ac:dyDescent="0.3">
      <c r="A992" s="1">
        <v>45287</v>
      </c>
      <c r="B992" s="3">
        <f>(Master_Table!B992-Master_Table!B991)/Master_Table!B991</f>
        <v>9.9527315211029848E-3</v>
      </c>
      <c r="C992" s="3">
        <f>(Master_Table!C992-Master_Table!C991)/Master_Table!C991</f>
        <v>3.4134193928768851E-3</v>
      </c>
      <c r="D992" s="3">
        <f>(Master_Table!D992-Master_Table!D991)/Master_Table!D991</f>
        <v>1.2393641108754174E-2</v>
      </c>
      <c r="E992" s="3">
        <f>(Master_Table!E992-Master_Table!E991)/Master_Table!E991</f>
        <v>1.4126583451055177E-3</v>
      </c>
      <c r="F992" s="3">
        <f>(Master_Table!F992-Master_Table!F991)/Master_Table!F991</f>
        <v>4.1238314046436585E-3</v>
      </c>
      <c r="G992" s="3">
        <f>(Master_Table!G992-Master_Table!G991)/Master_Table!G991</f>
        <v>1.499381228424411E-2</v>
      </c>
      <c r="H992" s="3">
        <f>(Master_Table!H992-Master_Table!H991)/Master_Table!H991</f>
        <v>1.5458231257431789E-2</v>
      </c>
    </row>
    <row r="993" spans="1:8" x14ac:dyDescent="0.3">
      <c r="A993" s="1">
        <v>45288</v>
      </c>
      <c r="B993" s="3">
        <f>(Master_Table!B993-Master_Table!B992)/Master_Table!B992</f>
        <v>5.7239173853311969E-3</v>
      </c>
      <c r="C993" s="3">
        <f>(Master_Table!C993-Master_Table!C992)/Master_Table!C992</f>
        <v>7.2288411433165372E-3</v>
      </c>
      <c r="D993" s="3">
        <f>(Master_Table!D993-Master_Table!D992)/Master_Table!D992</f>
        <v>1.1417943828425116E-3</v>
      </c>
      <c r="E993" s="3">
        <f>(Master_Table!E993-Master_Table!E992)/Master_Table!E992</f>
        <v>1.5332315804079356E-2</v>
      </c>
      <c r="F993" s="3">
        <f>(Master_Table!F993-Master_Table!F992)/Master_Table!F992</f>
        <v>-2.9628692383527559E-3</v>
      </c>
      <c r="G993" s="3">
        <f>(Master_Table!G993-Master_Table!G992)/Master_Table!G992</f>
        <v>-2.8428050721288544E-3</v>
      </c>
      <c r="H993" s="3">
        <f>(Master_Table!H993-Master_Table!H992)/Master_Table!H992</f>
        <v>-7.322234762979633E-3</v>
      </c>
    </row>
    <row r="994" spans="1:8" x14ac:dyDescent="0.3">
      <c r="A994" s="1">
        <v>45289</v>
      </c>
      <c r="B994" s="3">
        <f>(Master_Table!B994-Master_Table!B993)/Master_Table!B993</f>
        <v>-2.1718468044465127E-3</v>
      </c>
      <c r="C994" s="3">
        <f>(Master_Table!C994-Master_Table!C993)/Master_Table!C993</f>
        <v>-7.9138457759559914E-3</v>
      </c>
      <c r="D994" s="3">
        <f>(Master_Table!D994-Master_Table!D993)/Master_Table!D993</f>
        <v>2.3397726070240317E-3</v>
      </c>
      <c r="E994" s="3">
        <f>(Master_Table!E994-Master_Table!E993)/Master_Table!E993</f>
        <v>-4.3275253387997587E-3</v>
      </c>
      <c r="F994" s="3">
        <f>(Master_Table!F994-Master_Table!F993)/Master_Table!F993</f>
        <v>-1.7105631903722668E-3</v>
      </c>
      <c r="G994" s="3">
        <f>(Master_Table!G994-Master_Table!G993)/Master_Table!G993</f>
        <v>-1.2639247308368094E-2</v>
      </c>
      <c r="H994" s="3">
        <f>(Master_Table!H994-Master_Table!H993)/Master_Table!H993</f>
        <v>2.2597745910375969E-3</v>
      </c>
    </row>
    <row r="995" spans="1:8" x14ac:dyDescent="0.3">
      <c r="A995" s="1">
        <v>45292</v>
      </c>
      <c r="B995" s="3">
        <f>(Master_Table!B995-Master_Table!B994)/Master_Table!B994</f>
        <v>4.8317181589773318E-4</v>
      </c>
      <c r="C995" s="3">
        <f>(Master_Table!C995-Master_Table!C994)/Master_Table!C994</f>
        <v>2.0580748489327271E-3</v>
      </c>
      <c r="D995" s="3">
        <f>(Master_Table!D995-Master_Table!D994)/Master_Table!D994</f>
        <v>-6.521994134897297E-3</v>
      </c>
      <c r="E995" s="3">
        <f>(Master_Table!E995-Master_Table!E994)/Master_Table!E994</f>
        <v>1.2878874528193973E-2</v>
      </c>
      <c r="F995" s="3">
        <f>(Master_Table!F995-Master_Table!F994)/Master_Table!F994</f>
        <v>4.6637764141624479E-3</v>
      </c>
      <c r="G995" s="3">
        <f>(Master_Table!G995-Master_Table!G994)/Master_Table!G994</f>
        <v>5.4815056216392906E-3</v>
      </c>
      <c r="H995" s="3">
        <f>(Master_Table!H995-Master_Table!H994)/Master_Table!H994</f>
        <v>-1.5598411798076629E-4</v>
      </c>
    </row>
    <row r="996" spans="1:8" x14ac:dyDescent="0.3">
      <c r="A996" s="1">
        <v>45293</v>
      </c>
      <c r="B996" s="3">
        <f>(Master_Table!B996-Master_Table!B995)/Master_Table!B995</f>
        <v>-3.5001540803702609E-3</v>
      </c>
      <c r="C996" s="3">
        <f>(Master_Table!C996-Master_Table!C995)/Master_Table!C995</f>
        <v>8.2771613660403195E-3</v>
      </c>
      <c r="D996" s="3">
        <f>(Master_Table!D996-Master_Table!D995)/Master_Table!D995</f>
        <v>5.9036059224974616E-4</v>
      </c>
      <c r="E996" s="3">
        <f>(Master_Table!E996-Master_Table!E995)/Master_Table!E995</f>
        <v>4.9234382763449274E-3</v>
      </c>
      <c r="F996" s="3">
        <f>(Master_Table!F996-Master_Table!F995)/Master_Table!F995</f>
        <v>-7.3203779075897797E-3</v>
      </c>
      <c r="G996" s="3">
        <f>(Master_Table!G996-Master_Table!G995)/Master_Table!G995</f>
        <v>-1.0929174283380735E-2</v>
      </c>
      <c r="H996" s="3">
        <f>(Master_Table!H996-Master_Table!H995)/Master_Table!H995</f>
        <v>-2.4776978825398151E-2</v>
      </c>
    </row>
    <row r="997" spans="1:8" x14ac:dyDescent="0.3">
      <c r="A997" s="1">
        <v>45294</v>
      </c>
      <c r="B997" s="3">
        <f>(Master_Table!B997-Master_Table!B996)/Master_Table!B996</f>
        <v>-6.8518125340398571E-3</v>
      </c>
      <c r="C997" s="3">
        <f>(Master_Table!C997-Master_Table!C996)/Master_Table!C996</f>
        <v>-1.0874143278324325E-2</v>
      </c>
      <c r="D997" s="3">
        <f>(Master_Table!D997-Master_Table!D996)/Master_Table!D996</f>
        <v>-1.5422920796752631E-2</v>
      </c>
      <c r="E997" s="3">
        <f>(Master_Table!E997-Master_Table!E996)/Master_Table!E996</f>
        <v>1.4653002517080274E-2</v>
      </c>
      <c r="F997" s="3">
        <f>(Master_Table!F997-Master_Table!F996)/Master_Table!F996</f>
        <v>-2.417313948084716E-2</v>
      </c>
      <c r="G997" s="3">
        <f>(Master_Table!G997-Master_Table!G996)/Master_Table!G996</f>
        <v>-2.8935640319832132E-2</v>
      </c>
      <c r="H997" s="3">
        <f>(Master_Table!H997-Master_Table!H996)/Master_Table!H996</f>
        <v>6.544312265495477E-4</v>
      </c>
    </row>
    <row r="998" spans="1:8" x14ac:dyDescent="0.3">
      <c r="A998" s="1">
        <v>45295</v>
      </c>
      <c r="B998" s="3">
        <f>(Master_Table!B998-Master_Table!B997)/Master_Table!B997</f>
        <v>6.5644700671783473E-3</v>
      </c>
      <c r="C998" s="3">
        <f>(Master_Table!C998-Master_Table!C997)/Master_Table!C997</f>
        <v>5.1639375991947081E-3</v>
      </c>
      <c r="D998" s="3">
        <f>(Master_Table!D998-Master_Table!D997)/Master_Table!D997</f>
        <v>1.0738641130433784E-2</v>
      </c>
      <c r="E998" s="3">
        <f>(Master_Table!E998-Master_Table!E997)/Master_Table!E997</f>
        <v>-1.7719500310091508E-3</v>
      </c>
      <c r="F998" s="3">
        <f>(Master_Table!F998-Master_Table!F997)/Master_Table!F997</f>
        <v>-6.7569774023598884E-3</v>
      </c>
      <c r="G998" s="3">
        <f>(Master_Table!G998-Master_Table!G997)/Master_Table!G997</f>
        <v>1.5233017244288419E-2</v>
      </c>
      <c r="H998" s="3">
        <f>(Master_Table!H998-Master_Table!H997)/Master_Table!H997</f>
        <v>5.3337596465475633E-3</v>
      </c>
    </row>
    <row r="999" spans="1:8" x14ac:dyDescent="0.3">
      <c r="A999" s="1">
        <v>45296</v>
      </c>
      <c r="B999" s="3">
        <f>(Master_Table!B999-Master_Table!B998)/Master_Table!B998</f>
        <v>2.4101280784538581E-3</v>
      </c>
      <c r="C999" s="3">
        <f>(Master_Table!C999-Master_Table!C998)/Master_Table!C998</f>
        <v>4.2593505453200854E-3</v>
      </c>
      <c r="D999" s="3">
        <f>(Master_Table!D999-Master_Table!D998)/Master_Table!D998</f>
        <v>-5.1225498915016066E-3</v>
      </c>
      <c r="E999" s="3">
        <f>(Master_Table!E999-Master_Table!E998)/Master_Table!E998</f>
        <v>-5.1477766929972331E-3</v>
      </c>
      <c r="F999" s="3">
        <f>(Master_Table!F999-Master_Table!F998)/Master_Table!F998</f>
        <v>1.9389625440766705E-2</v>
      </c>
      <c r="G999" s="3">
        <f>(Master_Table!G999-Master_Table!G998)/Master_Table!G998</f>
        <v>1.3123080400473341E-2</v>
      </c>
      <c r="H999" s="3">
        <f>(Master_Table!H999-Master_Table!H998)/Master_Table!H998</f>
        <v>1.8272761442160428E-2</v>
      </c>
    </row>
    <row r="1000" spans="1:8" x14ac:dyDescent="0.3">
      <c r="A1000" s="1">
        <v>45299</v>
      </c>
      <c r="B1000" s="3">
        <f>(Master_Table!B1000-Master_Table!B999)/Master_Table!B999</f>
        <v>-9.1106730290914789E-3</v>
      </c>
      <c r="C1000" s="3">
        <f>(Master_Table!C1000-Master_Table!C999)/Master_Table!C999</f>
        <v>-7.7999769912181971E-3</v>
      </c>
      <c r="D1000" s="3">
        <f>(Master_Table!D1000-Master_Table!D999)/Master_Table!D999</f>
        <v>-1.1144086482878658E-2</v>
      </c>
      <c r="E1000" s="3">
        <f>(Master_Table!E1000-Master_Table!E999)/Master_Table!E999</f>
        <v>-1.7820501382817398E-2</v>
      </c>
      <c r="F1000" s="3">
        <f>(Master_Table!F1000-Master_Table!F999)/Master_Table!F999</f>
        <v>-1.5943407889997933E-2</v>
      </c>
      <c r="G1000" s="3">
        <f>(Master_Table!G1000-Master_Table!G999)/Master_Table!G999</f>
        <v>-6.3584346045828331E-3</v>
      </c>
      <c r="H1000" s="3">
        <f>(Master_Table!H1000-Master_Table!H999)/Master_Table!H999</f>
        <v>-5.9059030636872661E-3</v>
      </c>
    </row>
    <row r="1001" spans="1:8" x14ac:dyDescent="0.3">
      <c r="A1001" s="1">
        <v>45300</v>
      </c>
      <c r="B1001" s="3">
        <f>(Master_Table!B1001-Master_Table!B1000)/Master_Table!B1000</f>
        <v>1.4805001626922579E-3</v>
      </c>
      <c r="C1001" s="3">
        <f>(Master_Table!C1001-Master_Table!C1000)/Master_Table!C1000</f>
        <v>-2.651351184218712E-3</v>
      </c>
      <c r="D1001" s="3">
        <f>(Master_Table!D1001-Master_Table!D1000)/Master_Table!D1000</f>
        <v>-7.7863221078513165E-3</v>
      </c>
      <c r="E1001" s="3">
        <f>(Master_Table!E1001-Master_Table!E1000)/Master_Table!E1000</f>
        <v>-2.0437359493152966E-3</v>
      </c>
      <c r="F1001" s="3">
        <f>(Master_Table!F1001-Master_Table!F1000)/Master_Table!F1000</f>
        <v>3.151851507917856E-3</v>
      </c>
      <c r="G1001" s="3">
        <f>(Master_Table!G1001-Master_Table!G1000)/Master_Table!G1000</f>
        <v>4.2660820065114121E-3</v>
      </c>
      <c r="H1001" s="3">
        <f>(Master_Table!H1001-Master_Table!H1000)/Master_Table!H1000</f>
        <v>1.5666504812773104E-2</v>
      </c>
    </row>
    <row r="1002" spans="1:8" x14ac:dyDescent="0.3">
      <c r="A1002" s="1">
        <v>45301</v>
      </c>
      <c r="B1002" s="3">
        <f>(Master_Table!B1002-Master_Table!B1001)/Master_Table!B1001</f>
        <v>3.4277333098166004E-3</v>
      </c>
      <c r="C1002" s="3">
        <f>(Master_Table!C1002-Master_Table!C1001)/Master_Table!C1001</f>
        <v>2.6971517147839529E-2</v>
      </c>
      <c r="D1002" s="3">
        <f>(Master_Table!D1002-Master_Table!D1001)/Master_Table!D1001</f>
        <v>3.3041788143827909E-3</v>
      </c>
      <c r="E1002" s="3">
        <f>(Master_Table!E1002-Master_Table!E1001)/Master_Table!E1001</f>
        <v>-2.6850524495415085E-3</v>
      </c>
      <c r="F1002" s="3">
        <f>(Master_Table!F1002-Master_Table!F1001)/Master_Table!F1001</f>
        <v>6.2757291280955887E-3</v>
      </c>
      <c r="G1002" s="3">
        <f>(Master_Table!G1002-Master_Table!G1001)/Master_Table!G1001</f>
        <v>-6.1483629572638854E-3</v>
      </c>
      <c r="H1002" s="3">
        <f>(Master_Table!H1002-Master_Table!H1001)/Master_Table!H1001</f>
        <v>-2.9387364839212641E-3</v>
      </c>
    </row>
    <row r="1003" spans="1:8" x14ac:dyDescent="0.3">
      <c r="A1003" s="1">
        <v>45302</v>
      </c>
      <c r="B1003" s="3">
        <f>(Master_Table!B1003-Master_Table!B1002)/Master_Table!B1002</f>
        <v>1.3183031357112129E-3</v>
      </c>
      <c r="C1003" s="3">
        <f>(Master_Table!C1003-Master_Table!C1002)/Master_Table!C1002</f>
        <v>2.6300894305875355E-2</v>
      </c>
      <c r="D1003" s="3">
        <f>(Master_Table!D1003-Master_Table!D1002)/Master_Table!D1002</f>
        <v>-4.2013754358774628E-3</v>
      </c>
      <c r="E1003" s="3">
        <f>(Master_Table!E1003-Master_Table!E1002)/Master_Table!E1002</f>
        <v>-1.4145885144539107E-3</v>
      </c>
      <c r="F1003" s="3">
        <f>(Master_Table!F1003-Master_Table!F1002)/Master_Table!F1002</f>
        <v>6.0580151680362801E-3</v>
      </c>
      <c r="G1003" s="3">
        <f>(Master_Table!G1003-Master_Table!G1002)/Master_Table!G1002</f>
        <v>-1.6905080125448384E-2</v>
      </c>
      <c r="H1003" s="3">
        <f>(Master_Table!H1003-Master_Table!H1002)/Master_Table!H1002</f>
        <v>-1.1465237625158678E-2</v>
      </c>
    </row>
    <row r="1004" spans="1:8" x14ac:dyDescent="0.3">
      <c r="A1004" s="1">
        <v>45303</v>
      </c>
      <c r="B1004" s="3">
        <f>(Master_Table!B1004-Master_Table!B1003)/Master_Table!B1003</f>
        <v>1.1426420045086596E-2</v>
      </c>
      <c r="C1004" s="3">
        <f>(Master_Table!C1004-Master_Table!C1003)/Master_Table!C1003</f>
        <v>7.9564673873078421E-3</v>
      </c>
      <c r="D1004" s="3">
        <f>(Master_Table!D1004-Master_Table!D1003)/Master_Table!D1003</f>
        <v>-4.7297708067360932E-3</v>
      </c>
      <c r="E1004" s="3">
        <f>(Master_Table!E1004-Master_Table!E1003)/Master_Table!E1003</f>
        <v>8.7508853702560931E-3</v>
      </c>
      <c r="F1004" s="3">
        <f>(Master_Table!F1004-Master_Table!F1003)/Master_Table!F1003</f>
        <v>3.9418339465134712E-2</v>
      </c>
      <c r="G1004" s="3">
        <f>(Master_Table!G1004-Master_Table!G1003)/Master_Table!G1003</f>
        <v>7.9336128628443442E-2</v>
      </c>
      <c r="H1004" s="3">
        <f>(Master_Table!H1004-Master_Table!H1003)/Master_Table!H1003</f>
        <v>1.8246144628158201E-2</v>
      </c>
    </row>
    <row r="1005" spans="1:8" x14ac:dyDescent="0.3">
      <c r="A1005" s="1">
        <v>45306</v>
      </c>
      <c r="B1005" s="3">
        <f>(Master_Table!B1005-Master_Table!B1004)/Master_Table!B1004</f>
        <v>9.2671463903118111E-3</v>
      </c>
      <c r="C1005" s="3">
        <f>(Master_Table!C1005-Master_Table!C1004)/Master_Table!C1004</f>
        <v>1.7078615618069396E-2</v>
      </c>
      <c r="D1005" s="3">
        <f>(Master_Table!D1005-Master_Table!D1004)/Master_Table!D1004</f>
        <v>1.9253322908522413E-2</v>
      </c>
      <c r="E1005" s="3">
        <f>(Master_Table!E1005-Master_Table!E1004)/Master_Table!E1004</f>
        <v>1.9479048697622053E-3</v>
      </c>
      <c r="F1005" s="3">
        <f>(Master_Table!F1005-Master_Table!F1004)/Master_Table!F1004</f>
        <v>5.4102445347733851E-3</v>
      </c>
      <c r="G1005" s="3">
        <f>(Master_Table!G1005-Master_Table!G1004)/Master_Table!G1004</f>
        <v>2.4399673257633786E-2</v>
      </c>
      <c r="H1005" s="3">
        <f>(Master_Table!H1005-Master_Table!H1004)/Master_Table!H1004</f>
        <v>-7.2153104685048191E-3</v>
      </c>
    </row>
    <row r="1006" spans="1:8" x14ac:dyDescent="0.3">
      <c r="A1006" s="1">
        <v>45307</v>
      </c>
      <c r="B1006" s="3">
        <f>(Master_Table!B1006-Master_Table!B1005)/Master_Table!B1005</f>
        <v>-2.9483039898269463E-3</v>
      </c>
      <c r="C1006" s="3">
        <f>(Master_Table!C1006-Master_Table!C1005)/Master_Table!C1005</f>
        <v>-1.3987217834778678E-2</v>
      </c>
      <c r="D1006" s="3">
        <f>(Master_Table!D1006-Master_Table!D1005)/Master_Table!D1005</f>
        <v>3.7995013903537717E-3</v>
      </c>
      <c r="E1006" s="3">
        <f>(Master_Table!E1006-Master_Table!E1005)/Master_Table!E1005</f>
        <v>1.0037073876480689E-2</v>
      </c>
      <c r="F1006" s="3">
        <f>(Master_Table!F1006-Master_Table!F1005)/Master_Table!F1005</f>
        <v>-1.0888362756703998E-2</v>
      </c>
      <c r="G1006" s="3">
        <f>(Master_Table!G1006-Master_Table!G1005)/Master_Table!G1005</f>
        <v>-1.2435781938594043E-2</v>
      </c>
      <c r="H1006" s="3">
        <f>(Master_Table!H1006-Master_Table!H1005)/Master_Table!H1005</f>
        <v>8.594290230168871E-3</v>
      </c>
    </row>
    <row r="1007" spans="1:8" x14ac:dyDescent="0.3">
      <c r="A1007" s="1">
        <v>45308</v>
      </c>
      <c r="B1007" s="3">
        <f>(Master_Table!B1007-Master_Table!B1006)/Master_Table!B1006</f>
        <v>-2.0894323334377189E-2</v>
      </c>
      <c r="C1007" s="3">
        <f>(Master_Table!C1007-Master_Table!C1006)/Master_Table!C1006</f>
        <v>-9.5007383805097902E-3</v>
      </c>
      <c r="D1007" s="3">
        <f>(Master_Table!D1007-Master_Table!D1006)/Master_Table!D1006</f>
        <v>-8.435921622944749E-2</v>
      </c>
      <c r="E1007" s="3">
        <f>(Master_Table!E1007-Master_Table!E1006)/Master_Table!E1006</f>
        <v>-1.2063563115487883E-2</v>
      </c>
      <c r="F1007" s="3">
        <f>(Master_Table!F1007-Master_Table!F1006)/Master_Table!F1006</f>
        <v>6.0335788567161758E-3</v>
      </c>
      <c r="G1007" s="3">
        <f>(Master_Table!G1007-Master_Table!G1006)/Master_Table!G1006</f>
        <v>5.3007562823206887E-3</v>
      </c>
      <c r="H1007" s="3">
        <f>(Master_Table!H1007-Master_Table!H1006)/Master_Table!H1006</f>
        <v>-7.1358612005042164E-4</v>
      </c>
    </row>
    <row r="1008" spans="1:8" x14ac:dyDescent="0.3">
      <c r="A1008" s="1">
        <v>45309</v>
      </c>
      <c r="B1008" s="3">
        <f>(Master_Table!B1008-Master_Table!B1007)/Master_Table!B1007</f>
        <v>-5.0853075405793511E-3</v>
      </c>
      <c r="C1008" s="3">
        <f>(Master_Table!C1008-Master_Table!C1007)/Master_Table!C1007</f>
        <v>4.6857671658453916E-3</v>
      </c>
      <c r="D1008" s="3">
        <f>(Master_Table!D1008-Master_Table!D1007)/Master_Table!D1007</f>
        <v>-3.339679724584009E-2</v>
      </c>
      <c r="E1008" s="3">
        <f>(Master_Table!E1008-Master_Table!E1007)/Master_Table!E1007</f>
        <v>-2.3560861783829554E-3</v>
      </c>
      <c r="F1008" s="3">
        <f>(Master_Table!F1008-Master_Table!F1007)/Master_Table!F1007</f>
        <v>4.634466777700786E-3</v>
      </c>
      <c r="G1008" s="3">
        <f>(Master_Table!G1008-Master_Table!G1007)/Master_Table!G1007</f>
        <v>1.4653496912956389E-3</v>
      </c>
      <c r="H1008" s="3">
        <f>(Master_Table!H1008-Master_Table!H1007)/Master_Table!H1007</f>
        <v>7.0149400019603137E-3</v>
      </c>
    </row>
    <row r="1009" spans="1:8" x14ac:dyDescent="0.3">
      <c r="A1009" s="1">
        <v>45310</v>
      </c>
      <c r="B1009" s="3">
        <f>(Master_Table!B1009-Master_Table!B1008)/Master_Table!B1008</f>
        <v>7.4619389858939043E-3</v>
      </c>
      <c r="C1009" s="3">
        <f>(Master_Table!C1009-Master_Table!C1008)/Master_Table!C1008</f>
        <v>-3.6551043532292846E-4</v>
      </c>
      <c r="D1009" s="3">
        <f>(Master_Table!D1009-Master_Table!D1008)/Master_Table!D1008</f>
        <v>-1.042861190183886E-2</v>
      </c>
      <c r="E1009" s="3">
        <f>(Master_Table!E1009-Master_Table!E1008)/Master_Table!E1008</f>
        <v>1.2898244657901325E-2</v>
      </c>
      <c r="F1009" s="3">
        <f>(Master_Table!F1009-Master_Table!F1008)/Master_Table!F1008</f>
        <v>1.504659424393767E-2</v>
      </c>
      <c r="G1009" s="3">
        <f>(Master_Table!G1009-Master_Table!G1008)/Master_Table!G1008</f>
        <v>1.0101628504958981E-2</v>
      </c>
      <c r="H1009" s="3">
        <f>(Master_Table!H1009-Master_Table!H1008)/Master_Table!H1008</f>
        <v>1.3904338153503892E-2</v>
      </c>
    </row>
    <row r="1010" spans="1:8" x14ac:dyDescent="0.3">
      <c r="A1010" s="1">
        <v>45311</v>
      </c>
      <c r="B1010" s="3">
        <f>(Master_Table!B1010-Master_Table!B1009)/Master_Table!B1009</f>
        <v>-2.3401657540329558E-3</v>
      </c>
      <c r="C1010" s="3">
        <f>(Master_Table!C1010-Master_Table!C1009)/Master_Table!C1009</f>
        <v>-7.8979121722914571E-3</v>
      </c>
      <c r="D1010" s="3">
        <f>(Master_Table!D1010-Master_Table!D1009)/Master_Table!D1009</f>
        <v>5.5760054533061099E-3</v>
      </c>
      <c r="E1010" s="3">
        <f>(Master_Table!E1010-Master_Table!E1009)/Master_Table!E1009</f>
        <v>5.0106490303777527E-2</v>
      </c>
      <c r="F1010" s="3">
        <f>(Master_Table!F1010-Master_Table!F1009)/Master_Table!F1009</f>
        <v>-2.0897528562914516E-2</v>
      </c>
      <c r="G1010" s="3">
        <f>(Master_Table!G1010-Master_Table!G1009)/Master_Table!G1009</f>
        <v>-6.3640220619442503E-4</v>
      </c>
      <c r="H1010" s="3">
        <f>(Master_Table!H1010-Master_Table!H1009)/Master_Table!H1009</f>
        <v>-3.154141524958859E-3</v>
      </c>
    </row>
    <row r="1011" spans="1:8" x14ac:dyDescent="0.3">
      <c r="A1011" s="1">
        <v>45314</v>
      </c>
      <c r="B1011" s="3">
        <f>(Master_Table!B1011-Master_Table!B1010)/Master_Table!B1010</f>
        <v>-1.5436820293160515E-2</v>
      </c>
      <c r="C1011" s="3">
        <f>(Master_Table!C1011-Master_Table!C1010)/Master_Table!C1010</f>
        <v>-2.0698042973501016E-2</v>
      </c>
      <c r="D1011" s="3">
        <f>(Master_Table!D1011-Master_Table!D1010)/Master_Table!D1010</f>
        <v>-3.4829647907374091E-2</v>
      </c>
      <c r="E1011" s="3">
        <f>(Master_Table!E1011-Master_Table!E1010)/Master_Table!E1010</f>
        <v>-7.2374039282664338E-2</v>
      </c>
      <c r="F1011" s="3">
        <f>(Master_Table!F1011-Master_Table!F1010)/Master_Table!F1010</f>
        <v>-6.216569748617696E-4</v>
      </c>
      <c r="G1011" s="3">
        <f>(Master_Table!G1011-Master_Table!G1010)/Master_Table!G1010</f>
        <v>-9.6430845740970161E-3</v>
      </c>
      <c r="H1011" s="3">
        <f>(Master_Table!H1011-Master_Table!H1010)/Master_Table!H1010</f>
        <v>-2.2974274315586737E-2</v>
      </c>
    </row>
    <row r="1012" spans="1:8" x14ac:dyDescent="0.3">
      <c r="A1012" s="1">
        <v>45315</v>
      </c>
      <c r="B1012" s="3">
        <f>(Master_Table!B1012-Master_Table!B1011)/Master_Table!B1011</f>
        <v>1.0130045011959313E-2</v>
      </c>
      <c r="C1012" s="3">
        <f>(Master_Table!C1012-Master_Table!C1011)/Master_Table!C1011</f>
        <v>1.1523668305019814E-2</v>
      </c>
      <c r="D1012" s="3">
        <f>(Master_Table!D1012-Master_Table!D1011)/Master_Table!D1011</f>
        <v>2.000280938334037E-2</v>
      </c>
      <c r="E1012" s="3">
        <f>(Master_Table!E1012-Master_Table!E1011)/Master_Table!E1011</f>
        <v>9.3670886075949214E-3</v>
      </c>
      <c r="F1012" s="3">
        <f>(Master_Table!F1012-Master_Table!F1011)/Master_Table!F1011</f>
        <v>-4.2635910062851856E-3</v>
      </c>
      <c r="G1012" s="3">
        <f>(Master_Table!G1012-Master_Table!G1011)/Master_Table!G1011</f>
        <v>2.0245567837349546E-2</v>
      </c>
      <c r="H1012" s="3">
        <f>(Master_Table!H1012-Master_Table!H1011)/Master_Table!H1011</f>
        <v>1.0757533089270577E-2</v>
      </c>
    </row>
    <row r="1013" spans="1:8" x14ac:dyDescent="0.3">
      <c r="A1013" s="1">
        <v>45316</v>
      </c>
      <c r="B1013" s="3">
        <f>(Master_Table!B1013-Master_Table!B1012)/Master_Table!B1012</f>
        <v>-4.7240717909756563E-3</v>
      </c>
      <c r="C1013" s="3">
        <f>(Master_Table!C1013-Master_Table!C1012)/Master_Table!C1012</f>
        <v>6.8384081912074195E-3</v>
      </c>
      <c r="D1013" s="3">
        <f>(Master_Table!D1013-Master_Table!D1012)/Master_Table!D1012</f>
        <v>-1.4418707136364926E-2</v>
      </c>
      <c r="E1013" s="3">
        <f>(Master_Table!E1013-Master_Table!E1012)/Master_Table!E1012</f>
        <v>-1.714663565679363E-2</v>
      </c>
      <c r="F1013" s="3">
        <f>(Master_Table!F1013-Master_Table!F1012)/Master_Table!F1012</f>
        <v>-8.1992815867562071E-3</v>
      </c>
      <c r="G1013" s="3">
        <f>(Master_Table!G1013-Master_Table!G1012)/Master_Table!G1012</f>
        <v>-3.7574804472962292E-3</v>
      </c>
      <c r="H1013" s="3">
        <f>(Master_Table!H1013-Master_Table!H1012)/Master_Table!H1012</f>
        <v>1.184107879193135E-3</v>
      </c>
    </row>
    <row r="1014" spans="1:8" x14ac:dyDescent="0.3">
      <c r="A1014" s="1">
        <v>45320</v>
      </c>
      <c r="B1014" s="3">
        <f>(Master_Table!B1014-Master_Table!B1013)/Master_Table!B1013</f>
        <v>1.8030591122392591E-2</v>
      </c>
      <c r="C1014" s="3">
        <f>(Master_Table!C1014-Master_Table!C1013)/Master_Table!C1013</f>
        <v>7.0195924822810368E-2</v>
      </c>
      <c r="D1014" s="3">
        <f>(Master_Table!D1014-Master_Table!D1013)/Master_Table!D1013</f>
        <v>1.3763326672907937E-2</v>
      </c>
      <c r="E1014" s="3">
        <f>(Master_Table!E1014-Master_Table!E1013)/Master_Table!E1013</f>
        <v>-1.2829138151026631E-2</v>
      </c>
      <c r="F1014" s="3">
        <f>(Master_Table!F1014-Master_Table!F1013)/Master_Table!F1013</f>
        <v>-2.4407526966381075E-3</v>
      </c>
      <c r="G1014" s="3">
        <f>(Master_Table!G1014-Master_Table!G1013)/Master_Table!G1013</f>
        <v>-7.4890796806748386E-3</v>
      </c>
      <c r="H1014" s="3">
        <f>(Master_Table!H1014-Master_Table!H1013)/Master_Table!H1013</f>
        <v>3.1877443682255265E-2</v>
      </c>
    </row>
    <row r="1015" spans="1:8" x14ac:dyDescent="0.3">
      <c r="A1015" s="1">
        <v>45321</v>
      </c>
      <c r="B1015" s="3">
        <f>(Master_Table!B1015-Master_Table!B1014)/Master_Table!B1014</f>
        <v>-9.9136979243338742E-3</v>
      </c>
      <c r="C1015" s="3">
        <f>(Master_Table!C1015-Master_Table!C1014)/Master_Table!C1014</f>
        <v>-2.7913400780359688E-2</v>
      </c>
      <c r="D1015" s="3">
        <f>(Master_Table!D1015-Master_Table!D1014)/Master_Table!D1014</f>
        <v>-7.1121402580217891E-3</v>
      </c>
      <c r="E1015" s="3">
        <f>(Master_Table!E1015-Master_Table!E1014)/Master_Table!E1014</f>
        <v>-2.6132731716488073E-2</v>
      </c>
      <c r="F1015" s="3">
        <f>(Master_Table!F1015-Master_Table!F1014)/Master_Table!F1014</f>
        <v>-1.1838989739537441E-4</v>
      </c>
      <c r="G1015" s="3">
        <f>(Master_Table!G1015-Master_Table!G1014)/Master_Table!G1014</f>
        <v>-3.1141490420803983E-3</v>
      </c>
      <c r="H1015" s="3">
        <f>(Master_Table!H1015-Master_Table!H1014)/Master_Table!H1014</f>
        <v>-2.0145631067961117E-2</v>
      </c>
    </row>
    <row r="1016" spans="1:8" x14ac:dyDescent="0.3">
      <c r="A1016" s="1">
        <v>45322</v>
      </c>
      <c r="B1016" s="3">
        <f>(Master_Table!B1016-Master_Table!B1015)/Master_Table!B1015</f>
        <v>9.460043397252229E-3</v>
      </c>
      <c r="C1016" s="3">
        <f>(Master_Table!C1016-Master_Table!C1015)/Master_Table!C1015</f>
        <v>1.3497865206055568E-2</v>
      </c>
      <c r="D1016" s="3">
        <f>(Master_Table!D1016-Master_Table!D1015)/Master_Table!D1015</f>
        <v>1.2632572602587627E-2</v>
      </c>
      <c r="E1016" s="3">
        <f>(Master_Table!E1016-Master_Table!E1015)/Master_Table!E1015</f>
        <v>7.9874517374517433E-3</v>
      </c>
      <c r="F1016" s="3">
        <f>(Master_Table!F1016-Master_Table!F1015)/Master_Table!F1015</f>
        <v>4.0520450987356132E-3</v>
      </c>
      <c r="G1016" s="3">
        <f>(Master_Table!G1016-Master_Table!G1015)/Master_Table!G1015</f>
        <v>5.7240635980001483E-3</v>
      </c>
      <c r="H1016" s="3">
        <f>(Master_Table!H1016-Master_Table!H1015)/Master_Table!H1015</f>
        <v>-4.2261855613354299E-2</v>
      </c>
    </row>
    <row r="1017" spans="1:8" x14ac:dyDescent="0.3">
      <c r="A1017" s="1">
        <v>45323</v>
      </c>
      <c r="B1017" s="3">
        <f>(Master_Table!B1017-Master_Table!B1016)/Master_Table!B1016</f>
        <v>-1.3003033273956651E-3</v>
      </c>
      <c r="C1017" s="3">
        <f>(Master_Table!C1017-Master_Table!C1016)/Master_Table!C1016</f>
        <v>1.4019051891507825E-5</v>
      </c>
      <c r="D1017" s="3">
        <f>(Master_Table!D1017-Master_Table!D1016)/Master_Table!D1016</f>
        <v>2.6046664656046627E-3</v>
      </c>
      <c r="E1017" s="3">
        <f>(Master_Table!E1017-Master_Table!E1016)/Master_Table!E1016</f>
        <v>3.0643269253789224E-3</v>
      </c>
      <c r="F1017" s="3">
        <f>(Master_Table!F1017-Master_Table!F1016)/Master_Table!F1016</f>
        <v>1.0010613346611007E-2</v>
      </c>
      <c r="G1017" s="3">
        <f>(Master_Table!G1017-Master_Table!G1016)/Master_Table!G1016</f>
        <v>-2.3189774701953434E-3</v>
      </c>
      <c r="H1017" s="3">
        <f>(Master_Table!H1017-Master_Table!H1016)/Master_Table!H1016</f>
        <v>-2.3493067030677491E-2</v>
      </c>
    </row>
    <row r="1018" spans="1:8" x14ac:dyDescent="0.3">
      <c r="A1018" s="1">
        <v>45324</v>
      </c>
      <c r="B1018" s="3">
        <f>(Master_Table!B1018-Master_Table!B1017)/Master_Table!B1017</f>
        <v>7.2059159025599107E-3</v>
      </c>
      <c r="C1018" s="3">
        <f>(Master_Table!C1018-Master_Table!C1017)/Master_Table!C1017</f>
        <v>2.1764272947113836E-2</v>
      </c>
      <c r="D1018" s="3">
        <f>(Master_Table!D1018-Master_Table!D1017)/Master_Table!D1017</f>
        <v>-1.3782542113323179E-2</v>
      </c>
      <c r="E1018" s="3">
        <f>(Master_Table!E1018-Master_Table!E1017)/Master_Table!E1017</f>
        <v>-6.324733287190706E-3</v>
      </c>
      <c r="F1018" s="3">
        <f>(Master_Table!F1018-Master_Table!F1017)/Master_Table!F1017</f>
        <v>2.9098504209747956E-2</v>
      </c>
      <c r="G1018" s="3">
        <f>(Master_Table!G1018-Master_Table!G1017)/Master_Table!G1017</f>
        <v>2.1908530368500212E-2</v>
      </c>
      <c r="H1018" s="3">
        <f>(Master_Table!H1018-Master_Table!H1017)/Master_Table!H1017</f>
        <v>-6.4596821659799351E-3</v>
      </c>
    </row>
    <row r="1019" spans="1:8" x14ac:dyDescent="0.3">
      <c r="A1019" s="1">
        <v>45327</v>
      </c>
      <c r="B1019" s="3">
        <f>(Master_Table!B1019-Master_Table!B1018)/Master_Table!B1018</f>
        <v>-3.7567837172481923E-3</v>
      </c>
      <c r="C1019" s="3">
        <f>(Master_Table!C1019-Master_Table!C1018)/Master_Table!C1018</f>
        <v>-1.2807847979694089E-2</v>
      </c>
      <c r="D1019" s="3">
        <f>(Master_Table!D1019-Master_Table!D1018)/Master_Table!D1018</f>
        <v>-9.0117568766633939E-4</v>
      </c>
      <c r="E1019" s="3">
        <f>(Master_Table!E1019-Master_Table!E1018)/Master_Table!E1018</f>
        <v>-4.6596531680837723E-3</v>
      </c>
      <c r="F1019" s="3">
        <f>(Master_Table!F1019-Master_Table!F1018)/Master_Table!F1018</f>
        <v>1.7648690215061895E-3</v>
      </c>
      <c r="G1019" s="3">
        <f>(Master_Table!G1019-Master_Table!G1018)/Master_Table!G1018</f>
        <v>-3.6345064316510227E-3</v>
      </c>
      <c r="H1019" s="3">
        <f>(Master_Table!H1019-Master_Table!H1018)/Master_Table!H1018</f>
        <v>-1.015980213563193E-2</v>
      </c>
    </row>
    <row r="1020" spans="1:8" x14ac:dyDescent="0.3">
      <c r="A1020" s="1">
        <v>45328</v>
      </c>
      <c r="B1020" s="3">
        <f>(Master_Table!B1020-Master_Table!B1019)/Master_Table!B1019</f>
        <v>7.2433480160024582E-3</v>
      </c>
      <c r="C1020" s="3">
        <f>(Master_Table!C1020-Master_Table!C1019)/Master_Table!C1019</f>
        <v>-7.8038678832269091E-3</v>
      </c>
      <c r="D1020" s="3">
        <f>(Master_Table!D1020-Master_Table!D1019)/Master_Table!D1019</f>
        <v>-5.1343962921333354E-4</v>
      </c>
      <c r="E1020" s="3">
        <f>(Master_Table!E1020-Master_Table!E1019)/Master_Table!E1019</f>
        <v>-1.5178571428571342E-2</v>
      </c>
      <c r="F1020" s="3">
        <f>(Master_Table!F1020-Master_Table!F1019)/Master_Table!F1019</f>
        <v>4.0948330103440414E-2</v>
      </c>
      <c r="G1020" s="3">
        <f>(Master_Table!G1020-Master_Table!G1019)/Master_Table!G1019</f>
        <v>2.5045597053178669E-2</v>
      </c>
      <c r="H1020" s="3">
        <f>(Master_Table!H1020-Master_Table!H1019)/Master_Table!H1019</f>
        <v>2.4687663649285554E-2</v>
      </c>
    </row>
    <row r="1021" spans="1:8" x14ac:dyDescent="0.3">
      <c r="A1021" s="1">
        <v>45329</v>
      </c>
      <c r="B1021" s="3">
        <f>(Master_Table!B1021-Master_Table!B1020)/Master_Table!B1020</f>
        <v>5.016097111633445E-5</v>
      </c>
      <c r="C1021" s="3">
        <f>(Master_Table!C1021-Master_Table!C1020)/Master_Table!C1020</f>
        <v>1.0050427230704677E-2</v>
      </c>
      <c r="D1021" s="3">
        <f>(Master_Table!D1021-Master_Table!D1020)/Master_Table!D1020</f>
        <v>-9.8020159386887316E-3</v>
      </c>
      <c r="E1021" s="3">
        <f>(Master_Table!E1021-Master_Table!E1020)/Master_Table!E1020</f>
        <v>9.3112151135722092E-4</v>
      </c>
      <c r="F1021" s="3">
        <f>(Master_Table!F1021-Master_Table!F1020)/Master_Table!F1020</f>
        <v>-1.271760154738876E-2</v>
      </c>
      <c r="G1021" s="3">
        <f>(Master_Table!G1021-Master_Table!G1020)/Master_Table!G1020</f>
        <v>-2.0642415220728474E-2</v>
      </c>
      <c r="H1021" s="3">
        <f>(Master_Table!H1021-Master_Table!H1020)/Master_Table!H1020</f>
        <v>-8.6296269256042005E-3</v>
      </c>
    </row>
    <row r="1022" spans="1:8" x14ac:dyDescent="0.3">
      <c r="A1022" s="1">
        <v>45330</v>
      </c>
      <c r="B1022" s="3">
        <f>(Master_Table!B1022-Master_Table!B1021)/Master_Table!B1021</f>
        <v>-9.6919814869701679E-3</v>
      </c>
      <c r="C1022" s="3">
        <f>(Master_Table!C1022-Master_Table!C1021)/Master_Table!C1021</f>
        <v>5.5334049856117723E-3</v>
      </c>
      <c r="D1022" s="3">
        <f>(Master_Table!D1022-Master_Table!D1021)/Master_Table!D1021</f>
        <v>-1.8816601233875591E-2</v>
      </c>
      <c r="E1022" s="3">
        <f>(Master_Table!E1022-Master_Table!E1021)/Master_Table!E1021</f>
        <v>-3.9952018409263365E-2</v>
      </c>
      <c r="F1022" s="3">
        <f>(Master_Table!F1022-Master_Table!F1021)/Master_Table!F1021</f>
        <v>1.2416123818386705E-2</v>
      </c>
      <c r="G1022" s="3">
        <f>(Master_Table!G1022-Master_Table!G1021)/Master_Table!G1021</f>
        <v>-9.7372139693402448E-4</v>
      </c>
      <c r="H1022" s="3">
        <f>(Master_Table!H1022-Master_Table!H1021)/Master_Table!H1021</f>
        <v>-1.743894894983351E-2</v>
      </c>
    </row>
    <row r="1023" spans="1:8" x14ac:dyDescent="0.3">
      <c r="A1023" s="1">
        <v>45331</v>
      </c>
      <c r="B1023" s="3">
        <f>(Master_Table!B1023-Master_Table!B1022)/Master_Table!B1022</f>
        <v>2.9721958103780177E-3</v>
      </c>
      <c r="C1023" s="3">
        <f>(Master_Table!C1023-Master_Table!C1022)/Master_Table!C1022</f>
        <v>7.323481343051926E-3</v>
      </c>
      <c r="D1023" s="3">
        <f>(Master_Table!D1023-Master_Table!D1022)/Master_Table!D1022</f>
        <v>4.0012575380830081E-4</v>
      </c>
      <c r="E1023" s="3">
        <f>(Master_Table!E1023-Master_Table!E1022)/Master_Table!E1022</f>
        <v>2.2949231200754196E-3</v>
      </c>
      <c r="F1023" s="3">
        <f>(Master_Table!F1023-Master_Table!F1022)/Master_Table!F1022</f>
        <v>-9.6756246825317638E-5</v>
      </c>
      <c r="G1023" s="3">
        <f>(Master_Table!G1023-Master_Table!G1022)/Master_Table!G1022</f>
        <v>-1.3449263648357848E-2</v>
      </c>
      <c r="H1023" s="3">
        <f>(Master_Table!H1023-Master_Table!H1022)/Master_Table!H1022</f>
        <v>-3.2828661370108885E-3</v>
      </c>
    </row>
    <row r="1024" spans="1:8" x14ac:dyDescent="0.3">
      <c r="A1024" s="1">
        <v>45334</v>
      </c>
      <c r="B1024" s="3">
        <f>(Master_Table!B1024-Master_Table!B1023)/Master_Table!B1023</f>
        <v>-7.6414552966831504E-3</v>
      </c>
      <c r="C1024" s="3">
        <f>(Master_Table!C1024-Master_Table!C1023)/Master_Table!C1023</f>
        <v>-5.7504706486394596E-3</v>
      </c>
      <c r="D1024" s="3">
        <f>(Master_Table!D1024-Master_Table!D1023)/Master_Table!D1023</f>
        <v>-9.684884152786866E-3</v>
      </c>
      <c r="E1024" s="3">
        <f>(Master_Table!E1024-Master_Table!E1023)/Master_Table!E1023</f>
        <v>-2.0810542651436149E-2</v>
      </c>
      <c r="F1024" s="3">
        <f>(Master_Table!F1024-Master_Table!F1023)/Master_Table!F1023</f>
        <v>-3.1448823088274427E-3</v>
      </c>
      <c r="G1024" s="3">
        <f>(Master_Table!G1024-Master_Table!G1023)/Master_Table!G1023</f>
        <v>6.4458219627829359E-3</v>
      </c>
      <c r="H1024" s="3">
        <f>(Master_Table!H1024-Master_Table!H1023)/Master_Table!H1023</f>
        <v>-7.5198147117655021E-3</v>
      </c>
    </row>
    <row r="1025" spans="1:8" x14ac:dyDescent="0.3">
      <c r="A1025" s="1">
        <v>45335</v>
      </c>
      <c r="B1025" s="3">
        <f>(Master_Table!B1025-Master_Table!B1024)/Master_Table!B1024</f>
        <v>5.8845163663111778E-3</v>
      </c>
      <c r="C1025" s="3">
        <f>(Master_Table!C1025-Master_Table!C1024)/Master_Table!C1024</f>
        <v>8.7788756153819678E-3</v>
      </c>
      <c r="D1025" s="3">
        <f>(Master_Table!D1025-Master_Table!D1024)/Master_Table!D1024</f>
        <v>3.1877452111701426E-3</v>
      </c>
      <c r="E1025" s="3">
        <f>(Master_Table!E1025-Master_Table!E1024)/Master_Table!E1024</f>
        <v>-2.5981449245230038E-4</v>
      </c>
      <c r="F1025" s="3">
        <f>(Master_Table!F1025-Master_Table!F1024)/Master_Table!F1024</f>
        <v>6.9891037930449153E-3</v>
      </c>
      <c r="G1025" s="3">
        <f>(Master_Table!G1025-Master_Table!G1024)/Master_Table!G1024</f>
        <v>2.6456134890373711E-3</v>
      </c>
      <c r="H1025" s="3">
        <f>(Master_Table!H1025-Master_Table!H1024)/Master_Table!H1024</f>
        <v>6.6524223000105518E-3</v>
      </c>
    </row>
    <row r="1026" spans="1:8" x14ac:dyDescent="0.3">
      <c r="A1026" s="1">
        <v>45336</v>
      </c>
      <c r="B1026" s="3">
        <f>(Master_Table!B1026-Master_Table!B1025)/Master_Table!B1025</f>
        <v>4.4519563542708323E-3</v>
      </c>
      <c r="C1026" s="3">
        <f>(Master_Table!C1026-Master_Table!C1025)/Master_Table!C1025</f>
        <v>1.1111869496962802E-2</v>
      </c>
      <c r="D1026" s="3">
        <f>(Master_Table!D1026-Master_Table!D1025)/Master_Table!D1025</f>
        <v>-7.4479863118090319E-3</v>
      </c>
      <c r="E1026" s="3">
        <f>(Master_Table!E1026-Master_Table!E1025)/Master_Table!E1025</f>
        <v>1.1798643415889092E-2</v>
      </c>
      <c r="F1026" s="3">
        <f>(Master_Table!F1026-Master_Table!F1025)/Master_Table!F1025</f>
        <v>-1.190504880106028E-2</v>
      </c>
      <c r="G1026" s="3">
        <f>(Master_Table!G1026-Master_Table!G1025)/Master_Table!G1025</f>
        <v>-1.0894806908203044E-2</v>
      </c>
      <c r="H1026" s="3">
        <f>(Master_Table!H1026-Master_Table!H1025)/Master_Table!H1025</f>
        <v>-3.7633599277434892E-3</v>
      </c>
    </row>
    <row r="1027" spans="1:8" x14ac:dyDescent="0.3">
      <c r="A1027" s="1">
        <v>45337</v>
      </c>
      <c r="B1027" s="3">
        <f>(Master_Table!B1027-Master_Table!B1026)/Master_Table!B1026</f>
        <v>3.2371720760712877E-3</v>
      </c>
      <c r="C1027" s="3">
        <f>(Master_Table!C1027-Master_Table!C1026)/Master_Table!C1026</f>
        <v>-7.2769984743956302E-3</v>
      </c>
      <c r="D1027" s="3">
        <f>(Master_Table!D1027-Master_Table!D1026)/Master_Table!D1026</f>
        <v>2.1671422983876865E-2</v>
      </c>
      <c r="E1027" s="3">
        <f>(Master_Table!E1027-Master_Table!E1026)/Master_Table!E1026</f>
        <v>-1.8570364472298467E-2</v>
      </c>
      <c r="F1027" s="3">
        <f>(Master_Table!F1027-Master_Table!F1026)/Master_Table!F1026</f>
        <v>7.5607912002132978E-4</v>
      </c>
      <c r="G1027" s="3">
        <f>(Master_Table!G1027-Master_Table!G1026)/Master_Table!G1026</f>
        <v>6.0958680878288674E-3</v>
      </c>
      <c r="H1027" s="3">
        <f>(Master_Table!H1027-Master_Table!H1026)/Master_Table!H1026</f>
        <v>-2.6291931097007608E-3</v>
      </c>
    </row>
    <row r="1028" spans="1:8" x14ac:dyDescent="0.3">
      <c r="A1028" s="1">
        <v>45338</v>
      </c>
      <c r="B1028" s="3">
        <f>(Master_Table!B1028-Master_Table!B1027)/Master_Table!B1027</f>
        <v>5.9308786782743964E-3</v>
      </c>
      <c r="C1028" s="3">
        <f>(Master_Table!C1028-Master_Table!C1027)/Master_Table!C1027</f>
        <v>-6.8203454372364842E-3</v>
      </c>
      <c r="D1028" s="3">
        <f>(Master_Table!D1028-Master_Table!D1027)/Master_Table!D1027</f>
        <v>4.1402583407773941E-3</v>
      </c>
      <c r="E1028" s="3">
        <f>(Master_Table!E1028-Master_Table!E1027)/Master_Table!E1027</f>
        <v>1.7272965192357188E-3</v>
      </c>
      <c r="F1028" s="3">
        <f>(Master_Table!F1028-Master_Table!F1027)/Master_Table!F1027</f>
        <v>6.1171768375902621E-3</v>
      </c>
      <c r="G1028" s="3">
        <f>(Master_Table!G1028-Master_Table!G1027)/Master_Table!G1027</f>
        <v>1.5087344627345504E-2</v>
      </c>
      <c r="H1028" s="3">
        <f>(Master_Table!H1028-Master_Table!H1027)/Master_Table!H1027</f>
        <v>2.6194588370754116E-2</v>
      </c>
    </row>
    <row r="1029" spans="1:8" x14ac:dyDescent="0.3">
      <c r="A1029" s="1">
        <v>45341</v>
      </c>
      <c r="B1029" s="3">
        <f>(Master_Table!B1029-Master_Table!B1028)/Master_Table!B1028</f>
        <v>3.6999732313401693E-3</v>
      </c>
      <c r="C1029" s="3">
        <f>(Master_Table!C1029-Master_Table!C1028)/Master_Table!C1028</f>
        <v>9.1950402924885922E-3</v>
      </c>
      <c r="D1029" s="3">
        <f>(Master_Table!D1029-Master_Table!D1028)/Master_Table!D1028</f>
        <v>-1.9768706138184539E-3</v>
      </c>
      <c r="E1029" s="3">
        <f>(Master_Table!E1029-Master_Table!E1028)/Master_Table!E1028</f>
        <v>1.1495454070435871E-2</v>
      </c>
      <c r="F1029" s="3">
        <f>(Master_Table!F1029-Master_Table!F1028)/Master_Table!F1028</f>
        <v>-5.9346462224160066E-3</v>
      </c>
      <c r="G1029" s="3">
        <f>(Master_Table!G1029-Master_Table!G1028)/Master_Table!G1028</f>
        <v>-1.1169486617299542E-3</v>
      </c>
      <c r="H1029" s="3">
        <f>(Master_Table!H1029-Master_Table!H1028)/Master_Table!H1028</f>
        <v>-1.3848084446741002E-2</v>
      </c>
    </row>
    <row r="1030" spans="1:8" x14ac:dyDescent="0.3">
      <c r="A1030" s="1">
        <v>45342</v>
      </c>
      <c r="B1030" s="3">
        <f>(Master_Table!B1030-Master_Table!B1029)/Master_Table!B1029</f>
        <v>3.376690888133021E-3</v>
      </c>
      <c r="C1030" s="3">
        <f>(Master_Table!C1030-Master_Table!C1029)/Master_Table!C1029</f>
        <v>-2.0149253731343471E-3</v>
      </c>
      <c r="D1030" s="3">
        <f>(Master_Table!D1030-Master_Table!D1029)/Master_Table!D1029</f>
        <v>2.6259567905601466E-2</v>
      </c>
      <c r="E1030" s="3">
        <f>(Master_Table!E1030-Master_Table!E1029)/Master_Table!E1029</f>
        <v>-7.6970761442298223E-3</v>
      </c>
      <c r="F1030" s="3">
        <f>(Master_Table!F1030-Master_Table!F1029)/Master_Table!F1029</f>
        <v>-1.7824942736000802E-2</v>
      </c>
      <c r="G1030" s="3">
        <f>(Master_Table!G1030-Master_Table!G1029)/Master_Table!G1029</f>
        <v>-8.5255173882690313E-3</v>
      </c>
      <c r="H1030" s="3">
        <f>(Master_Table!H1030-Master_Table!H1029)/Master_Table!H1029</f>
        <v>5.0601074898573564E-3</v>
      </c>
    </row>
    <row r="1031" spans="1:8" x14ac:dyDescent="0.3">
      <c r="A1031" s="1">
        <v>45343</v>
      </c>
      <c r="B1031" s="3">
        <f>(Master_Table!B1031-Master_Table!B1030)/Master_Table!B1030</f>
        <v>-6.3927701778848647E-3</v>
      </c>
      <c r="C1031" s="3">
        <f>(Master_Table!C1031-Master_Table!C1030)/Master_Table!C1030</f>
        <v>-2.2637199785184034E-3</v>
      </c>
      <c r="D1031" s="3">
        <f>(Master_Table!D1031-Master_Table!D1030)/Master_Table!D1030</f>
        <v>-1.0422554628799971E-2</v>
      </c>
      <c r="E1031" s="3">
        <f>(Master_Table!E1031-Master_Table!E1030)/Master_Table!E1030</f>
        <v>-6.7936904575980365E-3</v>
      </c>
      <c r="F1031" s="3">
        <f>(Master_Table!F1031-Master_Table!F1030)/Master_Table!F1030</f>
        <v>-9.7130735737412308E-3</v>
      </c>
      <c r="G1031" s="3">
        <f>(Master_Table!G1031-Master_Table!G1030)/Master_Table!G1030</f>
        <v>-1.7627296650574924E-2</v>
      </c>
      <c r="H1031" s="3">
        <f>(Master_Table!H1031-Master_Table!H1030)/Master_Table!H1030</f>
        <v>-1.7978699635063652E-2</v>
      </c>
    </row>
    <row r="1032" spans="1:8" x14ac:dyDescent="0.3">
      <c r="A1032" s="1">
        <v>45344</v>
      </c>
      <c r="B1032" s="3">
        <f>(Master_Table!B1032-Master_Table!B1031)/Master_Table!B1031</f>
        <v>7.3633929644231801E-3</v>
      </c>
      <c r="C1032" s="3">
        <f>(Master_Table!C1032-Master_Table!C1031)/Master_Table!C1031</f>
        <v>9.5728009811269013E-3</v>
      </c>
      <c r="D1032" s="3">
        <f>(Master_Table!D1032-Master_Table!D1031)/Master_Table!D1031</f>
        <v>-1.3625154989620882E-2</v>
      </c>
      <c r="E1032" s="3">
        <f>(Master_Table!E1032-Master_Table!E1031)/Master_Table!E1031</f>
        <v>2.7544094137379748E-2</v>
      </c>
      <c r="F1032" s="3">
        <f>(Master_Table!F1032-Master_Table!F1031)/Master_Table!F1031</f>
        <v>2.3950895653263162E-2</v>
      </c>
      <c r="G1032" s="3">
        <f>(Master_Table!G1032-Master_Table!G1031)/Master_Table!G1031</f>
        <v>1.5586750654509943E-2</v>
      </c>
      <c r="H1032" s="3">
        <f>(Master_Table!H1032-Master_Table!H1031)/Master_Table!H1031</f>
        <v>2.0431379686931171E-2</v>
      </c>
    </row>
    <row r="1033" spans="1:8" x14ac:dyDescent="0.3">
      <c r="A1033" s="1">
        <v>45345</v>
      </c>
      <c r="B1033" s="3">
        <f>(Master_Table!B1033-Master_Table!B1032)/Master_Table!B1032</f>
        <v>-2.1379591267224637E-4</v>
      </c>
      <c r="C1033" s="3">
        <f>(Master_Table!C1033-Master_Table!C1032)/Master_Table!C1032</f>
        <v>8.0175468196390133E-3</v>
      </c>
      <c r="D1033" s="3">
        <f>(Master_Table!D1033-Master_Table!D1032)/Master_Table!D1032</f>
        <v>7.4857699749999681E-4</v>
      </c>
      <c r="E1033" s="3">
        <f>(Master_Table!E1033-Master_Table!E1032)/Master_Table!E1032</f>
        <v>-7.3709447051621777E-3</v>
      </c>
      <c r="F1033" s="3">
        <f>(Master_Table!F1033-Master_Table!F1032)/Master_Table!F1032</f>
        <v>-8.5635291526999589E-3</v>
      </c>
      <c r="G1033" s="3">
        <f>(Master_Table!G1033-Master_Table!G1032)/Master_Table!G1032</f>
        <v>-2.6795380189362102E-3</v>
      </c>
      <c r="H1033" s="3">
        <f>(Master_Table!H1033-Master_Table!H1032)/Master_Table!H1032</f>
        <v>7.1943515421775753E-3</v>
      </c>
    </row>
    <row r="1034" spans="1:8" x14ac:dyDescent="0.3">
      <c r="A1034" s="1">
        <v>45348</v>
      </c>
      <c r="B1034" s="3">
        <f>(Master_Table!B1034-Master_Table!B1033)/Master_Table!B1033</f>
        <v>-4.08099870794642E-3</v>
      </c>
      <c r="C1034" s="3">
        <f>(Master_Table!C1034-Master_Table!C1033)/Master_Table!C1033</f>
        <v>-4.22460716509455E-3</v>
      </c>
      <c r="D1034" s="3">
        <f>(Master_Table!D1034-Master_Table!D1033)/Master_Table!D1033</f>
        <v>1.1855364552460438E-3</v>
      </c>
      <c r="E1034" s="3">
        <f>(Master_Table!E1034-Master_Table!E1033)/Master_Table!E1033</f>
        <v>-5.3444333102083408E-3</v>
      </c>
      <c r="F1034" s="3">
        <f>(Master_Table!F1034-Master_Table!F1033)/Master_Table!F1033</f>
        <v>-1.2598405764911953E-2</v>
      </c>
      <c r="G1034" s="3">
        <f>(Master_Table!G1034-Master_Table!G1033)/Master_Table!G1033</f>
        <v>-9.9553209991304903E-3</v>
      </c>
      <c r="H1034" s="3">
        <f>(Master_Table!H1034-Master_Table!H1033)/Master_Table!H1033</f>
        <v>2.4262459599462882E-2</v>
      </c>
    </row>
    <row r="1035" spans="1:8" x14ac:dyDescent="0.3">
      <c r="A1035" s="1">
        <v>45349</v>
      </c>
      <c r="B1035" s="3">
        <f>(Master_Table!B1035-Master_Table!B1034)/Master_Table!B1034</f>
        <v>3.449047443613918E-3</v>
      </c>
      <c r="C1035" s="3">
        <f>(Master_Table!C1035-Master_Table!C1034)/Master_Table!C1034</f>
        <v>-1.122824946884225E-3</v>
      </c>
      <c r="D1035" s="3">
        <f>(Master_Table!D1035-Master_Table!D1034)/Master_Table!D1034</f>
        <v>-1.5083594124447406E-3</v>
      </c>
      <c r="E1035" s="3">
        <f>(Master_Table!E1035-Master_Table!E1034)/Master_Table!E1034</f>
        <v>4.7531709333263799E-3</v>
      </c>
      <c r="F1035" s="3">
        <f>(Master_Table!F1035-Master_Table!F1034)/Master_Table!F1034</f>
        <v>2.5830719436147873E-2</v>
      </c>
      <c r="G1035" s="3">
        <f>(Master_Table!G1035-Master_Table!G1034)/Master_Table!G1034</f>
        <v>2.0777175394494133E-3</v>
      </c>
      <c r="H1035" s="3">
        <f>(Master_Table!H1035-Master_Table!H1034)/Master_Table!H1034</f>
        <v>1.0460642911689617E-2</v>
      </c>
    </row>
    <row r="1036" spans="1:8" x14ac:dyDescent="0.3">
      <c r="A1036" s="1">
        <v>45350</v>
      </c>
      <c r="B1036" s="3">
        <f>(Master_Table!B1036-Master_Table!B1035)/Master_Table!B1035</f>
        <v>-1.1135962808046414E-2</v>
      </c>
      <c r="C1036" s="3">
        <f>(Master_Table!C1036-Master_Table!C1035)/Master_Table!C1035</f>
        <v>-2.0206643556692345E-2</v>
      </c>
      <c r="D1036" s="3">
        <f>(Master_Table!D1036-Master_Table!D1035)/Master_Table!D1035</f>
        <v>-7.5673080995607859E-3</v>
      </c>
      <c r="E1036" s="3">
        <f>(Master_Table!E1036-Master_Table!E1035)/Master_Table!E1035</f>
        <v>-6.9160560483352562E-3</v>
      </c>
      <c r="F1036" s="3">
        <f>(Master_Table!F1036-Master_Table!F1035)/Master_Table!F1035</f>
        <v>3.5449761231849193E-3</v>
      </c>
      <c r="G1036" s="3">
        <f>(Master_Table!G1036-Master_Table!G1035)/Master_Table!G1035</f>
        <v>4.5941436757986169E-3</v>
      </c>
      <c r="H1036" s="3">
        <f>(Master_Table!H1036-Master_Table!H1035)/Master_Table!H1035</f>
        <v>-1.0338091231872692E-2</v>
      </c>
    </row>
    <row r="1037" spans="1:8" x14ac:dyDescent="0.3">
      <c r="A1037" s="1">
        <v>45351</v>
      </c>
      <c r="B1037" s="3">
        <f>(Master_Table!B1037-Master_Table!B1036)/Master_Table!B1036</f>
        <v>1.4418378991532478E-3</v>
      </c>
      <c r="C1037" s="3">
        <f>(Master_Table!C1037-Master_Table!C1036)/Master_Table!C1036</f>
        <v>3.5517267437465876E-3</v>
      </c>
      <c r="D1037" s="3">
        <f>(Master_Table!D1037-Master_Table!D1036)/Master_Table!D1036</f>
        <v>-4.2535030941034339E-3</v>
      </c>
      <c r="E1037" s="3">
        <f>(Master_Table!E1037-Master_Table!E1036)/Master_Table!E1036</f>
        <v>-4.9189664992491519E-3</v>
      </c>
      <c r="F1037" s="3">
        <f>(Master_Table!F1037-Master_Table!F1036)/Master_Table!F1036</f>
        <v>-5.7903106374197089E-3</v>
      </c>
      <c r="G1037" s="3">
        <f>(Master_Table!G1037-Master_Table!G1036)/Master_Table!G1036</f>
        <v>1.588562351072203E-3</v>
      </c>
      <c r="H1037" s="3">
        <f>(Master_Table!H1037-Master_Table!H1036)/Master_Table!H1036</f>
        <v>2.118033542735394E-3</v>
      </c>
    </row>
    <row r="1038" spans="1:8" x14ac:dyDescent="0.3">
      <c r="A1038" s="1">
        <v>45352</v>
      </c>
      <c r="B1038" s="3">
        <f>(Master_Table!B1038-Master_Table!B1037)/Master_Table!B1037</f>
        <v>1.6192204814673324E-2</v>
      </c>
      <c r="C1038" s="3">
        <f>(Master_Table!C1038-Master_Table!C1037)/Master_Table!C1037</f>
        <v>2.1447152245345123E-2</v>
      </c>
      <c r="D1038" s="3">
        <f>(Master_Table!D1038-Master_Table!D1037)/Master_Table!D1037</f>
        <v>1.9486827818732479E-2</v>
      </c>
      <c r="E1038" s="3">
        <f>(Master_Table!E1038-Master_Table!E1037)/Master_Table!E1037</f>
        <v>7.8832344676864723E-3</v>
      </c>
      <c r="F1038" s="3">
        <f>(Master_Table!F1038-Master_Table!F1037)/Master_Table!F1037</f>
        <v>-1.8314571072745476E-4</v>
      </c>
      <c r="G1038" s="3">
        <f>(Master_Table!G1038-Master_Table!G1037)/Master_Table!G1037</f>
        <v>-1.146877177805008E-2</v>
      </c>
      <c r="H1038" s="3">
        <f>(Master_Table!H1038-Master_Table!H1037)/Master_Table!H1037</f>
        <v>4.4844790153987665E-2</v>
      </c>
    </row>
    <row r="1039" spans="1:8" x14ac:dyDescent="0.3">
      <c r="A1039" s="1">
        <v>45353</v>
      </c>
      <c r="B1039" s="3">
        <f>(Master_Table!B1039-Master_Table!B1038)/Master_Table!B1038</f>
        <v>1.7749426445079271E-3</v>
      </c>
      <c r="C1039" s="3">
        <f>(Master_Table!C1039-Master_Table!C1038)/Master_Table!C1038</f>
        <v>-7.0369203755717114E-4</v>
      </c>
      <c r="D1039" s="3">
        <f>(Master_Table!D1039-Master_Table!D1038)/Master_Table!D1038</f>
        <v>0</v>
      </c>
      <c r="E1039" s="3">
        <f>(Master_Table!E1039-Master_Table!E1038)/Master_Table!E1038</f>
        <v>6.365677998915828E-2</v>
      </c>
      <c r="F1039" s="3">
        <f>(Master_Table!F1039-Master_Table!F1038)/Master_Table!F1038</f>
        <v>3.1140474067923979E-3</v>
      </c>
      <c r="G1039" s="3">
        <f>(Master_Table!G1039-Master_Table!G1038)/Master_Table!G1038</f>
        <v>6.6061758932314902E-3</v>
      </c>
      <c r="H1039" s="3">
        <f>(Master_Table!H1039-Master_Table!H1038)/Master_Table!H1038</f>
        <v>5.9859639466079539E-3</v>
      </c>
    </row>
    <row r="1040" spans="1:8" x14ac:dyDescent="0.3">
      <c r="A1040" s="1">
        <v>45355</v>
      </c>
      <c r="B1040" s="3">
        <f>(Master_Table!B1040-Master_Table!B1039)/Master_Table!B1039</f>
        <v>1.215457762842611E-3</v>
      </c>
      <c r="C1040" s="3">
        <f>(Master_Table!C1040-Master_Table!C1039)/Master_Table!C1039</f>
        <v>1.0945086782734773E-2</v>
      </c>
      <c r="D1040" s="3">
        <f>(Master_Table!D1040-Master_Table!D1039)/Master_Table!D1039</f>
        <v>1.3593049327354642E-3</v>
      </c>
      <c r="E1040" s="3">
        <f>(Master_Table!E1040-Master_Table!E1039)/Master_Table!E1039</f>
        <v>-6.0769324111151608E-2</v>
      </c>
      <c r="F1040" s="3">
        <f>(Master_Table!F1040-Master_Table!F1039)/Master_Table!F1039</f>
        <v>-6.427893160624417E-3</v>
      </c>
      <c r="G1040" s="3">
        <f>(Master_Table!G1040-Master_Table!G1039)/Master_Table!G1039</f>
        <v>-1.7068163979955312E-2</v>
      </c>
      <c r="H1040" s="3">
        <f>(Master_Table!H1040-Master_Table!H1039)/Master_Table!H1039</f>
        <v>-2.9546542644142484E-3</v>
      </c>
    </row>
    <row r="1041" spans="1:8" x14ac:dyDescent="0.3">
      <c r="A1041" s="1">
        <v>45356</v>
      </c>
      <c r="B1041" s="3">
        <f>(Master_Table!B1041-Master_Table!B1040)/Master_Table!B1040</f>
        <v>-2.2003427714499622E-3</v>
      </c>
      <c r="C1041" s="3">
        <f>(Master_Table!C1041-Master_Table!C1040)/Master_Table!C1040</f>
        <v>-4.7764362478439999E-3</v>
      </c>
      <c r="D1041" s="3">
        <f>(Master_Table!D1041-Master_Table!D1040)/Master_Table!D1040</f>
        <v>5.6957330982268161E-3</v>
      </c>
      <c r="E1041" s="3">
        <f>(Master_Table!E1041-Master_Table!E1040)/Master_Table!E1040</f>
        <v>-7.2091160435129933E-3</v>
      </c>
      <c r="F1041" s="3">
        <f>(Master_Table!F1041-Master_Table!F1040)/Master_Table!F1040</f>
        <v>-1.6810841277231824E-2</v>
      </c>
      <c r="G1041" s="3">
        <f>(Master_Table!G1041-Master_Table!G1040)/Master_Table!G1040</f>
        <v>-1.8752725686873077E-2</v>
      </c>
      <c r="H1041" s="3">
        <f>(Master_Table!H1041-Master_Table!H1040)/Master_Table!H1040</f>
        <v>-8.739315946164691E-3</v>
      </c>
    </row>
    <row r="1042" spans="1:8" x14ac:dyDescent="0.3">
      <c r="A1042" s="1">
        <v>45357</v>
      </c>
      <c r="B1042" s="3">
        <f>(Master_Table!B1042-Master_Table!B1041)/Master_Table!B1041</f>
        <v>5.2669717260906326E-3</v>
      </c>
      <c r="C1042" s="3">
        <f>(Master_Table!C1042-Master_Table!C1041)/Master_Table!C1041</f>
        <v>1.8664178109585085E-3</v>
      </c>
      <c r="D1042" s="3">
        <f>(Master_Table!D1042-Master_Table!D1041)/Master_Table!D1041</f>
        <v>1.2106200601135543E-3</v>
      </c>
      <c r="E1042" s="3">
        <f>(Master_Table!E1042-Master_Table!E1041)/Master_Table!E1041</f>
        <v>4.1903076362499519E-3</v>
      </c>
      <c r="F1042" s="3">
        <f>(Master_Table!F1042-Master_Table!F1041)/Master_Table!F1041</f>
        <v>1.301064280551339E-2</v>
      </c>
      <c r="G1042" s="3">
        <f>(Master_Table!G1042-Master_Table!G1041)/Master_Table!G1041</f>
        <v>6.8732394366197297E-3</v>
      </c>
      <c r="H1042" s="3">
        <f>(Master_Table!H1042-Master_Table!H1041)/Master_Table!H1041</f>
        <v>8.193544815368407E-3</v>
      </c>
    </row>
    <row r="1043" spans="1:8" x14ac:dyDescent="0.3">
      <c r="A1043" s="1">
        <v>45358</v>
      </c>
      <c r="B1043" s="3">
        <f>(Master_Table!B1043-Master_Table!B1042)/Master_Table!B1042</f>
        <v>8.6766737637408481E-4</v>
      </c>
      <c r="C1043" s="3">
        <f>(Master_Table!C1043-Master_Table!C1042)/Master_Table!C1042</f>
        <v>-1.6014637391882858E-2</v>
      </c>
      <c r="D1043" s="3">
        <f>(Master_Table!D1043-Master_Table!D1042)/Master_Table!D1042</f>
        <v>2.4322108101346748E-3</v>
      </c>
      <c r="E1043" s="3">
        <f>(Master_Table!E1043-Master_Table!E1042)/Master_Table!E1042</f>
        <v>1.3969883109141445E-2</v>
      </c>
      <c r="F1043" s="3">
        <f>(Master_Table!F1043-Master_Table!F1042)/Master_Table!F1042</f>
        <v>1.0899785940998495E-2</v>
      </c>
      <c r="G1043" s="3">
        <f>(Master_Table!G1043-Master_Table!G1042)/Master_Table!G1042</f>
        <v>-6.7765841042469795E-4</v>
      </c>
      <c r="H1043" s="3">
        <f>(Master_Table!H1043-Master_Table!H1042)/Master_Table!H1042</f>
        <v>9.5409367964417111E-3</v>
      </c>
    </row>
    <row r="1044" spans="1:8" x14ac:dyDescent="0.3">
      <c r="A1044" s="1">
        <v>45362</v>
      </c>
      <c r="B1044" s="3">
        <f>(Master_Table!B1044-Master_Table!B1043)/Master_Table!B1043</f>
        <v>-7.1531616841271307E-3</v>
      </c>
      <c r="C1044" s="3">
        <f>(Master_Table!C1044-Master_Table!C1043)/Master_Table!C1043</f>
        <v>-8.3371085852610698E-3</v>
      </c>
      <c r="D1044" s="3">
        <f>(Master_Table!D1044-Master_Table!D1043)/Master_Table!D1043</f>
        <v>-1.2658403349693585E-2</v>
      </c>
      <c r="E1044" s="3">
        <f>(Master_Table!E1044-Master_Table!E1043)/Master_Table!E1043</f>
        <v>-1.00199376310005E-2</v>
      </c>
      <c r="F1044" s="3">
        <f>(Master_Table!F1044-Master_Table!F1043)/Master_Table!F1043</f>
        <v>3.346638757727693E-3</v>
      </c>
      <c r="G1044" s="3">
        <f>(Master_Table!G1044-Master_Table!G1043)/Master_Table!G1043</f>
        <v>-9.8047144750185028E-3</v>
      </c>
      <c r="H1044" s="3">
        <f>(Master_Table!H1044-Master_Table!H1043)/Master_Table!H1043</f>
        <v>-9.8859108772215865E-3</v>
      </c>
    </row>
    <row r="1045" spans="1:8" x14ac:dyDescent="0.3">
      <c r="A1045" s="1">
        <v>45363</v>
      </c>
      <c r="B1045" s="3">
        <f>(Master_Table!B1045-Master_Table!B1044)/Master_Table!B1044</f>
        <v>1.3657134285448758E-4</v>
      </c>
      <c r="C1045" s="3">
        <f>(Master_Table!C1045-Master_Table!C1044)/Master_Table!C1044</f>
        <v>6.0207282149189658E-3</v>
      </c>
      <c r="D1045" s="3">
        <f>(Master_Table!D1045-Master_Table!D1044)/Master_Table!D1044</f>
        <v>2.2229087385730192E-2</v>
      </c>
      <c r="E1045" s="3">
        <f>(Master_Table!E1045-Master_Table!E1044)/Master_Table!E1044</f>
        <v>-1.210947585850761E-2</v>
      </c>
      <c r="F1045" s="3">
        <f>(Master_Table!F1045-Master_Table!F1044)/Master_Table!F1044</f>
        <v>1.695634771428909E-2</v>
      </c>
      <c r="G1045" s="3">
        <f>(Master_Table!G1045-Master_Table!G1044)/Master_Table!G1044</f>
        <v>7.7153609821377905E-3</v>
      </c>
      <c r="H1045" s="3">
        <f>(Master_Table!H1045-Master_Table!H1044)/Master_Table!H1044</f>
        <v>-5.2051859583584622E-3</v>
      </c>
    </row>
    <row r="1046" spans="1:8" x14ac:dyDescent="0.3">
      <c r="A1046" s="1">
        <v>45364</v>
      </c>
      <c r="B1046" s="3">
        <f>(Master_Table!B1046-Master_Table!B1045)/Master_Table!B1045</f>
        <v>-1.5132724741109523E-2</v>
      </c>
      <c r="C1046" s="3">
        <f>(Master_Table!C1046-Master_Table!C1045)/Master_Table!C1045</f>
        <v>-2.9313488271215847E-2</v>
      </c>
      <c r="D1046" s="3">
        <f>(Master_Table!D1046-Master_Table!D1045)/Master_Table!D1045</f>
        <v>5.9069179625247255E-4</v>
      </c>
      <c r="E1046" s="3">
        <f>(Master_Table!E1046-Master_Table!E1045)/Master_Table!E1045</f>
        <v>4.4510075533833335E-2</v>
      </c>
      <c r="F1046" s="3">
        <f>(Master_Table!F1046-Master_Table!F1045)/Master_Table!F1045</f>
        <v>-1.0316655733794502E-2</v>
      </c>
      <c r="G1046" s="3">
        <f>(Master_Table!G1046-Master_Table!G1045)/Master_Table!G1045</f>
        <v>-9.6015362458005179E-4</v>
      </c>
      <c r="H1046" s="3">
        <f>(Master_Table!H1046-Master_Table!H1045)/Master_Table!H1045</f>
        <v>-2.2945342592464734E-2</v>
      </c>
    </row>
    <row r="1047" spans="1:8" x14ac:dyDescent="0.3">
      <c r="A1047" s="1">
        <v>45365</v>
      </c>
      <c r="B1047" s="3">
        <f>(Master_Table!B1047-Master_Table!B1046)/Master_Table!B1046</f>
        <v>6.7711624397096392E-3</v>
      </c>
      <c r="C1047" s="3">
        <f>(Master_Table!C1047-Master_Table!C1046)/Master_Table!C1046</f>
        <v>-4.9574774120573974E-4</v>
      </c>
      <c r="D1047" s="3">
        <f>(Master_Table!D1047-Master_Table!D1046)/Master_Table!D1046</f>
        <v>-3.3910405140103891E-3</v>
      </c>
      <c r="E1047" s="3">
        <f>(Master_Table!E1047-Master_Table!E1046)/Master_Table!E1046</f>
        <v>-6.6309678710839192E-3</v>
      </c>
      <c r="F1047" s="3">
        <f>(Master_Table!F1047-Master_Table!F1046)/Master_Table!F1046</f>
        <v>1.4123885273559981E-2</v>
      </c>
      <c r="G1047" s="3">
        <f>(Master_Table!G1047-Master_Table!G1046)/Master_Table!G1046</f>
        <v>2.6005229753427783E-2</v>
      </c>
      <c r="H1047" s="3">
        <f>(Master_Table!H1047-Master_Table!H1046)/Master_Table!H1046</f>
        <v>1.9683203572084508E-2</v>
      </c>
    </row>
    <row r="1048" spans="1:8" x14ac:dyDescent="0.3">
      <c r="A1048" s="1">
        <v>45366</v>
      </c>
      <c r="B1048" s="3">
        <f>(Master_Table!B1048-Master_Table!B1047)/Master_Table!B1047</f>
        <v>-5.5674334493028476E-3</v>
      </c>
      <c r="C1048" s="3">
        <f>(Master_Table!C1048-Master_Table!C1047)/Master_Table!C1047</f>
        <v>-9.2562191313824253E-3</v>
      </c>
      <c r="D1048" s="3">
        <f>(Master_Table!D1048-Master_Table!D1047)/Master_Table!D1047</f>
        <v>-1.9285871721401496E-3</v>
      </c>
      <c r="E1048" s="3">
        <f>(Master_Table!E1048-Master_Table!E1047)/Master_Table!E1047</f>
        <v>-1.3098566714526355E-3</v>
      </c>
      <c r="F1048" s="3">
        <f>(Master_Table!F1048-Master_Table!F1047)/Master_Table!F1047</f>
        <v>2.7687993155242029E-3</v>
      </c>
      <c r="G1048" s="3">
        <f>(Master_Table!G1048-Master_Table!G1047)/Master_Table!G1047</f>
        <v>-1.1678547967202772E-2</v>
      </c>
      <c r="H1048" s="3">
        <f>(Master_Table!H1048-Master_Table!H1047)/Master_Table!H1047</f>
        <v>-1.9691258799401288E-2</v>
      </c>
    </row>
    <row r="1049" spans="1:8" x14ac:dyDescent="0.3">
      <c r="A1049" s="1">
        <v>45369</v>
      </c>
      <c r="B1049" s="3">
        <f>(Master_Table!B1049-Master_Table!B1048)/Master_Table!B1048</f>
        <v>1.468895513171347E-3</v>
      </c>
      <c r="C1049" s="3">
        <f>(Master_Table!C1049-Master_Table!C1048)/Master_Table!C1048</f>
        <v>1.4983570955140951E-2</v>
      </c>
      <c r="D1049" s="3">
        <f>(Master_Table!D1049-Master_Table!D1048)/Master_Table!D1048</f>
        <v>-4.5409374482415447E-3</v>
      </c>
      <c r="E1049" s="3">
        <f>(Master_Table!E1049-Master_Table!E1048)/Master_Table!E1048</f>
        <v>-3.9347239387595581E-3</v>
      </c>
      <c r="F1049" s="3">
        <f>(Master_Table!F1049-Master_Table!F1048)/Master_Table!F1048</f>
        <v>-1.5820347218107482E-2</v>
      </c>
      <c r="G1049" s="3">
        <f>(Master_Table!G1049-Master_Table!G1048)/Master_Table!G1048</f>
        <v>-1.9183427291302433E-2</v>
      </c>
      <c r="H1049" s="3">
        <f>(Master_Table!H1049-Master_Table!H1048)/Master_Table!H1048</f>
        <v>6.7992592906717915E-3</v>
      </c>
    </row>
    <row r="1050" spans="1:8" x14ac:dyDescent="0.3">
      <c r="A1050" s="1">
        <v>45370</v>
      </c>
      <c r="B1050" s="3">
        <f>(Master_Table!B1050-Master_Table!B1049)/Master_Table!B1049</f>
        <v>-1.080219625765675E-2</v>
      </c>
      <c r="C1050" s="3">
        <f>(Master_Table!C1050-Master_Table!C1049)/Master_Table!C1049</f>
        <v>-9.878635886819474E-3</v>
      </c>
      <c r="D1050" s="3">
        <f>(Master_Table!D1050-Master_Table!D1049)/Master_Table!D1049</f>
        <v>2.2877584127115862E-3</v>
      </c>
      <c r="E1050" s="3">
        <f>(Master_Table!E1050-Master_Table!E1049)/Master_Table!E1049</f>
        <v>-1.891570231191924E-2</v>
      </c>
      <c r="F1050" s="3">
        <f>(Master_Table!F1050-Master_Table!F1049)/Master_Table!F1049</f>
        <v>-4.2191450933172746E-2</v>
      </c>
      <c r="G1050" s="3">
        <f>(Master_Table!G1050-Master_Table!G1049)/Master_Table!G1049</f>
        <v>-2.570795710529785E-2</v>
      </c>
      <c r="H1050" s="3">
        <f>(Master_Table!H1050-Master_Table!H1049)/Master_Table!H1049</f>
        <v>-1.6707851286083344E-2</v>
      </c>
    </row>
    <row r="1051" spans="1:8" x14ac:dyDescent="0.3">
      <c r="A1051" s="1">
        <v>45371</v>
      </c>
      <c r="B1051" s="3">
        <f>(Master_Table!B1051-Master_Table!B1050)/Master_Table!B1050</f>
        <v>9.9232495089929458E-4</v>
      </c>
      <c r="C1051" s="3">
        <f>(Master_Table!C1051-Master_Table!C1050)/Master_Table!C1050</f>
        <v>1.2980178915979653E-2</v>
      </c>
      <c r="D1051" s="3">
        <f>(Master_Table!D1051-Master_Table!D1050)/Master_Table!D1050</f>
        <v>-1.263003541389995E-2</v>
      </c>
      <c r="E1051" s="3">
        <f>(Master_Table!E1051-Master_Table!E1050)/Master_Table!E1050</f>
        <v>1.5021680776378261E-2</v>
      </c>
      <c r="F1051" s="3">
        <f>(Master_Table!F1051-Master_Table!F1050)/Master_Table!F1050</f>
        <v>-1.609131823096093E-3</v>
      </c>
      <c r="G1051" s="3">
        <f>(Master_Table!G1051-Master_Table!G1050)/Master_Table!G1050</f>
        <v>-4.1604946222709065E-3</v>
      </c>
      <c r="H1051" s="3">
        <f>(Master_Table!H1051-Master_Table!H1050)/Master_Table!H1050</f>
        <v>2.2846046206128454E-3</v>
      </c>
    </row>
    <row r="1052" spans="1:8" x14ac:dyDescent="0.3">
      <c r="A1052" s="1">
        <v>45372</v>
      </c>
      <c r="B1052" s="3">
        <f>(Master_Table!B1052-Master_Table!B1051)/Master_Table!B1051</f>
        <v>7.9147034447391244E-3</v>
      </c>
      <c r="C1052" s="3">
        <f>(Master_Table!C1052-Master_Table!C1051)/Master_Table!C1051</f>
        <v>5.00086580086582E-3</v>
      </c>
      <c r="D1052" s="3">
        <f>(Master_Table!D1052-Master_Table!D1051)/Master_Table!D1051</f>
        <v>1.0269702276707588E-2</v>
      </c>
      <c r="E1052" s="3">
        <f>(Master_Table!E1052-Master_Table!E1051)/Master_Table!E1051</f>
        <v>1.3349946600213599E-2</v>
      </c>
      <c r="F1052" s="3">
        <f>(Master_Table!F1052-Master_Table!F1051)/Master_Table!F1051</f>
        <v>5.1625576065872402E-4</v>
      </c>
      <c r="G1052" s="3">
        <f>(Master_Table!G1052-Master_Table!G1051)/Master_Table!G1051</f>
        <v>-1.6168253311258279E-4</v>
      </c>
      <c r="H1052" s="3">
        <f>(Master_Table!H1052-Master_Table!H1051)/Master_Table!H1051</f>
        <v>1.4331709262900016E-2</v>
      </c>
    </row>
    <row r="1053" spans="1:8" x14ac:dyDescent="0.3">
      <c r="A1053" s="1">
        <v>45373</v>
      </c>
      <c r="B1053" s="3">
        <f>(Master_Table!B1053-Master_Table!B1052)/Master_Table!B1052</f>
        <v>3.8524528721898457E-3</v>
      </c>
      <c r="C1053" s="3">
        <f>(Master_Table!C1053-Master_Table!C1052)/Master_Table!C1052</f>
        <v>2.7981281487556224E-3</v>
      </c>
      <c r="D1053" s="3">
        <f>(Master_Table!D1053-Master_Table!D1052)/Master_Table!D1052</f>
        <v>-2.0108725800189234E-3</v>
      </c>
      <c r="E1053" s="3">
        <f>(Master_Table!E1053-Master_Table!E1052)/Master_Table!E1052</f>
        <v>1.7439963865398582E-2</v>
      </c>
      <c r="F1053" s="3">
        <f>(Master_Table!F1053-Master_Table!F1052)/Master_Table!F1052</f>
        <v>-1.5618117519727087E-2</v>
      </c>
      <c r="G1053" s="3">
        <f>(Master_Table!G1053-Master_Table!G1052)/Master_Table!G1052</f>
        <v>-2.949566297324039E-2</v>
      </c>
      <c r="H1053" s="3">
        <f>(Master_Table!H1053-Master_Table!H1052)/Master_Table!H1052</f>
        <v>1.6235955056179828E-2</v>
      </c>
    </row>
    <row r="1054" spans="1:8" x14ac:dyDescent="0.3">
      <c r="A1054" s="1">
        <v>45377</v>
      </c>
      <c r="B1054" s="3">
        <f>(Master_Table!B1054-Master_Table!B1053)/Master_Table!B1053</f>
        <v>-4.1657709844207533E-3</v>
      </c>
      <c r="C1054" s="3">
        <f>(Master_Table!C1054-Master_Table!C1053)/Master_Table!C1053</f>
        <v>-9.2506683710989034E-3</v>
      </c>
      <c r="D1054" s="3">
        <f>(Master_Table!D1054-Master_Table!D1053)/Master_Table!D1053</f>
        <v>-1.2089546016703092E-2</v>
      </c>
      <c r="E1054" s="3">
        <f>(Master_Table!E1054-Master_Table!E1053)/Master_Table!E1053</f>
        <v>-2.2197010802544699E-3</v>
      </c>
      <c r="F1054" s="3">
        <f>(Master_Table!F1054-Master_Table!F1053)/Master_Table!F1053</f>
        <v>-8.5402337057966429E-3</v>
      </c>
      <c r="G1054" s="3">
        <f>(Master_Table!G1054-Master_Table!G1053)/Master_Table!G1053</f>
        <v>-1.0730543392051491E-2</v>
      </c>
      <c r="H1054" s="3">
        <f>(Master_Table!H1054-Master_Table!H1053)/Master_Table!H1053</f>
        <v>1.4456299408480216E-2</v>
      </c>
    </row>
    <row r="1055" spans="1:8" x14ac:dyDescent="0.3">
      <c r="A1055" s="1">
        <v>45378</v>
      </c>
      <c r="B1055" s="3">
        <f>(Master_Table!B1055-Master_Table!B1054)/Master_Table!B1054</f>
        <v>5.4056633355601636E-3</v>
      </c>
      <c r="C1055" s="3">
        <f>(Master_Table!C1055-Master_Table!C1054)/Master_Table!C1054</f>
        <v>3.5572327393050614E-2</v>
      </c>
      <c r="D1055" s="3">
        <f>(Master_Table!D1055-Master_Table!D1054)/Master_Table!D1054</f>
        <v>1.0732420913451389E-2</v>
      </c>
      <c r="E1055" s="3">
        <f>(Master_Table!E1055-Master_Table!E1054)/Master_Table!E1054</f>
        <v>8.1570100850302571E-4</v>
      </c>
      <c r="F1055" s="3">
        <f>(Master_Table!F1055-Master_Table!F1054)/Master_Table!F1054</f>
        <v>-9.4390715667311172E-3</v>
      </c>
      <c r="G1055" s="3">
        <f>(Master_Table!G1055-Master_Table!G1054)/Master_Table!G1054</f>
        <v>-5.8950744126821577E-3</v>
      </c>
      <c r="H1055" s="3">
        <f>(Master_Table!H1055-Master_Table!H1054)/Master_Table!H1054</f>
        <v>9.8907386719708414E-3</v>
      </c>
    </row>
    <row r="1056" spans="1:8" x14ac:dyDescent="0.3">
      <c r="A1056" s="1">
        <v>45379</v>
      </c>
      <c r="B1056" s="3">
        <f>(Master_Table!B1056-Master_Table!B1055)/Master_Table!B1055</f>
        <v>9.1870012407536724E-3</v>
      </c>
      <c r="C1056" s="3">
        <f>(Master_Table!C1056-Master_Table!C1055)/Master_Table!C1055</f>
        <v>-4.6890176508021571E-3</v>
      </c>
      <c r="D1056" s="3">
        <f>(Master_Table!D1056-Master_Table!D1055)/Master_Table!D1055</f>
        <v>4.9961033177466493E-3</v>
      </c>
      <c r="E1056" s="3">
        <f>(Master_Table!E1056-Master_Table!E1055)/Master_Table!E1055</f>
        <v>8.3973424880839692E-4</v>
      </c>
      <c r="F1056" s="3">
        <f>(Master_Table!F1056-Master_Table!F1055)/Master_Table!F1055</f>
        <v>9.2165898617511764E-3</v>
      </c>
      <c r="G1056" s="3">
        <f>(Master_Table!G1056-Master_Table!G1055)/Master_Table!G1055</f>
        <v>9.5693779904307032E-3</v>
      </c>
      <c r="H1056" s="3">
        <f>(Master_Table!H1056-Master_Table!H1055)/Master_Table!H1055</f>
        <v>1.5513706022015973E-2</v>
      </c>
    </row>
    <row r="1057" spans="1:8" x14ac:dyDescent="0.3">
      <c r="A1057" s="1">
        <v>45383</v>
      </c>
      <c r="B1057" s="3">
        <f>(Master_Table!B1057-Master_Table!B1056)/Master_Table!B1056</f>
        <v>6.0509967796693017E-3</v>
      </c>
      <c r="C1057" s="3">
        <f>(Master_Table!C1057-Master_Table!C1056)/Master_Table!C1056</f>
        <v>-7.2012652690374966E-4</v>
      </c>
      <c r="D1057" s="3">
        <f>(Master_Table!D1057-Master_Table!D1056)/Master_Table!D1056</f>
        <v>1.5620023540815584E-2</v>
      </c>
      <c r="E1057" s="3">
        <f>(Master_Table!E1057-Master_Table!E1056)/Master_Table!E1056</f>
        <v>-3.8743429657231527E-3</v>
      </c>
      <c r="F1057" s="3">
        <f>(Master_Table!F1057-Master_Table!F1056)/Master_Table!F1056</f>
        <v>1.04352088331656E-2</v>
      </c>
      <c r="G1057" s="3">
        <f>(Master_Table!G1057-Master_Table!G1056)/Master_Table!G1056</f>
        <v>-1.7386517728878706E-3</v>
      </c>
      <c r="H1057" s="3">
        <f>(Master_Table!H1057-Master_Table!H1056)/Master_Table!H1056</f>
        <v>1.968702675416454E-2</v>
      </c>
    </row>
    <row r="1058" spans="1:8" x14ac:dyDescent="0.3">
      <c r="A1058" s="1">
        <v>45384</v>
      </c>
      <c r="B1058" s="3">
        <f>(Master_Table!B1058-Master_Table!B1057)/Master_Table!B1057</f>
        <v>-3.8732080847657055E-4</v>
      </c>
      <c r="C1058" s="3">
        <f>(Master_Table!C1058-Master_Table!C1057)/Master_Table!C1057</f>
        <v>1.461495979202355E-3</v>
      </c>
      <c r="D1058" s="3">
        <f>(Master_Table!D1058-Master_Table!D1057)/Master_Table!D1057</f>
        <v>6.558226415608933E-3</v>
      </c>
      <c r="E1058" s="3">
        <f>(Master_Table!E1058-Master_Table!E1057)/Master_Table!E1057</f>
        <v>-1.9818659267700819E-3</v>
      </c>
      <c r="F1058" s="3">
        <f>(Master_Table!F1058-Master_Table!F1057)/Master_Table!F1057</f>
        <v>-8.4125869662347152E-3</v>
      </c>
      <c r="G1058" s="3">
        <f>(Master_Table!G1058-Master_Table!G1057)/Master_Table!G1057</f>
        <v>-8.4259651529517594E-3</v>
      </c>
      <c r="H1058" s="3">
        <f>(Master_Table!H1058-Master_Table!H1057)/Master_Table!H1057</f>
        <v>-7.9729025534132116E-3</v>
      </c>
    </row>
    <row r="1059" spans="1:8" x14ac:dyDescent="0.3">
      <c r="A1059" s="1">
        <v>45385</v>
      </c>
      <c r="B1059" s="3">
        <f>(Master_Table!B1059-Master_Table!B1058)/Master_Table!B1058</f>
        <v>-8.3061287204989106E-4</v>
      </c>
      <c r="C1059" s="3">
        <f>(Master_Table!C1059-Master_Table!C1058)/Master_Table!C1058</f>
        <v>-1.0323144692155175E-2</v>
      </c>
      <c r="D1059" s="3">
        <f>(Master_Table!D1059-Master_Table!D1058)/Master_Table!D1058</f>
        <v>1.4493931512786307E-3</v>
      </c>
      <c r="E1059" s="3">
        <f>(Master_Table!E1059-Master_Table!E1058)/Master_Table!E1058</f>
        <v>-1.5389961773320869E-3</v>
      </c>
      <c r="F1059" s="3">
        <f>(Master_Table!F1059-Master_Table!F1058)/Master_Table!F1058</f>
        <v>1.6349966527627581E-2</v>
      </c>
      <c r="G1059" s="3">
        <f>(Master_Table!G1059-Master_Table!G1058)/Master_Table!G1058</f>
        <v>-1.4852089465189513E-3</v>
      </c>
      <c r="H1059" s="3">
        <f>(Master_Table!H1059-Master_Table!H1058)/Master_Table!H1058</f>
        <v>-6.5530283132847278E-3</v>
      </c>
    </row>
    <row r="1060" spans="1:8" x14ac:dyDescent="0.3">
      <c r="A1060" s="1">
        <v>45386</v>
      </c>
      <c r="B1060" s="3">
        <f>(Master_Table!B1060-Master_Table!B1059)/Master_Table!B1059</f>
        <v>3.5659125504520907E-3</v>
      </c>
      <c r="C1060" s="3">
        <f>(Master_Table!C1060-Master_Table!C1059)/Master_Table!C1059</f>
        <v>-5.8915466159281367E-3</v>
      </c>
      <c r="D1060" s="3">
        <f>(Master_Table!D1060-Master_Table!D1059)/Master_Table!D1059</f>
        <v>3.0555517982984177E-2</v>
      </c>
      <c r="E1060" s="3">
        <f>(Master_Table!E1060-Master_Table!E1059)/Master_Table!E1059</f>
        <v>-5.7428400954653994E-3</v>
      </c>
      <c r="F1060" s="3">
        <f>(Master_Table!F1060-Master_Table!F1059)/Master_Table!F1059</f>
        <v>1.4186912573151267E-2</v>
      </c>
      <c r="G1060" s="3">
        <f>(Master_Table!G1060-Master_Table!G1059)/Master_Table!G1059</f>
        <v>4.0887017353210733E-3</v>
      </c>
      <c r="H1060" s="3">
        <f>(Master_Table!H1060-Master_Table!H1059)/Master_Table!H1059</f>
        <v>4.0714351809012922E-3</v>
      </c>
    </row>
    <row r="1061" spans="1:8" x14ac:dyDescent="0.3">
      <c r="A1061" s="1">
        <v>45387</v>
      </c>
      <c r="B1061" s="3">
        <f>(Master_Table!B1061-Master_Table!B1060)/Master_Table!B1060</f>
        <v>-4.2194748752511256E-5</v>
      </c>
      <c r="C1061" s="3">
        <f>(Master_Table!C1061-Master_Table!C1060)/Master_Table!C1060</f>
        <v>-1.9344739666287208E-3</v>
      </c>
      <c r="D1061" s="3">
        <f>(Master_Table!D1061-Master_Table!D1060)/Master_Table!D1060</f>
        <v>1.4371964824780216E-2</v>
      </c>
      <c r="E1061" s="3">
        <f>(Master_Table!E1061-Master_Table!E1060)/Master_Table!E1060</f>
        <v>1.1351986597654641E-2</v>
      </c>
      <c r="F1061" s="3">
        <f>(Master_Table!F1061-Master_Table!F1060)/Master_Table!F1060</f>
        <v>-6.0075437763845276E-3</v>
      </c>
      <c r="G1061" s="3">
        <f>(Master_Table!G1061-Master_Table!G1060)/Master_Table!G1060</f>
        <v>-5.1137401327136954E-3</v>
      </c>
      <c r="H1061" s="3">
        <f>(Master_Table!H1061-Master_Table!H1060)/Master_Table!H1060</f>
        <v>-1.4416051186855721E-2</v>
      </c>
    </row>
    <row r="1062" spans="1:8" x14ac:dyDescent="0.3">
      <c r="A1062" s="1">
        <v>45390</v>
      </c>
      <c r="B1062" s="3">
        <f>(Master_Table!B1062-Master_Table!B1061)/Master_Table!B1061</f>
        <v>6.7780951154185467E-3</v>
      </c>
      <c r="C1062" s="3">
        <f>(Master_Table!C1062-Master_Table!C1061)/Master_Table!C1061</f>
        <v>1.7717964522977959E-2</v>
      </c>
      <c r="D1062" s="3">
        <f>(Master_Table!D1062-Master_Table!D1061)/Master_Table!D1061</f>
        <v>-1.9020508507472695E-3</v>
      </c>
      <c r="E1062" s="3">
        <f>(Master_Table!E1062-Master_Table!E1061)/Master_Table!E1061</f>
        <v>3.6096620268499008E-3</v>
      </c>
      <c r="F1062" s="3">
        <f>(Master_Table!F1062-Master_Table!F1061)/Master_Table!F1061</f>
        <v>-1.6837343720549898E-3</v>
      </c>
      <c r="G1062" s="3">
        <f>(Master_Table!G1062-Master_Table!G1061)/Master_Table!G1061</f>
        <v>-1.6181559820778223E-3</v>
      </c>
      <c r="H1062" s="3">
        <f>(Master_Table!H1062-Master_Table!H1061)/Master_Table!H1061</f>
        <v>1.7298495899121049E-2</v>
      </c>
    </row>
    <row r="1063" spans="1:8" x14ac:dyDescent="0.3">
      <c r="A1063" s="1">
        <v>45391</v>
      </c>
      <c r="B1063" s="3">
        <f>(Master_Table!B1063-Master_Table!B1062)/Master_Table!B1062</f>
        <v>-1.0389873953843051E-3</v>
      </c>
      <c r="C1063" s="3">
        <f>(Master_Table!C1063-Master_Table!C1062)/Master_Table!C1062</f>
        <v>-1.5020491665376782E-2</v>
      </c>
      <c r="D1063" s="3">
        <f>(Master_Table!D1063-Master_Table!D1062)/Master_Table!D1062</f>
        <v>1.2574865824885625E-3</v>
      </c>
      <c r="E1063" s="3">
        <f>(Master_Table!E1063-Master_Table!E1062)/Master_Table!E1062</f>
        <v>-6.4050452048383284E-3</v>
      </c>
      <c r="F1063" s="3">
        <f>(Master_Table!F1063-Master_Table!F1062)/Master_Table!F1062</f>
        <v>-6.544914475588727E-3</v>
      </c>
      <c r="G1063" s="3">
        <f>(Master_Table!G1063-Master_Table!G1062)/Master_Table!G1062</f>
        <v>1.2285229803259239E-2</v>
      </c>
      <c r="H1063" s="3">
        <f>(Master_Table!H1063-Master_Table!H1062)/Master_Table!H1062</f>
        <v>-5.9351077379623434E-3</v>
      </c>
    </row>
    <row r="1064" spans="1:8" x14ac:dyDescent="0.3">
      <c r="A1064" s="1">
        <v>45392</v>
      </c>
      <c r="B1064" s="3">
        <f>(Master_Table!B1064-Master_Table!B1063)/Master_Table!B1063</f>
        <v>4.9044396109129531E-3</v>
      </c>
      <c r="C1064" s="3">
        <f>(Master_Table!C1064-Master_Table!C1063)/Master_Table!C1063</f>
        <v>1.0876917295801486E-2</v>
      </c>
      <c r="D1064" s="3">
        <f>(Master_Table!D1064-Master_Table!D1063)/Master_Table!D1063</f>
        <v>-7.8720787207872608E-3</v>
      </c>
      <c r="E1064" s="3">
        <f>(Master_Table!E1064-Master_Table!E1063)/Master_Table!E1063</f>
        <v>2.4867974115488634E-2</v>
      </c>
      <c r="F1064" s="3">
        <f>(Master_Table!F1064-Master_Table!F1063)/Master_Table!F1063</f>
        <v>9.6540015963309488E-3</v>
      </c>
      <c r="G1064" s="3">
        <f>(Master_Table!G1064-Master_Table!G1063)/Master_Table!G1063</f>
        <v>7.9988159868681317E-3</v>
      </c>
      <c r="H1064" s="3">
        <f>(Master_Table!H1064-Master_Table!H1063)/Master_Table!H1063</f>
        <v>-8.4670761508487367E-3</v>
      </c>
    </row>
    <row r="1065" spans="1:8" x14ac:dyDescent="0.3">
      <c r="A1065" s="1">
        <v>45394</v>
      </c>
      <c r="B1065" s="3">
        <f>(Master_Table!B1065-Master_Table!B1064)/Master_Table!B1064</f>
        <v>-1.030157600049213E-2</v>
      </c>
      <c r="C1065" s="3">
        <f>(Master_Table!C1065-Master_Table!C1064)/Master_Table!C1064</f>
        <v>-8.3943307852956239E-3</v>
      </c>
      <c r="D1065" s="3">
        <f>(Master_Table!D1065-Master_Table!D1064)/Master_Table!D1064</f>
        <v>-1.1327599932138737E-2</v>
      </c>
      <c r="E1065" s="3">
        <f>(Master_Table!E1065-Master_Table!E1064)/Master_Table!E1064</f>
        <v>-1.5676407973679161E-2</v>
      </c>
      <c r="F1065" s="3">
        <f>(Master_Table!F1065-Master_Table!F1064)/Master_Table!F1064</f>
        <v>4.2036314356342459E-3</v>
      </c>
      <c r="G1065" s="3">
        <f>(Master_Table!G1065-Master_Table!G1064)/Master_Table!G1064</f>
        <v>-1.4636002028884806E-2</v>
      </c>
      <c r="H1065" s="3">
        <f>(Master_Table!H1065-Master_Table!H1064)/Master_Table!H1064</f>
        <v>-1.9703186614089263E-2</v>
      </c>
    </row>
    <row r="1066" spans="1:8" x14ac:dyDescent="0.3">
      <c r="A1066" s="1">
        <v>45397</v>
      </c>
      <c r="B1066" s="3">
        <f>(Master_Table!B1066-Master_Table!B1065)/Master_Table!B1065</f>
        <v>-1.0963880032327745E-2</v>
      </c>
      <c r="C1066" s="3">
        <f>(Master_Table!C1066-Master_Table!C1065)/Master_Table!C1065</f>
        <v>-1.5881130082133078E-3</v>
      </c>
      <c r="D1066" s="3">
        <f>(Master_Table!D1066-Master_Table!D1065)/Master_Table!D1065</f>
        <v>-1.5958499980200415E-2</v>
      </c>
      <c r="E1066" s="3">
        <f>(Master_Table!E1066-Master_Table!E1065)/Master_Table!E1065</f>
        <v>-9.75717656311436E-3</v>
      </c>
      <c r="F1066" s="3">
        <f>(Master_Table!F1066-Master_Table!F1065)/Master_Table!F1065</f>
        <v>-1.5044734342980025E-2</v>
      </c>
      <c r="G1066" s="3">
        <f>(Master_Table!G1066-Master_Table!G1065)/Master_Table!G1065</f>
        <v>-1.1182379117194849E-2</v>
      </c>
      <c r="H1066" s="3">
        <f>(Master_Table!H1066-Master_Table!H1065)/Master_Table!H1065</f>
        <v>-2.1322280356050775E-2</v>
      </c>
    </row>
    <row r="1067" spans="1:8" x14ac:dyDescent="0.3">
      <c r="A1067" s="1">
        <v>45398</v>
      </c>
      <c r="B1067" s="3">
        <f>(Master_Table!B1067-Master_Table!B1066)/Master_Table!B1066</f>
        <v>-5.594342799416255E-3</v>
      </c>
      <c r="C1067" s="3">
        <f>(Master_Table!C1067-Master_Table!C1066)/Master_Table!C1066</f>
        <v>6.3489029368800516E-4</v>
      </c>
      <c r="D1067" s="3">
        <f>(Master_Table!D1067-Master_Table!D1066)/Master_Table!D1066</f>
        <v>9.7250167672702885E-3</v>
      </c>
      <c r="E1067" s="3">
        <f>(Master_Table!E1067-Master_Table!E1066)/Master_Table!E1066</f>
        <v>0</v>
      </c>
      <c r="F1067" s="3">
        <f>(Master_Table!F1067-Master_Table!F1066)/Master_Table!F1066</f>
        <v>-1.7355120267938607E-2</v>
      </c>
      <c r="G1067" s="3">
        <f>(Master_Table!G1067-Master_Table!G1066)/Master_Table!G1066</f>
        <v>-3.6577346703929044E-2</v>
      </c>
      <c r="H1067" s="3">
        <f>(Master_Table!H1067-Master_Table!H1066)/Master_Table!H1066</f>
        <v>-1.5927016218618185E-2</v>
      </c>
    </row>
    <row r="1068" spans="1:8" x14ac:dyDescent="0.3">
      <c r="A1068" s="1">
        <v>45400</v>
      </c>
      <c r="B1068" s="3">
        <f>(Master_Table!B1068-Master_Table!B1067)/Master_Table!B1067</f>
        <v>-6.865210697176838E-3</v>
      </c>
      <c r="C1068" s="3">
        <f>(Master_Table!C1068-Master_Table!C1067)/Master_Table!C1067</f>
        <v>-9.7560975609760445E-4</v>
      </c>
      <c r="D1068" s="3">
        <f>(Master_Table!D1068-Master_Table!D1067)/Master_Table!D1067</f>
        <v>-9.6313517103952181E-3</v>
      </c>
      <c r="E1068" s="3">
        <f>(Master_Table!E1068-Master_Table!E1067)/Master_Table!E1067</f>
        <v>-1.6554565535727619E-2</v>
      </c>
      <c r="F1068" s="3">
        <f>(Master_Table!F1068-Master_Table!F1067)/Master_Table!F1067</f>
        <v>-2.7886800247883137E-3</v>
      </c>
      <c r="G1068" s="3">
        <f>(Master_Table!G1068-Master_Table!G1067)/Master_Table!G1067</f>
        <v>3.3984586070585367E-3</v>
      </c>
      <c r="H1068" s="3">
        <f>(Master_Table!H1068-Master_Table!H1067)/Master_Table!H1067</f>
        <v>2.1165812978876518E-3</v>
      </c>
    </row>
    <row r="1069" spans="1:8" x14ac:dyDescent="0.3">
      <c r="A1069" s="1">
        <v>45401</v>
      </c>
      <c r="B1069" s="3">
        <f>(Master_Table!B1069-Master_Table!B1068)/Master_Table!B1068</f>
        <v>6.8717508075387618E-3</v>
      </c>
      <c r="C1069" s="3">
        <f>(Master_Table!C1069-Master_Table!C1068)/Master_Table!C1068</f>
        <v>3.9677119755245939E-3</v>
      </c>
      <c r="D1069" s="3">
        <f>(Master_Table!D1069-Master_Table!D1068)/Master_Table!D1068</f>
        <v>2.448021462105969E-2</v>
      </c>
      <c r="E1069" s="3">
        <f>(Master_Table!E1069-Master_Table!E1068)/Master_Table!E1068</f>
        <v>1.4082374318594751E-2</v>
      </c>
      <c r="F1069" s="3">
        <f>(Master_Table!F1069-Master_Table!F1068)/Master_Table!F1068</f>
        <v>-9.2698083894355732E-3</v>
      </c>
      <c r="G1069" s="3">
        <f>(Master_Table!G1069-Master_Table!G1068)/Master_Table!G1068</f>
        <v>-5.6401898958407404E-3</v>
      </c>
      <c r="H1069" s="3">
        <f>(Master_Table!H1069-Master_Table!H1068)/Master_Table!H1068</f>
        <v>-9.1806418000816431E-3</v>
      </c>
    </row>
    <row r="1070" spans="1:8" x14ac:dyDescent="0.3">
      <c r="A1070" s="1">
        <v>45404</v>
      </c>
      <c r="B1070" s="3">
        <f>(Master_Table!B1070-Master_Table!B1069)/Master_Table!B1069</f>
        <v>8.5519483451483927E-3</v>
      </c>
      <c r="C1070" s="3">
        <f>(Master_Table!C1070-Master_Table!C1069)/Master_Table!C1069</f>
        <v>6.6116601933161011E-3</v>
      </c>
      <c r="D1070" s="3">
        <f>(Master_Table!D1070-Master_Table!D1069)/Master_Table!D1069</f>
        <v>-1.2477905073649719E-2</v>
      </c>
      <c r="E1070" s="3">
        <f>(Master_Table!E1070-Master_Table!E1069)/Master_Table!E1069</f>
        <v>1.2941117913493152E-3</v>
      </c>
      <c r="F1070" s="3">
        <f>(Master_Table!F1070-Master_Table!F1069)/Master_Table!F1069</f>
        <v>1.0036067116198864E-2</v>
      </c>
      <c r="G1070" s="3">
        <f>(Master_Table!G1070-Master_Table!G1069)/Master_Table!G1069</f>
        <v>1.5235082018612817E-2</v>
      </c>
      <c r="H1070" s="3">
        <f>(Master_Table!H1070-Master_Table!H1069)/Master_Table!H1069</f>
        <v>2.6816547529381646E-2</v>
      </c>
    </row>
    <row r="1071" spans="1:8" x14ac:dyDescent="0.3">
      <c r="A1071" s="1">
        <v>45405</v>
      </c>
      <c r="B1071" s="3">
        <f>(Master_Table!B1071-Master_Table!B1070)/Master_Table!B1070</f>
        <v>1.4147311115487967E-3</v>
      </c>
      <c r="C1071" s="3">
        <f>(Master_Table!C1071-Master_Table!C1070)/Master_Table!C1070</f>
        <v>-1.3873027671723468E-2</v>
      </c>
      <c r="D1071" s="3">
        <f>(Master_Table!D1071-Master_Table!D1070)/Master_Table!D1070</f>
        <v>-3.0362493702103858E-3</v>
      </c>
      <c r="E1071" s="3">
        <f>(Master_Table!E1071-Master_Table!E1070)/Master_Table!E1070</f>
        <v>9.1713476164437986E-3</v>
      </c>
      <c r="F1071" s="3">
        <f>(Master_Table!F1071-Master_Table!F1070)/Master_Table!F1070</f>
        <v>2.61346581793715E-3</v>
      </c>
      <c r="G1071" s="3">
        <f>(Master_Table!G1071-Master_Table!G1070)/Master_Table!G1070</f>
        <v>6.7381660957941975E-3</v>
      </c>
      <c r="H1071" s="3">
        <f>(Master_Table!H1071-Master_Table!H1070)/Master_Table!H1070</f>
        <v>-7.0584327511272107E-4</v>
      </c>
    </row>
    <row r="1072" spans="1:8" x14ac:dyDescent="0.3">
      <c r="A1072" s="1">
        <v>45406</v>
      </c>
      <c r="B1072" s="3">
        <f>(Master_Table!B1072-Master_Table!B1071)/Master_Table!B1071</f>
        <v>1.5379113018598647E-3</v>
      </c>
      <c r="C1072" s="3">
        <f>(Master_Table!C1072-Master_Table!C1071)/Master_Table!C1071</f>
        <v>-6.2631910752952557E-3</v>
      </c>
      <c r="D1072" s="3">
        <f>(Master_Table!D1072-Master_Table!D1071)/Master_Table!D1071</f>
        <v>2.7130184990625159E-3</v>
      </c>
      <c r="E1072" s="3">
        <f>(Master_Table!E1072-Master_Table!E1071)/Master_Table!E1071</f>
        <v>-7.1423293845273412E-4</v>
      </c>
      <c r="F1072" s="3">
        <f>(Master_Table!F1072-Master_Table!F1071)/Master_Table!F1071</f>
        <v>-1.126538828812544E-2</v>
      </c>
      <c r="G1072" s="3">
        <f>(Master_Table!G1072-Master_Table!G1071)/Master_Table!G1071</f>
        <v>-8.0804841318533657E-3</v>
      </c>
      <c r="H1072" s="3">
        <f>(Master_Table!H1072-Master_Table!H1071)/Master_Table!H1071</f>
        <v>6.8418209769676658E-3</v>
      </c>
    </row>
    <row r="1073" spans="1:8" x14ac:dyDescent="0.3">
      <c r="A1073" s="1">
        <v>45407</v>
      </c>
      <c r="B1073" s="3">
        <f>(Master_Table!B1073-Master_Table!B1072)/Master_Table!B1072</f>
        <v>7.4969646109344125E-3</v>
      </c>
      <c r="C1073" s="3">
        <f>(Master_Table!C1073-Master_Table!C1072)/Master_Table!C1072</f>
        <v>6.7508860968982908E-3</v>
      </c>
      <c r="D1073" s="3">
        <f>(Master_Table!D1073-Master_Table!D1072)/Master_Table!D1072</f>
        <v>-6.2336697746598313E-4</v>
      </c>
      <c r="E1073" s="3">
        <f>(Master_Table!E1073-Master_Table!E1072)/Master_Table!E1072</f>
        <v>2.018534036575146E-2</v>
      </c>
      <c r="F1073" s="3">
        <f>(Master_Table!F1073-Master_Table!F1072)/Master_Table!F1072</f>
        <v>5.5206797092180043E-3</v>
      </c>
      <c r="G1073" s="3">
        <f>(Master_Table!G1073-Master_Table!G1072)/Master_Table!G1072</f>
        <v>5.3840152383095048E-3</v>
      </c>
      <c r="H1073" s="3">
        <f>(Master_Table!H1073-Master_Table!H1072)/Master_Table!H1072</f>
        <v>4.8007483114847309E-3</v>
      </c>
    </row>
    <row r="1074" spans="1:8" x14ac:dyDescent="0.3">
      <c r="A1074" s="1">
        <v>45408</v>
      </c>
      <c r="B1074" s="3">
        <f>(Master_Table!B1074-Master_Table!B1073)/Master_Table!B1073</f>
        <v>-6.663609558557923E-3</v>
      </c>
      <c r="C1074" s="3">
        <f>(Master_Table!C1074-Master_Table!C1073)/Master_Table!C1073</f>
        <v>-5.0822962115660408E-3</v>
      </c>
      <c r="D1074" s="3">
        <f>(Master_Table!D1074-Master_Table!D1073)/Master_Table!D1073</f>
        <v>-6.237558062375943E-4</v>
      </c>
      <c r="E1074" s="3">
        <f>(Master_Table!E1074-Master_Table!E1073)/Master_Table!E1073</f>
        <v>5.6048124078950379E-3</v>
      </c>
      <c r="F1074" s="3">
        <f>(Master_Table!F1074-Master_Table!F1073)/Master_Table!F1073</f>
        <v>-8.0084107782565569E-3</v>
      </c>
      <c r="G1074" s="3">
        <f>(Master_Table!G1074-Master_Table!G1073)/Master_Table!G1073</f>
        <v>-5.7047378686932108E-3</v>
      </c>
      <c r="H1074" s="3">
        <f>(Master_Table!H1074-Master_Table!H1073)/Master_Table!H1073</f>
        <v>-1.289598335295577E-2</v>
      </c>
    </row>
    <row r="1075" spans="1:8" x14ac:dyDescent="0.3">
      <c r="A1075" s="1">
        <v>45411</v>
      </c>
      <c r="B1075" s="3">
        <f>(Master_Table!B1075-Master_Table!B1074)/Master_Table!B1074</f>
        <v>9.9665699522077759E-3</v>
      </c>
      <c r="C1075" s="3">
        <f>(Master_Table!C1075-Master_Table!C1074)/Master_Table!C1074</f>
        <v>8.5917868575952766E-3</v>
      </c>
      <c r="D1075" s="3">
        <f>(Master_Table!D1075-Master_Table!D1074)/Master_Table!D1074</f>
        <v>1.3040649110925262E-2</v>
      </c>
      <c r="E1075" s="3">
        <f>(Master_Table!E1075-Master_Table!E1074)/Master_Table!E1074</f>
        <v>-4.108108108108059E-3</v>
      </c>
      <c r="F1075" s="3">
        <f>(Master_Table!F1075-Master_Table!F1074)/Master_Table!F1074</f>
        <v>1.2783440407185919E-2</v>
      </c>
      <c r="G1075" s="3">
        <f>(Master_Table!G1075-Master_Table!G1074)/Master_Table!G1074</f>
        <v>3.14998277353172E-3</v>
      </c>
      <c r="H1075" s="3">
        <f>(Master_Table!H1075-Master_Table!H1074)/Master_Table!H1074</f>
        <v>8.0716742483081007E-3</v>
      </c>
    </row>
    <row r="1076" spans="1:8" x14ac:dyDescent="0.3">
      <c r="A1076" s="1">
        <v>45412</v>
      </c>
      <c r="B1076" s="3">
        <f>(Master_Table!B1076-Master_Table!B1075)/Master_Table!B1075</f>
        <v>-1.7024828426827645E-3</v>
      </c>
      <c r="C1076" s="3">
        <f>(Master_Table!C1076-Master_Table!C1075)/Master_Table!C1075</f>
        <v>1.3446823614533677E-3</v>
      </c>
      <c r="D1076" s="3">
        <f>(Master_Table!D1076-Master_Table!D1075)/Master_Table!D1075</f>
        <v>-6.1479976404274165E-3</v>
      </c>
      <c r="E1076" s="3">
        <f>(Master_Table!E1076-Master_Table!E1075)/Master_Table!E1075</f>
        <v>-5.8136729869253268E-3</v>
      </c>
      <c r="F1076" s="3">
        <f>(Master_Table!F1076-Master_Table!F1075)/Master_Table!F1075</f>
        <v>-1.280295591959065E-2</v>
      </c>
      <c r="G1076" s="3">
        <f>(Master_Table!G1076-Master_Table!G1075)/Master_Table!G1075</f>
        <v>-9.8968956550385973E-3</v>
      </c>
      <c r="H1076" s="3">
        <f>(Master_Table!H1076-Master_Table!H1075)/Master_Table!H1075</f>
        <v>-1.1006246044630328E-2</v>
      </c>
    </row>
    <row r="1077" spans="1:8" x14ac:dyDescent="0.3">
      <c r="A1077" s="1">
        <v>45414</v>
      </c>
      <c r="B1077" s="3">
        <f>(Master_Table!B1077-Master_Table!B1076)/Master_Table!B1076</f>
        <v>1.9177300446586545E-3</v>
      </c>
      <c r="C1077" s="3">
        <f>(Master_Table!C1077-Master_Table!C1076)/Master_Table!C1076</f>
        <v>-3.0674846625769968E-4</v>
      </c>
      <c r="D1077" s="3">
        <f>(Master_Table!D1077-Master_Table!D1076)/Master_Table!D1076</f>
        <v>7.9930357708136272E-3</v>
      </c>
      <c r="E1077" s="3">
        <f>(Master_Table!E1077-Master_Table!E1076)/Master_Table!E1076</f>
        <v>7.6917477494965565E-3</v>
      </c>
      <c r="F1077" s="3">
        <f>(Master_Table!F1077-Master_Table!F1076)/Master_Table!F1076</f>
        <v>1.116302199887456E-2</v>
      </c>
      <c r="G1077" s="3">
        <f>(Master_Table!G1077-Master_Table!G1076)/Master_Table!G1076</f>
        <v>-4.2970713370475058E-3</v>
      </c>
      <c r="H1077" s="3">
        <f>(Master_Table!H1077-Master_Table!H1076)/Master_Table!H1076</f>
        <v>1.4467351083659733E-3</v>
      </c>
    </row>
    <row r="1078" spans="1:8" x14ac:dyDescent="0.3">
      <c r="A1078" s="1">
        <v>45415</v>
      </c>
      <c r="B1078" s="3">
        <f>(Master_Table!B1078-Master_Table!B1077)/Master_Table!B1077</f>
        <v>-7.6098762815588958E-3</v>
      </c>
      <c r="C1078" s="3">
        <f>(Master_Table!C1078-Master_Table!C1077)/Master_Table!C1077</f>
        <v>-2.2194947325355395E-2</v>
      </c>
      <c r="D1078" s="3">
        <f>(Master_Table!D1078-Master_Table!D1077)/Master_Table!D1077</f>
        <v>-8.2567846955066068E-3</v>
      </c>
      <c r="E1078" s="3">
        <f>(Master_Table!E1078-Master_Table!E1077)/Master_Table!E1077</f>
        <v>-5.8030339513605225E-3</v>
      </c>
      <c r="F1078" s="3">
        <f>(Master_Table!F1078-Master_Table!F1077)/Master_Table!F1077</f>
        <v>-5.1510366784873265E-3</v>
      </c>
      <c r="G1078" s="3">
        <f>(Master_Table!G1078-Master_Table!G1077)/Master_Table!G1077</f>
        <v>1.3081932713362896E-3</v>
      </c>
      <c r="H1078" s="3">
        <f>(Master_Table!H1078-Master_Table!H1077)/Master_Table!H1077</f>
        <v>-2.7698291429365141E-2</v>
      </c>
    </row>
    <row r="1079" spans="1:8" x14ac:dyDescent="0.3">
      <c r="A1079" s="1">
        <v>45418</v>
      </c>
      <c r="B1079" s="3">
        <f>(Master_Table!B1079-Master_Table!B1078)/Master_Table!B1078</f>
        <v>-1.4749164102802706E-3</v>
      </c>
      <c r="C1079" s="3">
        <f>(Master_Table!C1079-Master_Table!C1078)/Master_Table!C1078</f>
        <v>-1.009065550906557E-2</v>
      </c>
      <c r="D1079" s="3">
        <f>(Master_Table!D1079-Master_Table!D1078)/Master_Table!D1078</f>
        <v>2.0187093454369074E-3</v>
      </c>
      <c r="E1079" s="3">
        <f>(Master_Table!E1079-Master_Table!E1078)/Master_Table!E1078</f>
        <v>-3.8993436508513494E-3</v>
      </c>
      <c r="F1079" s="3">
        <f>(Master_Table!F1079-Master_Table!F1078)/Master_Table!F1078</f>
        <v>2.0203465681427925E-2</v>
      </c>
      <c r="G1079" s="3">
        <f>(Master_Table!G1079-Master_Table!G1078)/Master_Table!G1078</f>
        <v>6.7809366923231151E-3</v>
      </c>
      <c r="H1079" s="3">
        <f>(Master_Table!H1079-Master_Table!H1078)/Master_Table!H1078</f>
        <v>-1.0429167380993198E-2</v>
      </c>
    </row>
    <row r="1080" spans="1:8" x14ac:dyDescent="0.3">
      <c r="A1080" s="1">
        <v>45419</v>
      </c>
      <c r="B1080" s="3">
        <f>(Master_Table!B1080-Master_Table!B1079)/Master_Table!B1079</f>
        <v>-6.2470201891929545E-3</v>
      </c>
      <c r="C1080" s="3">
        <f>(Master_Table!C1080-Master_Table!C1079)/Master_Table!C1079</f>
        <v>-1.272252083436063E-2</v>
      </c>
      <c r="D1080" s="3">
        <f>(Master_Table!D1080-Master_Table!D1079)/Master_Table!D1079</f>
        <v>-1.08369324765617E-2</v>
      </c>
      <c r="E1080" s="3">
        <f>(Master_Table!E1080-Master_Table!E1079)/Master_Table!E1079</f>
        <v>1.2886597938144359E-2</v>
      </c>
      <c r="F1080" s="3">
        <f>(Master_Table!F1080-Master_Table!F1079)/Master_Table!F1079</f>
        <v>1.4766452863391091E-2</v>
      </c>
      <c r="G1080" s="3">
        <f>(Master_Table!G1080-Master_Table!G1079)/Master_Table!G1079</f>
        <v>1.0557792807724063E-2</v>
      </c>
      <c r="H1080" s="3">
        <f>(Master_Table!H1080-Master_Table!H1079)/Master_Table!H1079</f>
        <v>-1.0264776369358757E-2</v>
      </c>
    </row>
    <row r="1081" spans="1:8" x14ac:dyDescent="0.3">
      <c r="A1081" s="1">
        <v>45420</v>
      </c>
      <c r="B1081" s="3">
        <f>(Master_Table!B1081-Master_Table!B1080)/Master_Table!B1080</f>
        <v>0</v>
      </c>
      <c r="C1081" s="3">
        <f>(Master_Table!C1081-Master_Table!C1080)/Master_Table!C1080</f>
        <v>1.2187203436391736E-2</v>
      </c>
      <c r="D1081" s="3">
        <f>(Master_Table!D1081-Master_Table!D1080)/Master_Table!D1080</f>
        <v>-1.5601496252712326E-2</v>
      </c>
      <c r="E1081" s="3">
        <f>(Master_Table!E1081-Master_Table!E1080)/Master_Table!E1080</f>
        <v>1.464304575351706E-3</v>
      </c>
      <c r="F1081" s="3">
        <f>(Master_Table!F1081-Master_Table!F1080)/Master_Table!F1080</f>
        <v>-5.026451702082208E-4</v>
      </c>
      <c r="G1081" s="3">
        <f>(Master_Table!G1081-Master_Table!G1080)/Master_Table!G1080</f>
        <v>-9.4774161130032897E-3</v>
      </c>
      <c r="H1081" s="3">
        <f>(Master_Table!H1081-Master_Table!H1080)/Master_Table!H1080</f>
        <v>1.724163080738091E-2</v>
      </c>
    </row>
    <row r="1082" spans="1:8" x14ac:dyDescent="0.3">
      <c r="A1082" s="1">
        <v>45421</v>
      </c>
      <c r="B1082" s="3">
        <f>(Master_Table!B1082-Master_Table!B1081)/Master_Table!B1081</f>
        <v>-1.5469117811904494E-2</v>
      </c>
      <c r="C1082" s="3">
        <f>(Master_Table!C1082-Master_Table!C1081)/Master_Table!C1081</f>
        <v>-1.7214761552289203E-2</v>
      </c>
      <c r="D1082" s="3">
        <f>(Master_Table!D1082-Master_Table!D1081)/Master_Table!D1081</f>
        <v>-2.3719049615275344E-2</v>
      </c>
      <c r="E1082" s="3">
        <f>(Master_Table!E1082-Master_Table!E1081)/Master_Table!E1081</f>
        <v>-3.605072029530914E-2</v>
      </c>
      <c r="F1082" s="3">
        <f>(Master_Table!F1082-Master_Table!F1081)/Master_Table!F1081</f>
        <v>-4.2117703265064938E-3</v>
      </c>
      <c r="G1082" s="3">
        <f>(Master_Table!G1082-Master_Table!G1081)/Master_Table!G1081</f>
        <v>8.5816952018601175E-3</v>
      </c>
      <c r="H1082" s="3">
        <f>(Master_Table!H1082-Master_Table!H1081)/Master_Table!H1081</f>
        <v>-6.0627787257840196E-2</v>
      </c>
    </row>
    <row r="1083" spans="1:8" x14ac:dyDescent="0.3">
      <c r="A1083" s="1">
        <v>45422</v>
      </c>
      <c r="B1083" s="3">
        <f>(Master_Table!B1083-Master_Table!B1082)/Master_Table!B1082</f>
        <v>4.4495047250370364E-3</v>
      </c>
      <c r="C1083" s="3">
        <f>(Master_Table!C1083-Master_Table!C1082)/Master_Table!C1082</f>
        <v>9.5399998565413226E-3</v>
      </c>
      <c r="D1083" s="3">
        <f>(Master_Table!D1083-Master_Table!D1082)/Master_Table!D1082</f>
        <v>-6.6209571299952709E-3</v>
      </c>
      <c r="E1083" s="3">
        <f>(Master_Table!E1083-Master_Table!E1082)/Master_Table!E1082</f>
        <v>1.9395747855277912E-2</v>
      </c>
      <c r="F1083" s="3">
        <f>(Master_Table!F1083-Master_Table!F1082)/Master_Table!F1082</f>
        <v>-1.6741578708145986E-2</v>
      </c>
      <c r="G1083" s="3">
        <f>(Master_Table!G1083-Master_Table!G1082)/Master_Table!G1082</f>
        <v>-1.0171291251012899E-2</v>
      </c>
      <c r="H1083" s="3">
        <f>(Master_Table!H1083-Master_Table!H1082)/Master_Table!H1082</f>
        <v>-1.2212062464699509E-3</v>
      </c>
    </row>
    <row r="1084" spans="1:8" x14ac:dyDescent="0.3">
      <c r="A1084" s="1">
        <v>45425</v>
      </c>
      <c r="B1084" s="3">
        <f>(Master_Table!B1084-Master_Table!B1083)/Master_Table!B1083</f>
        <v>2.2148971671079177E-3</v>
      </c>
      <c r="C1084" s="3">
        <f>(Master_Table!C1084-Master_Table!C1083)/Master_Table!C1083</f>
        <v>-3.3607355250350056E-3</v>
      </c>
      <c r="D1084" s="3">
        <f>(Master_Table!D1084-Master_Table!D1083)/Master_Table!D1083</f>
        <v>1.2061296484794528E-2</v>
      </c>
      <c r="E1084" s="3">
        <f>(Master_Table!E1084-Master_Table!E1083)/Master_Table!E1083</f>
        <v>-3.4394438346138996E-3</v>
      </c>
      <c r="F1084" s="3">
        <f>(Master_Table!F1084-Master_Table!F1083)/Master_Table!F1083</f>
        <v>1.3842163383754101E-2</v>
      </c>
      <c r="G1084" s="3">
        <f>(Master_Table!G1084-Master_Table!G1083)/Master_Table!G1083</f>
        <v>-1.0233464133472922E-3</v>
      </c>
      <c r="H1084" s="3">
        <f>(Master_Table!H1084-Master_Table!H1083)/Master_Table!H1083</f>
        <v>6.8471167219428973E-3</v>
      </c>
    </row>
    <row r="1085" spans="1:8" x14ac:dyDescent="0.3">
      <c r="A1085" s="1">
        <v>45426</v>
      </c>
      <c r="B1085" s="3">
        <f>(Master_Table!B1085-Master_Table!B1084)/Master_Table!B1084</f>
        <v>5.1483777859713167E-3</v>
      </c>
      <c r="C1085" s="3">
        <f>(Master_Table!C1085-Master_Table!C1084)/Master_Table!C1084</f>
        <v>1.2383260854067078E-2</v>
      </c>
      <c r="D1085" s="3">
        <f>(Master_Table!D1085-Master_Table!D1084)/Master_Table!D1084</f>
        <v>3.9128158496595823E-3</v>
      </c>
      <c r="E1085" s="3">
        <f>(Master_Table!E1085-Master_Table!E1084)/Master_Table!E1084</f>
        <v>-4.9933911000147359E-3</v>
      </c>
      <c r="F1085" s="3">
        <f>(Master_Table!F1085-Master_Table!F1084)/Master_Table!F1084</f>
        <v>-1.1804042757991885E-2</v>
      </c>
      <c r="G1085" s="3">
        <f>(Master_Table!G1085-Master_Table!G1084)/Master_Table!G1084</f>
        <v>8.8309890001201014E-4</v>
      </c>
      <c r="H1085" s="3">
        <f>(Master_Table!H1085-Master_Table!H1084)/Master_Table!H1084</f>
        <v>2.598782579656023E-2</v>
      </c>
    </row>
    <row r="1086" spans="1:8" x14ac:dyDescent="0.3">
      <c r="A1086" s="1">
        <v>45427</v>
      </c>
      <c r="B1086" s="3">
        <f>(Master_Table!B1086-Master_Table!B1085)/Master_Table!B1085</f>
        <v>-7.7865320001707064E-4</v>
      </c>
      <c r="C1086" s="3">
        <f>(Master_Table!C1086-Master_Table!C1085)/Master_Table!C1085</f>
        <v>-2.6688825198757553E-3</v>
      </c>
      <c r="D1086" s="3">
        <f>(Master_Table!D1086-Master_Table!D1085)/Master_Table!D1085</f>
        <v>-1.5370680427085242E-2</v>
      </c>
      <c r="E1086" s="3">
        <f>(Master_Table!E1086-Master_Table!E1085)/Master_Table!E1085</f>
        <v>-4.4280442804428321E-3</v>
      </c>
      <c r="F1086" s="3">
        <f>(Master_Table!F1086-Master_Table!F1085)/Master_Table!F1085</f>
        <v>-5.3316928124678888E-3</v>
      </c>
      <c r="G1086" s="3">
        <f>(Master_Table!G1086-Master_Table!G1085)/Master_Table!G1085</f>
        <v>-3.3386978372579043E-3</v>
      </c>
      <c r="H1086" s="3">
        <f>(Master_Table!H1086-Master_Table!H1085)/Master_Table!H1085</f>
        <v>9.4246105135452115E-3</v>
      </c>
    </row>
    <row r="1087" spans="1:8" x14ac:dyDescent="0.3">
      <c r="A1087" s="1">
        <v>45428</v>
      </c>
      <c r="B1087" s="3">
        <f>(Master_Table!B1087-Master_Table!B1086)/Master_Table!B1086</f>
        <v>9.1574307843724275E-3</v>
      </c>
      <c r="C1087" s="3">
        <f>(Master_Table!C1087-Master_Table!C1086)/Master_Table!C1086</f>
        <v>6.4041008840059425E-3</v>
      </c>
      <c r="D1087" s="3">
        <f>(Master_Table!D1087-Master_Table!D1086)/Master_Table!D1086</f>
        <v>1.5122794302121245E-2</v>
      </c>
      <c r="E1087" s="3">
        <f>(Master_Table!E1087-Master_Table!E1086)/Master_Table!E1086</f>
        <v>8.5495428712627532E-3</v>
      </c>
      <c r="F1087" s="3">
        <f>(Master_Table!F1087-Master_Table!F1086)/Master_Table!F1086</f>
        <v>5.2958457890938376E-3</v>
      </c>
      <c r="G1087" s="3">
        <f>(Master_Table!G1087-Master_Table!G1086)/Master_Table!G1086</f>
        <v>2.3519996600542523E-2</v>
      </c>
      <c r="H1087" s="3">
        <f>(Master_Table!H1087-Master_Table!H1086)/Master_Table!H1086</f>
        <v>1.4451968457772616E-2</v>
      </c>
    </row>
    <row r="1088" spans="1:8" x14ac:dyDescent="0.3">
      <c r="A1088" s="1">
        <v>45429</v>
      </c>
      <c r="B1088" s="3">
        <f>(Master_Table!B1088-Master_Table!B1087)/Master_Table!B1087</f>
        <v>2.778540295529563E-3</v>
      </c>
      <c r="C1088" s="3">
        <f>(Master_Table!C1088-Master_Table!C1087)/Master_Table!C1087</f>
        <v>7.261374399270451E-3</v>
      </c>
      <c r="D1088" s="3">
        <f>(Master_Table!D1088-Master_Table!D1087)/Master_Table!D1087</f>
        <v>2.6362400626108017E-3</v>
      </c>
      <c r="E1088" s="3">
        <f>(Master_Table!E1088-Master_Table!E1087)/Master_Table!E1087</f>
        <v>1.122108976871811E-2</v>
      </c>
      <c r="F1088" s="3">
        <f>(Master_Table!F1088-Master_Table!F1087)/Master_Table!F1087</f>
        <v>-1.7136851279816432E-2</v>
      </c>
      <c r="G1088" s="3">
        <f>(Master_Table!G1088-Master_Table!G1087)/Master_Table!G1087</f>
        <v>-6.2205923055632497E-3</v>
      </c>
      <c r="H1088" s="3">
        <f>(Master_Table!H1088-Master_Table!H1087)/Master_Table!H1087</f>
        <v>-2.8463272264924898E-3</v>
      </c>
    </row>
    <row r="1089" spans="1:8" x14ac:dyDescent="0.3">
      <c r="A1089" s="1">
        <v>45430</v>
      </c>
      <c r="B1089" s="3">
        <f>(Master_Table!B1089-Master_Table!B1088)/Master_Table!B1088</f>
        <v>1.5979631533733695E-3</v>
      </c>
      <c r="C1089" s="3">
        <f>(Master_Table!C1089-Master_Table!C1088)/Master_Table!C1088</f>
        <v>-6.0597617886753378E-4</v>
      </c>
      <c r="D1089" s="3">
        <f>(Master_Table!D1089-Master_Table!D1088)/Master_Table!D1088</f>
        <v>1.3420429179847695E-3</v>
      </c>
      <c r="E1089" s="3">
        <f>(Master_Table!E1089-Master_Table!E1088)/Master_Table!E1088</f>
        <v>5.7929931676115633E-2</v>
      </c>
      <c r="F1089" s="3">
        <f>(Master_Table!F1089-Master_Table!F1088)/Master_Table!F1088</f>
        <v>4.5251819201376879E-3</v>
      </c>
      <c r="G1089" s="3">
        <f>(Master_Table!G1089-Master_Table!G1088)/Master_Table!G1088</f>
        <v>5.1803009309223961E-3</v>
      </c>
      <c r="H1089" s="3">
        <f>(Master_Table!H1089-Master_Table!H1088)/Master_Table!H1088</f>
        <v>3.897703397812017E-3</v>
      </c>
    </row>
    <row r="1090" spans="1:8" x14ac:dyDescent="0.3">
      <c r="A1090" s="1">
        <v>45433</v>
      </c>
      <c r="B1090" s="3">
        <f>(Master_Table!B1090-Master_Table!B1089)/Master_Table!B1089</f>
        <v>1.2021153675228545E-3</v>
      </c>
      <c r="C1090" s="3">
        <f>(Master_Table!C1090-Master_Table!C1089)/Master_Table!C1089</f>
        <v>9.0603067959283117E-4</v>
      </c>
      <c r="D1090" s="3">
        <f>(Master_Table!D1090-Master_Table!D1089)/Master_Table!D1089</f>
        <v>-4.9506981578479568E-3</v>
      </c>
      <c r="E1090" s="3">
        <f>(Master_Table!E1090-Master_Table!E1089)/Master_Table!E1089</f>
        <v>-5.7986946066643751E-2</v>
      </c>
      <c r="F1090" s="3">
        <f>(Master_Table!F1090-Master_Table!F1089)/Master_Table!F1089</f>
        <v>-8.113827259863168E-3</v>
      </c>
      <c r="G1090" s="3">
        <f>(Master_Table!G1090-Master_Table!G1089)/Master_Table!G1089</f>
        <v>-1.2149759290686932E-2</v>
      </c>
      <c r="H1090" s="3">
        <f>(Master_Table!H1090-Master_Table!H1089)/Master_Table!H1089</f>
        <v>-6.7115062640725138E-3</v>
      </c>
    </row>
    <row r="1091" spans="1:8" x14ac:dyDescent="0.3">
      <c r="A1091" s="1">
        <v>45434</v>
      </c>
      <c r="B1091" s="3">
        <f>(Master_Table!B1091-Master_Table!B1090)/Master_Table!B1090</f>
        <v>3.0516155807723809E-3</v>
      </c>
      <c r="C1091" s="3">
        <f>(Master_Table!C1091-Master_Table!C1090)/Master_Table!C1090</f>
        <v>1.707366324775611E-2</v>
      </c>
      <c r="D1091" s="3">
        <f>(Master_Table!D1091-Master_Table!D1090)/Master_Table!D1090</f>
        <v>2.7488008356345165E-4</v>
      </c>
      <c r="E1091" s="3">
        <f>(Master_Table!E1091-Master_Table!E1090)/Master_Table!E1090</f>
        <v>1.1718085235698814E-2</v>
      </c>
      <c r="F1091" s="3">
        <f>(Master_Table!F1091-Master_Table!F1090)/Master_Table!F1090</f>
        <v>3.088843516046328E-3</v>
      </c>
      <c r="G1091" s="3">
        <f>(Master_Table!G1091-Master_Table!G1090)/Master_Table!G1090</f>
        <v>1.4402816052057831E-2</v>
      </c>
      <c r="H1091" s="3">
        <f>(Master_Table!H1091-Master_Table!H1090)/Master_Table!H1090</f>
        <v>5.7832865923655068E-3</v>
      </c>
    </row>
    <row r="1092" spans="1:8" x14ac:dyDescent="0.3">
      <c r="A1092" s="1">
        <v>45435</v>
      </c>
      <c r="B1092" s="3">
        <f>(Master_Table!B1092-Master_Table!B1091)/Master_Table!B1091</f>
        <v>1.6366637460283842E-2</v>
      </c>
      <c r="C1092" s="3">
        <f>(Master_Table!C1092-Master_Table!C1091)/Master_Table!C1091</f>
        <v>1.738951836511133E-2</v>
      </c>
      <c r="D1092" s="3">
        <f>(Master_Table!D1092-Master_Table!D1091)/Master_Table!D1091</f>
        <v>2.2891218620756101E-2</v>
      </c>
      <c r="E1092" s="3">
        <f>(Master_Table!E1092-Master_Table!E1091)/Master_Table!E1091</f>
        <v>3.2920821819055739E-3</v>
      </c>
      <c r="F1092" s="3">
        <f>(Master_Table!F1092-Master_Table!F1091)/Master_Table!F1091</f>
        <v>1.6036012526095985E-2</v>
      </c>
      <c r="G1092" s="3">
        <f>(Master_Table!G1092-Master_Table!G1091)/Master_Table!G1091</f>
        <v>1.2096913558911968E-2</v>
      </c>
      <c r="H1092" s="3">
        <f>(Master_Table!H1092-Master_Table!H1091)/Master_Table!H1091</f>
        <v>3.5988268777901435E-2</v>
      </c>
    </row>
    <row r="1093" spans="1:8" x14ac:dyDescent="0.3">
      <c r="A1093" s="1">
        <v>45436</v>
      </c>
      <c r="B1093" s="3">
        <f>(Master_Table!B1093-Master_Table!B1092)/Master_Table!B1092</f>
        <v>-4.5934172629776704E-4</v>
      </c>
      <c r="C1093" s="3">
        <f>(Master_Table!C1093-Master_Table!C1092)/Master_Table!C1092</f>
        <v>-3.9029642340432384E-3</v>
      </c>
      <c r="D1093" s="3">
        <f>(Master_Table!D1093-Master_Table!D1092)/Master_Table!D1092</f>
        <v>1.6481966552488389E-2</v>
      </c>
      <c r="E1093" s="3">
        <f>(Master_Table!E1093-Master_Table!E1092)/Master_Table!E1092</f>
        <v>-1.1664111898831205E-2</v>
      </c>
      <c r="F1093" s="3">
        <f>(Master_Table!F1093-Master_Table!F1092)/Master_Table!F1092</f>
        <v>-1.1288189138167903E-2</v>
      </c>
      <c r="G1093" s="3">
        <f>(Master_Table!G1093-Master_Table!G1092)/Master_Table!G1092</f>
        <v>-4.9585083495543424E-3</v>
      </c>
      <c r="H1093" s="3">
        <f>(Master_Table!H1093-Master_Table!H1092)/Master_Table!H1092</f>
        <v>1.1295810788196574E-2</v>
      </c>
    </row>
    <row r="1094" spans="1:8" x14ac:dyDescent="0.3">
      <c r="A1094" s="1">
        <v>45439</v>
      </c>
      <c r="B1094" s="3">
        <f>(Master_Table!B1094-Master_Table!B1093)/Master_Table!B1093</f>
        <v>-1.0737418924863253E-3</v>
      </c>
      <c r="C1094" s="3">
        <f>(Master_Table!C1094-Master_Table!C1093)/Master_Table!C1093</f>
        <v>-9.4578618476608683E-3</v>
      </c>
      <c r="D1094" s="3">
        <f>(Master_Table!D1094-Master_Table!D1093)/Master_Table!D1093</f>
        <v>6.9114071254889765E-3</v>
      </c>
      <c r="E1094" s="3">
        <f>(Master_Table!E1094-Master_Table!E1093)/Master_Table!E1093</f>
        <v>-1.0783957348842818E-2</v>
      </c>
      <c r="F1094" s="3">
        <f>(Master_Table!F1094-Master_Table!F1093)/Master_Table!F1093</f>
        <v>-6.3644629172615098E-4</v>
      </c>
      <c r="G1094" s="3">
        <f>(Master_Table!G1094-Master_Table!G1093)/Master_Table!G1093</f>
        <v>4.2625043757591914E-3</v>
      </c>
      <c r="H1094" s="3">
        <f>(Master_Table!H1094-Master_Table!H1093)/Master_Table!H1093</f>
        <v>7.1982128574974236E-3</v>
      </c>
    </row>
    <row r="1095" spans="1:8" x14ac:dyDescent="0.3">
      <c r="A1095" s="1">
        <v>45440</v>
      </c>
      <c r="B1095" s="3">
        <f>(Master_Table!B1095-Master_Table!B1094)/Master_Table!B1094</f>
        <v>-1.9317604529825322E-3</v>
      </c>
      <c r="C1095" s="3">
        <f>(Master_Table!C1095-Master_Table!C1094)/Master_Table!C1094</f>
        <v>-6.8542199488490739E-3</v>
      </c>
      <c r="D1095" s="3">
        <f>(Master_Table!D1095-Master_Table!D1094)/Master_Table!D1094</f>
        <v>1.8373909049149908E-3</v>
      </c>
      <c r="E1095" s="3">
        <f>(Master_Table!E1095-Master_Table!E1094)/Master_Table!E1094</f>
        <v>-5.7814796668300191E-3</v>
      </c>
      <c r="F1095" s="3">
        <f>(Master_Table!F1095-Master_Table!F1094)/Master_Table!F1094</f>
        <v>-1.8585669538997648E-3</v>
      </c>
      <c r="G1095" s="3">
        <f>(Master_Table!G1095-Master_Table!G1094)/Master_Table!G1094</f>
        <v>-2.9184608024058383E-3</v>
      </c>
      <c r="H1095" s="3">
        <f>(Master_Table!H1095-Master_Table!H1094)/Master_Table!H1094</f>
        <v>1.6976998904709251E-3</v>
      </c>
    </row>
    <row r="1096" spans="1:8" x14ac:dyDescent="0.3">
      <c r="A1096" s="1">
        <v>45441</v>
      </c>
      <c r="B1096" s="3">
        <f>(Master_Table!B1096-Master_Table!B1095)/Master_Table!B1095</f>
        <v>-8.0150645639774608E-3</v>
      </c>
      <c r="C1096" s="3">
        <f>(Master_Table!C1096-Master_Table!C1095)/Master_Table!C1095</f>
        <v>-1.0589204779563297E-2</v>
      </c>
      <c r="D1096" s="3">
        <f>(Master_Table!D1096-Master_Table!D1095)/Master_Table!D1095</f>
        <v>-1.4501866771467937E-2</v>
      </c>
      <c r="E1096" s="3">
        <f>(Master_Table!E1096-Master_Table!E1095)/Master_Table!E1095</f>
        <v>4.5338064261778825E-3</v>
      </c>
      <c r="F1096" s="3">
        <f>(Master_Table!F1096-Master_Table!F1095)/Master_Table!F1095</f>
        <v>-9.4403500091148201E-3</v>
      </c>
      <c r="G1096" s="3">
        <f>(Master_Table!G1096-Master_Table!G1095)/Master_Table!G1095</f>
        <v>-1.0974548096762468E-2</v>
      </c>
      <c r="H1096" s="3">
        <f>(Master_Table!H1096-Master_Table!H1095)/Master_Table!H1095</f>
        <v>-6.3965884861406259E-3</v>
      </c>
    </row>
    <row r="1097" spans="1:8" x14ac:dyDescent="0.3">
      <c r="A1097" s="1">
        <v>45442</v>
      </c>
      <c r="B1097" s="3">
        <f>(Master_Table!B1097-Master_Table!B1096)/Master_Table!B1096</f>
        <v>-9.5156509445180632E-3</v>
      </c>
      <c r="C1097" s="3">
        <f>(Master_Table!C1097-Master_Table!C1096)/Master_Table!C1096</f>
        <v>-1.1056511056511101E-2</v>
      </c>
      <c r="D1097" s="3">
        <f>(Master_Table!D1097-Master_Table!D1096)/Master_Table!D1096</f>
        <v>4.3467857712553596E-3</v>
      </c>
      <c r="E1097" s="3">
        <f>(Master_Table!E1097-Master_Table!E1096)/Master_Table!E1096</f>
        <v>-1.6458987441130248E-2</v>
      </c>
      <c r="F1097" s="3">
        <f>(Master_Table!F1097-Master_Table!F1096)/Master_Table!F1096</f>
        <v>-1.7759257555243036E-2</v>
      </c>
      <c r="G1097" s="3">
        <f>(Master_Table!G1097-Master_Table!G1096)/Master_Table!G1096</f>
        <v>-1.6197446666943827E-2</v>
      </c>
      <c r="H1097" s="3">
        <f>(Master_Table!H1097-Master_Table!H1096)/Master_Table!H1096</f>
        <v>-2.7511830087037469E-5</v>
      </c>
    </row>
    <row r="1098" spans="1:8" x14ac:dyDescent="0.3">
      <c r="A1098" s="1">
        <v>45443</v>
      </c>
      <c r="B1098" s="3">
        <f>(Master_Table!B1098-Master_Table!B1097)/Master_Table!B1097</f>
        <v>1.869832115311469E-3</v>
      </c>
      <c r="C1098" s="3">
        <f>(Master_Table!C1098-Master_Table!C1097)/Master_Table!C1097</f>
        <v>3.8951468575640822E-3</v>
      </c>
      <c r="D1098" s="3">
        <f>(Master_Table!D1098-Master_Table!D1097)/Master_Table!D1097</f>
        <v>1.1011845675335915E-2</v>
      </c>
      <c r="E1098" s="3">
        <f>(Master_Table!E1098-Master_Table!E1097)/Master_Table!E1097</f>
        <v>6.1351223283536904E-3</v>
      </c>
      <c r="F1098" s="3">
        <f>(Master_Table!F1098-Master_Table!F1097)/Master_Table!F1097</f>
        <v>-1.7437970075747461E-2</v>
      </c>
      <c r="G1098" s="3">
        <f>(Master_Table!G1098-Master_Table!G1097)/Master_Table!G1097</f>
        <v>-8.8414526753319619E-3</v>
      </c>
      <c r="H1098" s="3">
        <f>(Master_Table!H1098-Master_Table!H1097)/Master_Table!H1097</f>
        <v>9.5193551049606202E-3</v>
      </c>
    </row>
    <row r="1099" spans="1:8" x14ac:dyDescent="0.3">
      <c r="A1099" s="1">
        <v>45446</v>
      </c>
      <c r="B1099" s="3">
        <f>(Master_Table!B1099-Master_Table!B1098)/Master_Table!B1098</f>
        <v>3.2542264554585552E-2</v>
      </c>
      <c r="C1099" s="3">
        <f>(Master_Table!C1099-Master_Table!C1098)/Master_Table!C1098</f>
        <v>5.58724832214764E-2</v>
      </c>
      <c r="D1099" s="3">
        <f>(Master_Table!D1099-Master_Table!D1098)/Master_Table!D1098</f>
        <v>2.654902012122478E-2</v>
      </c>
      <c r="E1099" s="3">
        <f>(Master_Table!E1099-Master_Table!E1098)/Master_Table!E1098</f>
        <v>9.1465681778747192E-3</v>
      </c>
      <c r="F1099" s="3">
        <f>(Master_Table!F1099-Master_Table!F1098)/Master_Table!F1098</f>
        <v>8.6898486767730682E-3</v>
      </c>
      <c r="G1099" s="3">
        <f>(Master_Table!G1099-Master_Table!G1098)/Master_Table!G1098</f>
        <v>-7.1078257161134406E-4</v>
      </c>
      <c r="H1099" s="3">
        <f>(Master_Table!H1099-Master_Table!H1098)/Master_Table!H1098</f>
        <v>6.2096312648189003E-2</v>
      </c>
    </row>
    <row r="1100" spans="1:8" x14ac:dyDescent="0.3">
      <c r="A1100" s="1">
        <v>45447</v>
      </c>
      <c r="B1100" s="3">
        <f>(Master_Table!B1100-Master_Table!B1099)/Master_Table!B1099</f>
        <v>-5.9293583620975046E-2</v>
      </c>
      <c r="C1100" s="3">
        <f>(Master_Table!C1100-Master_Table!C1099)/Master_Table!C1099</f>
        <v>-7.4845065946289507E-2</v>
      </c>
      <c r="D1100" s="3">
        <f>(Master_Table!D1100-Master_Table!D1099)/Master_Table!D1099</f>
        <v>-5.664732512912065E-2</v>
      </c>
      <c r="E1100" s="3">
        <f>(Master_Table!E1100-Master_Table!E1099)/Master_Table!E1099</f>
        <v>-3.5198467282373705E-2</v>
      </c>
      <c r="F1100" s="3">
        <f>(Master_Table!F1100-Master_Table!F1099)/Master_Table!F1099</f>
        <v>3.2812563295839935E-3</v>
      </c>
      <c r="G1100" s="3">
        <f>(Master_Table!G1100-Master_Table!G1099)/Master_Table!G1099</f>
        <v>-8.7132797496265735E-3</v>
      </c>
      <c r="H1100" s="3">
        <f>(Master_Table!H1100-Master_Table!H1099)/Master_Table!H1099</f>
        <v>-0.12674646857318816</v>
      </c>
    </row>
    <row r="1101" spans="1:8" x14ac:dyDescent="0.3">
      <c r="A1101" s="1">
        <v>45448</v>
      </c>
      <c r="B1101" s="3">
        <f>(Master_Table!B1101-Master_Table!B1100)/Master_Table!B1100</f>
        <v>3.3624254609426696E-2</v>
      </c>
      <c r="C1101" s="3">
        <f>(Master_Table!C1101-Master_Table!C1100)/Master_Table!C1100</f>
        <v>1.6796919729760697E-2</v>
      </c>
      <c r="D1101" s="3">
        <f>(Master_Table!D1101-Master_Table!D1100)/Master_Table!D1100</f>
        <v>4.6287158828221119E-2</v>
      </c>
      <c r="E1101" s="3">
        <f>(Master_Table!E1101-Master_Table!E1100)/Master_Table!E1100</f>
        <v>3.6355304361108919E-2</v>
      </c>
      <c r="F1101" s="3">
        <f>(Master_Table!F1101-Master_Table!F1100)/Master_Table!F1100</f>
        <v>8.465679676985147E-3</v>
      </c>
      <c r="G1101" s="3">
        <f>(Master_Table!G1101-Master_Table!G1100)/Master_Table!G1100</f>
        <v>2.6154342912495833E-2</v>
      </c>
      <c r="H1101" s="3">
        <f>(Master_Table!H1101-Master_Table!H1100)/Master_Table!H1100</f>
        <v>1.7042783262812007E-3</v>
      </c>
    </row>
    <row r="1102" spans="1:8" x14ac:dyDescent="0.3">
      <c r="A1102" s="1">
        <v>45449</v>
      </c>
      <c r="B1102" s="3">
        <f>(Master_Table!B1102-Master_Table!B1101)/Master_Table!B1101</f>
        <v>8.8880145532674298E-3</v>
      </c>
      <c r="C1102" s="3">
        <f>(Master_Table!C1102-Master_Table!C1101)/Master_Table!C1101</f>
        <v>7.6368115431989505E-3</v>
      </c>
      <c r="D1102" s="3">
        <f>(Master_Table!D1102-Master_Table!D1101)/Master_Table!D1101</f>
        <v>5.0906365879813701E-3</v>
      </c>
      <c r="E1102" s="3">
        <f>(Master_Table!E1102-Master_Table!E1101)/Master_Table!E1101</f>
        <v>1.1840715356081248E-2</v>
      </c>
      <c r="F1102" s="3">
        <f>(Master_Table!F1102-Master_Table!F1101)/Master_Table!F1101</f>
        <v>2.2407879459221468E-2</v>
      </c>
      <c r="G1102" s="3">
        <f>(Master_Table!G1102-Master_Table!G1101)/Master_Table!G1101</f>
        <v>2.9473463394168304E-2</v>
      </c>
      <c r="H1102" s="3">
        <f>(Master_Table!H1102-Master_Table!H1101)/Master_Table!H1101</f>
        <v>2.1575242006453558E-2</v>
      </c>
    </row>
    <row r="1103" spans="1:8" x14ac:dyDescent="0.3">
      <c r="A1103" s="1">
        <v>45450</v>
      </c>
      <c r="B1103" s="3">
        <f>(Master_Table!B1103-Master_Table!B1102)/Master_Table!B1102</f>
        <v>2.0539931818380992E-2</v>
      </c>
      <c r="C1103" s="3">
        <f>(Master_Table!C1103-Master_Table!C1102)/Master_Table!C1102</f>
        <v>2.6788208996926612E-2</v>
      </c>
      <c r="D1103" s="3">
        <f>(Master_Table!D1103-Master_Table!D1102)/Master_Table!D1102</f>
        <v>8.7542260672829244E-3</v>
      </c>
      <c r="E1103" s="3">
        <f>(Master_Table!E1103-Master_Table!E1102)/Master_Table!E1102</f>
        <v>8.618805991891066E-3</v>
      </c>
      <c r="F1103" s="3">
        <f>(Master_Table!F1103-Master_Table!F1102)/Master_Table!F1102</f>
        <v>1.659095655806175E-2</v>
      </c>
      <c r="G1103" s="3">
        <f>(Master_Table!G1103-Master_Table!G1102)/Master_Table!G1102</f>
        <v>4.1670911869587303E-2</v>
      </c>
      <c r="H1103" s="3">
        <f>(Master_Table!H1103-Master_Table!H1102)/Master_Table!H1102</f>
        <v>1.4342938364129679E-2</v>
      </c>
    </row>
    <row r="1104" spans="1:8" x14ac:dyDescent="0.3">
      <c r="A1104" s="1">
        <v>45453</v>
      </c>
      <c r="B1104" s="3">
        <f>(Master_Table!B1104-Master_Table!B1103)/Master_Table!B1103</f>
        <v>-1.3288879633665187E-3</v>
      </c>
      <c r="C1104" s="3">
        <f>(Master_Table!C1104-Master_Table!C1103)/Master_Table!C1103</f>
        <v>9.8642810979968402E-4</v>
      </c>
      <c r="D1104" s="3">
        <f>(Master_Table!D1104-Master_Table!D1103)/Master_Table!D1103</f>
        <v>-7.6587827505352106E-3</v>
      </c>
      <c r="E1104" s="3">
        <f>(Master_Table!E1104-Master_Table!E1103)/Master_Table!E1103</f>
        <v>-5.1270941652224039E-3</v>
      </c>
      <c r="F1104" s="3">
        <f>(Master_Table!F1104-Master_Table!F1103)/Master_Table!F1103</f>
        <v>-9.0525045262522634E-3</v>
      </c>
      <c r="G1104" s="3">
        <f>(Master_Table!G1104-Master_Table!G1103)/Master_Table!G1103</f>
        <v>-2.2072248304642612E-2</v>
      </c>
      <c r="H1104" s="3">
        <f>(Master_Table!H1104-Master_Table!H1103)/Master_Table!H1103</f>
        <v>3.1847133757961785E-3</v>
      </c>
    </row>
    <row r="1105" spans="1:8" x14ac:dyDescent="0.3">
      <c r="A1105" s="1">
        <v>45454</v>
      </c>
      <c r="B1105" s="3">
        <f>(Master_Table!B1105-Master_Table!B1104)/Master_Table!B1104</f>
        <v>2.4291463162954088E-4</v>
      </c>
      <c r="C1105" s="3">
        <f>(Master_Table!C1105-Master_Table!C1104)/Master_Table!C1104</f>
        <v>-1.0004077749082524E-2</v>
      </c>
      <c r="D1105" s="3">
        <f>(Master_Table!D1105-Master_Table!D1104)/Master_Table!D1104</f>
        <v>2.2473064427065274E-3</v>
      </c>
      <c r="E1105" s="3">
        <f>(Master_Table!E1105-Master_Table!E1104)/Master_Table!E1104</f>
        <v>-8.9279233505117177E-3</v>
      </c>
      <c r="F1105" s="3">
        <f>(Master_Table!F1105-Master_Table!F1104)/Master_Table!F1104</f>
        <v>-1.7104206079767562E-3</v>
      </c>
      <c r="G1105" s="3">
        <f>(Master_Table!G1105-Master_Table!G1104)/Master_Table!G1104</f>
        <v>-2.6671111851975329E-3</v>
      </c>
      <c r="H1105" s="3">
        <f>(Master_Table!H1105-Master_Table!H1104)/Master_Table!H1104</f>
        <v>1.5506172839506121E-2</v>
      </c>
    </row>
    <row r="1106" spans="1:8" x14ac:dyDescent="0.3">
      <c r="A1106" s="1">
        <v>45455</v>
      </c>
      <c r="B1106" s="3">
        <f>(Master_Table!B1106-Master_Table!B1105)/Master_Table!B1105</f>
        <v>2.4973296625597063E-3</v>
      </c>
      <c r="C1106" s="3">
        <f>(Master_Table!C1106-Master_Table!C1105)/Master_Table!C1105</f>
        <v>4.558310679078365E-3</v>
      </c>
      <c r="D1106" s="3">
        <f>(Master_Table!D1106-Master_Table!D1105)/Master_Table!D1105</f>
        <v>5.9708377110934165E-3</v>
      </c>
      <c r="E1106" s="3">
        <f>(Master_Table!E1106-Master_Table!E1105)/Master_Table!E1105</f>
        <v>-1.6112494507104756E-3</v>
      </c>
      <c r="F1106" s="3">
        <f>(Master_Table!F1106-Master_Table!F1105)/Master_Table!F1105</f>
        <v>-5.3087926066301026E-3</v>
      </c>
      <c r="G1106" s="3">
        <f>(Master_Table!G1106-Master_Table!G1105)/Master_Table!G1105</f>
        <v>-7.0533177335784418E-3</v>
      </c>
      <c r="H1106" s="3">
        <f>(Master_Table!H1106-Master_Table!H1105)/Master_Table!H1105</f>
        <v>8.7809486759108466E-3</v>
      </c>
    </row>
    <row r="1107" spans="1:8" x14ac:dyDescent="0.3">
      <c r="A1107" s="1">
        <v>45456</v>
      </c>
      <c r="B1107" s="3">
        <f>(Master_Table!B1107-Master_Table!B1106)/Master_Table!B1106</f>
        <v>3.2564491198583683E-3</v>
      </c>
      <c r="C1107" s="3">
        <f>(Master_Table!C1107-Master_Table!C1106)/Master_Table!C1106</f>
        <v>1.3189186234043571E-3</v>
      </c>
      <c r="D1107" s="3">
        <f>(Master_Table!D1107-Master_Table!D1106)/Master_Table!D1106</f>
        <v>4.19044222539225E-3</v>
      </c>
      <c r="E1107" s="3">
        <f>(Master_Table!E1107-Master_Table!E1106)/Master_Table!E1106</f>
        <v>-4.6214788732394036E-3</v>
      </c>
      <c r="F1107" s="3">
        <f>(Master_Table!F1107-Master_Table!F1106)/Master_Table!F1106</f>
        <v>1.2135763965915466E-2</v>
      </c>
      <c r="G1107" s="3">
        <f>(Master_Table!G1107-Master_Table!G1106)/Master_Table!G1106</f>
        <v>5.8914624293024504E-3</v>
      </c>
      <c r="H1107" s="3">
        <f>(Master_Table!H1107-Master_Table!H1106)/Master_Table!H1106</f>
        <v>2.0204941740352009E-2</v>
      </c>
    </row>
    <row r="1108" spans="1:8" x14ac:dyDescent="0.3">
      <c r="A1108" s="1">
        <v>45457</v>
      </c>
      <c r="B1108" s="3">
        <f>(Master_Table!B1108-Master_Table!B1107)/Master_Table!B1107</f>
        <v>2.8505613511745033E-3</v>
      </c>
      <c r="C1108" s="3">
        <f>(Master_Table!C1108-Master_Table!C1107)/Master_Table!C1107</f>
        <v>8.3944719331171848E-3</v>
      </c>
      <c r="D1108" s="3">
        <f>(Master_Table!D1108-Master_Table!D1107)/Master_Table!D1107</f>
        <v>1.0223107266523838E-2</v>
      </c>
      <c r="E1108" s="3">
        <f>(Master_Table!E1108-Master_Table!E1107)/Master_Table!E1107</f>
        <v>1.9652639595155903E-3</v>
      </c>
      <c r="F1108" s="3">
        <f>(Master_Table!F1108-Master_Table!F1107)/Master_Table!F1107</f>
        <v>-1.1887111122571306E-2</v>
      </c>
      <c r="G1108" s="3">
        <f>(Master_Table!G1108-Master_Table!G1107)/Master_Table!G1107</f>
        <v>-3.3803005455336219E-3</v>
      </c>
      <c r="H1108" s="3">
        <f>(Master_Table!H1108-Master_Table!H1107)/Master_Table!H1107</f>
        <v>-4.2795620536497537E-3</v>
      </c>
    </row>
    <row r="1109" spans="1:8" x14ac:dyDescent="0.3">
      <c r="A1109" s="1">
        <v>45461</v>
      </c>
      <c r="B1109" s="3">
        <f>(Master_Table!B1109-Master_Table!B1108)/Master_Table!B1108</f>
        <v>3.9334174280650364E-3</v>
      </c>
      <c r="C1109" s="3">
        <f>(Master_Table!C1109-Master_Table!C1108)/Master_Table!C1108</f>
        <v>2.3552502453385795E-3</v>
      </c>
      <c r="D1109" s="3">
        <f>(Master_Table!D1109-Master_Table!D1108)/Master_Table!D1108</f>
        <v>6.8175825831480784E-3</v>
      </c>
      <c r="E1109" s="3">
        <f>(Master_Table!E1109-Master_Table!E1108)/Master_Table!E1108</f>
        <v>-5.5654988108955836E-3</v>
      </c>
      <c r="F1109" s="3">
        <f>(Master_Table!F1109-Master_Table!F1108)/Master_Table!F1108</f>
        <v>-4.4232199475477286E-3</v>
      </c>
      <c r="G1109" s="3">
        <f>(Master_Table!G1109-Master_Table!G1108)/Master_Table!G1108</f>
        <v>6.2462220431190501E-3</v>
      </c>
      <c r="H1109" s="3">
        <f>(Master_Table!H1109-Master_Table!H1108)/Master_Table!H1108</f>
        <v>3.7963013178578996E-4</v>
      </c>
    </row>
    <row r="1110" spans="1:8" x14ac:dyDescent="0.3">
      <c r="A1110" s="1">
        <v>45462</v>
      </c>
      <c r="B1110" s="3">
        <f>(Master_Table!B1110-Master_Table!B1109)/Master_Table!B1109</f>
        <v>-1.7785965642099445E-3</v>
      </c>
      <c r="C1110" s="3">
        <f>(Master_Table!C1110-Master_Table!C1109)/Master_Table!C1109</f>
        <v>-1.5111105109281974E-2</v>
      </c>
      <c r="D1110" s="3">
        <f>(Master_Table!D1110-Master_Table!D1109)/Master_Table!D1109</f>
        <v>3.1138545953360804E-2</v>
      </c>
      <c r="E1110" s="3">
        <f>(Master_Table!E1110-Master_Table!E1109)/Master_Table!E1109</f>
        <v>-1.1883629191321621E-2</v>
      </c>
      <c r="F1110" s="3">
        <f>(Master_Table!F1110-Master_Table!F1109)/Master_Table!F1109</f>
        <v>-3.5123587848287308E-3</v>
      </c>
      <c r="G1110" s="3">
        <f>(Master_Table!G1110-Master_Table!G1109)/Master_Table!G1109</f>
        <v>8.7771993058335749E-3</v>
      </c>
      <c r="H1110" s="3">
        <f>(Master_Table!H1110-Master_Table!H1109)/Master_Table!H1109</f>
        <v>-2.6902851566735338E-2</v>
      </c>
    </row>
    <row r="1111" spans="1:8" x14ac:dyDescent="0.3">
      <c r="A1111" s="1">
        <v>45463</v>
      </c>
      <c r="B1111" s="3">
        <f>(Master_Table!B1111-Master_Table!B1110)/Master_Table!B1110</f>
        <v>2.1687361796223848E-3</v>
      </c>
      <c r="C1111" s="3">
        <f>(Master_Table!C1111-Master_Table!C1110)/Master_Table!C1110</f>
        <v>1.0317759572207146E-2</v>
      </c>
      <c r="D1111" s="3">
        <f>(Master_Table!D1111-Master_Table!D1110)/Master_Table!D1110</f>
        <v>6.9297471186522894E-3</v>
      </c>
      <c r="E1111" s="3">
        <f>(Master_Table!E1111-Master_Table!E1110)/Master_Table!E1110</f>
        <v>-8.2339438095709397E-4</v>
      </c>
      <c r="F1111" s="3">
        <f>(Master_Table!F1111-Master_Table!F1110)/Master_Table!F1110</f>
        <v>-3.8009311623746793E-3</v>
      </c>
      <c r="G1111" s="3">
        <f>(Master_Table!G1111-Master_Table!G1110)/Master_Table!G1110</f>
        <v>2.6797234260761455E-3</v>
      </c>
      <c r="H1111" s="3">
        <f>(Master_Table!H1111-Master_Table!H1110)/Master_Table!H1110</f>
        <v>1.253499352358668E-3</v>
      </c>
    </row>
    <row r="1112" spans="1:8" x14ac:dyDescent="0.3">
      <c r="A1112" s="1">
        <v>45464</v>
      </c>
      <c r="B1112" s="3">
        <f>(Master_Table!B1112-Master_Table!B1111)/Master_Table!B1111</f>
        <v>-2.7962829380065962E-3</v>
      </c>
      <c r="C1112" s="3">
        <f>(Master_Table!C1112-Master_Table!C1111)/Master_Table!C1111</f>
        <v>-1.3232001085702653E-2</v>
      </c>
      <c r="D1112" s="3">
        <f>(Master_Table!D1112-Master_Table!D1111)/Master_Table!D1111</f>
        <v>-2.149891904876384E-3</v>
      </c>
      <c r="E1112" s="3">
        <f>(Master_Table!E1112-Master_Table!E1111)/Master_Table!E1111</f>
        <v>-8.7401673117742541E-3</v>
      </c>
      <c r="F1112" s="3">
        <f>(Master_Table!F1112-Master_Table!F1111)/Master_Table!F1111</f>
        <v>6.2050300349858079E-3</v>
      </c>
      <c r="G1112" s="3">
        <f>(Master_Table!G1112-Master_Table!G1111)/Master_Table!G1111</f>
        <v>1.1416127755048142E-2</v>
      </c>
      <c r="H1112" s="3">
        <f>(Master_Table!H1112-Master_Table!H1111)/Master_Table!H1111</f>
        <v>-1.6539387110684478E-2</v>
      </c>
    </row>
    <row r="1113" spans="1:8" x14ac:dyDescent="0.3">
      <c r="A1113" s="1">
        <v>45467</v>
      </c>
      <c r="B1113" s="3">
        <f>(Master_Table!B1113-Master_Table!B1112)/Master_Table!B1112</f>
        <v>1.5637565901170584E-3</v>
      </c>
      <c r="C1113" s="3">
        <f>(Master_Table!C1113-Master_Table!C1112)/Master_Table!C1112</f>
        <v>-8.7539540640902344E-3</v>
      </c>
      <c r="D1113" s="3">
        <f>(Master_Table!D1113-Master_Table!D1112)/Master_Table!D1112</f>
        <v>3.9840637450199914E-3</v>
      </c>
      <c r="E1113" s="3">
        <f>(Master_Table!E1113-Master_Table!E1112)/Master_Table!E1112</f>
        <v>8.8172313893437465E-3</v>
      </c>
      <c r="F1113" s="3">
        <f>(Master_Table!F1113-Master_Table!F1112)/Master_Table!F1112</f>
        <v>1.5876139867480631E-3</v>
      </c>
      <c r="G1113" s="3">
        <f>(Master_Table!G1113-Master_Table!G1112)/Master_Table!G1112</f>
        <v>-3.62106087296924E-3</v>
      </c>
      <c r="H1113" s="3">
        <f>(Master_Table!H1113-Master_Table!H1112)/Master_Table!H1112</f>
        <v>-9.6181046676098751E-4</v>
      </c>
    </row>
    <row r="1114" spans="1:8" x14ac:dyDescent="0.3">
      <c r="A1114" s="1">
        <v>45468</v>
      </c>
      <c r="B1114" s="3">
        <f>(Master_Table!B1114-Master_Table!B1113)/Master_Table!B1113</f>
        <v>7.7938299377386102E-3</v>
      </c>
      <c r="C1114" s="3">
        <f>(Master_Table!C1114-Master_Table!C1113)/Master_Table!C1113</f>
        <v>8.7965757178436344E-3</v>
      </c>
      <c r="D1114" s="3">
        <f>(Master_Table!D1114-Master_Table!D1113)/Master_Table!D1113</f>
        <v>2.329401045413124E-2</v>
      </c>
      <c r="E1114" s="3">
        <f>(Master_Table!E1114-Master_Table!E1113)/Master_Table!E1113</f>
        <v>0</v>
      </c>
      <c r="F1114" s="3">
        <f>(Master_Table!F1114-Master_Table!F1113)/Master_Table!F1113</f>
        <v>5.6722909243344258E-3</v>
      </c>
      <c r="G1114" s="3">
        <f>(Master_Table!G1114-Master_Table!G1113)/Master_Table!G1113</f>
        <v>9.691254952034805E-3</v>
      </c>
      <c r="H1114" s="3">
        <f>(Master_Table!H1114-Master_Table!H1113)/Master_Table!H1113</f>
        <v>1.5913466983803453E-2</v>
      </c>
    </row>
    <row r="1115" spans="1:8" x14ac:dyDescent="0.3">
      <c r="A1115" s="1">
        <v>45469</v>
      </c>
      <c r="B1115" s="3">
        <f>(Master_Table!B1115-Master_Table!B1114)/Master_Table!B1114</f>
        <v>6.2180403266262809E-3</v>
      </c>
      <c r="C1115" s="3">
        <f>(Master_Table!C1115-Master_Table!C1114)/Master_Table!C1114</f>
        <v>4.1178695457827513E-2</v>
      </c>
      <c r="D1115" s="3">
        <f>(Master_Table!D1115-Master_Table!D1114)/Master_Table!D1114</f>
        <v>-5.7524456680920488E-3</v>
      </c>
      <c r="E1115" s="3">
        <f>(Master_Table!E1115-Master_Table!E1114)/Master_Table!E1114</f>
        <v>1.5232863029092613E-3</v>
      </c>
      <c r="F1115" s="3">
        <f>(Master_Table!F1115-Master_Table!F1114)/Master_Table!F1114</f>
        <v>4.5330797587568141E-3</v>
      </c>
      <c r="G1115" s="3">
        <f>(Master_Table!G1115-Master_Table!G1114)/Master_Table!G1114</f>
        <v>-8.1066182431336936E-4</v>
      </c>
      <c r="H1115" s="3">
        <f>(Master_Table!H1115-Master_Table!H1114)/Master_Table!H1114</f>
        <v>4.222643402642186E-3</v>
      </c>
    </row>
    <row r="1116" spans="1:8" x14ac:dyDescent="0.3">
      <c r="A1116" s="1">
        <v>45470</v>
      </c>
      <c r="B1116" s="3">
        <f>(Master_Table!B1116-Master_Table!B1115)/Master_Table!B1115</f>
        <v>7.3610738704920535E-3</v>
      </c>
      <c r="C1116" s="3">
        <f>(Master_Table!C1116-Master_Table!C1115)/Master_Table!C1115</f>
        <v>1.0911276526885189E-2</v>
      </c>
      <c r="D1116" s="3">
        <f>(Master_Table!D1116-Master_Table!D1115)/Master_Table!D1115</f>
        <v>-3.146210407239771E-3</v>
      </c>
      <c r="E1116" s="3">
        <f>(Master_Table!E1116-Master_Table!E1115)/Master_Table!E1115</f>
        <v>3.8896923153642904E-3</v>
      </c>
      <c r="F1116" s="3">
        <f>(Master_Table!F1116-Master_Table!F1115)/Master_Table!F1115</f>
        <v>2.0306806540710917E-2</v>
      </c>
      <c r="G1116" s="3">
        <f>(Master_Table!G1116-Master_Table!G1115)/Master_Table!G1115</f>
        <v>2.1191666125786889E-2</v>
      </c>
      <c r="H1116" s="3">
        <f>(Master_Table!H1116-Master_Table!H1115)/Master_Table!H1115</f>
        <v>-1.069956563371674E-2</v>
      </c>
    </row>
    <row r="1117" spans="1:8" x14ac:dyDescent="0.3">
      <c r="A1117" s="1">
        <v>45471</v>
      </c>
      <c r="B1117" s="3">
        <f>(Master_Table!B1117-Master_Table!B1116)/Master_Table!B1116</f>
        <v>-1.409885836677887E-3</v>
      </c>
      <c r="C1117" s="3">
        <f>(Master_Table!C1117-Master_Table!C1116)/Master_Table!C1116</f>
        <v>2.276959263010038E-2</v>
      </c>
      <c r="D1117" s="3">
        <f>(Master_Table!D1117-Master_Table!D1116)/Master_Table!D1116</f>
        <v>-7.2815820891994768E-3</v>
      </c>
      <c r="E1117" s="3">
        <f>(Master_Table!E1117-Master_Table!E1116)/Master_Table!E1116</f>
        <v>-1.6392628284735606E-3</v>
      </c>
      <c r="F1117" s="3">
        <f>(Master_Table!F1117-Master_Table!F1116)/Master_Table!F1116</f>
        <v>-7.6255353761295322E-3</v>
      </c>
      <c r="G1117" s="3">
        <f>(Master_Table!G1117-Master_Table!G1116)/Master_Table!G1116</f>
        <v>-4.1948708170463722E-3</v>
      </c>
      <c r="H1117" s="3">
        <f>(Master_Table!H1117-Master_Table!H1116)/Master_Table!H1116</f>
        <v>-4.4748064190327326E-3</v>
      </c>
    </row>
    <row r="1118" spans="1:8" x14ac:dyDescent="0.3">
      <c r="A1118" s="1">
        <v>45474</v>
      </c>
      <c r="B1118" s="3">
        <f>(Master_Table!B1118-Master_Table!B1117)/Master_Table!B1117</f>
        <v>5.4705005289331461E-3</v>
      </c>
      <c r="C1118" s="3">
        <f>(Master_Table!C1118-Master_Table!C1117)/Master_Table!C1117</f>
        <v>-3.3537753928708316E-3</v>
      </c>
      <c r="D1118" s="3">
        <f>(Master_Table!D1118-Master_Table!D1117)/Master_Table!D1117</f>
        <v>1.2705254760005327E-2</v>
      </c>
      <c r="E1118" s="3">
        <f>(Master_Table!E1118-Master_Table!E1117)/Master_Table!E1117</f>
        <v>9.7770922479848924E-3</v>
      </c>
      <c r="F1118" s="3">
        <f>(Master_Table!F1118-Master_Table!F1117)/Master_Table!F1117</f>
        <v>1.8966996657402948E-2</v>
      </c>
      <c r="G1118" s="3">
        <f>(Master_Table!G1118-Master_Table!G1117)/Master_Table!G1117</f>
        <v>1.5350247327269797E-2</v>
      </c>
      <c r="H1118" s="3">
        <f>(Master_Table!H1118-Master_Table!H1117)/Master_Table!H1117</f>
        <v>-6.1717087742534449E-3</v>
      </c>
    </row>
    <row r="1119" spans="1:8" x14ac:dyDescent="0.3">
      <c r="A1119" s="1">
        <v>45475</v>
      </c>
      <c r="B1119" s="3">
        <f>(Master_Table!B1119-Master_Table!B1118)/Master_Table!B1118</f>
        <v>-7.4973231242721412E-4</v>
      </c>
      <c r="C1119" s="3">
        <f>(Master_Table!C1119-Master_Table!C1118)/Master_Table!C1118</f>
        <v>3.2240489696503363E-3</v>
      </c>
      <c r="D1119" s="3">
        <f>(Master_Table!D1119-Master_Table!D1118)/Master_Table!D1118</f>
        <v>1.4897469664189585E-2</v>
      </c>
      <c r="E1119" s="3">
        <f>(Master_Table!E1119-Master_Table!E1118)/Master_Table!E1118</f>
        <v>-8.2781049052699351E-3</v>
      </c>
      <c r="F1119" s="3">
        <f>(Master_Table!F1119-Master_Table!F1118)/Master_Table!F1118</f>
        <v>9.8537026796039102E-3</v>
      </c>
      <c r="G1119" s="3">
        <f>(Master_Table!G1119-Master_Table!G1118)/Master_Table!G1118</f>
        <v>1.9015589640432488E-2</v>
      </c>
      <c r="H1119" s="3">
        <f>(Master_Table!H1119-Master_Table!H1118)/Master_Table!H1118</f>
        <v>2.8342147424536675E-2</v>
      </c>
    </row>
    <row r="1120" spans="1:8" x14ac:dyDescent="0.3">
      <c r="A1120" s="1">
        <v>45476</v>
      </c>
      <c r="B1120" s="3">
        <f>(Master_Table!B1120-Master_Table!B1119)/Master_Table!B1119</f>
        <v>6.7422903060664636E-3</v>
      </c>
      <c r="C1120" s="3">
        <f>(Master_Table!C1120-Master_Table!C1119)/Master_Table!C1119</f>
        <v>-8.1460279328895071E-3</v>
      </c>
      <c r="D1120" s="3">
        <f>(Master_Table!D1120-Master_Table!D1119)/Master_Table!D1119</f>
        <v>2.1989225511208965E-2</v>
      </c>
      <c r="E1120" s="3">
        <f>(Master_Table!E1120-Master_Table!E1119)/Master_Table!E1119</f>
        <v>6.5833602464413438E-3</v>
      </c>
      <c r="F1120" s="3">
        <f>(Master_Table!F1120-Master_Table!F1119)/Master_Table!F1119</f>
        <v>-1.2981032508587667E-2</v>
      </c>
      <c r="G1120" s="3">
        <f>(Master_Table!G1120-Master_Table!G1119)/Master_Table!G1119</f>
        <v>3.9172141513217585E-3</v>
      </c>
      <c r="H1120" s="3">
        <f>(Master_Table!H1120-Master_Table!H1119)/Master_Table!H1119</f>
        <v>-3.3503377912588147E-3</v>
      </c>
    </row>
    <row r="1121" spans="1:8" x14ac:dyDescent="0.3">
      <c r="A1121" s="1">
        <v>45477</v>
      </c>
      <c r="B1121" s="3">
        <f>(Master_Table!B1121-Master_Table!B1120)/Master_Table!B1120</f>
        <v>6.4439091676451749E-4</v>
      </c>
      <c r="C1121" s="3">
        <f>(Master_Table!C1121-Master_Table!C1120)/Master_Table!C1120</f>
        <v>1.0306422833879201E-3</v>
      </c>
      <c r="D1121" s="3">
        <f>(Master_Table!D1121-Master_Table!D1120)/Master_Table!D1120</f>
        <v>-2.3465929058075392E-2</v>
      </c>
      <c r="E1121" s="3">
        <f>(Master_Table!E1121-Master_Table!E1120)/Master_Table!E1120</f>
        <v>1.7523076163679834E-3</v>
      </c>
      <c r="F1121" s="3">
        <f>(Master_Table!F1121-Master_Table!F1120)/Master_Table!F1120</f>
        <v>1.4047033604438514E-2</v>
      </c>
      <c r="G1121" s="3">
        <f>(Master_Table!G1121-Master_Table!G1120)/Master_Table!G1120</f>
        <v>1.4286592110114292E-2</v>
      </c>
      <c r="H1121" s="3">
        <f>(Master_Table!H1121-Master_Table!H1120)/Master_Table!H1120</f>
        <v>-1.1357505498913976E-2</v>
      </c>
    </row>
    <row r="1122" spans="1:8" x14ac:dyDescent="0.3">
      <c r="A1122" s="1">
        <v>45478</v>
      </c>
      <c r="B1122" s="3">
        <f>(Master_Table!B1122-Master_Table!B1121)/Master_Table!B1121</f>
        <v>8.9292511156408331E-4</v>
      </c>
      <c r="C1122" s="3">
        <f>(Master_Table!C1122-Master_Table!C1121)/Master_Table!C1121</f>
        <v>2.2264692444804886E-2</v>
      </c>
      <c r="D1122" s="3">
        <f>(Master_Table!D1122-Master_Table!D1121)/Master_Table!D1121</f>
        <v>-4.5772726745063386E-2</v>
      </c>
      <c r="E1122" s="3">
        <f>(Master_Table!E1122-Master_Table!E1121)/Master_Table!E1121</f>
        <v>1.0717189386286982E-2</v>
      </c>
      <c r="F1122" s="3">
        <f>(Master_Table!F1122-Master_Table!F1121)/Master_Table!F1121</f>
        <v>-2.2755816411543632E-3</v>
      </c>
      <c r="G1122" s="3">
        <f>(Master_Table!G1122-Master_Table!G1121)/Master_Table!G1121</f>
        <v>-1.9386302365734984E-3</v>
      </c>
      <c r="H1122" s="3">
        <f>(Master_Table!H1122-Master_Table!H1121)/Master_Table!H1121</f>
        <v>1.5070103265888648E-2</v>
      </c>
    </row>
    <row r="1123" spans="1:8" x14ac:dyDescent="0.3">
      <c r="A1123" s="1">
        <v>45481</v>
      </c>
      <c r="B1123" s="3">
        <f>(Master_Table!B1123-Master_Table!B1122)/Master_Table!B1122</f>
        <v>-1.3566931221822501E-4</v>
      </c>
      <c r="C1123" s="3">
        <f>(Master_Table!C1123-Master_Table!C1122)/Master_Table!C1122</f>
        <v>7.7236360889571401E-3</v>
      </c>
      <c r="D1123" s="3">
        <f>(Master_Table!D1123-Master_Table!D1122)/Master_Table!D1122</f>
        <v>-7.7250608272506358E-3</v>
      </c>
      <c r="E1123" s="3">
        <f>(Master_Table!E1123-Master_Table!E1122)/Master_Table!E1122</f>
        <v>2.2937792511700389E-2</v>
      </c>
      <c r="F1123" s="3">
        <f>(Master_Table!F1123-Master_Table!F1122)/Master_Table!F1122</f>
        <v>-4.6363228475996719E-3</v>
      </c>
      <c r="G1123" s="3">
        <f>(Master_Table!G1123-Master_Table!G1122)/Master_Table!G1122</f>
        <v>8.6193814683298703E-3</v>
      </c>
      <c r="H1123" s="3">
        <f>(Master_Table!H1123-Master_Table!H1122)/Master_Table!H1122</f>
        <v>1.3371379733399249E-3</v>
      </c>
    </row>
    <row r="1124" spans="1:8" x14ac:dyDescent="0.3">
      <c r="A1124" s="1">
        <v>45482</v>
      </c>
      <c r="B1124" s="3">
        <f>(Master_Table!B1124-Master_Table!B1123)/Master_Table!B1123</f>
        <v>4.6318853808816601E-3</v>
      </c>
      <c r="C1124" s="3">
        <f>(Master_Table!C1124-Master_Table!C1123)/Master_Table!C1123</f>
        <v>-6.6337685052158899E-3</v>
      </c>
      <c r="D1124" s="3">
        <f>(Master_Table!D1124-Master_Table!D1123)/Master_Table!D1123</f>
        <v>6.9882915466198741E-4</v>
      </c>
      <c r="E1124" s="3">
        <f>(Master_Table!E1124-Master_Table!E1123)/Master_Table!E1123</f>
        <v>2.0302633146669937E-2</v>
      </c>
      <c r="F1124" s="3">
        <f>(Master_Table!F1124-Master_Table!F1123)/Master_Table!F1123</f>
        <v>-1.9282780727235846E-3</v>
      </c>
      <c r="G1124" s="3">
        <f>(Master_Table!G1124-Master_Table!G1123)/Master_Table!G1123</f>
        <v>-2.7081515361237324E-3</v>
      </c>
      <c r="H1124" s="3">
        <f>(Master_Table!H1124-Master_Table!H1123)/Master_Table!H1123</f>
        <v>9.3887665198237637E-3</v>
      </c>
    </row>
    <row r="1125" spans="1:8" x14ac:dyDescent="0.3">
      <c r="A1125" s="1">
        <v>45483</v>
      </c>
      <c r="B1125" s="3">
        <f>(Master_Table!B1125-Master_Table!B1124)/Master_Table!B1124</f>
        <v>-4.4509110554491428E-3</v>
      </c>
      <c r="C1125" s="3">
        <f>(Master_Table!C1125-Master_Table!C1124)/Master_Table!C1124</f>
        <v>-3.8106496969086863E-3</v>
      </c>
      <c r="D1125" s="3">
        <f>(Master_Table!D1125-Master_Table!D1124)/Master_Table!D1124</f>
        <v>-6.3585797946632706E-3</v>
      </c>
      <c r="E1125" s="3">
        <f>(Master_Table!E1125-Master_Table!E1124)/Master_Table!E1124</f>
        <v>-2.5457178223603515E-3</v>
      </c>
      <c r="F1125" s="3">
        <f>(Master_Table!F1125-Master_Table!F1124)/Master_Table!F1124</f>
        <v>-1.9156943921716199E-2</v>
      </c>
      <c r="G1125" s="3">
        <f>(Master_Table!G1125-Master_Table!G1124)/Master_Table!G1124</f>
        <v>-5.3706665057478746E-3</v>
      </c>
      <c r="H1125" s="3">
        <f>(Master_Table!H1125-Master_Table!H1124)/Master_Table!H1124</f>
        <v>-4.3779493194402025E-3</v>
      </c>
    </row>
    <row r="1126" spans="1:8" x14ac:dyDescent="0.3">
      <c r="A1126" s="1">
        <v>45484</v>
      </c>
      <c r="B1126" s="3">
        <f>(Master_Table!B1126-Master_Table!B1125)/Master_Table!B1125</f>
        <v>-3.4944263899080964E-4</v>
      </c>
      <c r="C1126" s="3">
        <f>(Master_Table!C1126-Master_Table!C1125)/Master_Table!C1125</f>
        <v>-2.2534748961633715E-3</v>
      </c>
      <c r="D1126" s="3">
        <f>(Master_Table!D1126-Master_Table!D1125)/Master_Table!D1125</f>
        <v>-2.5769700257695996E-3</v>
      </c>
      <c r="E1126" s="3">
        <f>(Master_Table!E1126-Master_Table!E1125)/Master_Table!E1125</f>
        <v>1.5945490306265811E-2</v>
      </c>
      <c r="F1126" s="3">
        <f>(Master_Table!F1126-Master_Table!F1125)/Master_Table!F1125</f>
        <v>3.7220367599093735E-3</v>
      </c>
      <c r="G1126" s="3">
        <f>(Master_Table!G1126-Master_Table!G1125)/Master_Table!G1125</f>
        <v>2.6998331563780043E-3</v>
      </c>
      <c r="H1126" s="3">
        <f>(Master_Table!H1126-Master_Table!H1125)/Master_Table!H1125</f>
        <v>-7.9313982000247321E-3</v>
      </c>
    </row>
    <row r="1127" spans="1:8" x14ac:dyDescent="0.3">
      <c r="A1127" s="1">
        <v>45485</v>
      </c>
      <c r="B1127" s="3">
        <f>(Master_Table!B1127-Master_Table!B1126)/Master_Table!B1126</f>
        <v>7.6575252046496524E-3</v>
      </c>
      <c r="C1127" s="3">
        <f>(Master_Table!C1127-Master_Table!C1126)/Master_Table!C1126</f>
        <v>1.0166703571315557E-2</v>
      </c>
      <c r="D1127" s="3">
        <f>(Master_Table!D1127-Master_Table!D1126)/Master_Table!D1126</f>
        <v>4.9447425025338991E-4</v>
      </c>
      <c r="E1127" s="3">
        <f>(Master_Table!E1127-Master_Table!E1126)/Master_Table!E1126</f>
        <v>8.7579801332133829E-4</v>
      </c>
      <c r="F1127" s="3">
        <f>(Master_Table!F1127-Master_Table!F1126)/Master_Table!F1126</f>
        <v>6.6327700894563801E-2</v>
      </c>
      <c r="G1127" s="3">
        <f>(Master_Table!G1127-Master_Table!G1126)/Master_Table!G1126</f>
        <v>3.5729412476553493E-2</v>
      </c>
      <c r="H1127" s="3">
        <f>(Master_Table!H1127-Master_Table!H1126)/Master_Table!H1126</f>
        <v>7.8014967827455747E-3</v>
      </c>
    </row>
    <row r="1128" spans="1:8" x14ac:dyDescent="0.3">
      <c r="A1128" s="1">
        <v>45488</v>
      </c>
      <c r="B1128" s="3">
        <f>(Master_Table!B1128-Master_Table!B1127)/Master_Table!B1127</f>
        <v>3.4507175900890031E-3</v>
      </c>
      <c r="C1128" s="3">
        <f>(Master_Table!C1128-Master_Table!C1127)/Master_Table!C1127</f>
        <v>3.1314194097900697E-4</v>
      </c>
      <c r="D1128" s="3">
        <f>(Master_Table!D1128-Master_Table!D1127)/Master_Table!D1127</f>
        <v>-3.7067239973320016E-4</v>
      </c>
      <c r="E1128" s="3">
        <f>(Master_Table!E1128-Master_Table!E1127)/Master_Table!E1127</f>
        <v>9.4641582425680198E-3</v>
      </c>
      <c r="F1128" s="3">
        <f>(Master_Table!F1128-Master_Table!F1127)/Master_Table!F1127</f>
        <v>-3.5253767372937059E-3</v>
      </c>
      <c r="G1128" s="3">
        <f>(Master_Table!G1128-Master_Table!G1127)/Master_Table!G1127</f>
        <v>-2.7457280560829827E-3</v>
      </c>
      <c r="H1128" s="3">
        <f>(Master_Table!H1128-Master_Table!H1127)/Master_Table!H1127</f>
        <v>6.1654815241070327E-4</v>
      </c>
    </row>
    <row r="1129" spans="1:8" x14ac:dyDescent="0.3">
      <c r="A1129" s="1">
        <v>45489</v>
      </c>
      <c r="B1129" s="3">
        <f>(Master_Table!B1129-Master_Table!B1128)/Master_Table!B1128</f>
        <v>1.0696840161550461E-3</v>
      </c>
      <c r="C1129" s="3">
        <f>(Master_Table!C1129-Master_Table!C1128)/Master_Table!C1128</f>
        <v>-1.3129061744781574E-2</v>
      </c>
      <c r="D1129" s="3">
        <f>(Master_Table!D1129-Master_Table!D1128)/Master_Table!D1128</f>
        <v>-1.4585187382576263E-3</v>
      </c>
      <c r="E1129" s="3">
        <f>(Master_Table!E1129-Master_Table!E1128)/Master_Table!E1128</f>
        <v>4.6534969661025148E-3</v>
      </c>
      <c r="F1129" s="3">
        <f>(Master_Table!F1129-Master_Table!F1128)/Master_Table!F1128</f>
        <v>2.2186510601554256E-3</v>
      </c>
      <c r="G1129" s="3">
        <f>(Master_Table!G1129-Master_Table!G1128)/Master_Table!G1128</f>
        <v>1.1130312527459652E-2</v>
      </c>
      <c r="H1129" s="3">
        <f>(Master_Table!H1129-Master_Table!H1128)/Master_Table!H1128</f>
        <v>-4.1214809946324149E-3</v>
      </c>
    </row>
    <row r="1130" spans="1:8" x14ac:dyDescent="0.3">
      <c r="A1130" s="1">
        <v>45491</v>
      </c>
      <c r="B1130" s="3">
        <f>(Master_Table!B1130-Master_Table!B1129)/Master_Table!B1129</f>
        <v>7.6321456141063074E-3</v>
      </c>
      <c r="C1130" s="3">
        <f>(Master_Table!C1130-Master_Table!C1129)/Master_Table!C1129</f>
        <v>6.6169706582078118E-3</v>
      </c>
      <c r="D1130" s="3">
        <f>(Master_Table!D1130-Master_Table!D1129)/Master_Table!D1129</f>
        <v>-3.0450820686753104E-3</v>
      </c>
      <c r="E1130" s="3">
        <f>(Master_Table!E1130-Master_Table!E1129)/Master_Table!E1129</f>
        <v>1.0081286045138726E-2</v>
      </c>
      <c r="F1130" s="3">
        <f>(Master_Table!F1130-Master_Table!F1129)/Master_Table!F1129</f>
        <v>3.2811209898407391E-2</v>
      </c>
      <c r="G1130" s="3">
        <f>(Master_Table!G1130-Master_Table!G1129)/Master_Table!G1129</f>
        <v>1.8539439761304715E-2</v>
      </c>
      <c r="H1130" s="3">
        <f>(Master_Table!H1130-Master_Table!H1129)/Master_Table!H1129</f>
        <v>5.4034730720049591E-3</v>
      </c>
    </row>
    <row r="1131" spans="1:8" x14ac:dyDescent="0.3">
      <c r="A1131" s="1">
        <v>45492</v>
      </c>
      <c r="B1131" s="3">
        <f>(Master_Table!B1131-Master_Table!B1130)/Master_Table!B1130</f>
        <v>-1.0884707580586839E-2</v>
      </c>
      <c r="C1131" s="3">
        <f>(Master_Table!C1131-Master_Table!C1130)/Master_Table!C1130</f>
        <v>-1.9871681750573508E-2</v>
      </c>
      <c r="D1131" s="3">
        <f>(Master_Table!D1131-Master_Table!D1130)/Master_Table!D1130</f>
        <v>-4.6436553265458268E-3</v>
      </c>
      <c r="E1131" s="3">
        <f>(Master_Table!E1131-Master_Table!E1130)/Master_Table!E1130</f>
        <v>9.1489457357370706E-3</v>
      </c>
      <c r="F1131" s="3">
        <f>(Master_Table!F1131-Master_Table!F1130)/Master_Table!F1130</f>
        <v>-3.0471202975288305E-3</v>
      </c>
      <c r="G1131" s="3">
        <f>(Master_Table!G1131-Master_Table!G1130)/Master_Table!G1130</f>
        <v>1.9851540058587691E-2</v>
      </c>
      <c r="H1131" s="3">
        <f>(Master_Table!H1131-Master_Table!H1130)/Master_Table!H1130</f>
        <v>-1.0311252119687057E-2</v>
      </c>
    </row>
    <row r="1132" spans="1:8" x14ac:dyDescent="0.3">
      <c r="A1132" s="1">
        <v>45495</v>
      </c>
      <c r="B1132" s="3">
        <f>(Master_Table!B1132-Master_Table!B1131)/Master_Table!B1131</f>
        <v>-8.8256036264472372E-4</v>
      </c>
      <c r="C1132" s="3">
        <f>(Master_Table!C1132-Master_Table!C1131)/Master_Table!C1131</f>
        <v>-3.5025560235347086E-2</v>
      </c>
      <c r="D1132" s="3">
        <f>(Master_Table!D1132-Master_Table!D1131)/Master_Table!D1131</f>
        <v>2.1929496295187537E-2</v>
      </c>
      <c r="E1132" s="3">
        <f>(Master_Table!E1132-Master_Table!E1131)/Master_Table!E1131</f>
        <v>-1.6862317065021257E-2</v>
      </c>
      <c r="F1132" s="3">
        <f>(Master_Table!F1132-Master_Table!F1131)/Master_Table!F1131</f>
        <v>-3.4980476013386189E-3</v>
      </c>
      <c r="G1132" s="3">
        <f>(Master_Table!G1132-Master_Table!G1131)/Master_Table!G1131</f>
        <v>9.9835466688975513E-3</v>
      </c>
      <c r="H1132" s="3">
        <f>(Master_Table!H1132-Master_Table!H1131)/Master_Table!H1131</f>
        <v>9.1059831421859382E-3</v>
      </c>
    </row>
    <row r="1133" spans="1:8" x14ac:dyDescent="0.3">
      <c r="A1133" s="1">
        <v>45496</v>
      </c>
      <c r="B1133" s="3">
        <f>(Master_Table!B1133-Master_Table!B1132)/Master_Table!B1132</f>
        <v>-1.2321878474453819E-3</v>
      </c>
      <c r="C1133" s="3">
        <f>(Master_Table!C1133-Master_Table!C1132)/Master_Table!C1132</f>
        <v>-8.516139350161241E-3</v>
      </c>
      <c r="D1133" s="3">
        <f>(Master_Table!D1133-Master_Table!D1132)/Master_Table!D1132</f>
        <v>-1.4708754455348805E-2</v>
      </c>
      <c r="E1133" s="3">
        <f>(Master_Table!E1133-Master_Table!E1132)/Master_Table!E1132</f>
        <v>5.4989124524197894E-2</v>
      </c>
      <c r="F1133" s="3">
        <f>(Master_Table!F1133-Master_Table!F1132)/Master_Table!F1132</f>
        <v>3.4986646763152059E-3</v>
      </c>
      <c r="G1133" s="3">
        <f>(Master_Table!G1133-Master_Table!G1132)/Master_Table!G1132</f>
        <v>1.4385509567330361E-2</v>
      </c>
      <c r="H1133" s="3">
        <f>(Master_Table!H1133-Master_Table!H1132)/Master_Table!H1132</f>
        <v>-3.1056155773733624E-2</v>
      </c>
    </row>
    <row r="1134" spans="1:8" x14ac:dyDescent="0.3">
      <c r="A1134" s="1">
        <v>45497</v>
      </c>
      <c r="B1134" s="3">
        <f>(Master_Table!B1134-Master_Table!B1133)/Master_Table!B1133</f>
        <v>-2.677799996323357E-3</v>
      </c>
      <c r="C1134" s="3">
        <f>(Master_Table!C1134-Master_Table!C1133)/Master_Table!C1133</f>
        <v>5.2422877881577751E-3</v>
      </c>
      <c r="D1134" s="3">
        <f>(Master_Table!D1134-Master_Table!D1133)/Master_Table!D1133</f>
        <v>-8.8702783731216713E-3</v>
      </c>
      <c r="E1134" s="3">
        <f>(Master_Table!E1134-Master_Table!E1133)/Master_Table!E1133</f>
        <v>3.7583489036359342E-3</v>
      </c>
      <c r="F1134" s="3">
        <f>(Master_Table!F1134-Master_Table!F1133)/Master_Table!F1133</f>
        <v>9.0648134159230088E-4</v>
      </c>
      <c r="G1134" s="3">
        <f>(Master_Table!G1134-Master_Table!G1133)/Master_Table!G1133</f>
        <v>-1.605966574119465E-3</v>
      </c>
      <c r="H1134" s="3">
        <f>(Master_Table!H1134-Master_Table!H1133)/Master_Table!H1133</f>
        <v>-5.2571331665749108E-3</v>
      </c>
    </row>
    <row r="1135" spans="1:8" x14ac:dyDescent="0.3">
      <c r="A1135" s="1">
        <v>45498</v>
      </c>
      <c r="B1135" s="3">
        <f>(Master_Table!B1135-Master_Table!B1134)/Master_Table!B1134</f>
        <v>-3.0311098367712352E-4</v>
      </c>
      <c r="C1135" s="3">
        <f>(Master_Table!C1135-Master_Table!C1134)/Master_Table!C1134</f>
        <v>-2.2063247977535299E-3</v>
      </c>
      <c r="D1135" s="3">
        <f>(Master_Table!D1135-Master_Table!D1134)/Master_Table!D1134</f>
        <v>7.8247065735034833E-3</v>
      </c>
      <c r="E1135" s="3">
        <f>(Master_Table!E1135-Master_Table!E1134)/Master_Table!E1134</f>
        <v>-8.3015961316273597E-3</v>
      </c>
      <c r="F1135" s="3">
        <f>(Master_Table!F1135-Master_Table!F1134)/Master_Table!F1134</f>
        <v>3.7735849056603774E-3</v>
      </c>
      <c r="G1135" s="3">
        <f>(Master_Table!G1135-Master_Table!G1134)/Master_Table!G1134</f>
        <v>-4.9619673382590235E-3</v>
      </c>
      <c r="H1135" s="3">
        <f>(Master_Table!H1135-Master_Table!H1134)/Master_Table!H1134</f>
        <v>2.8328289931665539E-2</v>
      </c>
    </row>
    <row r="1136" spans="1:8" x14ac:dyDescent="0.3">
      <c r="A1136" s="1">
        <v>45499</v>
      </c>
      <c r="B1136" s="3">
        <f>(Master_Table!B1136-Master_Table!B1135)/Master_Table!B1135</f>
        <v>1.7567329479105633E-2</v>
      </c>
      <c r="C1136" s="3">
        <f>(Master_Table!C1136-Master_Table!C1135)/Master_Table!C1135</f>
        <v>1.1143125167515332E-2</v>
      </c>
      <c r="D1136" s="3">
        <f>(Master_Table!D1136-Master_Table!D1135)/Master_Table!D1135</f>
        <v>9.6739386573079964E-4</v>
      </c>
      <c r="E1136" s="3">
        <f>(Master_Table!E1136-Master_Table!E1135)/Master_Table!E1135</f>
        <v>2.5005393743257769E-2</v>
      </c>
      <c r="F1136" s="3">
        <f>(Master_Table!F1136-Master_Table!F1135)/Master_Table!F1135</f>
        <v>1.5118565644881518E-2</v>
      </c>
      <c r="G1136" s="3">
        <f>(Master_Table!G1136-Master_Table!G1135)/Master_Table!G1135</f>
        <v>2.9618872784064543E-2</v>
      </c>
      <c r="H1136" s="3">
        <f>(Master_Table!H1136-Master_Table!H1135)/Master_Table!H1135</f>
        <v>1.6785709351643342E-2</v>
      </c>
    </row>
    <row r="1137" spans="1:8" x14ac:dyDescent="0.3">
      <c r="A1137" s="1">
        <v>45502</v>
      </c>
      <c r="B1137" s="3">
        <f>(Master_Table!B1137-Master_Table!B1136)/Master_Table!B1136</f>
        <v>5.0332496471692003E-5</v>
      </c>
      <c r="C1137" s="3">
        <f>(Master_Table!C1137-Master_Table!C1136)/Master_Table!C1136</f>
        <v>7.3358382537126081E-3</v>
      </c>
      <c r="D1137" s="3">
        <f>(Master_Table!D1137-Master_Table!D1136)/Master_Table!D1136</f>
        <v>-8.103386323367337E-3</v>
      </c>
      <c r="E1137" s="3">
        <f>(Master_Table!E1137-Master_Table!E1136)/Master_Table!E1136</f>
        <v>-1.2250310467490356E-2</v>
      </c>
      <c r="F1137" s="3">
        <f>(Master_Table!F1137-Master_Table!F1136)/Master_Table!F1136</f>
        <v>-1.5383388219743152E-3</v>
      </c>
      <c r="G1137" s="3">
        <f>(Master_Table!G1137-Master_Table!G1136)/Master_Table!G1136</f>
        <v>-4.1513651604663266E-3</v>
      </c>
      <c r="H1137" s="3">
        <f>(Master_Table!H1137-Master_Table!H1136)/Master_Table!H1136</f>
        <v>2.582950623658244E-2</v>
      </c>
    </row>
    <row r="1138" spans="1:8" x14ac:dyDescent="0.3">
      <c r="A1138" s="1">
        <v>45503</v>
      </c>
      <c r="B1138" s="3">
        <f>(Master_Table!B1138-Master_Table!B1137)/Master_Table!B1137</f>
        <v>8.5359617653338197E-4</v>
      </c>
      <c r="C1138" s="3">
        <f>(Master_Table!C1138-Master_Table!C1137)/Master_Table!C1137</f>
        <v>-4.5720676271296746E-3</v>
      </c>
      <c r="D1138" s="3">
        <f>(Master_Table!D1138-Master_Table!D1137)/Master_Table!D1137</f>
        <v>6.5456634979326311E-3</v>
      </c>
      <c r="E1138" s="3">
        <f>(Master_Table!E1138-Master_Table!E1137)/Master_Table!E1137</f>
        <v>-1.2402241779785611E-2</v>
      </c>
      <c r="F1138" s="3">
        <f>(Master_Table!F1138-Master_Table!F1137)/Master_Table!F1137</f>
        <v>-3.5949875602017756E-3</v>
      </c>
      <c r="G1138" s="3">
        <f>(Master_Table!G1138-Master_Table!G1137)/Master_Table!G1137</f>
        <v>3.2333921222811087E-3</v>
      </c>
      <c r="H1138" s="3">
        <f>(Master_Table!H1138-Master_Table!H1137)/Master_Table!H1137</f>
        <v>2.5695704578869317E-3</v>
      </c>
    </row>
    <row r="1139" spans="1:8" x14ac:dyDescent="0.3">
      <c r="A1139" s="1">
        <v>45504</v>
      </c>
      <c r="B1139" s="3">
        <f>(Master_Table!B1139-Master_Table!B1138)/Master_Table!B1138</f>
        <v>3.7755508442188887E-3</v>
      </c>
      <c r="C1139" s="3">
        <f>(Master_Table!C1139-Master_Table!C1138)/Master_Table!C1138</f>
        <v>-5.1019396622939079E-3</v>
      </c>
      <c r="D1139" s="3">
        <f>(Master_Table!D1139-Master_Table!D1138)/Master_Table!D1138</f>
        <v>1.2410489345597719E-4</v>
      </c>
      <c r="E1139" s="3">
        <f>(Master_Table!E1139-Master_Table!E1138)/Master_Table!E1138</f>
        <v>1.11338871507175E-2</v>
      </c>
      <c r="F1139" s="3">
        <f>(Master_Table!F1139-Master_Table!F1138)/Master_Table!F1138</f>
        <v>4.5815341267023257E-3</v>
      </c>
      <c r="G1139" s="3">
        <f>(Master_Table!G1139-Master_Table!G1138)/Master_Table!G1138</f>
        <v>-4.7412300562022693E-3</v>
      </c>
      <c r="H1139" s="3">
        <f>(Master_Table!H1139-Master_Table!H1138)/Master_Table!H1138</f>
        <v>8.0192355964223659E-3</v>
      </c>
    </row>
    <row r="1140" spans="1:8" x14ac:dyDescent="0.3">
      <c r="A1140" s="1">
        <v>45505</v>
      </c>
      <c r="B1140" s="3">
        <f>(Master_Table!B1140-Master_Table!B1139)/Master_Table!B1139</f>
        <v>2.3946792031629802E-3</v>
      </c>
      <c r="C1140" s="3">
        <f>(Master_Table!C1140-Master_Table!C1139)/Master_Table!C1139</f>
        <v>6.5562663159362379E-3</v>
      </c>
      <c r="D1140" s="3">
        <f>(Master_Table!D1140-Master_Table!D1139)/Master_Table!D1139</f>
        <v>1.4270291734398848E-2</v>
      </c>
      <c r="E1140" s="3">
        <f>(Master_Table!E1140-Master_Table!E1139)/Master_Table!E1139</f>
        <v>-3.3289942596188777E-3</v>
      </c>
      <c r="F1140" s="3">
        <f>(Master_Table!F1140-Master_Table!F1139)/Master_Table!F1139</f>
        <v>2.6793756484659145E-3</v>
      </c>
      <c r="G1140" s="3">
        <f>(Master_Table!G1140-Master_Table!G1139)/Master_Table!G1139</f>
        <v>-8.3768232302957792E-3</v>
      </c>
      <c r="H1140" s="3">
        <f>(Master_Table!H1140-Master_Table!H1139)/Master_Table!H1139</f>
        <v>-9.3577981651375673E-3</v>
      </c>
    </row>
    <row r="1141" spans="1:8" x14ac:dyDescent="0.3">
      <c r="A1141" s="1">
        <v>45506</v>
      </c>
      <c r="B1141" s="3">
        <f>(Master_Table!B1141-Master_Table!B1140)/Master_Table!B1140</f>
        <v>-1.1722888820474302E-2</v>
      </c>
      <c r="C1141" s="3">
        <f>(Master_Table!C1141-Master_Table!C1140)/Master_Table!C1140</f>
        <v>-1.0545766514881554E-2</v>
      </c>
      <c r="D1141" s="3">
        <f>(Master_Table!D1141-Master_Table!D1140)/Master_Table!D1140</f>
        <v>1.2417876848917844E-2</v>
      </c>
      <c r="E1141" s="3">
        <f>(Master_Table!E1141-Master_Table!E1140)/Master_Table!E1140</f>
        <v>-9.3137779680976824E-3</v>
      </c>
      <c r="F1141" s="3">
        <f>(Master_Table!F1141-Master_Table!F1140)/Master_Table!F1140</f>
        <v>-2.5937549748698045E-2</v>
      </c>
      <c r="G1141" s="3">
        <f>(Master_Table!G1141-Master_Table!G1140)/Master_Table!G1140</f>
        <v>-1.6949152542372808E-2</v>
      </c>
      <c r="H1141" s="3">
        <f>(Master_Table!H1141-Master_Table!H1140)/Master_Table!H1140</f>
        <v>-3.0058476437435599E-2</v>
      </c>
    </row>
    <row r="1142" spans="1:8" x14ac:dyDescent="0.3">
      <c r="A1142" s="1">
        <v>45509</v>
      </c>
      <c r="B1142" s="3">
        <f>(Master_Table!B1142-Master_Table!B1141)/Master_Table!B1141</f>
        <v>-2.6786472851438529E-2</v>
      </c>
      <c r="C1142" s="3">
        <f>(Master_Table!C1142-Master_Table!C1141)/Master_Table!C1141</f>
        <v>-3.4682389349838597E-2</v>
      </c>
      <c r="D1142" s="3">
        <f>(Master_Table!D1142-Master_Table!D1141)/Master_Table!D1141</f>
        <v>-2.6162509667440034E-2</v>
      </c>
      <c r="E1142" s="3">
        <f>(Master_Table!E1142-Master_Table!E1141)/Master_Table!E1141</f>
        <v>-6.3540090771558198E-3</v>
      </c>
      <c r="F1142" s="3">
        <f>(Master_Table!F1142-Master_Table!F1141)/Master_Table!F1141</f>
        <v>-2.9885245327511935E-2</v>
      </c>
      <c r="G1142" s="3">
        <f>(Master_Table!G1142-Master_Table!G1141)/Master_Table!G1141</f>
        <v>-3.8051833955633621E-2</v>
      </c>
      <c r="H1142" s="3">
        <f>(Master_Table!H1142-Master_Table!H1141)/Master_Table!H1141</f>
        <v>-3.7564448809231474E-2</v>
      </c>
    </row>
    <row r="1143" spans="1:8" x14ac:dyDescent="0.3">
      <c r="A1143" s="1">
        <v>45510</v>
      </c>
      <c r="B1143" s="3">
        <f>(Master_Table!B1143-Master_Table!B1142)/Master_Table!B1142</f>
        <v>-2.6210113237665773E-3</v>
      </c>
      <c r="C1143" s="3">
        <f>(Master_Table!C1143-Master_Table!C1142)/Master_Table!C1142</f>
        <v>6.031838156040142E-3</v>
      </c>
      <c r="D1143" s="3">
        <f>(Master_Table!D1143-Master_Table!D1142)/Master_Table!D1142</f>
        <v>-9.0088972166726521E-3</v>
      </c>
      <c r="E1143" s="3">
        <f>(Master_Table!E1143-Master_Table!E1142)/Master_Table!E1142</f>
        <v>6.3076387680533429E-4</v>
      </c>
      <c r="F1143" s="3">
        <f>(Master_Table!F1143-Master_Table!F1142)/Master_Table!F1142</f>
        <v>3.8868365001623654E-3</v>
      </c>
      <c r="G1143" s="3">
        <f>(Master_Table!G1143-Master_Table!G1142)/Master_Table!G1142</f>
        <v>-4.566470688967303E-4</v>
      </c>
      <c r="H1143" s="3">
        <f>(Master_Table!H1143-Master_Table!H1142)/Master_Table!H1142</f>
        <v>1.3662131519274324E-2</v>
      </c>
    </row>
    <row r="1144" spans="1:8" x14ac:dyDescent="0.3">
      <c r="A1144" s="1">
        <v>45511</v>
      </c>
      <c r="B1144" s="3">
        <f>(Master_Table!B1144-Master_Table!B1143)/Master_Table!B1143</f>
        <v>1.2710195456506321E-2</v>
      </c>
      <c r="C1144" s="3">
        <f>(Master_Table!C1144-Master_Table!C1143)/Master_Table!C1143</f>
        <v>6.0231448095875708E-3</v>
      </c>
      <c r="D1144" s="3">
        <f>(Master_Table!D1144-Master_Table!D1143)/Master_Table!D1143</f>
        <v>1.393671504238614E-2</v>
      </c>
      <c r="E1144" s="3">
        <f>(Master_Table!E1144-Master_Table!E1143)/Master_Table!E1143</f>
        <v>1.3042060645582002E-2</v>
      </c>
      <c r="F1144" s="3">
        <f>(Master_Table!F1144-Master_Table!F1143)/Master_Table!F1143</f>
        <v>7.0123705408515541E-3</v>
      </c>
      <c r="G1144" s="3">
        <f>(Master_Table!G1144-Master_Table!G1143)/Master_Table!G1143</f>
        <v>2.3156872822797204E-2</v>
      </c>
      <c r="H1144" s="3">
        <f>(Master_Table!H1144-Master_Table!H1143)/Master_Table!H1143</f>
        <v>1.7350819305408025E-2</v>
      </c>
    </row>
    <row r="1145" spans="1:8" x14ac:dyDescent="0.3">
      <c r="A1145" s="1">
        <v>45512</v>
      </c>
      <c r="B1145" s="3">
        <f>(Master_Table!B1145-Master_Table!B1144)/Master_Table!B1144</f>
        <v>-7.428747813561066E-3</v>
      </c>
      <c r="C1145" s="3">
        <f>(Master_Table!C1145-Master_Table!C1144)/Master_Table!C1144</f>
        <v>-1.0711213664477429E-2</v>
      </c>
      <c r="D1145" s="3">
        <f>(Master_Table!D1145-Master_Table!D1144)/Master_Table!D1144</f>
        <v>1.181860844221594E-2</v>
      </c>
      <c r="E1145" s="3">
        <f>(Master_Table!E1145-Master_Table!E1144)/Master_Table!E1144</f>
        <v>4.2699281193005235E-3</v>
      </c>
      <c r="F1145" s="3">
        <f>(Master_Table!F1145-Master_Table!F1144)/Master_Table!F1144</f>
        <v>-6.6421454844122979E-3</v>
      </c>
      <c r="G1145" s="3">
        <f>(Master_Table!G1145-Master_Table!G1144)/Master_Table!G1144</f>
        <v>-2.7070019255993078E-2</v>
      </c>
      <c r="H1145" s="3">
        <f>(Master_Table!H1145-Master_Table!H1144)/Master_Table!H1144</f>
        <v>-2.3280423280423231E-2</v>
      </c>
    </row>
    <row r="1146" spans="1:8" x14ac:dyDescent="0.3">
      <c r="A1146" s="1">
        <v>45513</v>
      </c>
      <c r="B1146" s="3">
        <f>(Master_Table!B1146-Master_Table!B1145)/Master_Table!B1145</f>
        <v>1.0386864037815649E-2</v>
      </c>
      <c r="C1146" s="3">
        <f>(Master_Table!C1146-Master_Table!C1145)/Master_Table!C1145</f>
        <v>1.7369042114924019E-2</v>
      </c>
      <c r="D1146" s="3">
        <f>(Master_Table!D1146-Master_Table!D1145)/Master_Table!D1145</f>
        <v>4.5648167360339909E-3</v>
      </c>
      <c r="E1146" s="3">
        <f>(Master_Table!E1146-Master_Table!E1145)/Master_Table!E1145</f>
        <v>2.3288607811297645E-3</v>
      </c>
      <c r="F1146" s="3">
        <f>(Master_Table!F1146-Master_Table!F1145)/Master_Table!F1145</f>
        <v>1.3468981797701601E-2</v>
      </c>
      <c r="G1146" s="3">
        <f>(Master_Table!G1146-Master_Table!G1145)/Master_Table!G1145</f>
        <v>1.5833405042595249E-2</v>
      </c>
      <c r="H1146" s="3">
        <f>(Master_Table!H1146-Master_Table!H1145)/Master_Table!H1145</f>
        <v>1.0834236186348862E-2</v>
      </c>
    </row>
    <row r="1147" spans="1:8" x14ac:dyDescent="0.3">
      <c r="A1147" s="1">
        <v>45516</v>
      </c>
      <c r="B1147" s="3">
        <f>(Master_Table!B1147-Master_Table!B1146)/Master_Table!B1146</f>
        <v>-8.412844977941931E-4</v>
      </c>
      <c r="C1147" s="3">
        <f>(Master_Table!C1147-Master_Table!C1146)/Master_Table!C1146</f>
        <v>-9.2721969748354102E-3</v>
      </c>
      <c r="D1147" s="3">
        <f>(Master_Table!D1147-Master_Table!D1146)/Master_Table!D1146</f>
        <v>6.0020654881235095E-3</v>
      </c>
      <c r="E1147" s="3">
        <f>(Master_Table!E1147-Master_Table!E1146)/Master_Table!E1146</f>
        <v>-2.6218745337113769E-3</v>
      </c>
      <c r="F1147" s="3">
        <f>(Master_Table!F1147-Master_Table!F1146)/Master_Table!F1146</f>
        <v>-7.8273721548921937E-3</v>
      </c>
      <c r="G1147" s="3">
        <f>(Master_Table!G1147-Master_Table!G1146)/Master_Table!G1146</f>
        <v>1.5050120005647375E-2</v>
      </c>
      <c r="H1147" s="3">
        <f>(Master_Table!H1147-Master_Table!H1146)/Master_Table!H1146</f>
        <v>-5.5956904831503916E-3</v>
      </c>
    </row>
    <row r="1148" spans="1:8" x14ac:dyDescent="0.3">
      <c r="A1148" s="1">
        <v>45517</v>
      </c>
      <c r="B1148" s="3">
        <f>(Master_Table!B1148-Master_Table!B1147)/Master_Table!B1147</f>
        <v>-8.5431469996303452E-3</v>
      </c>
      <c r="C1148" s="3">
        <f>(Master_Table!C1148-Master_Table!C1147)/Master_Table!C1147</f>
        <v>2.0539082450723315E-3</v>
      </c>
      <c r="D1148" s="3">
        <f>(Master_Table!D1148-Master_Table!D1147)/Master_Table!D1147</f>
        <v>-3.4275776277491267E-2</v>
      </c>
      <c r="E1148" s="3">
        <f>(Master_Table!E1148-Master_Table!E1147)/Master_Table!E1147</f>
        <v>-9.2968583030561356E-3</v>
      </c>
      <c r="F1148" s="3">
        <f>(Master_Table!F1148-Master_Table!F1147)/Master_Table!F1147</f>
        <v>3.0984472012684139E-4</v>
      </c>
      <c r="G1148" s="3">
        <f>(Master_Table!G1148-Master_Table!G1147)/Master_Table!G1147</f>
        <v>2.7817959274482319E-5</v>
      </c>
      <c r="H1148" s="3">
        <f>(Master_Table!H1148-Master_Table!H1147)/Master_Table!H1147</f>
        <v>-5.6411763882472142E-3</v>
      </c>
    </row>
    <row r="1149" spans="1:8" x14ac:dyDescent="0.3">
      <c r="A1149" s="1">
        <v>45518</v>
      </c>
      <c r="B1149" s="3">
        <f>(Master_Table!B1149-Master_Table!B1148)/Master_Table!B1148</f>
        <v>1.9677699987571978E-4</v>
      </c>
      <c r="C1149" s="3">
        <f>(Master_Table!C1149-Master_Table!C1148)/Master_Table!C1148</f>
        <v>-1.2161543559507525E-3</v>
      </c>
      <c r="D1149" s="3">
        <f>(Master_Table!D1149-Master_Table!D1148)/Master_Table!D1148</f>
        <v>2.8638961493727736E-3</v>
      </c>
      <c r="E1149" s="3">
        <f>(Master_Table!E1149-Master_Table!E1148)/Master_Table!E1148</f>
        <v>4.4871103440836677E-3</v>
      </c>
      <c r="F1149" s="3">
        <f>(Master_Table!F1149-Master_Table!F1148)/Master_Table!F1148</f>
        <v>2.3421770571486481E-2</v>
      </c>
      <c r="G1149" s="3">
        <f>(Master_Table!G1149-Master_Table!G1148)/Master_Table!G1148</f>
        <v>1.4353667695902503E-2</v>
      </c>
      <c r="H1149" s="3">
        <f>(Master_Table!H1149-Master_Table!H1148)/Master_Table!H1148</f>
        <v>-1.8582127372037736E-3</v>
      </c>
    </row>
    <row r="1150" spans="1:8" x14ac:dyDescent="0.3">
      <c r="A1150" s="1">
        <v>45520</v>
      </c>
      <c r="B1150" s="3">
        <f>(Master_Table!B1150-Master_Table!B1149)/Master_Table!B1149</f>
        <v>1.6459746311157191E-2</v>
      </c>
      <c r="C1150" s="3">
        <f>(Master_Table!C1150-Master_Table!C1149)/Master_Table!C1149</f>
        <v>1.1184458049731599E-2</v>
      </c>
      <c r="D1150" s="3">
        <f>(Master_Table!D1150-Master_Table!D1149)/Master_Table!D1149</f>
        <v>1.5114104002992897E-2</v>
      </c>
      <c r="E1150" s="3">
        <f>(Master_Table!E1150-Master_Table!E1149)/Master_Table!E1149</f>
        <v>2.1218564095956006E-2</v>
      </c>
      <c r="F1150" s="3">
        <f>(Master_Table!F1150-Master_Table!F1149)/Master_Table!F1149</f>
        <v>2.8124090565159229E-2</v>
      </c>
      <c r="G1150" s="3">
        <f>(Master_Table!G1150-Master_Table!G1149)/Master_Table!G1149</f>
        <v>1.9580419580419606E-2</v>
      </c>
      <c r="H1150" s="3">
        <f>(Master_Table!H1150-Master_Table!H1149)/Master_Table!H1149</f>
        <v>6.5299559968408248E-3</v>
      </c>
    </row>
    <row r="1151" spans="1:8" x14ac:dyDescent="0.3">
      <c r="A1151" s="1">
        <v>45523</v>
      </c>
      <c r="B1151" s="3">
        <f>(Master_Table!B1151-Master_Table!B1150)/Master_Table!B1150</f>
        <v>1.2835584314508488E-3</v>
      </c>
      <c r="C1151" s="3">
        <f>(Master_Table!C1151-Master_Table!C1150)/Master_Table!C1150</f>
        <v>6.9002841293465331E-3</v>
      </c>
      <c r="D1151" s="3">
        <f>(Master_Table!D1151-Master_Table!D1150)/Master_Table!D1150</f>
        <v>-3.3168718213309479E-4</v>
      </c>
      <c r="E1151" s="3">
        <f>(Master_Table!E1151-Master_Table!E1150)/Master_Table!E1150</f>
        <v>-2.3763958696977885E-3</v>
      </c>
      <c r="F1151" s="3">
        <f>(Master_Table!F1151-Master_Table!F1150)/Master_Table!F1150</f>
        <v>1.6745734310073441E-2</v>
      </c>
      <c r="G1151" s="3">
        <f>(Master_Table!G1151-Master_Table!G1150)/Master_Table!G1150</f>
        <v>3.1469377874606143E-3</v>
      </c>
      <c r="H1151" s="3">
        <f>(Master_Table!H1151-Master_Table!H1150)/Master_Table!H1150</f>
        <v>-3.7272128574830743E-3</v>
      </c>
    </row>
    <row r="1152" spans="1:8" x14ac:dyDescent="0.3">
      <c r="A1152" s="1">
        <v>45524</v>
      </c>
      <c r="B1152" s="3">
        <f>(Master_Table!B1152-Master_Table!B1151)/Master_Table!B1151</f>
        <v>5.135791215029599E-3</v>
      </c>
      <c r="C1152" s="3">
        <f>(Master_Table!C1152-Master_Table!C1151)/Master_Table!C1151</f>
        <v>5.0725611394786038E-3</v>
      </c>
      <c r="D1152" s="3">
        <f>(Master_Table!D1152-Master_Table!D1151)/Master_Table!D1151</f>
        <v>3.7726574500768664E-3</v>
      </c>
      <c r="E1152" s="3">
        <f>(Master_Table!E1152-Master_Table!E1151)/Master_Table!E1151</f>
        <v>-5.2911168261730911E-3</v>
      </c>
      <c r="F1152" s="3">
        <f>(Master_Table!F1152-Master_Table!F1151)/Master_Table!F1151</f>
        <v>7.4164810690423568E-3</v>
      </c>
      <c r="G1152" s="3">
        <f>(Master_Table!G1152-Master_Table!G1151)/Master_Table!G1151</f>
        <v>3.9682539682540175E-3</v>
      </c>
      <c r="H1152" s="3">
        <f>(Master_Table!H1152-Master_Table!H1151)/Master_Table!H1151</f>
        <v>4.9647684280107549E-3</v>
      </c>
    </row>
    <row r="1153" spans="1:8" x14ac:dyDescent="0.3">
      <c r="A1153" s="1">
        <v>45525</v>
      </c>
      <c r="B1153" s="3">
        <f>(Master_Table!B1153-Master_Table!B1152)/Master_Table!B1152</f>
        <v>2.8887984663254437E-3</v>
      </c>
      <c r="C1153" s="3">
        <f>(Master_Table!C1153-Master_Table!C1152)/Master_Table!C1152</f>
        <v>1.8249273037200563E-3</v>
      </c>
      <c r="D1153" s="3">
        <f>(Master_Table!D1153-Master_Table!D1152)/Master_Table!D1152</f>
        <v>-7.2721040131241326E-3</v>
      </c>
      <c r="E1153" s="3">
        <f>(Master_Table!E1153-Master_Table!E1152)/Master_Table!E1152</f>
        <v>1.3223981181257569E-2</v>
      </c>
      <c r="F1153" s="3">
        <f>(Master_Table!F1153-Master_Table!F1152)/Master_Table!F1152</f>
        <v>6.2343863993101975E-3</v>
      </c>
      <c r="G1153" s="3">
        <f>(Master_Table!G1153-Master_Table!G1152)/Master_Table!G1152</f>
        <v>2.6706548445678879E-4</v>
      </c>
      <c r="H1153" s="3">
        <f>(Master_Table!H1153-Master_Table!H1152)/Master_Table!H1152</f>
        <v>6.5356733003051936E-3</v>
      </c>
    </row>
    <row r="1154" spans="1:8" x14ac:dyDescent="0.3">
      <c r="A1154" s="1">
        <v>45526</v>
      </c>
      <c r="B1154" s="3">
        <f>(Master_Table!B1154-Master_Table!B1153)/Master_Table!B1153</f>
        <v>1.6673260611540994E-3</v>
      </c>
      <c r="C1154" s="3">
        <f>(Master_Table!C1154-Master_Table!C1153)/Master_Table!C1153</f>
        <v>-3.669896175300628E-4</v>
      </c>
      <c r="D1154" s="3">
        <f>(Master_Table!D1154-Master_Table!D1153)/Master_Table!D1153</f>
        <v>3.3913772691397002E-3</v>
      </c>
      <c r="E1154" s="3">
        <f>(Master_Table!E1154-Master_Table!E1153)/Master_Table!E1153</f>
        <v>-1.6732551086570274E-3</v>
      </c>
      <c r="F1154" s="3">
        <f>(Master_Table!F1154-Master_Table!F1153)/Master_Table!F1153</f>
        <v>-1.0875535537734812E-2</v>
      </c>
      <c r="G1154" s="3">
        <f>(Master_Table!G1154-Master_Table!G1153)/Master_Table!G1153</f>
        <v>4.0316121108559594E-3</v>
      </c>
      <c r="H1154" s="3">
        <f>(Master_Table!H1154-Master_Table!H1153)/Master_Table!H1153</f>
        <v>2.9059662685446026E-3</v>
      </c>
    </row>
    <row r="1155" spans="1:8" x14ac:dyDescent="0.3">
      <c r="A1155" s="1">
        <v>45527</v>
      </c>
      <c r="B1155" s="3">
        <f>(Master_Table!B1155-Master_Table!B1154)/Master_Table!B1154</f>
        <v>4.6954033411931789E-4</v>
      </c>
      <c r="C1155" s="3">
        <f>(Master_Table!C1155-Master_Table!C1154)/Master_Table!C1154</f>
        <v>1.2281978199488149E-3</v>
      </c>
      <c r="D1155" s="3">
        <f>(Master_Table!D1155-Master_Table!D1154)/Master_Table!D1154</f>
        <v>-3.8346668633162549E-3</v>
      </c>
      <c r="E1155" s="3">
        <f>(Master_Table!E1155-Master_Table!E1154)/Master_Table!E1154</f>
        <v>2.4721878862793713E-3</v>
      </c>
      <c r="F1155" s="3">
        <f>(Master_Table!F1155-Master_Table!F1154)/Master_Table!F1154</f>
        <v>-8.4629053753887962E-3</v>
      </c>
      <c r="G1155" s="3">
        <f>(Master_Table!G1155-Master_Table!G1154)/Master_Table!G1154</f>
        <v>-9.6529716792980134E-3</v>
      </c>
      <c r="H1155" s="3">
        <f>(Master_Table!H1155-Master_Table!H1154)/Master_Table!H1154</f>
        <v>-2.2043532510743983E-3</v>
      </c>
    </row>
    <row r="1156" spans="1:8" x14ac:dyDescent="0.3">
      <c r="A1156" s="1">
        <v>45530</v>
      </c>
      <c r="B1156" s="3">
        <f>(Master_Table!B1156-Master_Table!B1155)/Master_Table!B1155</f>
        <v>7.5514187361393325E-3</v>
      </c>
      <c r="C1156" s="3">
        <f>(Master_Table!C1156-Master_Table!C1155)/Master_Table!C1155</f>
        <v>8.4201684033679888E-3</v>
      </c>
      <c r="D1156" s="3">
        <f>(Master_Table!D1156-Master_Table!D1155)/Master_Table!D1155</f>
        <v>9.1670676487644372E-3</v>
      </c>
      <c r="E1156" s="3">
        <f>(Master_Table!E1156-Master_Table!E1155)/Master_Table!E1155</f>
        <v>-1.8809170515586915E-4</v>
      </c>
      <c r="F1156" s="3">
        <f>(Master_Table!F1156-Master_Table!F1155)/Master_Table!F1155</f>
        <v>8.6359461457470345E-3</v>
      </c>
      <c r="G1156" s="3">
        <f>(Master_Table!G1156-Master_Table!G1155)/Master_Table!G1155</f>
        <v>7.5452446162935305E-3</v>
      </c>
      <c r="H1156" s="3">
        <f>(Master_Table!H1156-Master_Table!H1155)/Master_Table!H1155</f>
        <v>1.2046518736713372E-2</v>
      </c>
    </row>
    <row r="1157" spans="1:8" x14ac:dyDescent="0.3">
      <c r="A1157" s="1">
        <v>45531</v>
      </c>
      <c r="B1157" s="3">
        <f>(Master_Table!B1157-Master_Table!B1156)/Master_Table!B1156</f>
        <v>2.8587878739420311E-4</v>
      </c>
      <c r="C1157" s="3">
        <f>(Master_Table!C1157-Master_Table!C1156)/Master_Table!C1156</f>
        <v>-8.0325267750891612E-3</v>
      </c>
      <c r="D1157" s="3">
        <f>(Master_Table!D1157-Master_Table!D1156)/Master_Table!D1156</f>
        <v>-1.3448419199452559E-3</v>
      </c>
      <c r="E1157" s="3">
        <f>(Master_Table!E1157-Master_Table!E1156)/Master_Table!E1156</f>
        <v>-1.0096153846153814E-2</v>
      </c>
      <c r="F1157" s="3">
        <f>(Master_Table!F1157-Master_Table!F1156)/Master_Table!F1156</f>
        <v>-1.177136892136544E-3</v>
      </c>
      <c r="G1157" s="3">
        <f>(Master_Table!G1157-Master_Table!G1156)/Master_Table!G1156</f>
        <v>1.2765503824320986E-2</v>
      </c>
      <c r="H1157" s="3">
        <f>(Master_Table!H1157-Master_Table!H1156)/Master_Table!H1156</f>
        <v>1.6694582498146496E-2</v>
      </c>
    </row>
    <row r="1158" spans="1:8" x14ac:dyDescent="0.3">
      <c r="A1158" s="1">
        <v>45532</v>
      </c>
      <c r="B1158" s="3">
        <f>(Master_Table!B1158-Master_Table!B1157)/Master_Table!B1157</f>
        <v>1.3830180571793446E-3</v>
      </c>
      <c r="C1158" s="3">
        <f>(Master_Table!C1158-Master_Table!C1157)/Master_Table!C1157</f>
        <v>-1.4329034622947055E-3</v>
      </c>
      <c r="D1158" s="3">
        <f>(Master_Table!D1158-Master_Table!D1157)/Master_Table!D1157</f>
        <v>-3.9175358699384215E-4</v>
      </c>
      <c r="E1158" s="3">
        <f>(Master_Table!E1158-Master_Table!E1157)/Master_Table!E1157</f>
        <v>-6.5882551681905625E-3</v>
      </c>
      <c r="F1158" s="3">
        <f>(Master_Table!F1158-Master_Table!F1157)/Master_Table!F1157</f>
        <v>1.9790311641818812E-3</v>
      </c>
      <c r="G1158" s="3">
        <f>(Master_Table!G1158-Master_Table!G1157)/Master_Table!G1157</f>
        <v>2.0525235513920322E-2</v>
      </c>
      <c r="H1158" s="3">
        <f>(Master_Table!H1158-Master_Table!H1157)/Master_Table!H1157</f>
        <v>-3.686499041240078E-3</v>
      </c>
    </row>
    <row r="1159" spans="1:8" x14ac:dyDescent="0.3">
      <c r="A1159" s="1">
        <v>45533</v>
      </c>
      <c r="B1159" s="3">
        <f>(Master_Table!B1159-Master_Table!B1158)/Master_Table!B1158</f>
        <v>3.9756749366826744E-3</v>
      </c>
      <c r="C1159" s="3">
        <f>(Master_Table!C1159-Master_Table!C1158)/Master_Table!C1158</f>
        <v>1.5103784288860783E-2</v>
      </c>
      <c r="D1159" s="3">
        <f>(Master_Table!D1159-Master_Table!D1158)/Master_Table!D1158</f>
        <v>8.8179101552935302E-4</v>
      </c>
      <c r="E1159" s="3">
        <f>(Master_Table!E1159-Master_Table!E1158)/Master_Table!E1158</f>
        <v>1.5687108088000841E-2</v>
      </c>
      <c r="F1159" s="3">
        <f>(Master_Table!F1159-Master_Table!F1158)/Master_Table!F1158</f>
        <v>1.2760621830649904E-3</v>
      </c>
      <c r="G1159" s="3">
        <f>(Master_Table!G1159-Master_Table!G1158)/Master_Table!G1158</f>
        <v>-2.9652931772471765E-3</v>
      </c>
      <c r="H1159" s="3">
        <f>(Master_Table!H1159-Master_Table!H1158)/Master_Table!H1158</f>
        <v>-1.5180059907023119E-3</v>
      </c>
    </row>
    <row r="1160" spans="1:8" x14ac:dyDescent="0.3">
      <c r="A1160" s="1">
        <v>45534</v>
      </c>
      <c r="B1160" s="3">
        <f>(Master_Table!B1160-Master_Table!B1159)/Master_Table!B1159</f>
        <v>3.3377133780880101E-3</v>
      </c>
      <c r="C1160" s="3">
        <f>(Master_Table!C1160-Master_Table!C1159)/Master_Table!C1159</f>
        <v>-7.4296647445970254E-3</v>
      </c>
      <c r="D1160" s="3">
        <f>(Master_Table!D1160-Master_Table!D1159)/Master_Table!D1159</f>
        <v>-1.0033772208898856E-3</v>
      </c>
      <c r="E1160" s="3">
        <f>(Master_Table!E1160-Master_Table!E1159)/Master_Table!E1159</f>
        <v>-6.3411673607767886E-3</v>
      </c>
      <c r="F1160" s="3">
        <f>(Master_Table!F1160-Master_Table!F1159)/Master_Table!F1159</f>
        <v>9.2978412163659332E-3</v>
      </c>
      <c r="G1160" s="3">
        <f>(Master_Table!G1160-Master_Table!G1159)/Master_Table!G1159</f>
        <v>5.3534021258438138E-3</v>
      </c>
      <c r="H1160" s="3">
        <f>(Master_Table!H1160-Master_Table!H1159)/Master_Table!H1159</f>
        <v>5.7554738085219765E-3</v>
      </c>
    </row>
    <row r="1161" spans="1:8" x14ac:dyDescent="0.3">
      <c r="A1161" s="1">
        <v>45537</v>
      </c>
      <c r="B1161" s="3">
        <f>(Master_Table!B1161-Master_Table!B1160)/Master_Table!B1160</f>
        <v>1.6959965763059478E-3</v>
      </c>
      <c r="C1161" s="3">
        <f>(Master_Table!C1161-Master_Table!C1160)/Master_Table!C1160</f>
        <v>4.3851804746857775E-3</v>
      </c>
      <c r="D1161" s="3">
        <f>(Master_Table!D1161-Master_Table!D1160)/Master_Table!D1160</f>
        <v>-6.0753043776486651E-3</v>
      </c>
      <c r="E1161" s="3">
        <f>(Master_Table!E1161-Master_Table!E1160)/Master_Table!E1160</f>
        <v>1.6238416175231633E-2</v>
      </c>
      <c r="F1161" s="3">
        <f>(Master_Table!F1161-Master_Table!F1160)/Master_Table!F1160</f>
        <v>-7.1808948668679257E-3</v>
      </c>
      <c r="G1161" s="3">
        <f>(Master_Table!G1161-Master_Table!G1160)/Master_Table!G1160</f>
        <v>1.070123990327723E-2</v>
      </c>
      <c r="H1161" s="3">
        <f>(Master_Table!H1161-Master_Table!H1160)/Master_Table!H1160</f>
        <v>-5.8170137529861606E-3</v>
      </c>
    </row>
    <row r="1162" spans="1:8" x14ac:dyDescent="0.3">
      <c r="A1162" s="1">
        <v>45538</v>
      </c>
      <c r="B1162" s="3">
        <f>(Master_Table!B1162-Master_Table!B1161)/Master_Table!B1161</f>
        <v>4.5492845755431141E-5</v>
      </c>
      <c r="C1162" s="3">
        <f>(Master_Table!C1162-Master_Table!C1161)/Master_Table!C1161</f>
        <v>-4.6957955482274634E-3</v>
      </c>
      <c r="D1162" s="3">
        <f>(Master_Table!D1162-Master_Table!D1161)/Master_Table!D1161</f>
        <v>6.3835555665096863E-3</v>
      </c>
      <c r="E1162" s="3">
        <f>(Master_Table!E1162-Master_Table!E1161)/Master_Table!E1161</f>
        <v>-1.2642225031605846E-3</v>
      </c>
      <c r="F1162" s="3">
        <f>(Master_Table!F1162-Master_Table!F1161)/Master_Table!F1161</f>
        <v>-1.9243317370964306E-3</v>
      </c>
      <c r="G1162" s="3">
        <f>(Master_Table!G1162-Master_Table!G1161)/Master_Table!G1161</f>
        <v>-1.1835072537541359E-2</v>
      </c>
      <c r="H1162" s="3">
        <f>(Master_Table!H1162-Master_Table!H1161)/Master_Table!H1161</f>
        <v>1.9141484075914806E-3</v>
      </c>
    </row>
    <row r="1163" spans="1:8" x14ac:dyDescent="0.3">
      <c r="A1163" s="1">
        <v>45539</v>
      </c>
      <c r="B1163" s="3">
        <f>(Master_Table!B1163-Master_Table!B1162)/Master_Table!B1162</f>
        <v>-3.2100665154262318E-3</v>
      </c>
      <c r="C1163" s="3">
        <f>(Master_Table!C1163-Master_Table!C1162)/Master_Table!C1162</f>
        <v>3.5914732329221772E-3</v>
      </c>
      <c r="D1163" s="3">
        <f>(Master_Table!D1163-Master_Table!D1162)/Master_Table!D1162</f>
        <v>2.7184561128526978E-3</v>
      </c>
      <c r="E1163" s="3">
        <f>(Master_Table!E1163-Master_Table!E1162)/Master_Table!E1162</f>
        <v>-5.997094832952867E-3</v>
      </c>
      <c r="F1163" s="3">
        <f>(Master_Table!F1163-Master_Table!F1162)/Master_Table!F1162</f>
        <v>-7.3354238922070233E-3</v>
      </c>
      <c r="G1163" s="3">
        <f>(Master_Table!G1163-Master_Table!G1162)/Master_Table!G1162</f>
        <v>-9.6844816484223852E-3</v>
      </c>
      <c r="H1163" s="3">
        <f>(Master_Table!H1163-Master_Table!H1162)/Master_Table!H1162</f>
        <v>-1.0663523163015028E-2</v>
      </c>
    </row>
    <row r="1164" spans="1:8" x14ac:dyDescent="0.3">
      <c r="A1164" s="1">
        <v>45540</v>
      </c>
      <c r="B1164" s="3">
        <f>(Master_Table!B1164-Master_Table!B1163)/Master_Table!B1163</f>
        <v>-2.1270938580165715E-3</v>
      </c>
      <c r="C1164" s="3">
        <f>(Master_Table!C1164-Master_Table!C1163)/Master_Table!C1163</f>
        <v>-1.4248456637284955E-2</v>
      </c>
      <c r="D1164" s="3">
        <f>(Master_Table!D1164-Master_Table!D1163)/Master_Table!D1163</f>
        <v>2.2226021542143177E-3</v>
      </c>
      <c r="E1164" s="3">
        <f>(Master_Table!E1164-Master_Table!E1163)/Master_Table!E1163</f>
        <v>9.5822634183003116E-3</v>
      </c>
      <c r="F1164" s="3">
        <f>(Master_Table!F1164-Master_Table!F1163)/Master_Table!F1163</f>
        <v>-7.3673047943298138E-4</v>
      </c>
      <c r="G1164" s="3">
        <f>(Master_Table!G1164-Master_Table!G1163)/Master_Table!G1163</f>
        <v>5.5658144555125206E-3</v>
      </c>
      <c r="H1164" s="3">
        <f>(Master_Table!H1164-Master_Table!H1163)/Master_Table!H1163</f>
        <v>-7.2997699134436534E-3</v>
      </c>
    </row>
    <row r="1165" spans="1:8" x14ac:dyDescent="0.3">
      <c r="A1165" s="1">
        <v>45541</v>
      </c>
      <c r="B1165" s="3">
        <f>(Master_Table!B1165-Master_Table!B1164)/Master_Table!B1164</f>
        <v>-1.1650381187587128E-2</v>
      </c>
      <c r="C1165" s="3">
        <f>(Master_Table!C1165-Master_Table!C1164)/Master_Table!C1164</f>
        <v>-1.885503392566501E-2</v>
      </c>
      <c r="D1165" s="3">
        <f>(Master_Table!D1165-Master_Table!D1164)/Master_Table!D1164</f>
        <v>-5.1664473363550907E-3</v>
      </c>
      <c r="E1165" s="3">
        <f>(Master_Table!E1165-Master_Table!E1164)/Master_Table!E1164</f>
        <v>-1.8589743589743607E-2</v>
      </c>
      <c r="F1165" s="3">
        <f>(Master_Table!F1165-Master_Table!F1164)/Master_Table!F1164</f>
        <v>-4.2895921536209788E-3</v>
      </c>
      <c r="G1165" s="3">
        <f>(Master_Table!G1165-Master_Table!G1164)/Master_Table!G1164</f>
        <v>-1.6191190543930985E-2</v>
      </c>
      <c r="H1165" s="3">
        <f>(Master_Table!H1165-Master_Table!H1164)/Master_Table!H1164</f>
        <v>-1.3630782390353625E-2</v>
      </c>
    </row>
    <row r="1166" spans="1:8" x14ac:dyDescent="0.3">
      <c r="A1166" s="1">
        <v>45544</v>
      </c>
      <c r="B1166" s="3">
        <f>(Master_Table!B1166-Master_Table!B1165)/Master_Table!B1165</f>
        <v>3.3900487482974306E-3</v>
      </c>
      <c r="C1166" s="3">
        <f>(Master_Table!C1166-Master_Table!C1165)/Master_Table!C1165</f>
        <v>-1.6179462323015054E-3</v>
      </c>
      <c r="D1166" s="3">
        <f>(Master_Table!D1166-Master_Table!D1165)/Master_Table!D1165</f>
        <v>5.8424379011317203E-3</v>
      </c>
      <c r="E1166" s="3">
        <f>(Master_Table!E1166-Master_Table!E1165)/Master_Table!E1165</f>
        <v>2.003750447736034E-2</v>
      </c>
      <c r="F1166" s="3">
        <f>(Master_Table!F1166-Master_Table!F1165)/Master_Table!F1165</f>
        <v>-1.6155270095921507E-3</v>
      </c>
      <c r="G1166" s="3">
        <f>(Master_Table!G1166-Master_Table!G1165)/Master_Table!G1165</f>
        <v>-3.7857875226751945E-3</v>
      </c>
      <c r="H1166" s="3">
        <f>(Master_Table!H1166-Master_Table!H1165)/Master_Table!H1165</f>
        <v>9.9307643891186287E-4</v>
      </c>
    </row>
    <row r="1167" spans="1:8" x14ac:dyDescent="0.3">
      <c r="A1167" s="1">
        <v>45545</v>
      </c>
      <c r="B1167" s="3">
        <f>(Master_Table!B1167-Master_Table!B1166)/Master_Table!B1166</f>
        <v>4.1986814455974835E-3</v>
      </c>
      <c r="C1167" s="3">
        <f>(Master_Table!C1167-Master_Table!C1166)/Master_Table!C1166</f>
        <v>-6.2908133611410495E-4</v>
      </c>
      <c r="D1167" s="3">
        <f>(Master_Table!D1167-Master_Table!D1166)/Master_Table!D1166</f>
        <v>2.3380134192228039E-3</v>
      </c>
      <c r="E1167" s="3">
        <f>(Master_Table!E1167-Master_Table!E1166)/Master_Table!E1166</f>
        <v>3.6148062463851939E-3</v>
      </c>
      <c r="F1167" s="3">
        <f>(Master_Table!F1167-Master_Table!F1166)/Master_Table!F1166</f>
        <v>1.3102448562214196E-2</v>
      </c>
      <c r="G1167" s="3">
        <f>(Master_Table!G1167-Master_Table!G1166)/Master_Table!G1166</f>
        <v>9.3157047475786355E-3</v>
      </c>
      <c r="H1167" s="3">
        <f>(Master_Table!H1167-Master_Table!H1166)/Master_Table!H1166</f>
        <v>4.9884023139479382E-3</v>
      </c>
    </row>
    <row r="1168" spans="1:8" x14ac:dyDescent="0.3">
      <c r="A1168" s="1">
        <v>45546</v>
      </c>
      <c r="B1168" s="3">
        <f>(Master_Table!B1168-Master_Table!B1167)/Master_Table!B1167</f>
        <v>-4.8979477738596879E-3</v>
      </c>
      <c r="C1168" s="3">
        <f>(Master_Table!C1168-Master_Table!C1167)/Master_Table!C1167</f>
        <v>-6.8626713102023038E-3</v>
      </c>
      <c r="D1168" s="3">
        <f>(Master_Table!D1168-Master_Table!D1167)/Master_Table!D1167</f>
        <v>-3.9118972701760683E-3</v>
      </c>
      <c r="E1168" s="3">
        <f>(Master_Table!E1168-Master_Table!E1167)/Master_Table!E1167</f>
        <v>1.4612962315022117E-3</v>
      </c>
      <c r="F1168" s="3">
        <f>(Master_Table!F1168-Master_Table!F1167)/Master_Table!F1167</f>
        <v>-6.3223044245039207E-3</v>
      </c>
      <c r="G1168" s="3">
        <f>(Master_Table!G1168-Master_Table!G1167)/Master_Table!G1167</f>
        <v>-1.1243005804527865E-3</v>
      </c>
      <c r="H1168" s="3">
        <f>(Master_Table!H1168-Master_Table!H1167)/Master_Table!H1167</f>
        <v>-1.6462049692031831E-2</v>
      </c>
    </row>
    <row r="1169" spans="1:8" x14ac:dyDescent="0.3">
      <c r="A1169" s="1">
        <v>45547</v>
      </c>
      <c r="B1169" s="3">
        <f>(Master_Table!B1169-Master_Table!B1168)/Master_Table!B1168</f>
        <v>1.8879585206945083E-2</v>
      </c>
      <c r="C1169" s="3">
        <f>(Master_Table!C1169-Master_Table!C1168)/Master_Table!C1168</f>
        <v>1.949707199448843E-2</v>
      </c>
      <c r="D1169" s="3">
        <f>(Master_Table!D1169-Master_Table!D1168)/Master_Table!D1168</f>
        <v>1.3806393384639839E-2</v>
      </c>
      <c r="E1169" s="3">
        <f>(Master_Table!E1169-Master_Table!E1168)/Master_Table!E1168</f>
        <v>1.000863167413376E-2</v>
      </c>
      <c r="F1169" s="3">
        <f>(Master_Table!F1169-Master_Table!F1168)/Master_Table!F1168</f>
        <v>8.5615100405191484E-3</v>
      </c>
      <c r="G1169" s="3">
        <f>(Master_Table!G1169-Master_Table!G1168)/Master_Table!G1168</f>
        <v>2.1097819542967806E-2</v>
      </c>
      <c r="H1169" s="3">
        <f>(Master_Table!H1169-Master_Table!H1168)/Master_Table!H1168</f>
        <v>2.4046141449554047E-2</v>
      </c>
    </row>
    <row r="1170" spans="1:8" x14ac:dyDescent="0.3">
      <c r="A1170" s="1">
        <v>45548</v>
      </c>
      <c r="B1170" s="3">
        <f>(Master_Table!B1170-Master_Table!B1169)/Master_Table!B1169</f>
        <v>-1.2761482380095812E-3</v>
      </c>
      <c r="C1170" s="3">
        <f>(Master_Table!C1170-Master_Table!C1169)/Master_Table!C1169</f>
        <v>-4.8452493580212501E-3</v>
      </c>
      <c r="D1170" s="3">
        <f>(Master_Table!D1170-Master_Table!D1169)/Master_Table!D1169</f>
        <v>-3.8497166849133213E-4</v>
      </c>
      <c r="E1170" s="3">
        <f>(Master_Table!E1170-Master_Table!E1169)/Master_Table!E1169</f>
        <v>-1.0865805270118985E-2</v>
      </c>
      <c r="F1170" s="3">
        <f>(Master_Table!F1170-Master_Table!F1169)/Master_Table!F1169</f>
        <v>1.0846227062444487E-3</v>
      </c>
      <c r="G1170" s="3">
        <f>(Master_Table!G1170-Master_Table!G1169)/Master_Table!G1169</f>
        <v>-3.2556589504986726E-3</v>
      </c>
      <c r="H1170" s="3">
        <f>(Master_Table!H1170-Master_Table!H1169)/Master_Table!H1169</f>
        <v>-2.4848150193263392E-3</v>
      </c>
    </row>
    <row r="1171" spans="1:8" x14ac:dyDescent="0.3">
      <c r="A1171" s="1">
        <v>45551</v>
      </c>
      <c r="B1171" s="3">
        <f>(Master_Table!B1171-Master_Table!B1170)/Master_Table!B1170</f>
        <v>1.0746751326089958E-3</v>
      </c>
      <c r="C1171" s="3">
        <f>(Master_Table!C1171-Master_Table!C1170)/Master_Table!C1170</f>
        <v>-8.691932121443947E-4</v>
      </c>
      <c r="D1171" s="3">
        <f>(Master_Table!D1171-Master_Table!D1170)/Master_Table!D1170</f>
        <v>2.9967144456078385E-3</v>
      </c>
      <c r="E1171" s="3">
        <f>(Master_Table!E1171-Master_Table!E1170)/Master_Table!E1170</f>
        <v>-5.3485836539055413E-3</v>
      </c>
      <c r="F1171" s="3">
        <f>(Master_Table!F1171-Master_Table!F1170)/Master_Table!F1170</f>
        <v>-2.0673948613630132E-3</v>
      </c>
      <c r="G1171" s="3">
        <f>(Master_Table!G1171-Master_Table!G1170)/Master_Table!G1170</f>
        <v>3.1634175196749606E-3</v>
      </c>
      <c r="H1171" s="3">
        <f>(Master_Table!H1171-Master_Table!H1170)/Master_Table!H1170</f>
        <v>1.3631331303625796E-2</v>
      </c>
    </row>
    <row r="1172" spans="1:8" x14ac:dyDescent="0.3">
      <c r="A1172" s="1">
        <v>45552</v>
      </c>
      <c r="B1172" s="3">
        <f>(Master_Table!B1172-Master_Table!B1171)/Master_Table!B1171</f>
        <v>1.3709558280395637E-3</v>
      </c>
      <c r="C1172" s="3">
        <f>(Master_Table!C1172-Master_Table!C1171)/Master_Table!C1171</f>
        <v>6.4566554524759275E-4</v>
      </c>
      <c r="D1172" s="3">
        <f>(Master_Table!D1172-Master_Table!D1171)/Master_Table!D1171</f>
        <v>-1.2838972882168664E-3</v>
      </c>
      <c r="E1172" s="3">
        <f>(Master_Table!E1172-Master_Table!E1171)/Master_Table!E1171</f>
        <v>-6.5562242766437429E-3</v>
      </c>
      <c r="F1172" s="3">
        <f>(Master_Table!F1172-Master_Table!F1171)/Master_Table!F1171</f>
        <v>-1.6839306486457351E-3</v>
      </c>
      <c r="G1172" s="3">
        <f>(Master_Table!G1172-Master_Table!G1171)/Master_Table!G1171</f>
        <v>1.1793359825663142E-3</v>
      </c>
      <c r="H1172" s="3">
        <f>(Master_Table!H1172-Master_Table!H1171)/Master_Table!H1171</f>
        <v>8.9972011741415291E-3</v>
      </c>
    </row>
    <row r="1173" spans="1:8" x14ac:dyDescent="0.3">
      <c r="A1173" s="1">
        <v>45553</v>
      </c>
      <c r="B1173" s="3">
        <f>(Master_Table!B1173-Master_Table!B1172)/Master_Table!B1172</f>
        <v>-1.612995233795791E-3</v>
      </c>
      <c r="C1173" s="3">
        <f>(Master_Table!C1173-Master_Table!C1172)/Master_Table!C1172</f>
        <v>-6.0110031922841201E-3</v>
      </c>
      <c r="D1173" s="3">
        <f>(Master_Table!D1173-Master_Table!D1172)/Master_Table!D1172</f>
        <v>1.5582761645020501E-2</v>
      </c>
      <c r="E1173" s="3">
        <f>(Master_Table!E1173-Master_Table!E1172)/Master_Table!E1172</f>
        <v>-7.9110629970436666E-4</v>
      </c>
      <c r="F1173" s="3">
        <f>(Master_Table!F1173-Master_Table!F1172)/Master_Table!F1172</f>
        <v>-3.5399997780564407E-2</v>
      </c>
      <c r="G1173" s="3">
        <f>(Master_Table!G1173-Master_Table!G1172)/Master_Table!G1172</f>
        <v>-3.0933906942203715E-2</v>
      </c>
      <c r="H1173" s="3">
        <f>(Master_Table!H1173-Master_Table!H1172)/Master_Table!H1172</f>
        <v>9.5394024680666815E-3</v>
      </c>
    </row>
    <row r="1174" spans="1:8" x14ac:dyDescent="0.3">
      <c r="A1174" s="1">
        <v>45554</v>
      </c>
      <c r="B1174" s="3">
        <f>(Master_Table!B1174-Master_Table!B1173)/Master_Table!B1173</f>
        <v>1.5072376963103215E-3</v>
      </c>
      <c r="C1174" s="3">
        <f>(Master_Table!C1174-Master_Table!C1173)/Master_Table!C1173</f>
        <v>4.257063787625145E-3</v>
      </c>
      <c r="D1174" s="3">
        <f>(Master_Table!D1174-Master_Table!D1173)/Master_Table!D1173</f>
        <v>8.079971607713286E-3</v>
      </c>
      <c r="E1174" s="3">
        <f>(Master_Table!E1174-Master_Table!E1173)/Master_Table!E1173</f>
        <v>1.7709809150763037E-3</v>
      </c>
      <c r="F1174" s="3">
        <f>(Master_Table!F1174-Master_Table!F1173)/Master_Table!F1173</f>
        <v>-1.1504434959676957E-2</v>
      </c>
      <c r="G1174" s="3">
        <f>(Master_Table!G1174-Master_Table!G1173)/Master_Table!G1173</f>
        <v>1.0834236186348621E-3</v>
      </c>
      <c r="H1174" s="3">
        <f>(Master_Table!H1174-Master_Table!H1173)/Master_Table!H1173</f>
        <v>-1.2532000160838505E-2</v>
      </c>
    </row>
    <row r="1175" spans="1:8" x14ac:dyDescent="0.3">
      <c r="A1175" s="1">
        <v>45555</v>
      </c>
      <c r="B1175" s="3">
        <f>(Master_Table!B1175-Master_Table!B1174)/Master_Table!B1174</f>
        <v>1.4760503308965348E-2</v>
      </c>
      <c r="C1175" s="3">
        <f>(Master_Table!C1175-Master_Table!C1174)/Master_Table!C1174</f>
        <v>1.1056828697403516E-2</v>
      </c>
      <c r="D1175" s="3">
        <f>(Master_Table!D1175-Master_Table!D1174)/Master_Table!D1174</f>
        <v>1.9140272024221725E-2</v>
      </c>
      <c r="E1175" s="3">
        <f>(Master_Table!E1175-Master_Table!E1174)/Master_Table!E1174</f>
        <v>1.2104573532164459E-2</v>
      </c>
      <c r="F1175" s="3">
        <f>(Master_Table!F1175-Master_Table!F1174)/Master_Table!F1174</f>
        <v>-2.6186236514088197E-3</v>
      </c>
      <c r="G1175" s="3">
        <f>(Master_Table!G1175-Master_Table!G1174)/Master_Table!G1174</f>
        <v>6.097560975609732E-3</v>
      </c>
      <c r="H1175" s="3">
        <f>(Master_Table!H1175-Master_Table!H1174)/Master_Table!H1174</f>
        <v>2.9915574015256477E-2</v>
      </c>
    </row>
    <row r="1176" spans="1:8" x14ac:dyDescent="0.3">
      <c r="A1176" s="1">
        <v>45558</v>
      </c>
      <c r="B1176" s="3">
        <f>(Master_Table!B1176-Master_Table!B1175)/Master_Table!B1175</f>
        <v>5.7423243424534007E-3</v>
      </c>
      <c r="C1176" s="3">
        <f>(Master_Table!C1176-Master_Table!C1175)/Master_Table!C1175</f>
        <v>5.0136951269575585E-3</v>
      </c>
      <c r="D1176" s="3">
        <f>(Master_Table!D1176-Master_Table!D1175)/Master_Table!D1175</f>
        <v>1.0685827460734158E-2</v>
      </c>
      <c r="E1176" s="3">
        <f>(Master_Table!E1176-Master_Table!E1175)/Master_Table!E1175</f>
        <v>4.9524279226517585E-3</v>
      </c>
      <c r="F1176" s="3">
        <f>(Master_Table!F1176-Master_Table!F1175)/Master_Table!F1175</f>
        <v>-3.8273938715021674E-3</v>
      </c>
      <c r="G1176" s="3">
        <f>(Master_Table!G1176-Master_Table!G1175)/Master_Table!G1175</f>
        <v>-4.8799685163321291E-3</v>
      </c>
      <c r="H1176" s="3">
        <f>(Master_Table!H1176-Master_Table!H1175)/Master_Table!H1175</f>
        <v>-1.6342022720683921E-3</v>
      </c>
    </row>
    <row r="1177" spans="1:8" x14ac:dyDescent="0.3">
      <c r="A1177" s="1">
        <v>45559</v>
      </c>
      <c r="B1177" s="3">
        <f>(Master_Table!B1177-Master_Table!B1176)/Master_Table!B1176</f>
        <v>5.2045082607195824E-5</v>
      </c>
      <c r="C1177" s="3">
        <f>(Master_Table!C1177-Master_Table!C1176)/Master_Table!C1176</f>
        <v>-2.6784877258299962E-3</v>
      </c>
      <c r="D1177" s="3">
        <f>(Master_Table!D1177-Master_Table!D1176)/Master_Table!D1176</f>
        <v>4.6825867019095078E-3</v>
      </c>
      <c r="E1177" s="3">
        <f>(Master_Table!E1177-Master_Table!E1176)/Master_Table!E1176</f>
        <v>-3.2921642401439835E-3</v>
      </c>
      <c r="F1177" s="3">
        <f>(Master_Table!F1177-Master_Table!F1176)/Master_Table!F1176</f>
        <v>6.5596813869044904E-4</v>
      </c>
      <c r="G1177" s="3">
        <f>(Master_Table!G1177-Master_Table!G1176)/Master_Table!G1176</f>
        <v>1.1336971710300106E-3</v>
      </c>
      <c r="H1177" s="3">
        <f>(Master_Table!H1177-Master_Table!H1176)/Master_Table!H1176</f>
        <v>1.0296485994139165E-3</v>
      </c>
    </row>
    <row r="1178" spans="1:8" x14ac:dyDescent="0.3">
      <c r="A1178" s="1">
        <v>45560</v>
      </c>
      <c r="B1178" s="3">
        <f>(Master_Table!B1178-Master_Table!B1177)/Master_Table!B1177</f>
        <v>2.4575565527131422E-3</v>
      </c>
      <c r="C1178" s="3">
        <f>(Master_Table!C1178-Master_Table!C1177)/Master_Table!C1177</f>
        <v>3.0683908740549329E-3</v>
      </c>
      <c r="D1178" s="3">
        <f>(Master_Table!D1178-Master_Table!D1177)/Master_Table!D1177</f>
        <v>6.2483698672079549E-3</v>
      </c>
      <c r="E1178" s="3">
        <f>(Master_Table!E1178-Master_Table!E1177)/Master_Table!E1177</f>
        <v>4.4724370678866851E-3</v>
      </c>
      <c r="F1178" s="3">
        <f>(Master_Table!F1178-Master_Table!F1177)/Master_Table!F1177</f>
        <v>8.0771662023267337E-4</v>
      </c>
      <c r="G1178" s="3">
        <f>(Master_Table!G1178-Master_Table!G1177)/Master_Table!G1177</f>
        <v>-1.7381228273464419E-3</v>
      </c>
      <c r="H1178" s="3">
        <f>(Master_Table!H1178-Master_Table!H1177)/Master_Table!H1177</f>
        <v>5.9341702711256464E-4</v>
      </c>
    </row>
    <row r="1179" spans="1:8" x14ac:dyDescent="0.3">
      <c r="A1179" s="1">
        <v>45561</v>
      </c>
      <c r="B1179" s="3">
        <f>(Master_Table!B1179-Master_Table!B1178)/Master_Table!B1178</f>
        <v>8.1486993422202926E-3</v>
      </c>
      <c r="C1179" s="3">
        <f>(Master_Table!C1179-Master_Table!C1178)/Master_Table!C1178</f>
        <v>2.6774657786405166E-3</v>
      </c>
      <c r="D1179" s="3">
        <f>(Master_Table!D1179-Master_Table!D1178)/Master_Table!D1178</f>
        <v>2.4455113034462087E-3</v>
      </c>
      <c r="E1179" s="3">
        <f>(Master_Table!E1179-Master_Table!E1178)/Master_Table!E1178</f>
        <v>1.0048814362451664E-2</v>
      </c>
      <c r="F1179" s="3">
        <f>(Master_Table!F1179-Master_Table!F1178)/Master_Table!F1178</f>
        <v>4.1522896075793904E-3</v>
      </c>
      <c r="G1179" s="3">
        <f>(Master_Table!G1179-Master_Table!G1178)/Master_Table!G1178</f>
        <v>2.611723737666884E-3</v>
      </c>
      <c r="H1179" s="3">
        <f>(Master_Table!H1179-Master_Table!H1178)/Master_Table!H1178</f>
        <v>-8.3556281877248222E-3</v>
      </c>
    </row>
    <row r="1180" spans="1:8" x14ac:dyDescent="0.3">
      <c r="A1180" s="1">
        <v>45562</v>
      </c>
      <c r="B1180" s="3">
        <f>(Master_Table!B1180-Master_Table!B1179)/Master_Table!B1179</f>
        <v>-1.4151636116042862E-3</v>
      </c>
      <c r="C1180" s="3">
        <f>(Master_Table!C1180-Master_Table!C1179)/Master_Table!C1179</f>
        <v>1.8845755866350691E-2</v>
      </c>
      <c r="D1180" s="3">
        <f>(Master_Table!D1180-Master_Table!D1179)/Master_Table!D1179</f>
        <v>-1.7267934031095788E-2</v>
      </c>
      <c r="E1180" s="3">
        <f>(Master_Table!E1180-Master_Table!E1179)/Master_Table!E1179</f>
        <v>-1.0110610074202683E-4</v>
      </c>
      <c r="F1180" s="3">
        <f>(Master_Table!F1180-Master_Table!F1179)/Master_Table!F1179</f>
        <v>3.774024461269614E-3</v>
      </c>
      <c r="G1180" s="3">
        <f>(Master_Table!G1180-Master_Table!G1179)/Master_Table!G1179</f>
        <v>3.4206025522957504E-3</v>
      </c>
      <c r="H1180" s="3">
        <f>(Master_Table!H1180-Master_Table!H1179)/Master_Table!H1179</f>
        <v>-1.5018008319710804E-2</v>
      </c>
    </row>
    <row r="1181" spans="1:8" x14ac:dyDescent="0.3">
      <c r="A1181" s="1">
        <v>45565</v>
      </c>
      <c r="B1181" s="3">
        <f>(Master_Table!B1181-Master_Table!B1180)/Master_Table!B1180</f>
        <v>-1.4060915353748036E-2</v>
      </c>
      <c r="C1181" s="3">
        <f>(Master_Table!C1181-Master_Table!C1180)/Master_Table!C1180</f>
        <v>-3.2505995360966676E-2</v>
      </c>
      <c r="D1181" s="3">
        <f>(Master_Table!D1181-Master_Table!D1180)/Master_Table!D1180</f>
        <v>-1.174855573986156E-2</v>
      </c>
      <c r="E1181" s="3">
        <f>(Master_Table!E1181-Master_Table!E1180)/Master_Table!E1180</f>
        <v>-8.6960038828668724E-3</v>
      </c>
      <c r="F1181" s="3">
        <f>(Master_Table!F1181-Master_Table!F1180)/Master_Table!F1180</f>
        <v>-9.3299603128553441E-3</v>
      </c>
      <c r="G1181" s="3">
        <f>(Master_Table!G1181-Master_Table!G1180)/Master_Table!G1180</f>
        <v>-1.6336698570866705E-2</v>
      </c>
      <c r="H1181" s="3">
        <f>(Master_Table!H1181-Master_Table!H1180)/Master_Table!H1180</f>
        <v>-8.1227315045943101E-3</v>
      </c>
    </row>
    <row r="1182" spans="1:8" x14ac:dyDescent="0.3">
      <c r="A1182" s="1">
        <v>45566</v>
      </c>
      <c r="B1182" s="3">
        <f>(Master_Table!B1182-Master_Table!B1181)/Master_Table!B1181</f>
        <v>-5.4047038357888603E-4</v>
      </c>
      <c r="C1182" s="3">
        <f>(Master_Table!C1182-Master_Table!C1181)/Master_Table!C1181</f>
        <v>-7.9576315379562088E-3</v>
      </c>
      <c r="D1182" s="3">
        <f>(Master_Table!D1182-Master_Table!D1181)/Master_Table!D1181</f>
        <v>-3.3800990878362263E-3</v>
      </c>
      <c r="E1182" s="3">
        <f>(Master_Table!E1182-Master_Table!E1181)/Master_Table!E1181</f>
        <v>-3.7741237912603995E-3</v>
      </c>
      <c r="F1182" s="3">
        <f>(Master_Table!F1182-Master_Table!F1181)/Master_Table!F1181</f>
        <v>4.5449221037834452E-3</v>
      </c>
      <c r="G1182" s="3">
        <f>(Master_Table!G1182-Master_Table!G1181)/Master_Table!G1181</f>
        <v>1.5328428236297719E-2</v>
      </c>
      <c r="H1182" s="3">
        <f>(Master_Table!H1182-Master_Table!H1181)/Master_Table!H1181</f>
        <v>-5.9991021751847158E-3</v>
      </c>
    </row>
    <row r="1183" spans="1:8" x14ac:dyDescent="0.3">
      <c r="A1183" s="1">
        <v>45568</v>
      </c>
      <c r="B1183" s="3">
        <f>(Master_Table!B1183-Master_Table!B1182)/Master_Table!B1182</f>
        <v>-2.1196345297303278E-2</v>
      </c>
      <c r="C1183" s="3">
        <f>(Master_Table!C1183-Master_Table!C1182)/Master_Table!C1182</f>
        <v>-3.949290697833175E-2</v>
      </c>
      <c r="D1183" s="3">
        <f>(Master_Table!D1183-Master_Table!D1182)/Master_Table!D1182</f>
        <v>-2.5610945920832639E-2</v>
      </c>
      <c r="E1183" s="3">
        <f>(Master_Table!E1183-Master_Table!E1182)/Master_Table!E1182</f>
        <v>-6.6758134867814616E-3</v>
      </c>
      <c r="F1183" s="3">
        <f>(Master_Table!F1183-Master_Table!F1182)/Master_Table!F1182</f>
        <v>-1.2861773828680622E-2</v>
      </c>
      <c r="G1183" s="3">
        <f>(Master_Table!G1183-Master_Table!G1182)/Master_Table!G1182</f>
        <v>-5.7499934360804575E-3</v>
      </c>
      <c r="H1183" s="3">
        <f>(Master_Table!H1183-Master_Table!H1182)/Master_Table!H1182</f>
        <v>-4.2657725468728591E-2</v>
      </c>
    </row>
    <row r="1184" spans="1:8" x14ac:dyDescent="0.3">
      <c r="A1184" s="1">
        <v>45569</v>
      </c>
      <c r="B1184" s="3">
        <f>(Master_Table!B1184-Master_Table!B1183)/Master_Table!B1183</f>
        <v>-9.3266957358584725E-3</v>
      </c>
      <c r="C1184" s="3">
        <f>(Master_Table!C1184-Master_Table!C1183)/Master_Table!C1183</f>
        <v>-1.4527672942564556E-2</v>
      </c>
      <c r="D1184" s="3">
        <f>(Master_Table!D1184-Master_Table!D1183)/Master_Table!D1183</f>
        <v>-1.4471159003945581E-2</v>
      </c>
      <c r="E1184" s="3">
        <f>(Master_Table!E1184-Master_Table!E1183)/Master_Table!E1183</f>
        <v>-1.7956171274249037E-2</v>
      </c>
      <c r="F1184" s="3">
        <f>(Master_Table!F1184-Master_Table!F1183)/Master_Table!F1183</f>
        <v>4.6069340263422123E-3</v>
      </c>
      <c r="G1184" s="3">
        <f>(Master_Table!G1184-Master_Table!G1183)/Master_Table!G1183</f>
        <v>1.3071722826661032E-2</v>
      </c>
      <c r="H1184" s="3">
        <f>(Master_Table!H1184-Master_Table!H1183)/Master_Table!H1183</f>
        <v>-1.0578531299587645E-3</v>
      </c>
    </row>
    <row r="1185" spans="1:8" x14ac:dyDescent="0.3">
      <c r="A1185" s="1">
        <v>45572</v>
      </c>
      <c r="B1185" s="3">
        <f>(Master_Table!B1185-Master_Table!B1184)/Master_Table!B1184</f>
        <v>-8.7488906478615912E-3</v>
      </c>
      <c r="C1185" s="3">
        <f>(Master_Table!C1185-Master_Table!C1184)/Master_Table!C1184</f>
        <v>-1.1402566118295274E-2</v>
      </c>
      <c r="D1185" s="3">
        <f>(Master_Table!D1185-Master_Table!D1184)/Master_Table!D1184</f>
        <v>-2.4045381424096176E-2</v>
      </c>
      <c r="E1185" s="3">
        <f>(Master_Table!E1185-Master_Table!E1184)/Master_Table!E1184</f>
        <v>1.3225291796120605E-2</v>
      </c>
      <c r="F1185" s="3">
        <f>(Master_Table!F1185-Master_Table!F1184)/Master_Table!F1184</f>
        <v>4.8444940913634814E-3</v>
      </c>
      <c r="G1185" s="3">
        <f>(Master_Table!G1185-Master_Table!G1184)/Master_Table!G1184</f>
        <v>8.4195709407501301E-3</v>
      </c>
      <c r="H1185" s="3">
        <f>(Master_Table!H1185-Master_Table!H1184)/Master_Table!H1184</f>
        <v>-7.3269508722219583E-3</v>
      </c>
    </row>
    <row r="1186" spans="1:8" x14ac:dyDescent="0.3">
      <c r="A1186" s="1">
        <v>45573</v>
      </c>
      <c r="B1186" s="3">
        <f>(Master_Table!B1186-Master_Table!B1185)/Master_Table!B1185</f>
        <v>8.7676315497616109E-3</v>
      </c>
      <c r="C1186" s="3">
        <f>(Master_Table!C1186-Master_Table!C1185)/Master_Table!C1185</f>
        <v>1.9427746002100999E-2</v>
      </c>
      <c r="D1186" s="3">
        <f>(Master_Table!D1186-Master_Table!D1185)/Master_Table!D1185</f>
        <v>2.056042335386488E-2</v>
      </c>
      <c r="E1186" s="3">
        <f>(Master_Table!E1186-Master_Table!E1185)/Master_Table!E1185</f>
        <v>-4.4130443790661176E-3</v>
      </c>
      <c r="F1186" s="3">
        <f>(Master_Table!F1186-Master_Table!F1185)/Master_Table!F1185</f>
        <v>-4.5871022853599735E-3</v>
      </c>
      <c r="G1186" s="3">
        <f>(Master_Table!G1186-Master_Table!G1185)/Master_Table!G1185</f>
        <v>7.3670061520963656E-3</v>
      </c>
      <c r="H1186" s="3">
        <f>(Master_Table!H1186-Master_Table!H1185)/Master_Table!H1185</f>
        <v>1.8466994392146174E-2</v>
      </c>
    </row>
    <row r="1187" spans="1:8" x14ac:dyDescent="0.3">
      <c r="A1187" s="1">
        <v>45574</v>
      </c>
      <c r="B1187" s="3">
        <f>(Master_Table!B1187-Master_Table!B1186)/Master_Table!B1186</f>
        <v>-1.2473438971101491E-3</v>
      </c>
      <c r="C1187" s="3">
        <f>(Master_Table!C1187-Master_Table!C1186)/Master_Table!C1186</f>
        <v>-1.6280817261244501E-2</v>
      </c>
      <c r="D1187" s="3">
        <f>(Master_Table!D1187-Master_Table!D1186)/Master_Table!D1186</f>
        <v>-1.0844222081896419E-2</v>
      </c>
      <c r="E1187" s="3">
        <f>(Master_Table!E1187-Master_Table!E1186)/Master_Table!E1186</f>
        <v>-3.2006326347990756E-2</v>
      </c>
      <c r="F1187" s="3">
        <f>(Master_Table!F1187-Master_Table!F1186)/Master_Table!F1186</f>
        <v>-7.0534297302105893E-5</v>
      </c>
      <c r="G1187" s="3">
        <f>(Master_Table!G1187-Master_Table!G1186)/Master_Table!G1186</f>
        <v>2.1554489235585668E-3</v>
      </c>
      <c r="H1187" s="3">
        <f>(Master_Table!H1187-Master_Table!H1186)/Master_Table!H1186</f>
        <v>-1.2824142226248494E-2</v>
      </c>
    </row>
    <row r="1188" spans="1:8" x14ac:dyDescent="0.3">
      <c r="A1188" s="1">
        <v>45575</v>
      </c>
      <c r="B1188" s="3">
        <f>(Master_Table!B1188-Master_Table!B1187)/Master_Table!B1187</f>
        <v>6.604768642960217E-4</v>
      </c>
      <c r="C1188" s="3">
        <f>(Master_Table!C1188-Master_Table!C1187)/Master_Table!C1187</f>
        <v>-2.5825694747562597E-3</v>
      </c>
      <c r="D1188" s="3">
        <f>(Master_Table!D1188-Master_Table!D1187)/Master_Table!D1187</f>
        <v>1.7911730403290201E-2</v>
      </c>
      <c r="E1188" s="3">
        <f>(Master_Table!E1188-Master_Table!E1187)/Master_Table!E1187</f>
        <v>7.3094700634210872E-4</v>
      </c>
      <c r="F1188" s="3">
        <f>(Master_Table!F1188-Master_Table!F1187)/Master_Table!F1187</f>
        <v>-6.0075947283650599E-3</v>
      </c>
      <c r="G1188" s="3">
        <f>(Master_Table!G1188-Master_Table!G1187)/Master_Table!G1187</f>
        <v>-1.728331839713225E-2</v>
      </c>
      <c r="H1188" s="3">
        <f>(Master_Table!H1188-Master_Table!H1187)/Master_Table!H1187</f>
        <v>-7.6711307390094925E-3</v>
      </c>
    </row>
    <row r="1189" spans="1:8" x14ac:dyDescent="0.3">
      <c r="A1189" s="1">
        <v>45576</v>
      </c>
      <c r="B1189" s="3">
        <f>(Master_Table!B1189-Master_Table!B1188)/Master_Table!B1188</f>
        <v>-1.368084821258947E-3</v>
      </c>
      <c r="C1189" s="3">
        <f>(Master_Table!C1189-Master_Table!C1188)/Master_Table!C1188</f>
        <v>7.6583640275697793E-4</v>
      </c>
      <c r="D1189" s="3">
        <f>(Master_Table!D1189-Master_Table!D1188)/Master_Table!D1188</f>
        <v>-6.8625322623440442E-3</v>
      </c>
      <c r="E1189" s="3">
        <f>(Master_Table!E1189-Master_Table!E1188)/Master_Table!E1188</f>
        <v>-7.8411995961245873E-3</v>
      </c>
      <c r="F1189" s="3">
        <f>(Master_Table!F1189-Master_Table!F1188)/Master_Table!F1188</f>
        <v>-1.8498367791077216E-2</v>
      </c>
      <c r="G1189" s="3">
        <f>(Master_Table!G1189-Master_Table!G1188)/Master_Table!G1188</f>
        <v>8.3897863470557103E-3</v>
      </c>
      <c r="H1189" s="3">
        <f>(Master_Table!H1189-Master_Table!H1188)/Master_Table!H1188</f>
        <v>6.4155360006936503E-3</v>
      </c>
    </row>
    <row r="1190" spans="1:8" x14ac:dyDescent="0.3">
      <c r="A1190" s="1">
        <v>45579</v>
      </c>
      <c r="B1190" s="3">
        <f>(Master_Table!B1190-Master_Table!B1189)/Master_Table!B1189</f>
        <v>6.5573770491803574E-3</v>
      </c>
      <c r="C1190" s="3">
        <f>(Master_Table!C1190-Master_Table!C1189)/Master_Table!C1189</f>
        <v>3.1338823700901078E-4</v>
      </c>
      <c r="D1190" s="3">
        <f>(Master_Table!D1190-Master_Table!D1189)/Master_Table!D1189</f>
        <v>2.2478596150343057E-2</v>
      </c>
      <c r="E1190" s="3">
        <f>(Master_Table!E1190-Master_Table!E1189)/Master_Table!E1189</f>
        <v>1.7928286852589705E-2</v>
      </c>
      <c r="F1190" s="3">
        <f>(Master_Table!F1190-Master_Table!F1189)/Master_Table!F1189</f>
        <v>-3.0246794562807729E-3</v>
      </c>
      <c r="G1190" s="3">
        <f>(Master_Table!G1190-Master_Table!G1189)/Master_Table!G1189</f>
        <v>1.229910598935465E-2</v>
      </c>
      <c r="H1190" s="3">
        <f>(Master_Table!H1190-Master_Table!H1189)/Master_Table!H1189</f>
        <v>2.0818078706694807E-2</v>
      </c>
    </row>
    <row r="1191" spans="1:8" x14ac:dyDescent="0.3">
      <c r="A1191" s="1">
        <v>45580</v>
      </c>
      <c r="B1191" s="3">
        <f>(Master_Table!B1191-Master_Table!B1190)/Master_Table!B1190</f>
        <v>-2.8096203629823435E-3</v>
      </c>
      <c r="C1191" s="3">
        <f>(Master_Table!C1191-Master_Table!C1190)/Master_Table!C1190</f>
        <v>-2.0764573451946405E-2</v>
      </c>
      <c r="D1191" s="3">
        <f>(Master_Table!D1191-Master_Table!D1190)/Master_Table!D1190</f>
        <v>-2.3754097581832863E-3</v>
      </c>
      <c r="E1191" s="3">
        <f>(Master_Table!E1191-Master_Table!E1190)/Master_Table!E1190</f>
        <v>3.2332170509656723E-3</v>
      </c>
      <c r="F1191" s="3">
        <f>(Master_Table!F1191-Master_Table!F1190)/Master_Table!F1190</f>
        <v>-4.7985688902854864E-3</v>
      </c>
      <c r="G1191" s="3">
        <f>(Master_Table!G1191-Master_Table!G1190)/Master_Table!G1190</f>
        <v>2.0419623257943926E-4</v>
      </c>
      <c r="H1191" s="3">
        <f>(Master_Table!H1191-Master_Table!H1190)/Master_Table!H1190</f>
        <v>-8.8606348715210498E-4</v>
      </c>
    </row>
    <row r="1192" spans="1:8" x14ac:dyDescent="0.3">
      <c r="A1192" s="1">
        <v>45581</v>
      </c>
      <c r="B1192" s="3">
        <f>(Master_Table!B1192-Master_Table!B1191)/Master_Table!B1191</f>
        <v>-3.4341221238478642E-3</v>
      </c>
      <c r="C1192" s="3">
        <f>(Master_Table!C1192-Master_Table!C1191)/Master_Table!C1191</f>
        <v>7.4700713525739483E-3</v>
      </c>
      <c r="D1192" s="3">
        <f>(Master_Table!D1192-Master_Table!D1191)/Master_Table!D1191</f>
        <v>9.3218724701175371E-3</v>
      </c>
      <c r="E1192" s="3">
        <f>(Master_Table!E1192-Master_Table!E1191)/Master_Table!E1191</f>
        <v>-1.0749724366041883E-2</v>
      </c>
      <c r="F1192" s="3">
        <f>(Master_Table!F1192-Master_Table!F1191)/Master_Table!F1191</f>
        <v>-5.3075204041975231E-3</v>
      </c>
      <c r="G1192" s="3">
        <f>(Master_Table!G1192-Master_Table!G1191)/Master_Table!G1191</f>
        <v>-2.0007145409074695E-2</v>
      </c>
      <c r="H1192" s="3">
        <f>(Master_Table!H1192-Master_Table!H1191)/Master_Table!H1191</f>
        <v>-5.433711534671635E-3</v>
      </c>
    </row>
    <row r="1193" spans="1:8" x14ac:dyDescent="0.3">
      <c r="A1193" s="1">
        <v>45582</v>
      </c>
      <c r="B1193" s="3">
        <f>(Master_Table!B1193-Master_Table!B1192)/Master_Table!B1192</f>
        <v>-8.8681806714108087E-3</v>
      </c>
      <c r="C1193" s="3">
        <f>(Master_Table!C1193-Master_Table!C1192)/Master_Table!C1192</f>
        <v>1.7428936465619411E-3</v>
      </c>
      <c r="D1193" s="3">
        <f>(Master_Table!D1193-Master_Table!D1192)/Master_Table!D1192</f>
        <v>-1.5676051852463423E-2</v>
      </c>
      <c r="E1193" s="3">
        <f>(Master_Table!E1193-Master_Table!E1192)/Master_Table!E1192</f>
        <v>-8.7018025162355107E-3</v>
      </c>
      <c r="F1193" s="3">
        <f>(Master_Table!F1193-Master_Table!F1192)/Master_Table!F1192</f>
        <v>3.4310553242408778E-3</v>
      </c>
      <c r="G1193" s="3">
        <f>(Master_Table!G1193-Master_Table!G1192)/Master_Table!G1192</f>
        <v>2.4998697984479977E-2</v>
      </c>
      <c r="H1193" s="3">
        <f>(Master_Table!H1193-Master_Table!H1192)/Master_Table!H1192</f>
        <v>1.0672026269603202E-2</v>
      </c>
    </row>
    <row r="1194" spans="1:8" x14ac:dyDescent="0.3">
      <c r="A1194" s="1">
        <v>45583</v>
      </c>
      <c r="B1194" s="3">
        <f>(Master_Table!B1194-Master_Table!B1193)/Master_Table!B1193</f>
        <v>4.2101265260193789E-3</v>
      </c>
      <c r="C1194" s="3">
        <f>(Master_Table!C1194-Master_Table!C1193)/Master_Table!C1193</f>
        <v>2.1158482192224375E-3</v>
      </c>
      <c r="D1194" s="3">
        <f>(Master_Table!D1194-Master_Table!D1193)/Master_Table!D1193</f>
        <v>5.2007189934092654E-3</v>
      </c>
      <c r="E1194" s="3">
        <f>(Master_Table!E1194-Master_Table!E1193)/Master_Table!E1193</f>
        <v>-4.5188212146763853E-3</v>
      </c>
      <c r="F1194" s="3">
        <f>(Master_Table!F1194-Master_Table!F1193)/Master_Table!F1193</f>
        <v>3.4193234363592557E-3</v>
      </c>
      <c r="G1194" s="3">
        <f>(Master_Table!G1194-Master_Table!G1193)/Master_Table!G1193</f>
        <v>-4.4967227275036839E-2</v>
      </c>
      <c r="H1194" s="3">
        <f>(Master_Table!H1194-Master_Table!H1193)/Master_Table!H1193</f>
        <v>2.1006638097638853E-3</v>
      </c>
    </row>
    <row r="1195" spans="1:8" x14ac:dyDescent="0.3">
      <c r="A1195" s="1">
        <v>45586</v>
      </c>
      <c r="B1195" s="3">
        <f>(Master_Table!B1195-Master_Table!B1194)/Master_Table!B1194</f>
        <v>-2.9351353199981787E-3</v>
      </c>
      <c r="C1195" s="3">
        <f>(Master_Table!C1195-Master_Table!C1194)/Master_Table!C1194</f>
        <v>7.2831604502318044E-3</v>
      </c>
      <c r="D1195" s="3">
        <f>(Master_Table!D1195-Master_Table!D1194)/Master_Table!D1194</f>
        <v>2.7847980544561553E-2</v>
      </c>
      <c r="E1195" s="3">
        <f>(Master_Table!E1195-Master_Table!E1194)/Master_Table!E1194</f>
        <v>-6.2551583336953112E-3</v>
      </c>
      <c r="F1195" s="3">
        <f>(Master_Table!F1195-Master_Table!F1194)/Master_Table!F1194</f>
        <v>-1.0477680357987478E-2</v>
      </c>
      <c r="G1195" s="3">
        <f>(Master_Table!G1195-Master_Table!G1194)/Master_Table!G1194</f>
        <v>-1.428495424558412E-2</v>
      </c>
      <c r="H1195" s="3">
        <f>(Master_Table!H1195-Master_Table!H1194)/Master_Table!H1194</f>
        <v>2.1801106825422682E-3</v>
      </c>
    </row>
    <row r="1196" spans="1:8" x14ac:dyDescent="0.3">
      <c r="A1196" s="1">
        <v>45587</v>
      </c>
      <c r="B1196" s="3">
        <f>(Master_Table!B1196-Master_Table!B1195)/Master_Table!B1195</f>
        <v>-1.2469180141317376E-2</v>
      </c>
      <c r="C1196" s="3">
        <f>(Master_Table!C1196-Master_Table!C1195)/Master_Table!C1195</f>
        <v>-1.8879637744668519E-2</v>
      </c>
      <c r="D1196" s="3">
        <f>(Master_Table!D1196-Master_Table!D1195)/Master_Table!D1195</f>
        <v>-8.176757132915876E-3</v>
      </c>
      <c r="E1196" s="3">
        <f>(Master_Table!E1196-Master_Table!E1195)/Master_Table!E1195</f>
        <v>-3.8248022030860688E-3</v>
      </c>
      <c r="F1196" s="3">
        <f>(Master_Table!F1196-Master_Table!F1195)/Master_Table!F1195</f>
        <v>-1.5772638699952182E-2</v>
      </c>
      <c r="G1196" s="3">
        <f>(Master_Table!G1196-Master_Table!G1195)/Master_Table!G1195</f>
        <v>-6.2069896100396221E-4</v>
      </c>
      <c r="H1196" s="3">
        <f>(Master_Table!H1196-Master_Table!H1195)/Master_Table!H1195</f>
        <v>-2.0554439982150775E-2</v>
      </c>
    </row>
    <row r="1197" spans="1:8" x14ac:dyDescent="0.3">
      <c r="A1197" s="1">
        <v>45588</v>
      </c>
      <c r="B1197" s="3">
        <f>(Master_Table!B1197-Master_Table!B1196)/Master_Table!B1196</f>
        <v>-1.4955806816741737E-3</v>
      </c>
      <c r="C1197" s="3">
        <f>(Master_Table!C1197-Master_Table!C1196)/Master_Table!C1196</f>
        <v>-3.5880448133397379E-3</v>
      </c>
      <c r="D1197" s="3">
        <f>(Master_Table!D1197-Master_Table!D1196)/Master_Table!D1196</f>
        <v>1.2395486172016633E-2</v>
      </c>
      <c r="E1197" s="3">
        <f>(Master_Table!E1197-Master_Table!E1196)/Master_Table!E1196</f>
        <v>-3.0057702011891539E-3</v>
      </c>
      <c r="F1197" s="3">
        <f>(Master_Table!F1197-Master_Table!F1196)/Master_Table!F1196</f>
        <v>1.2638525712862657E-2</v>
      </c>
      <c r="G1197" s="3">
        <f>(Master_Table!G1197-Master_Table!G1196)/Master_Table!G1196</f>
        <v>1.1773601209764627E-2</v>
      </c>
      <c r="H1197" s="3">
        <f>(Master_Table!H1197-Master_Table!H1196)/Master_Table!H1196</f>
        <v>-1.6088157407671062E-2</v>
      </c>
    </row>
    <row r="1198" spans="1:8" x14ac:dyDescent="0.3">
      <c r="A1198" s="1">
        <v>45589</v>
      </c>
      <c r="B1198" s="3">
        <f>(Master_Table!B1198-Master_Table!B1197)/Master_Table!B1197</f>
        <v>-1.4773587608192403E-3</v>
      </c>
      <c r="C1198" s="3">
        <f>(Master_Table!C1198-Master_Table!C1197)/Master_Table!C1197</f>
        <v>9.4880204403336636E-4</v>
      </c>
      <c r="D1198" s="3">
        <f>(Master_Table!D1198-Master_Table!D1197)/Master_Table!D1197</f>
        <v>7.9699682356338172E-3</v>
      </c>
      <c r="E1198" s="3">
        <f>(Master_Table!E1198-Master_Table!E1197)/Master_Table!E1197</f>
        <v>-1.8022974340918086E-2</v>
      </c>
      <c r="F1198" s="3">
        <f>(Master_Table!F1198-Master_Table!F1197)/Master_Table!F1197</f>
        <v>-4.5127574546572173E-3</v>
      </c>
      <c r="G1198" s="3">
        <f>(Master_Table!G1198-Master_Table!G1197)/Master_Table!G1197</f>
        <v>-5.3645777730330852E-3</v>
      </c>
      <c r="H1198" s="3">
        <f>(Master_Table!H1198-Master_Table!H1197)/Master_Table!H1197</f>
        <v>-3.6898767147074143E-3</v>
      </c>
    </row>
    <row r="1199" spans="1:8" x14ac:dyDescent="0.3">
      <c r="A1199" s="1">
        <v>45590</v>
      </c>
      <c r="B1199" s="3">
        <f>(Master_Table!B1199-Master_Table!B1198)/Master_Table!B1198</f>
        <v>-8.9592367025419541E-3</v>
      </c>
      <c r="C1199" s="3">
        <f>(Master_Table!C1199-Master_Table!C1198)/Master_Table!C1198</f>
        <v>-8.9192416778624013E-3</v>
      </c>
      <c r="D1199" s="3">
        <f>(Master_Table!D1199-Master_Table!D1198)/Master_Table!D1198</f>
        <v>-3.5638572165243953E-3</v>
      </c>
      <c r="E1199" s="3">
        <f>(Master_Table!E1199-Master_Table!E1198)/Master_Table!E1198</f>
        <v>2.2477197857607E-2</v>
      </c>
      <c r="F1199" s="3">
        <f>(Master_Table!F1199-Master_Table!F1198)/Master_Table!F1198</f>
        <v>2.3839521727315621E-3</v>
      </c>
      <c r="G1199" s="3">
        <f>(Master_Table!G1199-Master_Table!G1198)/Master_Table!G1198</f>
        <v>-6.9766817828102853E-4</v>
      </c>
      <c r="H1199" s="3">
        <f>(Master_Table!H1199-Master_Table!H1198)/Master_Table!H1198</f>
        <v>-3.3767591826064224E-2</v>
      </c>
    </row>
    <row r="1200" spans="1:8" x14ac:dyDescent="0.3">
      <c r="A1200" s="1">
        <v>45593</v>
      </c>
      <c r="B1200" s="3">
        <f>(Master_Table!B1200-Master_Table!B1199)/Master_Table!B1199</f>
        <v>6.5485840005294364E-3</v>
      </c>
      <c r="C1200" s="3">
        <f>(Master_Table!C1200-Master_Table!C1199)/Master_Table!C1199</f>
        <v>4.8951312271717437E-3</v>
      </c>
      <c r="D1200" s="3">
        <f>(Master_Table!D1200-Master_Table!D1199)/Master_Table!D1199</f>
        <v>-5.278653080939253E-3</v>
      </c>
      <c r="E1200" s="3">
        <f>(Master_Table!E1200-Master_Table!E1199)/Master_Table!E1199</f>
        <v>3.8355323718932189E-3</v>
      </c>
      <c r="F1200" s="3">
        <f>(Master_Table!F1200-Master_Table!F1199)/Master_Table!F1199</f>
        <v>8.2069228968219068E-3</v>
      </c>
      <c r="G1200" s="3">
        <f>(Master_Table!G1200-Master_Table!G1199)/Master_Table!G1199</f>
        <v>1.7722402728175691E-3</v>
      </c>
      <c r="H1200" s="3">
        <f>(Master_Table!H1200-Master_Table!H1199)/Master_Table!H1199</f>
        <v>4.3290043290043559E-3</v>
      </c>
    </row>
    <row r="1201" spans="1:8" x14ac:dyDescent="0.3">
      <c r="A1201" s="1">
        <v>45594</v>
      </c>
      <c r="B1201" s="3">
        <f>(Master_Table!B1201-Master_Table!B1200)/Master_Table!B1200</f>
        <v>5.2466910307055539E-3</v>
      </c>
      <c r="C1201" s="3">
        <f>(Master_Table!C1201-Master_Table!C1200)/Master_Table!C1200</f>
        <v>4.2342713680819056E-3</v>
      </c>
      <c r="D1201" s="3">
        <f>(Master_Table!D1201-Master_Table!D1200)/Master_Table!D1200</f>
        <v>1.0173998497022897E-2</v>
      </c>
      <c r="E1201" s="3">
        <f>(Master_Table!E1201-Master_Table!E1200)/Master_Table!E1200</f>
        <v>7.8600903910395464E-3</v>
      </c>
      <c r="F1201" s="3">
        <f>(Master_Table!F1201-Master_Table!F1200)/Master_Table!F1200</f>
        <v>-3.8133884156104254E-3</v>
      </c>
      <c r="G1201" s="3">
        <f>(Master_Table!G1201-Master_Table!G1200)/Master_Table!G1200</f>
        <v>-1.3965207601790526E-2</v>
      </c>
      <c r="H1201" s="3">
        <f>(Master_Table!H1201-Master_Table!H1200)/Master_Table!H1200</f>
        <v>1.2003113026819896E-2</v>
      </c>
    </row>
    <row r="1202" spans="1:8" x14ac:dyDescent="0.3">
      <c r="A1202" s="1">
        <v>45595</v>
      </c>
      <c r="B1202" s="3">
        <f>(Master_Table!B1202-Master_Table!B1201)/Master_Table!B1201</f>
        <v>-5.1498251716097501E-3</v>
      </c>
      <c r="C1202" s="3">
        <f>(Master_Table!C1202-Master_Table!C1201)/Master_Table!C1201</f>
        <v>2.9104477611940978E-3</v>
      </c>
      <c r="D1202" s="3">
        <f>(Master_Table!D1202-Master_Table!D1201)/Master_Table!D1201</f>
        <v>-9.8426323319027436E-3</v>
      </c>
      <c r="E1202" s="3">
        <f>(Master_Table!E1202-Master_Table!E1201)/Master_Table!E1201</f>
        <v>7.3655250102900218E-3</v>
      </c>
      <c r="F1202" s="3">
        <f>(Master_Table!F1202-Master_Table!F1201)/Master_Table!F1201</f>
        <v>2.3066069566284502E-3</v>
      </c>
      <c r="G1202" s="3">
        <f>(Master_Table!G1202-Master_Table!G1201)/Master_Table!G1201</f>
        <v>-2.0225085630402897E-2</v>
      </c>
      <c r="H1202" s="3">
        <f>(Master_Table!H1202-Master_Table!H1201)/Master_Table!H1201</f>
        <v>8.1191398739979947E-3</v>
      </c>
    </row>
    <row r="1203" spans="1:8" x14ac:dyDescent="0.3">
      <c r="A1203" s="1">
        <v>45596</v>
      </c>
      <c r="B1203" s="3">
        <f>(Master_Table!B1203-Master_Table!B1202)/Master_Table!B1202</f>
        <v>-5.5667735514577351E-3</v>
      </c>
      <c r="C1203" s="3">
        <f>(Master_Table!C1203-Master_Table!C1202)/Master_Table!C1202</f>
        <v>-8.8176203586577389E-3</v>
      </c>
      <c r="D1203" s="3">
        <f>(Master_Table!D1203-Master_Table!D1202)/Master_Table!D1202</f>
        <v>6.3572790845526001E-4</v>
      </c>
      <c r="E1203" s="3">
        <f>(Master_Table!E1203-Master_Table!E1202)/Master_Table!E1202</f>
        <v>-5.5912776069331109E-3</v>
      </c>
      <c r="F1203" s="3">
        <f>(Master_Table!F1203-Master_Table!F1202)/Master_Table!F1202</f>
        <v>-2.8447969838297105E-2</v>
      </c>
      <c r="G1203" s="3">
        <f>(Master_Table!G1203-Master_Table!G1202)/Master_Table!G1202</f>
        <v>-2.488763109705339E-2</v>
      </c>
      <c r="H1203" s="3">
        <f>(Master_Table!H1203-Master_Table!H1202)/Master_Table!H1202</f>
        <v>6.2772309181862274E-2</v>
      </c>
    </row>
    <row r="1204" spans="1:8" x14ac:dyDescent="0.3">
      <c r="A1204" s="1">
        <v>45597</v>
      </c>
      <c r="B1204" s="3">
        <f>(Master_Table!B1204-Master_Table!B1203)/Master_Table!B1203</f>
        <v>4.0900048956119209E-3</v>
      </c>
      <c r="C1204" s="3">
        <f>(Master_Table!C1204-Master_Table!C1203)/Master_Table!C1203</f>
        <v>4.9547689651290392E-3</v>
      </c>
      <c r="D1204" s="3">
        <f>(Master_Table!D1204-Master_Table!D1203)/Master_Table!D1203</f>
        <v>9.1255631281040033E-4</v>
      </c>
      <c r="E1204" s="3">
        <f>(Master_Table!E1204-Master_Table!E1203)/Master_Table!E1203</f>
        <v>3.070867844553446E-3</v>
      </c>
      <c r="F1204" s="3">
        <f>(Master_Table!F1204-Master_Table!F1203)/Master_Table!F1203</f>
        <v>3.9688039410853103E-3</v>
      </c>
      <c r="G1204" s="3">
        <f>(Master_Table!G1204-Master_Table!G1203)/Master_Table!G1203</f>
        <v>2.0486555697822786E-3</v>
      </c>
      <c r="H1204" s="3">
        <f>(Master_Table!H1204-Master_Table!H1203)/Master_Table!H1203</f>
        <v>1.1180741517819416E-3</v>
      </c>
    </row>
    <row r="1205" spans="1:8" x14ac:dyDescent="0.3">
      <c r="A1205" s="1">
        <v>45600</v>
      </c>
      <c r="B1205" s="3">
        <f>(Master_Table!B1205-Master_Table!B1204)/Master_Table!B1204</f>
        <v>-1.2713773460306488E-2</v>
      </c>
      <c r="C1205" s="3">
        <f>(Master_Table!C1205-Master_Table!C1204)/Master_Table!C1204</f>
        <v>-2.7266275725544391E-2</v>
      </c>
      <c r="D1205" s="3">
        <f>(Master_Table!D1205-Master_Table!D1204)/Master_Table!D1204</f>
        <v>-1.3352721901002954E-2</v>
      </c>
      <c r="E1205" s="3">
        <f>(Master_Table!E1205-Master_Table!E1204)/Master_Table!E1204</f>
        <v>-1.1620636871267461E-2</v>
      </c>
      <c r="F1205" s="3">
        <f>(Master_Table!F1205-Master_Table!F1204)/Master_Table!F1204</f>
        <v>-5.0323778926760019E-3</v>
      </c>
      <c r="G1205" s="3">
        <f>(Master_Table!G1205-Master_Table!G1204)/Master_Table!G1204</f>
        <v>1.5901411250249494E-3</v>
      </c>
      <c r="H1205" s="3">
        <f>(Master_Table!H1205-Master_Table!H1204)/Master_Table!H1204</f>
        <v>-1.431191142608962E-2</v>
      </c>
    </row>
    <row r="1206" spans="1:8" x14ac:dyDescent="0.3">
      <c r="A1206" s="1">
        <v>45601</v>
      </c>
      <c r="B1206" s="3">
        <f>(Master_Table!B1206-Master_Table!B1205)/Master_Table!B1205</f>
        <v>9.0830098331552041E-3</v>
      </c>
      <c r="C1206" s="3">
        <f>(Master_Table!C1206-Master_Table!C1205)/Master_Table!C1205</f>
        <v>2.4190761433013582E-3</v>
      </c>
      <c r="D1206" s="3">
        <f>(Master_Table!D1206-Master_Table!D1205)/Master_Table!D1205</f>
        <v>2.5522855939737112E-2</v>
      </c>
      <c r="E1206" s="3">
        <f>(Master_Table!E1206-Master_Table!E1205)/Master_Table!E1205</f>
        <v>-9.0960649158014478E-3</v>
      </c>
      <c r="F1206" s="3">
        <f>(Master_Table!F1206-Master_Table!F1205)/Master_Table!F1205</f>
        <v>1.8162783951161832E-3</v>
      </c>
      <c r="G1206" s="3">
        <f>(Master_Table!G1206-Master_Table!G1205)/Master_Table!G1205</f>
        <v>-5.358205993252655E-3</v>
      </c>
      <c r="H1206" s="3">
        <f>(Master_Table!H1206-Master_Table!H1205)/Master_Table!H1205</f>
        <v>9.7917162080981358E-5</v>
      </c>
    </row>
    <row r="1207" spans="1:8" x14ac:dyDescent="0.3">
      <c r="A1207" s="1">
        <v>45602</v>
      </c>
      <c r="B1207" s="3">
        <f>(Master_Table!B1207-Master_Table!B1206)/Master_Table!B1206</f>
        <v>1.1181871120417292E-2</v>
      </c>
      <c r="C1207" s="3">
        <f>(Master_Table!C1207-Master_Table!C1206)/Master_Table!C1206</f>
        <v>1.5360453535585655E-2</v>
      </c>
      <c r="D1207" s="3">
        <f>(Master_Table!D1207-Master_Table!D1206)/Master_Table!D1206</f>
        <v>-1.4713598102059488E-3</v>
      </c>
      <c r="E1207" s="3">
        <f>(Master_Table!E1207-Master_Table!E1206)/Master_Table!E1206</f>
        <v>1.8931472472318526E-3</v>
      </c>
      <c r="F1207" s="3">
        <f>(Master_Table!F1207-Master_Table!F1206)/Master_Table!F1206</f>
        <v>4.2378536266005198E-2</v>
      </c>
      <c r="G1207" s="3">
        <f>(Master_Table!G1207-Master_Table!G1206)/Master_Table!G1206</f>
        <v>3.9619199635161327E-2</v>
      </c>
      <c r="H1207" s="3">
        <f>(Master_Table!H1207-Master_Table!H1206)/Master_Table!H1206</f>
        <v>1.9763343403826683E-2</v>
      </c>
    </row>
    <row r="1208" spans="1:8" x14ac:dyDescent="0.3">
      <c r="A1208" s="1">
        <v>45603</v>
      </c>
      <c r="B1208" s="3">
        <f>(Master_Table!B1208-Master_Table!B1207)/Master_Table!B1207</f>
        <v>-1.162797821438858E-2</v>
      </c>
      <c r="C1208" s="3">
        <f>(Master_Table!C1208-Master_Table!C1207)/Master_Table!C1207</f>
        <v>-1.4863998189157445E-2</v>
      </c>
      <c r="D1208" s="3">
        <f>(Master_Table!D1208-Master_Table!D1207)/Master_Table!D1207</f>
        <v>-4.957450454052238E-3</v>
      </c>
      <c r="E1208" s="3">
        <f>(Master_Table!E1208-Master_Table!E1207)/Master_Table!E1207</f>
        <v>-6.6574385340451578E-3</v>
      </c>
      <c r="F1208" s="3">
        <f>(Master_Table!F1208-Master_Table!F1207)/Master_Table!F1207</f>
        <v>2.7176210549201022E-3</v>
      </c>
      <c r="G1208" s="3">
        <f>(Master_Table!G1208-Master_Table!G1207)/Master_Table!G1207</f>
        <v>-1.1323134287437676E-2</v>
      </c>
      <c r="H1208" s="3">
        <f>(Master_Table!H1208-Master_Table!H1207)/Master_Table!H1207</f>
        <v>3.0174601215223466E-4</v>
      </c>
    </row>
    <row r="1209" spans="1:8" x14ac:dyDescent="0.3">
      <c r="A1209" s="1">
        <v>45604</v>
      </c>
      <c r="B1209" s="3">
        <f>(Master_Table!B1209-Master_Table!B1208)/Master_Table!B1208</f>
        <v>-2.1136931363858044E-3</v>
      </c>
      <c r="C1209" s="3">
        <f>(Master_Table!C1209-Master_Table!C1208)/Master_Table!C1208</f>
        <v>-1.6773254700723845E-2</v>
      </c>
      <c r="D1209" s="3">
        <f>(Master_Table!D1209-Master_Table!D1208)/Master_Table!D1208</f>
        <v>4.5229649527613516E-3</v>
      </c>
      <c r="E1209" s="3">
        <f>(Master_Table!E1209-Master_Table!E1208)/Master_Table!E1208</f>
        <v>3.0966600309662983E-4</v>
      </c>
      <c r="F1209" s="3">
        <f>(Master_Table!F1209-Master_Table!F1208)/Master_Table!F1208</f>
        <v>-9.395552771687192E-4</v>
      </c>
      <c r="G1209" s="3">
        <f>(Master_Table!G1209-Master_Table!G1208)/Master_Table!G1208</f>
        <v>1.4919164748620444E-2</v>
      </c>
      <c r="H1209" s="3">
        <f>(Master_Table!H1209-Master_Table!H1208)/Master_Table!H1208</f>
        <v>3.7706873620271214E-3</v>
      </c>
    </row>
    <row r="1210" spans="1:8" x14ac:dyDescent="0.3">
      <c r="A1210" s="1">
        <v>45607</v>
      </c>
      <c r="B1210" s="3">
        <f>(Master_Table!B1210-Master_Table!B1209)/Master_Table!B1209</f>
        <v>-2.8573558277641628E-4</v>
      </c>
      <c r="C1210" s="3">
        <f>(Master_Table!C1210-Master_Table!C1209)/Master_Table!C1209</f>
        <v>-8.6075949367088248E-3</v>
      </c>
      <c r="D1210" s="3">
        <f>(Master_Table!D1210-Master_Table!D1209)/Master_Table!D1209</f>
        <v>6.7538997771556851E-3</v>
      </c>
      <c r="E1210" s="3">
        <f>(Master_Table!E1210-Master_Table!E1209)/Master_Table!E1209</f>
        <v>-2.2996638952768895E-3</v>
      </c>
      <c r="F1210" s="3">
        <f>(Master_Table!F1210-Master_Table!F1209)/Master_Table!F1209</f>
        <v>1.2466843501326217E-2</v>
      </c>
      <c r="G1210" s="3">
        <f>(Master_Table!G1210-Master_Table!G1209)/Master_Table!G1209</f>
        <v>1.6475859996174683E-2</v>
      </c>
      <c r="H1210" s="3">
        <f>(Master_Table!H1210-Master_Table!H1209)/Master_Table!H1209</f>
        <v>-8.5921918968391315E-3</v>
      </c>
    </row>
    <row r="1211" spans="1:8" x14ac:dyDescent="0.3">
      <c r="A1211" s="1">
        <v>45608</v>
      </c>
      <c r="B1211" s="3">
        <f>(Master_Table!B1211-Master_Table!B1210)/Master_Table!B1210</f>
        <v>-1.0680866399075383E-2</v>
      </c>
      <c r="C1211" s="3">
        <f>(Master_Table!C1211-Master_Table!C1210)/Master_Table!C1210</f>
        <v>1.2178832403551146E-3</v>
      </c>
      <c r="D1211" s="3">
        <f>(Master_Table!D1211-Master_Table!D1210)/Master_Table!D1210</f>
        <v>-2.7231656374863793E-2</v>
      </c>
      <c r="E1211" s="3">
        <f>(Master_Table!E1211-Master_Table!E1210)/Master_Table!E1210</f>
        <v>-8.5992907801418338E-3</v>
      </c>
      <c r="F1211" s="3">
        <f>(Master_Table!F1211-Master_Table!F1210)/Master_Table!F1210</f>
        <v>-3.096196441756215E-4</v>
      </c>
      <c r="G1211" s="3">
        <f>(Master_Table!G1211-Master_Table!G1210)/Master_Table!G1210</f>
        <v>4.6771678941992609E-3</v>
      </c>
      <c r="H1211" s="3">
        <f>(Master_Table!H1211-Master_Table!H1210)/Master_Table!H1210</f>
        <v>-1.0333852322361078E-2</v>
      </c>
    </row>
    <row r="1212" spans="1:8" x14ac:dyDescent="0.3">
      <c r="A1212" s="1">
        <v>45609</v>
      </c>
      <c r="B1212" s="3">
        <f>(Master_Table!B1212-Master_Table!B1211)/Master_Table!B1211</f>
        <v>-1.3582627300494754E-2</v>
      </c>
      <c r="C1212" s="3">
        <f>(Master_Table!C1212-Master_Table!C1211)/Master_Table!C1211</f>
        <v>-1.7422012948793444E-2</v>
      </c>
      <c r="D1212" s="3">
        <f>(Master_Table!D1212-Master_Table!D1211)/Master_Table!D1211</f>
        <v>-2.1447658611153244E-2</v>
      </c>
      <c r="E1212" s="3">
        <f>(Master_Table!E1212-Master_Table!E1211)/Master_Table!E1211</f>
        <v>-1.3636770097469678E-3</v>
      </c>
      <c r="F1212" s="3">
        <f>(Master_Table!F1212-Master_Table!F1211)/Master_Table!F1211</f>
        <v>-1.1209320055272139E-2</v>
      </c>
      <c r="G1212" s="3">
        <f>(Master_Table!G1212-Master_Table!G1211)/Master_Table!G1211</f>
        <v>-2.1404109589033795E-4</v>
      </c>
      <c r="H1212" s="3">
        <f>(Master_Table!H1212-Master_Table!H1211)/Master_Table!H1211</f>
        <v>-1.2084592145015132E-2</v>
      </c>
    </row>
    <row r="1213" spans="1:8" x14ac:dyDescent="0.3">
      <c r="A1213" s="1">
        <v>45610</v>
      </c>
      <c r="B1213" s="3">
        <f>(Master_Table!B1213-Master_Table!B1212)/Master_Table!B1212</f>
        <v>-1.118466152073133E-3</v>
      </c>
      <c r="C1213" s="3">
        <f>(Master_Table!C1213-Master_Table!C1212)/Master_Table!C1212</f>
        <v>1.2419631803841664E-2</v>
      </c>
      <c r="D1213" s="3">
        <f>(Master_Table!D1213-Master_Table!D1212)/Master_Table!D1212</f>
        <v>6.7732741864319273E-3</v>
      </c>
      <c r="E1213" s="3">
        <f>(Master_Table!E1213-Master_Table!E1212)/Master_Table!E1212</f>
        <v>-1.3230059770320719E-2</v>
      </c>
      <c r="F1213" s="3">
        <f>(Master_Table!F1213-Master_Table!F1212)/Master_Table!F1212</f>
        <v>-1.0721987302277464E-3</v>
      </c>
      <c r="G1213" s="3">
        <f>(Master_Table!G1213-Master_Table!G1212)/Master_Table!G1212</f>
        <v>-2.0605865981589253E-3</v>
      </c>
      <c r="H1213" s="3">
        <f>(Master_Table!H1213-Master_Table!H1212)/Master_Table!H1212</f>
        <v>-6.1162079510702853E-3</v>
      </c>
    </row>
    <row r="1214" spans="1:8" x14ac:dyDescent="0.3">
      <c r="A1214" s="1">
        <v>45614</v>
      </c>
      <c r="B1214" s="3">
        <f>(Master_Table!B1214-Master_Table!B1213)/Master_Table!B1213</f>
        <v>-3.3527814487925929E-3</v>
      </c>
      <c r="C1214" s="3">
        <f>(Master_Table!C1214-Master_Table!C1213)/Master_Table!C1213</f>
        <v>-5.4039129062795118E-3</v>
      </c>
      <c r="D1214" s="3">
        <f>(Master_Table!D1214-Master_Table!D1213)/Master_Table!D1213</f>
        <v>7.2962440925296032E-3</v>
      </c>
      <c r="E1214" s="3">
        <f>(Master_Table!E1214-Master_Table!E1213)/Master_Table!E1213</f>
        <v>1.2704174228675188E-3</v>
      </c>
      <c r="F1214" s="3">
        <f>(Master_Table!F1214-Master_Table!F1213)/Master_Table!F1213</f>
        <v>-3.0487951952531331E-2</v>
      </c>
      <c r="G1214" s="3">
        <f>(Master_Table!G1214-Master_Table!G1213)/Master_Table!G1213</f>
        <v>-2.8478721407310028E-2</v>
      </c>
      <c r="H1214" s="3">
        <f>(Master_Table!H1214-Master_Table!H1213)/Master_Table!H1213</f>
        <v>4.5090393477490512E-3</v>
      </c>
    </row>
    <row r="1215" spans="1:8" x14ac:dyDescent="0.3">
      <c r="A1215" s="1">
        <v>45615</v>
      </c>
      <c r="B1215" s="3">
        <f>(Master_Table!B1215-Master_Table!B1214)/Master_Table!B1214</f>
        <v>2.7586148086877491E-3</v>
      </c>
      <c r="C1215" s="3">
        <f>(Master_Table!C1215-Master_Table!C1214)/Master_Table!C1214</f>
        <v>-1.5149712472734412E-2</v>
      </c>
      <c r="D1215" s="3">
        <f>(Master_Table!D1215-Master_Table!D1214)/Master_Table!D1214</f>
        <v>2.1788977340874718E-2</v>
      </c>
      <c r="E1215" s="3">
        <f>(Master_Table!E1215-Master_Table!E1214)/Master_Table!E1214</f>
        <v>1.7219503353271498E-3</v>
      </c>
      <c r="F1215" s="3">
        <f>(Master_Table!F1215-Master_Table!F1214)/Master_Table!F1214</f>
        <v>4.9881826097773804E-3</v>
      </c>
      <c r="G1215" s="3">
        <f>(Master_Table!G1215-Master_Table!G1214)/Master_Table!G1214</f>
        <v>7.3421844378812303E-3</v>
      </c>
      <c r="H1215" s="3">
        <f>(Master_Table!H1215-Master_Table!H1214)/Master_Table!H1214</f>
        <v>-1.0233897491636435E-2</v>
      </c>
    </row>
    <row r="1216" spans="1:8" x14ac:dyDescent="0.3">
      <c r="A1216" s="1">
        <v>45617</v>
      </c>
      <c r="B1216" s="3">
        <f>(Master_Table!B1216-Master_Table!B1215)/Master_Table!B1215</f>
        <v>-7.1688245423814677E-3</v>
      </c>
      <c r="C1216" s="3">
        <f>(Master_Table!C1216-Master_Table!C1215)/Master_Table!C1215</f>
        <v>-1.5020335843434212E-2</v>
      </c>
      <c r="D1216" s="3">
        <f>(Master_Table!D1216-Master_Table!D1215)/Master_Table!D1215</f>
        <v>-5.9841649788250524E-4</v>
      </c>
      <c r="E1216" s="3">
        <f>(Master_Table!E1216-Master_Table!E1215)/Master_Table!E1215</f>
        <v>-2.1826653397267658E-2</v>
      </c>
      <c r="F1216" s="3">
        <f>(Master_Table!F1216-Master_Table!F1215)/Master_Table!F1215</f>
        <v>8.2434924682204015E-3</v>
      </c>
      <c r="G1216" s="3">
        <f>(Master_Table!G1216-Master_Table!G1215)/Master_Table!G1215</f>
        <v>5.0965885737772046E-3</v>
      </c>
      <c r="H1216" s="3">
        <f>(Master_Table!H1216-Master_Table!H1215)/Master_Table!H1215</f>
        <v>-6.3892295844148695E-3</v>
      </c>
    </row>
    <row r="1217" spans="1:8" x14ac:dyDescent="0.3">
      <c r="A1217" s="1">
        <v>45618</v>
      </c>
      <c r="B1217" s="3">
        <f>(Master_Table!B1217-Master_Table!B1216)/Master_Table!B1216</f>
        <v>2.3869481239748285E-2</v>
      </c>
      <c r="C1217" s="3">
        <f>(Master_Table!C1217-Master_Table!C1216)/Master_Table!C1216</f>
        <v>3.4668847097301794E-2</v>
      </c>
      <c r="D1217" s="3">
        <f>(Master_Table!D1217-Master_Table!D1216)/Master_Table!D1216</f>
        <v>2.5217631615309529E-3</v>
      </c>
      <c r="E1217" s="3">
        <f>(Master_Table!E1217-Master_Table!E1216)/Master_Table!E1216</f>
        <v>3.8268550419682183E-2</v>
      </c>
      <c r="F1217" s="3">
        <f>(Master_Table!F1217-Master_Table!F1216)/Master_Table!F1216</f>
        <v>4.2169488196226346E-2</v>
      </c>
      <c r="G1217" s="3">
        <f>(Master_Table!G1217-Master_Table!G1216)/Master_Table!G1216</f>
        <v>3.718546386412587E-2</v>
      </c>
      <c r="H1217" s="3">
        <f>(Master_Table!H1217-Master_Table!H1216)/Master_Table!H1216</f>
        <v>3.4448112530500931E-2</v>
      </c>
    </row>
    <row r="1218" spans="1:8" x14ac:dyDescent="0.3">
      <c r="A1218" s="1">
        <v>45621</v>
      </c>
      <c r="B1218" s="3">
        <f>(Master_Table!B1218-Master_Table!B1217)/Master_Table!B1217</f>
        <v>1.316127952817666E-2</v>
      </c>
      <c r="C1218" s="3">
        <f>(Master_Table!C1218-Master_Table!C1217)/Master_Table!C1217</f>
        <v>1.7069701280227521E-2</v>
      </c>
      <c r="D1218" s="3">
        <f>(Master_Table!D1218-Master_Table!D1217)/Master_Table!D1217</f>
        <v>2.2914441266669017E-2</v>
      </c>
      <c r="E1218" s="3">
        <f>(Master_Table!E1218-Master_Table!E1217)/Master_Table!E1217</f>
        <v>4.5432274731638245E-3</v>
      </c>
      <c r="F1218" s="3">
        <f>(Master_Table!F1218-Master_Table!F1217)/Master_Table!F1217</f>
        <v>1.6609338924751447E-2</v>
      </c>
      <c r="G1218" s="3">
        <f>(Master_Table!G1218-Master_Table!G1217)/Master_Table!G1217</f>
        <v>-6.5974503876987537E-3</v>
      </c>
      <c r="H1218" s="3">
        <f>(Master_Table!H1218-Master_Table!H1217)/Master_Table!H1217</f>
        <v>4.1487442763979462E-2</v>
      </c>
    </row>
    <row r="1219" spans="1:8" x14ac:dyDescent="0.3">
      <c r="A1219" s="1">
        <v>45622</v>
      </c>
      <c r="B1219" s="3">
        <f>(Master_Table!B1219-Master_Table!B1218)/Master_Table!B1218</f>
        <v>-1.1312077087264605E-3</v>
      </c>
      <c r="C1219" s="3">
        <f>(Master_Table!C1219-Master_Table!C1218)/Master_Table!C1218</f>
        <v>6.759906759906795E-3</v>
      </c>
      <c r="D1219" s="3">
        <f>(Master_Table!D1219-Master_Table!D1218)/Master_Table!D1218</f>
        <v>-2.2457275034354573E-5</v>
      </c>
      <c r="E1219" s="3">
        <f>(Master_Table!E1219-Master_Table!E1218)/Master_Table!E1218</f>
        <v>4.212299915753951E-4</v>
      </c>
      <c r="F1219" s="3">
        <f>(Master_Table!F1219-Master_Table!F1218)/Master_Table!F1218</f>
        <v>8.7135871706332298E-3</v>
      </c>
      <c r="G1219" s="3">
        <f>(Master_Table!G1219-Master_Table!G1218)/Master_Table!G1218</f>
        <v>1.8230406942901012E-2</v>
      </c>
      <c r="H1219" s="3">
        <f>(Master_Table!H1219-Master_Table!H1218)/Master_Table!H1218</f>
        <v>-1.3429256594724244E-2</v>
      </c>
    </row>
    <row r="1220" spans="1:8" x14ac:dyDescent="0.3">
      <c r="A1220" s="1">
        <v>45623</v>
      </c>
      <c r="B1220" s="3">
        <f>(Master_Table!B1220-Master_Table!B1219)/Master_Table!B1219</f>
        <v>3.3230692926078842E-3</v>
      </c>
      <c r="C1220" s="3">
        <f>(Master_Table!C1220-Master_Table!C1219)/Master_Table!C1219</f>
        <v>-1.9294589797020914E-3</v>
      </c>
      <c r="D1220" s="3">
        <f>(Master_Table!D1220-Master_Table!D1219)/Master_Table!D1219</f>
        <v>1.4979338842975243E-2</v>
      </c>
      <c r="E1220" s="3">
        <f>(Master_Table!E1220-Master_Table!E1219)/Master_Table!E1219</f>
        <v>-1.1080332409974818E-4</v>
      </c>
      <c r="F1220" s="3">
        <f>(Master_Table!F1220-Master_Table!F1219)/Master_Table!F1219</f>
        <v>-4.6293105428813468E-3</v>
      </c>
      <c r="G1220" s="3">
        <f>(Master_Table!G1220-Master_Table!G1219)/Master_Table!G1219</f>
        <v>1.8189850063659747E-4</v>
      </c>
      <c r="H1220" s="3">
        <f>(Master_Table!H1220-Master_Table!H1219)/Master_Table!H1219</f>
        <v>-1.053313887538511E-3</v>
      </c>
    </row>
    <row r="1221" spans="1:8" x14ac:dyDescent="0.3">
      <c r="A1221" s="1">
        <v>45624</v>
      </c>
      <c r="B1221" s="3">
        <f>(Master_Table!B1221-Master_Table!B1220)/Master_Table!B1220</f>
        <v>-1.4861029293632517E-2</v>
      </c>
      <c r="C1221" s="3">
        <f>(Master_Table!C1221-Master_Table!C1220)/Master_Table!C1220</f>
        <v>-1.7321373337457539E-2</v>
      </c>
      <c r="D1221" s="3">
        <f>(Master_Table!D1221-Master_Table!D1220)/Master_Table!D1220</f>
        <v>-1.0565328023011345E-2</v>
      </c>
      <c r="E1221" s="3">
        <f>(Master_Table!E1221-Master_Table!E1220)/Master_Table!E1220</f>
        <v>-4.2996453900709169E-3</v>
      </c>
      <c r="F1221" s="3">
        <f>(Master_Table!F1221-Master_Table!F1220)/Master_Table!F1220</f>
        <v>-2.0230580143333728E-2</v>
      </c>
      <c r="G1221" s="3">
        <f>(Master_Table!G1221-Master_Table!G1220)/Master_Table!G1220</f>
        <v>-3.5255910626136609E-2</v>
      </c>
      <c r="H1221" s="3">
        <f>(Master_Table!H1221-Master_Table!H1220)/Master_Table!H1220</f>
        <v>-8.8274258523263951E-3</v>
      </c>
    </row>
    <row r="1222" spans="1:8" x14ac:dyDescent="0.3">
      <c r="A1222" s="1">
        <v>45625</v>
      </c>
      <c r="B1222" s="3">
        <f>(Master_Table!B1222-Master_Table!B1221)/Master_Table!B1221</f>
        <v>9.072034757664273E-3</v>
      </c>
      <c r="C1222" s="3">
        <f>(Master_Table!C1222-Master_Table!C1221)/Master_Table!C1221</f>
        <v>1.6839785961599064E-2</v>
      </c>
      <c r="D1222" s="3">
        <f>(Master_Table!D1222-Master_Table!D1221)/Master_Table!D1221</f>
        <v>1.6212892044500831E-3</v>
      </c>
      <c r="E1222" s="3">
        <f>(Master_Table!E1222-Master_Table!E1221)/Master_Table!E1221</f>
        <v>3.8952944842630104E-3</v>
      </c>
      <c r="F1222" s="3">
        <f>(Master_Table!F1222-Master_Table!F1221)/Master_Table!F1221</f>
        <v>6.1132182147991074E-3</v>
      </c>
      <c r="G1222" s="3">
        <f>(Master_Table!G1222-Master_Table!G1221)/Master_Table!G1221</f>
        <v>6.4632537096373467E-4</v>
      </c>
      <c r="H1222" s="3">
        <f>(Master_Table!H1222-Master_Table!H1221)/Master_Table!H1221</f>
        <v>1.6025422457413292E-2</v>
      </c>
    </row>
    <row r="1223" spans="1:8" x14ac:dyDescent="0.3">
      <c r="A1223" s="1">
        <v>45628</v>
      </c>
      <c r="B1223" s="3">
        <f>(Master_Table!B1223-Master_Table!B1222)/Master_Table!B1222</f>
        <v>6.0067713448620549E-3</v>
      </c>
      <c r="C1223" s="3">
        <f>(Master_Table!C1223-Master_Table!C1222)/Master_Table!C1222</f>
        <v>1.3117164525615264E-2</v>
      </c>
      <c r="D1223" s="3">
        <f>(Master_Table!D1223-Master_Table!D1222)/Master_Table!D1222</f>
        <v>4.8113418173700148E-3</v>
      </c>
      <c r="E1223" s="3">
        <f>(Master_Table!E1223-Master_Table!E1222)/Master_Table!E1222</f>
        <v>9.5341566705839527E-4</v>
      </c>
      <c r="F1223" s="3">
        <f>(Master_Table!F1223-Master_Table!F1222)/Master_Table!F1222</f>
        <v>1.358043480805758E-3</v>
      </c>
      <c r="G1223" s="3">
        <f>(Master_Table!G1223-Master_Table!G1222)/Master_Table!G1222</f>
        <v>1.1814732082783889E-2</v>
      </c>
      <c r="H1223" s="3">
        <f>(Master_Table!H1223-Master_Table!H1222)/Master_Table!H1222</f>
        <v>-5.5707689003436428E-3</v>
      </c>
    </row>
    <row r="1224" spans="1:8" x14ac:dyDescent="0.3">
      <c r="A1224" s="1">
        <v>45629</v>
      </c>
      <c r="B1224" s="3">
        <f>(Master_Table!B1224-Master_Table!B1223)/Master_Table!B1223</f>
        <v>7.4600274756396606E-3</v>
      </c>
      <c r="C1224" s="3">
        <f>(Master_Table!C1224-Master_Table!C1223)/Master_Table!C1223</f>
        <v>1.0808539892296423E-2</v>
      </c>
      <c r="D1224" s="3">
        <f>(Master_Table!D1224-Master_Table!D1223)/Master_Table!D1223</f>
        <v>1.1965204252813525E-2</v>
      </c>
      <c r="E1224" s="3">
        <f>(Master_Table!E1224-Master_Table!E1223)/Master_Table!E1223</f>
        <v>-9.7465886939570642E-3</v>
      </c>
      <c r="F1224" s="3">
        <f>(Master_Table!F1224-Master_Table!F1223)/Master_Table!F1223</f>
        <v>6.1029076496791571E-3</v>
      </c>
      <c r="G1224" s="3">
        <f>(Master_Table!G1224-Master_Table!G1223)/Master_Table!G1223</f>
        <v>6.5432492818384693E-3</v>
      </c>
      <c r="H1224" s="3">
        <f>(Master_Table!H1224-Master_Table!H1223)/Master_Table!H1223</f>
        <v>2.2407904860895504E-2</v>
      </c>
    </row>
    <row r="1225" spans="1:8" x14ac:dyDescent="0.3">
      <c r="A1225" s="1">
        <v>45630</v>
      </c>
      <c r="B1225" s="3">
        <f>(Master_Table!B1225-Master_Table!B1224)/Master_Table!B1224</f>
        <v>4.2114473681517558E-4</v>
      </c>
      <c r="C1225" s="3">
        <f>(Master_Table!C1225-Master_Table!C1224)/Master_Table!C1224</f>
        <v>-1.0844101866545688E-2</v>
      </c>
      <c r="D1225" s="3">
        <f>(Master_Table!D1225-Master_Table!D1224)/Master_Table!D1224</f>
        <v>1.8509573160021095E-2</v>
      </c>
      <c r="E1225" s="3">
        <f>(Master_Table!E1225-Master_Table!E1224)/Master_Table!E1224</f>
        <v>-1.1542591267000772E-2</v>
      </c>
      <c r="F1225" s="3">
        <f>(Master_Table!F1225-Master_Table!F1224)/Master_Table!F1224</f>
        <v>1.2003950961594245E-2</v>
      </c>
      <c r="G1225" s="3">
        <f>(Master_Table!G1225-Master_Table!G1224)/Master_Table!G1224</f>
        <v>-1.5062628825114471E-3</v>
      </c>
      <c r="H1225" s="3">
        <f>(Master_Table!H1225-Master_Table!H1224)/Master_Table!H1224</f>
        <v>7.525646611478351E-4</v>
      </c>
    </row>
    <row r="1226" spans="1:8" x14ac:dyDescent="0.3">
      <c r="A1226" s="1">
        <v>45631</v>
      </c>
      <c r="B1226" s="3">
        <f>(Master_Table!B1226-Master_Table!B1225)/Master_Table!B1225</f>
        <v>9.8477773531774147E-3</v>
      </c>
      <c r="C1226" s="3">
        <f>(Master_Table!C1226-Master_Table!C1225)/Master_Table!C1225</f>
        <v>1.0008021696779792E-2</v>
      </c>
      <c r="D1226" s="3">
        <f>(Master_Table!D1226-Master_Table!D1225)/Master_Table!D1225</f>
        <v>3.0396447280487383E-3</v>
      </c>
      <c r="E1226" s="3">
        <f>(Master_Table!E1226-Master_Table!E1225)/Master_Table!E1225</f>
        <v>8.5996198062821461E-4</v>
      </c>
      <c r="F1226" s="3">
        <f>(Master_Table!F1226-Master_Table!F1225)/Master_Table!F1225</f>
        <v>2.5181425684365367E-2</v>
      </c>
      <c r="G1226" s="3">
        <f>(Master_Table!G1226-Master_Table!G1225)/Master_Table!G1225</f>
        <v>2.4136562127828456E-2</v>
      </c>
      <c r="H1226" s="3">
        <f>(Master_Table!H1226-Master_Table!H1225)/Master_Table!H1225</f>
        <v>1.098973587693609E-2</v>
      </c>
    </row>
    <row r="1227" spans="1:8" x14ac:dyDescent="0.3">
      <c r="A1227" s="1">
        <v>45632</v>
      </c>
      <c r="B1227" s="3">
        <f>(Master_Table!B1227-Master_Table!B1226)/Master_Table!B1226</f>
        <v>-1.2384452251057204E-3</v>
      </c>
      <c r="C1227" s="3">
        <f>(Master_Table!C1227-Master_Table!C1226)/Master_Table!C1226</f>
        <v>-7.942210960251125E-3</v>
      </c>
      <c r="D1227" s="3">
        <f>(Master_Table!D1227-Master_Table!D1226)/Master_Table!D1226</f>
        <v>-5.3086313617605975E-3</v>
      </c>
      <c r="E1227" s="3">
        <f>(Master_Table!E1227-Master_Table!E1226)/Master_Table!E1226</f>
        <v>7.8008411341744417E-3</v>
      </c>
      <c r="F1227" s="3">
        <f>(Master_Table!F1227-Master_Table!F1226)/Master_Table!F1226</f>
        <v>-4.1554194061446852E-3</v>
      </c>
      <c r="G1227" s="3">
        <f>(Master_Table!G1227-Master_Table!G1226)/Master_Table!G1226</f>
        <v>-6.4346073339017588E-3</v>
      </c>
      <c r="H1227" s="3">
        <f>(Master_Table!H1227-Master_Table!H1226)/Master_Table!H1226</f>
        <v>9.1738330440682327E-3</v>
      </c>
    </row>
    <row r="1228" spans="1:8" x14ac:dyDescent="0.3">
      <c r="A1228" s="1">
        <v>45635</v>
      </c>
      <c r="B1228" s="3">
        <f>(Master_Table!B1228-Master_Table!B1227)/Master_Table!B1227</f>
        <v>-2.3827083451522938E-3</v>
      </c>
      <c r="C1228" s="3">
        <f>(Master_Table!C1228-Master_Table!C1227)/Master_Table!C1227</f>
        <v>-1.250428881857334E-2</v>
      </c>
      <c r="D1228" s="3">
        <f>(Master_Table!D1228-Master_Table!D1227)/Master_Table!D1227</f>
        <v>7.6273200665499287E-3</v>
      </c>
      <c r="E1228" s="3">
        <f>(Master_Table!E1228-Master_Table!E1227)/Master_Table!E1227</f>
        <v>-1.3147562316304227E-2</v>
      </c>
      <c r="F1228" s="3">
        <f>(Master_Table!F1228-Master_Table!F1227)/Master_Table!F1227</f>
        <v>1.4958947250027299E-3</v>
      </c>
      <c r="G1228" s="3">
        <f>(Master_Table!G1228-Master_Table!G1227)/Master_Table!G1227</f>
        <v>6.5022888056595922E-4</v>
      </c>
      <c r="H1228" s="3">
        <f>(Master_Table!H1228-Master_Table!H1227)/Master_Table!H1227</f>
        <v>2.0844647890966551E-2</v>
      </c>
    </row>
    <row r="1229" spans="1:8" x14ac:dyDescent="0.3">
      <c r="A1229" s="1">
        <v>45636</v>
      </c>
      <c r="B1229" s="3">
        <f>(Master_Table!B1229-Master_Table!B1228)/Master_Table!B1228</f>
        <v>-3.6354035501038739E-4</v>
      </c>
      <c r="C1229" s="3">
        <f>(Master_Table!C1229-Master_Table!C1228)/Master_Table!C1228</f>
        <v>-7.9527467860866941E-3</v>
      </c>
      <c r="D1229" s="3">
        <f>(Master_Table!D1229-Master_Table!D1228)/Master_Table!D1228</f>
        <v>-1.0185701419564393E-3</v>
      </c>
      <c r="E1229" s="3">
        <f>(Master_Table!E1229-Master_Table!E1228)/Master_Table!E1228</f>
        <v>1.0685460952596804E-3</v>
      </c>
      <c r="F1229" s="3">
        <f>(Master_Table!F1229-Master_Table!F1228)/Master_Table!F1228</f>
        <v>-4.4023673955278812E-3</v>
      </c>
      <c r="G1229" s="3">
        <f>(Master_Table!G1229-Master_Table!G1228)/Master_Table!G1228</f>
        <v>1.2944142645491572E-2</v>
      </c>
      <c r="H1229" s="3">
        <f>(Master_Table!H1229-Master_Table!H1228)/Master_Table!H1228</f>
        <v>-6.118106047171507E-3</v>
      </c>
    </row>
    <row r="1230" spans="1:8" x14ac:dyDescent="0.3">
      <c r="A1230" s="1">
        <v>45637</v>
      </c>
      <c r="B1230" s="3">
        <f>(Master_Table!B1230-Master_Table!B1229)/Master_Table!B1229</f>
        <v>1.29012334391844E-3</v>
      </c>
      <c r="C1230" s="3">
        <f>(Master_Table!C1230-Master_Table!C1229)/Master_Table!C1229</f>
        <v>-5.1757014437481914E-3</v>
      </c>
      <c r="D1230" s="3">
        <f>(Master_Table!D1230-Master_Table!D1229)/Master_Table!D1229</f>
        <v>-2.6724480267888862E-3</v>
      </c>
      <c r="E1230" s="3">
        <f>(Master_Table!E1230-Master_Table!E1229)/Master_Table!E1229</f>
        <v>-4.3150436046511114E-4</v>
      </c>
      <c r="F1230" s="3">
        <f>(Master_Table!F1230-Master_Table!F1229)/Master_Table!F1229</f>
        <v>-1.1505792376849361E-3</v>
      </c>
      <c r="G1230" s="3">
        <f>(Master_Table!G1230-Master_Table!G1229)/Master_Table!G1229</f>
        <v>1.3137974391214049E-2</v>
      </c>
      <c r="H1230" s="3">
        <f>(Master_Table!H1230-Master_Table!H1229)/Master_Table!H1229</f>
        <v>-1.6313421612734896E-3</v>
      </c>
    </row>
    <row r="1231" spans="1:8" x14ac:dyDescent="0.3">
      <c r="A1231" s="1">
        <v>45638</v>
      </c>
      <c r="B1231" s="3">
        <f>(Master_Table!B1231-Master_Table!B1230)/Master_Table!B1230</f>
        <v>-3.77813309092674E-3</v>
      </c>
      <c r="C1231" s="3">
        <f>(Master_Table!C1231-Master_Table!C1230)/Master_Table!C1230</f>
        <v>-1.1969957753090248E-2</v>
      </c>
      <c r="D1231" s="3">
        <f>(Master_Table!D1231-Master_Table!D1230)/Master_Table!D1230</f>
        <v>-2.0662046403512107E-3</v>
      </c>
      <c r="E1231" s="3">
        <f>(Master_Table!E1231-Master_Table!E1230)/Master_Table!E1230</f>
        <v>-9.9970463272214503E-3</v>
      </c>
      <c r="F1231" s="3">
        <f>(Master_Table!F1231-Master_Table!F1230)/Master_Table!F1230</f>
        <v>6.21125026821308E-3</v>
      </c>
      <c r="G1231" s="3">
        <f>(Master_Table!G1231-Master_Table!G1230)/Master_Table!G1230</f>
        <v>6.5091305118658198E-3</v>
      </c>
      <c r="H1231" s="3">
        <f>(Master_Table!H1231-Master_Table!H1230)/Master_Table!H1230</f>
        <v>-1.4514584796068146E-2</v>
      </c>
    </row>
    <row r="1232" spans="1:8" x14ac:dyDescent="0.3">
      <c r="A1232" s="1">
        <v>45639</v>
      </c>
      <c r="B1232" s="3">
        <f>(Master_Table!B1232-Master_Table!B1231)/Master_Table!B1231</f>
        <v>8.9454838749098136E-3</v>
      </c>
      <c r="C1232" s="3">
        <f>(Master_Table!C1232-Master_Table!C1231)/Master_Table!C1231</f>
        <v>7.8786918995960228E-3</v>
      </c>
      <c r="D1232" s="3">
        <f>(Master_Table!D1232-Master_Table!D1231)/Master_Table!D1231</f>
        <v>6.7182849501789075E-3</v>
      </c>
      <c r="E1232" s="3">
        <f>(Master_Table!E1232-Master_Table!E1231)/Master_Table!E1231</f>
        <v>2.0425492851077448E-2</v>
      </c>
      <c r="F1232" s="3">
        <f>(Master_Table!F1232-Master_Table!F1231)/Master_Table!F1231</f>
        <v>4.2536953276691809E-3</v>
      </c>
      <c r="G1232" s="3">
        <f>(Master_Table!G1232-Master_Table!G1231)/Master_Table!G1231</f>
        <v>6.3915450427780799E-3</v>
      </c>
      <c r="H1232" s="3">
        <f>(Master_Table!H1232-Master_Table!H1231)/Master_Table!H1231</f>
        <v>7.0209072773905826E-3</v>
      </c>
    </row>
    <row r="1233" spans="1:8" x14ac:dyDescent="0.3">
      <c r="A1233" s="1">
        <v>45642</v>
      </c>
      <c r="B1233" s="3">
        <f>(Master_Table!B1233-Master_Table!B1232)/Master_Table!B1232</f>
        <v>-4.0394375068131148E-3</v>
      </c>
      <c r="C1233" s="3">
        <f>(Master_Table!C1233-Master_Table!C1232)/Master_Table!C1232</f>
        <v>-3.5746553010959302E-3</v>
      </c>
      <c r="D1233" s="3">
        <f>(Master_Table!D1233-Master_Table!D1232)/Master_Table!D1232</f>
        <v>-3.492046489207853E-3</v>
      </c>
      <c r="E1233" s="3">
        <f>(Master_Table!E1233-Master_Table!E1232)/Master_Table!E1232</f>
        <v>2.0241549153235687E-4</v>
      </c>
      <c r="F1233" s="3">
        <f>(Master_Table!F1233-Master_Table!F1232)/Master_Table!F1232</f>
        <v>-1.3120543597308796E-2</v>
      </c>
      <c r="G1233" s="3">
        <f>(Master_Table!G1233-Master_Table!G1232)/Master_Table!G1232</f>
        <v>-9.8264739710957096E-3</v>
      </c>
      <c r="H1233" s="3">
        <f>(Master_Table!H1233-Master_Table!H1232)/Master_Table!H1232</f>
        <v>-2.3540005145356552E-3</v>
      </c>
    </row>
    <row r="1234" spans="1:8" x14ac:dyDescent="0.3">
      <c r="A1234" s="1">
        <v>45643</v>
      </c>
      <c r="B1234" s="3">
        <f>(Master_Table!B1234-Master_Table!B1233)/Master_Table!B1233</f>
        <v>-1.3468730047733423E-2</v>
      </c>
      <c r="C1234" s="3">
        <f>(Master_Table!C1234-Master_Table!C1233)/Master_Table!C1233</f>
        <v>-1.8134510762437911E-2</v>
      </c>
      <c r="D1234" s="3">
        <f>(Master_Table!D1234-Master_Table!D1233)/Master_Table!D1233</f>
        <v>-1.7134441948209636E-2</v>
      </c>
      <c r="E1234" s="3">
        <f>(Master_Table!E1234-Master_Table!E1233)/Master_Table!E1233</f>
        <v>-1.1692750494694158E-3</v>
      </c>
      <c r="F1234" s="3">
        <f>(Master_Table!F1234-Master_Table!F1233)/Master_Table!F1233</f>
        <v>-1.9636709548831271E-2</v>
      </c>
      <c r="G1234" s="3">
        <f>(Master_Table!G1234-Master_Table!G1233)/Master_Table!G1233</f>
        <v>-1.7423802429231815E-3</v>
      </c>
      <c r="H1234" s="3">
        <f>(Master_Table!H1234-Master_Table!H1233)/Master_Table!H1233</f>
        <v>-1.8218858388024315E-2</v>
      </c>
    </row>
    <row r="1235" spans="1:8" x14ac:dyDescent="0.3">
      <c r="A1235" s="1">
        <v>45644</v>
      </c>
      <c r="B1235" s="3">
        <f>(Master_Table!B1235-Master_Table!B1234)/Master_Table!B1234</f>
        <v>-5.6356837606838205E-3</v>
      </c>
      <c r="C1235" s="3">
        <f>(Master_Table!C1235-Master_Table!C1234)/Master_Table!C1234</f>
        <v>6.3840038544929296E-3</v>
      </c>
      <c r="D1235" s="3">
        <f>(Master_Table!D1235-Master_Table!D1234)/Master_Table!D1234</f>
        <v>-1.2303822387488379E-2</v>
      </c>
      <c r="E1235" s="3">
        <f>(Master_Table!E1235-Master_Table!E1234)/Master_Table!E1234</f>
        <v>2.0261143628996716E-3</v>
      </c>
      <c r="F1235" s="3">
        <f>(Master_Table!F1235-Master_Table!F1234)/Master_Table!F1234</f>
        <v>4.470370798198074E-3</v>
      </c>
      <c r="G1235" s="3">
        <f>(Master_Table!G1235-Master_Table!G1234)/Master_Table!G1234</f>
        <v>1.2900941009815754E-3</v>
      </c>
      <c r="H1235" s="3">
        <f>(Master_Table!H1235-Master_Table!H1234)/Master_Table!H1234</f>
        <v>-1.2883483925194297E-2</v>
      </c>
    </row>
    <row r="1236" spans="1:8" x14ac:dyDescent="0.3">
      <c r="A1236" s="1">
        <v>45645</v>
      </c>
      <c r="B1236" s="3">
        <f>(Master_Table!B1236-Master_Table!B1235)/Master_Table!B1235</f>
        <v>-1.0213295259898624E-2</v>
      </c>
      <c r="C1236" s="3">
        <f>(Master_Table!C1236-Master_Table!C1235)/Master_Table!C1235</f>
        <v>-1.8192698982645087E-2</v>
      </c>
      <c r="D1236" s="3">
        <f>(Master_Table!D1236-Master_Table!D1235)/Master_Table!D1235</f>
        <v>-9.5006090133983399E-3</v>
      </c>
      <c r="E1236" s="3">
        <f>(Master_Table!E1236-Master_Table!E1235)/Master_Table!E1235</f>
        <v>-8.4026061559200373E-3</v>
      </c>
      <c r="F1236" s="3">
        <f>(Master_Table!F1236-Master_Table!F1235)/Master_Table!F1235</f>
        <v>-1.7468403923778585E-2</v>
      </c>
      <c r="G1236" s="3">
        <f>(Master_Table!G1236-Master_Table!G1235)/Master_Table!G1235</f>
        <v>-1.6648561251042138E-2</v>
      </c>
      <c r="H1236" s="3">
        <f>(Master_Table!H1236-Master_Table!H1235)/Master_Table!H1235</f>
        <v>-1.1122493780184447E-2</v>
      </c>
    </row>
    <row r="1237" spans="1:8" x14ac:dyDescent="0.3">
      <c r="A1237" s="1">
        <v>45646</v>
      </c>
      <c r="B1237" s="3">
        <f>(Master_Table!B1237-Master_Table!B1236)/Master_Table!B1236</f>
        <v>-1.520560127256106E-2</v>
      </c>
      <c r="C1237" s="3">
        <f>(Master_Table!C1237-Master_Table!C1236)/Master_Table!C1236</f>
        <v>-2.0439676541102923E-2</v>
      </c>
      <c r="D1237" s="3">
        <f>(Master_Table!D1237-Master_Table!D1236)/Master_Table!D1236</f>
        <v>-1.2263560345213106E-2</v>
      </c>
      <c r="E1237" s="3">
        <f>(Master_Table!E1237-Master_Table!E1236)/Master_Table!E1236</f>
        <v>-4.0556461845206188E-3</v>
      </c>
      <c r="F1237" s="3">
        <f>(Master_Table!F1237-Master_Table!F1236)/Master_Table!F1236</f>
        <v>-2.3783328261429214E-2</v>
      </c>
      <c r="G1237" s="3">
        <f>(Master_Table!G1237-Master_Table!G1236)/Master_Table!G1236</f>
        <v>-1.2357414448669177E-2</v>
      </c>
      <c r="H1237" s="3">
        <f>(Master_Table!H1237-Master_Table!H1236)/Master_Table!H1236</f>
        <v>-2.3275525717437809E-2</v>
      </c>
    </row>
    <row r="1238" spans="1:8" x14ac:dyDescent="0.3">
      <c r="A1238" s="1">
        <v>45649</v>
      </c>
      <c r="B1238" s="3">
        <f>(Master_Table!B1238-Master_Table!B1237)/Master_Table!B1237</f>
        <v>7.0355060943296547E-3</v>
      </c>
      <c r="C1238" s="3">
        <f>(Master_Table!C1238-Master_Table!C1237)/Master_Table!C1237</f>
        <v>1.4104372355430184E-2</v>
      </c>
      <c r="D1238" s="3">
        <f>(Master_Table!D1238-Master_Table!D1237)/Master_Table!D1237</f>
        <v>1.6648746533869094E-2</v>
      </c>
      <c r="E1238" s="3">
        <f>(Master_Table!E1238-Master_Table!E1237)/Master_Table!E1237</f>
        <v>2.0656550720021805E-2</v>
      </c>
      <c r="F1238" s="3">
        <f>(Master_Table!F1238-Master_Table!F1237)/Master_Table!F1237</f>
        <v>-2.8774908279979856E-3</v>
      </c>
      <c r="G1238" s="3">
        <f>(Master_Table!G1238-Master_Table!G1237)/Master_Table!G1237</f>
        <v>1.1185391358634151E-3</v>
      </c>
      <c r="H1238" s="3">
        <f>(Master_Table!H1238-Master_Table!H1237)/Master_Table!H1237</f>
        <v>2.9340055374189266E-3</v>
      </c>
    </row>
    <row r="1239" spans="1:8" x14ac:dyDescent="0.3">
      <c r="A1239" s="1">
        <v>45650</v>
      </c>
      <c r="B1239" s="3">
        <f>(Master_Table!B1239-Master_Table!B1238)/Master_Table!B1238</f>
        <v>-1.0861580107310422E-3</v>
      </c>
      <c r="C1239" s="3">
        <f>(Master_Table!C1239-Master_Table!C1238)/Master_Table!C1238</f>
        <v>3.6815838992067864E-4</v>
      </c>
      <c r="D1239" s="3">
        <f>(Master_Table!D1239-Master_Table!D1238)/Master_Table!D1238</f>
        <v>-1.6030993253623015E-3</v>
      </c>
      <c r="E1239" s="3">
        <f>(Master_Table!E1239-Master_Table!E1238)/Master_Table!E1238</f>
        <v>8.8487685278057001E-3</v>
      </c>
      <c r="F1239" s="3">
        <f>(Master_Table!F1239-Master_Table!F1238)/Master_Table!F1238</f>
        <v>5.0982372604188768E-3</v>
      </c>
      <c r="G1239" s="3">
        <f>(Master_Table!G1239-Master_Table!G1238)/Master_Table!G1238</f>
        <v>-7.92495972561451E-3</v>
      </c>
      <c r="H1239" s="3">
        <f>(Master_Table!H1239-Master_Table!H1238)/Master_Table!H1238</f>
        <v>-2.0601565718994644E-4</v>
      </c>
    </row>
    <row r="1240" spans="1:8" x14ac:dyDescent="0.3">
      <c r="A1240" s="1">
        <v>45652</v>
      </c>
      <c r="B1240" s="3">
        <f>(Master_Table!B1240-Master_Table!B1239)/Master_Table!B1239</f>
        <v>9.5036803054660999E-4</v>
      </c>
      <c r="C1240" s="3">
        <f>(Master_Table!C1240-Master_Table!C1239)/Master_Table!C1239</f>
        <v>-5.0705377223472054E-3</v>
      </c>
      <c r="D1240" s="3">
        <f>(Master_Table!D1240-Master_Table!D1239)/Master_Table!D1239</f>
        <v>-4.0922370152316773E-3</v>
      </c>
      <c r="E1240" s="3">
        <f>(Master_Table!E1240-Master_Table!E1239)/Master_Table!E1239</f>
        <v>-3.1372895585701382E-3</v>
      </c>
      <c r="F1240" s="3">
        <f>(Master_Table!F1240-Master_Table!F1239)/Master_Table!F1239</f>
        <v>-2.4883359253498353E-3</v>
      </c>
      <c r="G1240" s="3">
        <f>(Master_Table!G1240-Master_Table!G1239)/Master_Table!G1239</f>
        <v>-8.6430423509068052E-4</v>
      </c>
      <c r="H1240" s="3">
        <f>(Master_Table!H1240-Master_Table!H1239)/Master_Table!H1239</f>
        <v>-2.8161274812830549E-3</v>
      </c>
    </row>
    <row r="1241" spans="1:8" x14ac:dyDescent="0.3">
      <c r="A1241" s="1">
        <v>45653</v>
      </c>
      <c r="B1241" s="3">
        <f>(Master_Table!B1241-Master_Table!B1240)/Master_Table!B1240</f>
        <v>2.6610302229034166E-3</v>
      </c>
      <c r="C1241" s="3">
        <f>(Master_Table!C1241-Master_Table!C1240)/Master_Table!C1240</f>
        <v>3.6989848341621801E-3</v>
      </c>
      <c r="D1241" s="3">
        <f>(Master_Table!D1241-Master_Table!D1240)/Master_Table!D1240</f>
        <v>4.1874265241001055E-3</v>
      </c>
      <c r="E1241" s="3">
        <f>(Master_Table!E1241-Master_Table!E1240)/Master_Table!E1240</f>
        <v>3.4574468085106433E-3</v>
      </c>
      <c r="F1241" s="3">
        <f>(Master_Table!F1241-Master_Table!F1240)/Master_Table!F1240</f>
        <v>-1.0194046676740781E-3</v>
      </c>
      <c r="G1241" s="3">
        <f>(Master_Table!G1241-Master_Table!G1240)/Master_Table!G1240</f>
        <v>4.9019607843136777E-3</v>
      </c>
      <c r="H1241" s="3">
        <f>(Master_Table!H1241-Master_Table!H1240)/Master_Table!H1240</f>
        <v>-5.8961289433806562E-3</v>
      </c>
    </row>
    <row r="1242" spans="1:8" x14ac:dyDescent="0.3">
      <c r="A1242" s="1">
        <v>45656</v>
      </c>
      <c r="B1242" s="3">
        <f>(Master_Table!B1242-Master_Table!B1241)/Master_Table!B1241</f>
        <v>-7.0758480519371439E-3</v>
      </c>
      <c r="C1242" s="3">
        <f>(Master_Table!C1242-Master_Table!C1241)/Master_Table!C1241</f>
        <v>-8.4763113713606404E-3</v>
      </c>
      <c r="D1242" s="3">
        <f>(Master_Table!D1242-Master_Table!D1241)/Master_Table!D1241</f>
        <v>-1.1316883898805849E-2</v>
      </c>
      <c r="E1242" s="3">
        <f>(Master_Table!E1242-Master_Table!E1241)/Master_Table!E1241</f>
        <v>-3.3351002738757642E-3</v>
      </c>
      <c r="F1242" s="3">
        <f>(Master_Table!F1242-Master_Table!F1241)/Master_Table!F1241</f>
        <v>-1.4526333481398325E-3</v>
      </c>
      <c r="G1242" s="3">
        <f>(Master_Table!G1242-Master_Table!G1241)/Master_Table!G1241</f>
        <v>-5.6084518064431982E-3</v>
      </c>
      <c r="H1242" s="3">
        <f>(Master_Table!H1242-Master_Table!H1241)/Master_Table!H1241</f>
        <v>-8.0790443723843825E-3</v>
      </c>
    </row>
    <row r="1243" spans="1:8" x14ac:dyDescent="0.3">
      <c r="A1243" s="1">
        <v>45657</v>
      </c>
      <c r="B1243" s="3">
        <f>(Master_Table!B1243-Master_Table!B1242)/Master_Table!B1242</f>
        <v>-4.2292418239105594E-6</v>
      </c>
      <c r="C1243" s="3">
        <f>(Master_Table!C1243-Master_Table!C1242)/Master_Table!C1242</f>
        <v>3.9233501280251095E-3</v>
      </c>
      <c r="D1243" s="3">
        <f>(Master_Table!D1243-Master_Table!D1242)/Master_Table!D1242</f>
        <v>-2.8418702212598753E-3</v>
      </c>
      <c r="E1243" s="3">
        <f>(Master_Table!E1243-Master_Table!E1242)/Master_Table!E1242</f>
        <v>1.3939058171745197E-2</v>
      </c>
      <c r="F1243" s="3">
        <f>(Master_Table!F1243-Master_Table!F1242)/Master_Table!F1242</f>
        <v>-1.5389054534962008E-2</v>
      </c>
      <c r="G1243" s="3">
        <f>(Master_Table!G1243-Master_Table!G1242)/Master_Table!G1242</f>
        <v>-1.3641133263378805E-2</v>
      </c>
      <c r="H1243" s="3">
        <f>(Master_Table!H1243-Master_Table!H1242)/Master_Table!H1242</f>
        <v>8.0191117506532017E-3</v>
      </c>
    </row>
    <row r="1244" spans="1:8" x14ac:dyDescent="0.3">
      <c r="A1244" s="1">
        <v>45658</v>
      </c>
      <c r="B1244" s="3">
        <f>(Master_Table!B1244-Master_Table!B1243)/Master_Table!B1243</f>
        <v>4.1489037758831622E-3</v>
      </c>
      <c r="C1244" s="3">
        <f>(Master_Table!C1244-Master_Table!C1243)/Master_Table!C1243</f>
        <v>4.7718951828540496E-3</v>
      </c>
      <c r="D1244" s="3">
        <f>(Master_Table!D1244-Master_Table!D1243)/Master_Table!D1243</f>
        <v>5.5868449028521642E-3</v>
      </c>
      <c r="E1244" s="3">
        <f>(Master_Table!E1244-Master_Table!E1243)/Master_Table!E1243</f>
        <v>6.1196835249371136E-4</v>
      </c>
      <c r="F1244" s="3">
        <f>(Master_Table!F1244-Master_Table!F1243)/Master_Table!F1243</f>
        <v>4.3103448275861175E-3</v>
      </c>
      <c r="G1244" s="3">
        <f>(Master_Table!G1244-Master_Table!G1243)/Master_Table!G1243</f>
        <v>1.3297872340425532E-3</v>
      </c>
      <c r="H1244" s="3">
        <f>(Master_Table!H1244-Master_Table!H1243)/Master_Table!H1243</f>
        <v>1.6589746788075316E-2</v>
      </c>
    </row>
    <row r="1245" spans="1:8" x14ac:dyDescent="0.3">
      <c r="A1245" s="1">
        <v>45659</v>
      </c>
      <c r="B1245" s="3">
        <f>(Master_Table!B1245-Master_Table!B1244)/Master_Table!B1244</f>
        <v>1.8774033500541212E-2</v>
      </c>
      <c r="C1245" s="3">
        <f>(Master_Table!C1245-Master_Table!C1244)/Master_Table!C1244</f>
        <v>1.6827021494370483E-2</v>
      </c>
      <c r="D1245" s="3">
        <f>(Master_Table!D1245-Master_Table!D1244)/Master_Table!D1244</f>
        <v>6.1743668181204834E-3</v>
      </c>
      <c r="E1245" s="3">
        <f>(Master_Table!E1245-Master_Table!E1244)/Master_Table!E1244</f>
        <v>1.0549997815735407E-2</v>
      </c>
      <c r="F1245" s="3">
        <f>(Master_Table!F1245-Master_Table!F1244)/Master_Table!F1244</f>
        <v>1.5392284404673658E-2</v>
      </c>
      <c r="G1245" s="3">
        <f>(Master_Table!G1245-Master_Table!G1244)/Master_Table!G1244</f>
        <v>4.0026560424966752E-2</v>
      </c>
      <c r="H1245" s="3">
        <f>(Master_Table!H1245-Master_Table!H1244)/Master_Table!H1244</f>
        <v>1.2542603953646899E-2</v>
      </c>
    </row>
    <row r="1246" spans="1:8" x14ac:dyDescent="0.3">
      <c r="A1246" s="1">
        <v>45660</v>
      </c>
      <c r="B1246" s="3">
        <f>(Master_Table!B1246-Master_Table!B1245)/Master_Table!B1245</f>
        <v>-7.6027393012839265E-3</v>
      </c>
      <c r="C1246" s="3">
        <f>(Master_Table!C1246-Master_Table!C1245)/Master_Table!C1245</f>
        <v>7.5293928168788347E-3</v>
      </c>
      <c r="D1246" s="3">
        <f>(Master_Table!D1246-Master_Table!D1245)/Master_Table!D1245</f>
        <v>-2.4836528251271479E-2</v>
      </c>
      <c r="E1246" s="3">
        <f>(Master_Table!E1246-Master_Table!E1245)/Master_Table!E1245</f>
        <v>-1.5238301091537782E-2</v>
      </c>
      <c r="F1246" s="3">
        <f>(Master_Table!F1246-Master_Table!F1245)/Master_Table!F1245</f>
        <v>-1.8164401604502271E-2</v>
      </c>
      <c r="G1246" s="3">
        <f>(Master_Table!G1246-Master_Table!G1245)/Master_Table!G1245</f>
        <v>-9.7555992542839899E-3</v>
      </c>
      <c r="H1246" s="3">
        <f>(Master_Table!H1246-Master_Table!H1245)/Master_Table!H1245</f>
        <v>-1.4433822539383306E-2</v>
      </c>
    </row>
    <row r="1247" spans="1:8" x14ac:dyDescent="0.3">
      <c r="A1247" s="1">
        <v>45663</v>
      </c>
      <c r="B1247" s="3">
        <f>(Master_Table!B1247-Master_Table!B1246)/Master_Table!B1246</f>
        <v>-1.6192628542267707E-2</v>
      </c>
      <c r="C1247" s="3">
        <f>(Master_Table!C1247-Master_Table!C1246)/Master_Table!C1246</f>
        <v>-2.6495624025896246E-2</v>
      </c>
      <c r="D1247" s="3">
        <f>(Master_Table!D1247-Master_Table!D1246)/Master_Table!D1246</f>
        <v>-2.212211868000866E-2</v>
      </c>
      <c r="E1247" s="3">
        <f>(Master_Table!E1247-Master_Table!E1246)/Master_Table!E1246</f>
        <v>-2.8424056189640133E-2</v>
      </c>
      <c r="F1247" s="3">
        <f>(Master_Table!F1247-Master_Table!F1246)/Master_Table!F1246</f>
        <v>-1.1951511012462833E-3</v>
      </c>
      <c r="G1247" s="3">
        <f>(Master_Table!G1247-Master_Table!G1246)/Master_Table!G1246</f>
        <v>-4.6421663442944728E-4</v>
      </c>
      <c r="H1247" s="3">
        <f>(Master_Table!H1247-Master_Table!H1246)/Master_Table!H1246</f>
        <v>-1.5492226563567385E-2</v>
      </c>
    </row>
    <row r="1248" spans="1:8" x14ac:dyDescent="0.3">
      <c r="A1248" s="1">
        <v>45664</v>
      </c>
      <c r="B1248" s="3">
        <f>(Master_Table!B1248-Master_Table!B1247)/Master_Table!B1247</f>
        <v>3.889304096155038E-3</v>
      </c>
      <c r="C1248" s="3">
        <f>(Master_Table!C1248-Master_Table!C1247)/Master_Table!C1247</f>
        <v>1.8760262725779891E-2</v>
      </c>
      <c r="D1248" s="3">
        <f>(Master_Table!D1248-Master_Table!D1247)/Master_Table!D1247</f>
        <v>1.6879021954450723E-3</v>
      </c>
      <c r="E1248" s="3">
        <f>(Master_Table!E1248-Master_Table!E1247)/Master_Table!E1247</f>
        <v>-3.5016378628712403E-3</v>
      </c>
      <c r="F1248" s="3">
        <f>(Master_Table!F1248-Master_Table!F1247)/Master_Table!F1247</f>
        <v>-1.6288156288156243E-2</v>
      </c>
      <c r="G1248" s="3">
        <f>(Master_Table!G1248-Master_Table!G1247)/Master_Table!G1247</f>
        <v>-3.6122506901978997E-3</v>
      </c>
      <c r="H1248" s="3">
        <f>(Master_Table!H1248-Master_Table!H1247)/Master_Table!H1247</f>
        <v>1.1128996447602233E-2</v>
      </c>
    </row>
    <row r="1249" spans="1:8" x14ac:dyDescent="0.3">
      <c r="A1249" s="1">
        <v>45665</v>
      </c>
      <c r="B1249" s="3">
        <f>(Master_Table!B1249-Master_Table!B1248)/Master_Table!B1248</f>
        <v>-7.9931162186447249E-4</v>
      </c>
      <c r="C1249" s="3">
        <f>(Master_Table!C1249-Master_Table!C1248)/Master_Table!C1248</f>
        <v>1.9865414836604017E-2</v>
      </c>
      <c r="D1249" s="3">
        <f>(Master_Table!D1249-Master_Table!D1248)/Master_Table!D1248</f>
        <v>-1.114010555015984E-2</v>
      </c>
      <c r="E1249" s="3">
        <f>(Master_Table!E1249-Master_Table!E1248)/Master_Table!E1248</f>
        <v>1.9156653819995439E-2</v>
      </c>
      <c r="F1249" s="3">
        <f>(Master_Table!F1249-Master_Table!F1248)/Master_Table!F1248</f>
        <v>1.9884318446987428E-2</v>
      </c>
      <c r="G1249" s="3">
        <f>(Master_Table!G1249-Master_Table!G1248)/Master_Table!G1248</f>
        <v>1.1911852293032509E-3</v>
      </c>
      <c r="H1249" s="3">
        <f>(Master_Table!H1249-Master_Table!H1248)/Master_Table!H1248</f>
        <v>-1.2886668679493939E-2</v>
      </c>
    </row>
    <row r="1250" spans="1:8" x14ac:dyDescent="0.3">
      <c r="A1250" s="1">
        <v>45666</v>
      </c>
      <c r="B1250" s="3">
        <f>(Master_Table!B1250-Master_Table!B1249)/Master_Table!B1249</f>
        <v>-6.8576277124988956E-3</v>
      </c>
      <c r="C1250" s="3">
        <f>(Master_Table!C1250-Master_Table!C1249)/Master_Table!C1249</f>
        <v>-8.4946661398656656E-3</v>
      </c>
      <c r="D1250" s="3">
        <f>(Master_Table!D1250-Master_Table!D1249)/Master_Table!D1249</f>
        <v>-1.56440447310809E-2</v>
      </c>
      <c r="E1250" s="3">
        <f>(Master_Table!E1250-Master_Table!E1249)/Master_Table!E1249</f>
        <v>1.2234456678901376E-3</v>
      </c>
      <c r="F1250" s="3">
        <f>(Master_Table!F1250-Master_Table!F1249)/Master_Table!F1249</f>
        <v>-1.6928731379612438E-2</v>
      </c>
      <c r="G1250" s="3">
        <f>(Master_Table!G1250-Master_Table!G1249)/Master_Table!G1249</f>
        <v>-8.1990533585082053E-3</v>
      </c>
      <c r="H1250" s="3">
        <f>(Master_Table!H1250-Master_Table!H1249)/Master_Table!H1249</f>
        <v>-1.9033186425125425E-2</v>
      </c>
    </row>
    <row r="1251" spans="1:8" x14ac:dyDescent="0.3">
      <c r="A1251" s="1">
        <v>45667</v>
      </c>
      <c r="B1251" s="3">
        <f>(Master_Table!B1251-Master_Table!B1250)/Master_Table!B1250</f>
        <v>-4.0379997024631801E-3</v>
      </c>
      <c r="C1251" s="3">
        <f>(Master_Table!C1251-Master_Table!C1250)/Master_Table!C1250</f>
        <v>-1.0241083881251173E-2</v>
      </c>
      <c r="D1251" s="3">
        <f>(Master_Table!D1251-Master_Table!D1250)/Master_Table!D1250</f>
        <v>-6.6239496050875665E-3</v>
      </c>
      <c r="E1251" s="3">
        <f>(Master_Table!E1251-Master_Table!E1250)/Master_Table!E1250</f>
        <v>-1.1552988224839024E-2</v>
      </c>
      <c r="F1251" s="3">
        <f>(Master_Table!F1251-Master_Table!F1250)/Master_Table!F1250</f>
        <v>3.9583049630464204E-2</v>
      </c>
      <c r="G1251" s="3">
        <f>(Master_Table!G1251-Master_Table!G1250)/Master_Table!G1250</f>
        <v>2.5895790956031967E-2</v>
      </c>
      <c r="H1251" s="3">
        <f>(Master_Table!H1251-Master_Table!H1250)/Master_Table!H1250</f>
        <v>2.3385016582102669E-3</v>
      </c>
    </row>
    <row r="1252" spans="1:8" x14ac:dyDescent="0.3">
      <c r="A1252" s="1">
        <v>45670</v>
      </c>
      <c r="B1252" s="3">
        <f>(Master_Table!B1252-Master_Table!B1251)/Master_Table!B1251</f>
        <v>-1.4747241960608552E-2</v>
      </c>
      <c r="C1252" s="3">
        <f>(Master_Table!C1252-Master_Table!C1251)/Master_Table!C1251</f>
        <v>-1.6506965134070229E-3</v>
      </c>
      <c r="D1252" s="3">
        <f>(Master_Table!D1252-Master_Table!D1251)/Master_Table!D1251</f>
        <v>-1.563558911801732E-2</v>
      </c>
      <c r="E1252" s="3">
        <f>(Master_Table!E1252-Master_Table!E1251)/Master_Table!E1251</f>
        <v>-1.3149022252191427E-2</v>
      </c>
      <c r="F1252" s="3">
        <f>(Master_Table!F1252-Master_Table!F1251)/Master_Table!F1251</f>
        <v>5.9661039554912403E-3</v>
      </c>
      <c r="G1252" s="3">
        <f>(Master_Table!G1252-Master_Table!G1251)/Master_Table!G1251</f>
        <v>-2.4149063270545766E-3</v>
      </c>
      <c r="H1252" s="3">
        <f>(Master_Table!H1252-Master_Table!H1251)/Master_Table!H1251</f>
        <v>-2.0318708199595577E-2</v>
      </c>
    </row>
    <row r="1253" spans="1:8" x14ac:dyDescent="0.3">
      <c r="A1253" s="1">
        <v>45671</v>
      </c>
      <c r="B1253" s="3">
        <f>(Master_Table!B1253-Master_Table!B1252)/Master_Table!B1252</f>
        <v>3.9028066854514777E-3</v>
      </c>
      <c r="C1253" s="3">
        <f>(Master_Table!C1253-Master_Table!C1252)/Master_Table!C1252</f>
        <v>-8.8720409726975773E-4</v>
      </c>
      <c r="D1253" s="3">
        <f>(Master_Table!D1253-Master_Table!D1252)/Master_Table!D1252</f>
        <v>9.6631423653799047E-3</v>
      </c>
      <c r="E1253" s="3">
        <f>(Master_Table!E1253-Master_Table!E1252)/Master_Table!E1252</f>
        <v>-5.5802300421364049E-3</v>
      </c>
      <c r="F1253" s="3">
        <f>(Master_Table!F1253-Master_Table!F1252)/Master_Table!F1252</f>
        <v>-1.3528198741882328E-2</v>
      </c>
      <c r="G1253" s="3">
        <f>(Master_Table!G1253-Master_Table!G1252)/Master_Table!G1252</f>
        <v>-1.1288349811436189E-2</v>
      </c>
      <c r="H1253" s="3">
        <f>(Master_Table!H1253-Master_Table!H1252)/Master_Table!H1252</f>
        <v>-4.9071962589852867E-4</v>
      </c>
    </row>
    <row r="1254" spans="1:8" x14ac:dyDescent="0.3">
      <c r="A1254" s="1">
        <v>45672</v>
      </c>
      <c r="B1254" s="3">
        <f>(Master_Table!B1254-Master_Table!B1253)/Master_Table!B1253</f>
        <v>1.6029478707545702E-3</v>
      </c>
      <c r="C1254" s="3">
        <f>(Master_Table!C1254-Master_Table!C1253)/Master_Table!C1253</f>
        <v>1.0857719475277534E-2</v>
      </c>
      <c r="D1254" s="3">
        <f>(Master_Table!D1254-Master_Table!D1253)/Master_Table!D1253</f>
        <v>-2.1552248983269387E-3</v>
      </c>
      <c r="E1254" s="3">
        <f>(Master_Table!E1254-Master_Table!E1253)/Master_Table!E1253</f>
        <v>1.7178195144296837E-3</v>
      </c>
      <c r="F1254" s="3">
        <f>(Master_Table!F1254-Master_Table!F1253)/Master_Table!F1253</f>
        <v>3.9096344047827528E-3</v>
      </c>
      <c r="G1254" s="3">
        <f>(Master_Table!G1254-Master_Table!G1253)/Master_Table!G1253</f>
        <v>4.9483260740703265E-3</v>
      </c>
      <c r="H1254" s="3">
        <f>(Master_Table!H1254-Master_Table!H1253)/Master_Table!H1253</f>
        <v>1.1205452550106909E-2</v>
      </c>
    </row>
    <row r="1255" spans="1:8" x14ac:dyDescent="0.3">
      <c r="A1255" s="1">
        <v>45673</v>
      </c>
      <c r="B1255" s="3">
        <f>(Master_Table!B1255-Master_Table!B1254)/Master_Table!B1254</f>
        <v>4.2475832715867931E-3</v>
      </c>
      <c r="C1255" s="3">
        <f>(Master_Table!C1255-Master_Table!C1254)/Master_Table!C1254</f>
        <v>1.1379971250598945E-2</v>
      </c>
      <c r="D1255" s="3">
        <f>(Master_Table!D1255-Master_Table!D1254)/Master_Table!D1254</f>
        <v>5.4668147262321911E-3</v>
      </c>
      <c r="E1255" s="3">
        <f>(Master_Table!E1255-Master_Table!E1254)/Master_Table!E1254</f>
        <v>-1.028924202583743E-2</v>
      </c>
      <c r="F1255" s="3">
        <f>(Master_Table!F1255-Master_Table!F1254)/Master_Table!F1254</f>
        <v>-1.0189054536065688E-2</v>
      </c>
      <c r="G1255" s="3">
        <f>(Master_Table!G1255-Master_Table!G1254)/Master_Table!G1254</f>
        <v>-1.0873746569897183E-2</v>
      </c>
      <c r="H1255" s="3">
        <f>(Master_Table!H1255-Master_Table!H1254)/Master_Table!H1254</f>
        <v>1.8564002970240475E-3</v>
      </c>
    </row>
    <row r="1256" spans="1:8" x14ac:dyDescent="0.3">
      <c r="A1256" s="1">
        <v>45674</v>
      </c>
      <c r="B1256" s="3">
        <f>(Master_Table!B1256-Master_Table!B1255)/Master_Table!B1255</f>
        <v>-4.6585849226571325E-3</v>
      </c>
      <c r="C1256" s="3">
        <f>(Master_Table!C1256-Master_Table!C1255)/Master_Table!C1255</f>
        <v>2.8346954084251145E-2</v>
      </c>
      <c r="D1256" s="3">
        <f>(Master_Table!D1256-Master_Table!D1255)/Master_Table!D1255</f>
        <v>-9.2600458754566253E-3</v>
      </c>
      <c r="E1256" s="3">
        <f>(Master_Table!E1256-Master_Table!E1255)/Master_Table!E1255</f>
        <v>1.6980478225713216E-2</v>
      </c>
      <c r="F1256" s="3">
        <f>(Master_Table!F1256-Master_Table!F1255)/Master_Table!F1255</f>
        <v>-3.8644542665990387E-3</v>
      </c>
      <c r="G1256" s="3">
        <f>(Master_Table!G1256-Master_Table!G1255)/Master_Table!G1255</f>
        <v>-5.8596281988125179E-2</v>
      </c>
      <c r="H1256" s="3">
        <f>(Master_Table!H1256-Master_Table!H1255)/Master_Table!H1255</f>
        <v>1.7318053536303772E-2</v>
      </c>
    </row>
    <row r="1257" spans="1:8" x14ac:dyDescent="0.3">
      <c r="A1257" s="1">
        <v>45677</v>
      </c>
      <c r="B1257" s="3">
        <f>(Master_Table!B1257-Master_Table!B1256)/Master_Table!B1256</f>
        <v>6.1004516618397148E-3</v>
      </c>
      <c r="C1257" s="3">
        <f>(Master_Table!C1257-Master_Table!C1256)/Master_Table!C1256</f>
        <v>2.3803125119976477E-3</v>
      </c>
      <c r="D1257" s="3">
        <f>(Master_Table!D1257-Master_Table!D1256)/Master_Table!D1256</f>
        <v>8.8688536639145565E-3</v>
      </c>
      <c r="E1257" s="3">
        <f>(Master_Table!E1257-Master_Table!E1256)/Master_Table!E1256</f>
        <v>-5.6792367105860976E-3</v>
      </c>
      <c r="F1257" s="3">
        <f>(Master_Table!F1257-Master_Table!F1256)/Master_Table!F1256</f>
        <v>-1.1274640545062192E-2</v>
      </c>
      <c r="G1257" s="3">
        <f>(Master_Table!G1257-Master_Table!G1256)/Master_Table!G1256</f>
        <v>-1.1842793797681517E-3</v>
      </c>
      <c r="H1257" s="3">
        <f>(Master_Table!H1257-Master_Table!H1256)/Master_Table!H1256</f>
        <v>6.8233085340394569E-3</v>
      </c>
    </row>
    <row r="1258" spans="1:8" x14ac:dyDescent="0.3">
      <c r="A1258" s="1">
        <v>45678</v>
      </c>
      <c r="B1258" s="3">
        <f>(Master_Table!B1258-Master_Table!B1257)/Master_Table!B1257</f>
        <v>-1.3711862410177815E-2</v>
      </c>
      <c r="C1258" s="3">
        <f>(Master_Table!C1258-Master_Table!C1257)/Master_Table!C1257</f>
        <v>-2.4321115324217702E-2</v>
      </c>
      <c r="D1258" s="3">
        <f>(Master_Table!D1258-Master_Table!D1257)/Master_Table!D1257</f>
        <v>-5.3668131814760831E-3</v>
      </c>
      <c r="E1258" s="3">
        <f>(Master_Table!E1258-Master_Table!E1257)/Master_Table!E1257</f>
        <v>-3.4270047978061973E-4</v>
      </c>
      <c r="F1258" s="3">
        <f>(Master_Table!F1258-Master_Table!F1257)/Master_Table!F1257</f>
        <v>-1.0287409877875391E-2</v>
      </c>
      <c r="G1258" s="3">
        <f>(Master_Table!G1258-Master_Table!G1257)/Master_Table!G1257</f>
        <v>-6.9486571444327518E-3</v>
      </c>
      <c r="H1258" s="3">
        <f>(Master_Table!H1258-Master_Table!H1257)/Master_Table!H1257</f>
        <v>-1.444475368772616E-2</v>
      </c>
    </row>
    <row r="1259" spans="1:8" x14ac:dyDescent="0.3">
      <c r="A1259" s="1">
        <v>45679</v>
      </c>
      <c r="B1259" s="3">
        <f>(Master_Table!B1259-Master_Table!B1258)/Master_Table!B1258</f>
        <v>5.6765249417470879E-3</v>
      </c>
      <c r="C1259" s="3">
        <f>(Master_Table!C1259-Master_Table!C1258)/Master_Table!C1258</f>
        <v>2.6693883960115126E-3</v>
      </c>
      <c r="D1259" s="3">
        <f>(Master_Table!D1259-Master_Table!D1258)/Master_Table!D1258</f>
        <v>1.440500024415263E-2</v>
      </c>
      <c r="E1259" s="3">
        <f>(Master_Table!E1259-Master_Table!E1258)/Master_Table!E1258</f>
        <v>-1.256999200091444E-3</v>
      </c>
      <c r="F1259" s="3">
        <f>(Master_Table!F1259-Master_Table!F1258)/Master_Table!F1258</f>
        <v>2.9919347844939843E-2</v>
      </c>
      <c r="G1259" s="3">
        <f>(Master_Table!G1259-Master_Table!G1258)/Master_Table!G1258</f>
        <v>3.096018215138557E-2</v>
      </c>
      <c r="H1259" s="3">
        <f>(Master_Table!H1259-Master_Table!H1258)/Master_Table!H1258</f>
        <v>-6.4669170596707492E-3</v>
      </c>
    </row>
    <row r="1260" spans="1:8" x14ac:dyDescent="0.3">
      <c r="A1260" s="1">
        <v>45680</v>
      </c>
      <c r="B1260" s="3">
        <f>(Master_Table!B1260-Master_Table!B1259)/Master_Table!B1259</f>
        <v>2.1593281898135853E-3</v>
      </c>
      <c r="C1260" s="3">
        <f>(Master_Table!C1260-Master_Table!C1259)/Master_Table!C1259</f>
        <v>-1.0531673322370856E-2</v>
      </c>
      <c r="D1260" s="3">
        <f>(Master_Table!D1260-Master_Table!D1259)/Master_Table!D1259</f>
        <v>-6.9798786945224909E-4</v>
      </c>
      <c r="E1260" s="3">
        <f>(Master_Table!E1260-Master_Table!E1259)/Master_Table!E1259</f>
        <v>7.3226544622425373E-3</v>
      </c>
      <c r="F1260" s="3">
        <f>(Master_Table!F1260-Master_Table!F1259)/Master_Table!F1259</f>
        <v>-2.6824808737912105E-3</v>
      </c>
      <c r="G1260" s="3">
        <f>(Master_Table!G1260-Master_Table!G1259)/Master_Table!G1259</f>
        <v>4.8479625090899299E-3</v>
      </c>
      <c r="H1260" s="3">
        <f>(Master_Table!H1260-Master_Table!H1259)/Master_Table!H1259</f>
        <v>-4.2493320447955828E-3</v>
      </c>
    </row>
    <row r="1261" spans="1:8" x14ac:dyDescent="0.3">
      <c r="A1261" s="1">
        <v>45681</v>
      </c>
      <c r="B1261" s="3">
        <f>(Master_Table!B1261-Master_Table!B1260)/Master_Table!B1260</f>
        <v>-4.8760307429104848E-3</v>
      </c>
      <c r="C1261" s="3">
        <f>(Master_Table!C1261-Master_Table!C1260)/Master_Table!C1260</f>
        <v>-1.3730067661140455E-2</v>
      </c>
      <c r="D1261" s="3">
        <f>(Master_Table!D1261-Master_Table!D1260)/Master_Table!D1260</f>
        <v>-9.0681374792263448E-3</v>
      </c>
      <c r="E1261" s="3">
        <f>(Master_Table!E1261-Master_Table!E1260)/Master_Table!E1260</f>
        <v>3.180372557928292E-3</v>
      </c>
      <c r="F1261" s="3">
        <f>(Master_Table!F1261-Master_Table!F1260)/Master_Table!F1260</f>
        <v>1.6644755092934532E-3</v>
      </c>
      <c r="G1261" s="3">
        <f>(Master_Table!G1261-Master_Table!G1260)/Master_Table!G1260</f>
        <v>5.3606368436570264E-3</v>
      </c>
      <c r="H1261" s="3">
        <f>(Master_Table!H1261-Master_Table!H1260)/Master_Table!H1260</f>
        <v>-1.2859487618639887E-2</v>
      </c>
    </row>
    <row r="1262" spans="1:8" x14ac:dyDescent="0.3">
      <c r="A1262" s="1">
        <v>45684</v>
      </c>
      <c r="B1262" s="3">
        <f>(Master_Table!B1262-Master_Table!B1261)/Master_Table!B1261</f>
        <v>-1.1391292297832136E-2</v>
      </c>
      <c r="C1262" s="3">
        <f>(Master_Table!C1262-Master_Table!C1261)/Master_Table!C1261</f>
        <v>-1.3600256760009666E-2</v>
      </c>
      <c r="D1262" s="3">
        <f>(Master_Table!D1262-Master_Table!D1261)/Master_Table!D1261</f>
        <v>-1.2116424621741541E-2</v>
      </c>
      <c r="E1262" s="3">
        <f>(Master_Table!E1262-Master_Table!E1261)/Master_Table!E1261</f>
        <v>-3.3967391304347825E-3</v>
      </c>
      <c r="F1262" s="3">
        <f>(Master_Table!F1262-Master_Table!F1261)/Master_Table!F1261</f>
        <v>-2.1000156537864165E-2</v>
      </c>
      <c r="G1262" s="3">
        <f>(Master_Table!G1262-Master_Table!G1261)/Master_Table!G1261</f>
        <v>-2.8499826708256709E-2</v>
      </c>
      <c r="H1262" s="3">
        <f>(Master_Table!H1262-Master_Table!H1261)/Master_Table!H1261</f>
        <v>-1.5904227632864703E-4</v>
      </c>
    </row>
    <row r="1263" spans="1:8" x14ac:dyDescent="0.3">
      <c r="A1263" s="1">
        <v>45685</v>
      </c>
      <c r="B1263" s="3">
        <f>(Master_Table!B1263-Master_Table!B1262)/Master_Table!B1262</f>
        <v>5.6112470240897508E-3</v>
      </c>
      <c r="C1263" s="3">
        <f>(Master_Table!C1263-Master_Table!C1262)/Master_Table!C1262</f>
        <v>4.1078618782284804E-3</v>
      </c>
      <c r="D1263" s="3">
        <f>(Master_Table!D1263-Master_Table!D1262)/Master_Table!D1262</f>
        <v>2.491142604074402E-2</v>
      </c>
      <c r="E1263" s="3">
        <f>(Master_Table!E1263-Master_Table!E1262)/Master_Table!E1262</f>
        <v>-1.0565780504430888E-2</v>
      </c>
      <c r="F1263" s="3">
        <f>(Master_Table!F1263-Master_Table!F1262)/Master_Table!F1262</f>
        <v>-6.112935562033359E-3</v>
      </c>
      <c r="G1263" s="3">
        <f>(Master_Table!G1263-Master_Table!G1262)/Master_Table!G1262</f>
        <v>4.2535675082327109E-3</v>
      </c>
      <c r="H1263" s="3">
        <f>(Master_Table!H1263-Master_Table!H1262)/Master_Table!H1262</f>
        <v>-1.265310254074299E-2</v>
      </c>
    </row>
    <row r="1264" spans="1:8" x14ac:dyDescent="0.3">
      <c r="A1264" s="1">
        <v>45686</v>
      </c>
      <c r="B1264" s="3">
        <f>(Master_Table!B1264-Master_Table!B1263)/Master_Table!B1263</f>
        <v>8.9666663036730675E-3</v>
      </c>
      <c r="C1264" s="3">
        <f>(Master_Table!C1264-Master_Table!C1263)/Master_Table!C1263</f>
        <v>8.9112119248210386E-4</v>
      </c>
      <c r="D1264" s="3">
        <f>(Master_Table!D1264-Master_Table!D1263)/Master_Table!D1263</f>
        <v>4.1290074778246545E-3</v>
      </c>
      <c r="E1264" s="3">
        <f>(Master_Table!E1264-Master_Table!E1263)/Master_Table!E1263</f>
        <v>-4.8225973131242762E-3</v>
      </c>
      <c r="F1264" s="3">
        <f>(Master_Table!F1264-Master_Table!F1263)/Master_Table!F1263</f>
        <v>1.4726629210702174E-2</v>
      </c>
      <c r="G1264" s="3">
        <f>(Master_Table!G1264-Master_Table!G1263)/Master_Table!G1263</f>
        <v>2.8145921573985516E-2</v>
      </c>
      <c r="H1264" s="3">
        <f>(Master_Table!H1264-Master_Table!H1263)/Master_Table!H1263</f>
        <v>1.0486540320454532E-2</v>
      </c>
    </row>
    <row r="1265" spans="1:8" x14ac:dyDescent="0.3">
      <c r="A1265" s="1">
        <v>45687</v>
      </c>
      <c r="B1265" s="3">
        <f>(Master_Table!B1265-Master_Table!B1264)/Master_Table!B1264</f>
        <v>3.7300706727511198E-3</v>
      </c>
      <c r="C1265" s="3">
        <f>(Master_Table!C1265-Master_Table!C1264)/Master_Table!C1264</f>
        <v>1.4204775394577058E-2</v>
      </c>
      <c r="D1265" s="3">
        <f>(Master_Table!D1265-Master_Table!D1264)/Master_Table!D1264</f>
        <v>8.4631292061631749E-3</v>
      </c>
      <c r="E1265" s="3">
        <f>(Master_Table!E1265-Master_Table!E1264)/Master_Table!E1264</f>
        <v>6.5766701280719183E-3</v>
      </c>
      <c r="F1265" s="3">
        <f>(Master_Table!F1265-Master_Table!F1264)/Master_Table!F1264</f>
        <v>6.0978584321186398E-5</v>
      </c>
      <c r="G1265" s="3">
        <f>(Master_Table!G1265-Master_Table!G1264)/Master_Table!G1264</f>
        <v>-1.13222591362126E-2</v>
      </c>
      <c r="H1265" s="3">
        <f>(Master_Table!H1265-Master_Table!H1264)/Master_Table!H1264</f>
        <v>-8.3340580340319458E-3</v>
      </c>
    </row>
    <row r="1266" spans="1:8" x14ac:dyDescent="0.3">
      <c r="A1266" s="1">
        <v>45688</v>
      </c>
      <c r="B1266" s="3">
        <f>(Master_Table!B1266-Master_Table!B1265)/Master_Table!B1265</f>
        <v>1.1135723348889286E-2</v>
      </c>
      <c r="C1266" s="3">
        <f>(Master_Table!C1266-Master_Table!C1265)/Master_Table!C1265</f>
        <v>9.6165356530066286E-3</v>
      </c>
      <c r="D1266" s="3">
        <f>(Master_Table!D1266-Master_Table!D1265)/Master_Table!D1265</f>
        <v>4.2908789189829962E-3</v>
      </c>
      <c r="E1266" s="3">
        <f>(Master_Table!E1266-Master_Table!E1265)/Master_Table!E1265</f>
        <v>2.5905547913801036E-2</v>
      </c>
      <c r="F1266" s="3">
        <f>(Master_Table!F1266-Master_Table!F1265)/Master_Table!F1265</f>
        <v>3.0121583883122045E-3</v>
      </c>
      <c r="G1266" s="3">
        <f>(Master_Table!G1266-Master_Table!G1265)/Master_Table!G1265</f>
        <v>1.0672329901341385E-2</v>
      </c>
      <c r="H1266" s="3">
        <f>(Master_Table!H1266-Master_Table!H1265)/Master_Table!H1265</f>
        <v>4.2809745830836549E-2</v>
      </c>
    </row>
    <row r="1267" spans="1:8" x14ac:dyDescent="0.3">
      <c r="A1267" s="1">
        <v>45689</v>
      </c>
      <c r="B1267" s="3">
        <f>(Master_Table!B1267-Master_Table!B1266)/Master_Table!B1266</f>
        <v>-1.1166221435742116E-3</v>
      </c>
      <c r="C1267" s="3">
        <f>(Master_Table!C1267-Master_Table!C1266)/Master_Table!C1266</f>
        <v>-3.9522567385977394E-4</v>
      </c>
      <c r="D1267" s="3">
        <f>(Master_Table!D1267-Master_Table!D1266)/Master_Table!D1266</f>
        <v>-4.5912164953320509E-3</v>
      </c>
      <c r="E1267" s="3">
        <f>(Master_Table!E1267-Master_Table!E1266)/Master_Table!E1266</f>
        <v>3.363128491620114E-2</v>
      </c>
      <c r="F1267" s="3">
        <f>(Master_Table!F1267-Master_Table!F1266)/Master_Table!F1266</f>
        <v>-9.5443050286935973E-3</v>
      </c>
      <c r="G1267" s="3">
        <f>(Master_Table!G1267-Master_Table!G1266)/Master_Table!G1266</f>
        <v>-1.5134588786041092E-2</v>
      </c>
      <c r="H1267" s="3">
        <f>(Master_Table!H1267-Master_Table!H1266)/Master_Table!H1266</f>
        <v>-3.3609911980714273E-2</v>
      </c>
    </row>
    <row r="1268" spans="1:8" x14ac:dyDescent="0.3">
      <c r="A1268" s="1">
        <v>45691</v>
      </c>
      <c r="B1268" s="3">
        <f>(Master_Table!B1268-Master_Table!B1267)/Master_Table!B1267</f>
        <v>-5.1571086974575228E-3</v>
      </c>
      <c r="C1268" s="3">
        <f>(Master_Table!C1268-Master_Table!C1267)/Master_Table!C1267</f>
        <v>-1.4787284516843129E-2</v>
      </c>
      <c r="D1268" s="3">
        <f>(Master_Table!D1268-Master_Table!D1267)/Master_Table!D1267</f>
        <v>-7.6596551969456668E-3</v>
      </c>
      <c r="E1268" s="3">
        <f>(Master_Table!E1268-Master_Table!E1267)/Master_Table!E1267</f>
        <v>-1.7727813209382746E-2</v>
      </c>
      <c r="F1268" s="3">
        <f>(Master_Table!F1268-Master_Table!F1267)/Master_Table!F1267</f>
        <v>-1.104796042375066E-3</v>
      </c>
      <c r="G1268" s="3">
        <f>(Master_Table!G1268-Master_Table!G1267)/Master_Table!G1267</f>
        <v>6.4547492370432636E-3</v>
      </c>
      <c r="H1268" s="3">
        <f>(Master_Table!H1268-Master_Table!H1267)/Master_Table!H1267</f>
        <v>-4.5917331399564956E-2</v>
      </c>
    </row>
    <row r="1269" spans="1:8" x14ac:dyDescent="0.3">
      <c r="A1269" s="1">
        <v>45692</v>
      </c>
      <c r="B1269" s="3">
        <f>(Master_Table!B1269-Master_Table!B1268)/Master_Table!B1268</f>
        <v>1.6189340804458736E-2</v>
      </c>
      <c r="C1269" s="3">
        <f>(Master_Table!C1269-Master_Table!C1268)/Master_Table!C1268</f>
        <v>3.1543462557187534E-2</v>
      </c>
      <c r="D1269" s="3">
        <f>(Master_Table!D1269-Master_Table!D1268)/Master_Table!D1268</f>
        <v>2.555799837499401E-2</v>
      </c>
      <c r="E1269" s="3">
        <f>(Master_Table!E1269-Master_Table!E1268)/Master_Table!E1268</f>
        <v>1.7607571255638923E-3</v>
      </c>
      <c r="F1269" s="3">
        <f>(Master_Table!F1269-Master_Table!F1268)/Master_Table!F1268</f>
        <v>9.4380199820579529E-3</v>
      </c>
      <c r="G1269" s="3">
        <f>(Master_Table!G1269-Master_Table!G1268)/Master_Table!G1268</f>
        <v>1.9052219181022918E-2</v>
      </c>
      <c r="H1269" s="3">
        <f>(Master_Table!H1269-Master_Table!H1268)/Master_Table!H1268</f>
        <v>4.5588592970935267E-2</v>
      </c>
    </row>
    <row r="1270" spans="1:8" x14ac:dyDescent="0.3">
      <c r="A1270" s="1">
        <v>45693</v>
      </c>
      <c r="B1270" s="3">
        <f>(Master_Table!B1270-Master_Table!B1269)/Master_Table!B1269</f>
        <v>-1.8092399717767296E-3</v>
      </c>
      <c r="C1270" s="3">
        <f>(Master_Table!C1270-Master_Table!C1269)/Master_Table!C1269</f>
        <v>-5.4466230936819167E-3</v>
      </c>
      <c r="D1270" s="3">
        <f>(Master_Table!D1270-Master_Table!D1269)/Master_Table!D1269</f>
        <v>9.8216262189652504E-3</v>
      </c>
      <c r="E1270" s="3">
        <f>(Master_Table!E1270-Master_Table!E1269)/Master_Table!E1269</f>
        <v>-1.5379545204877514E-2</v>
      </c>
      <c r="F1270" s="3">
        <f>(Master_Table!F1270-Master_Table!F1269)/Master_Table!F1269</f>
        <v>-3.8835660632328003E-3</v>
      </c>
      <c r="G1270" s="3">
        <f>(Master_Table!G1270-Master_Table!G1269)/Master_Table!G1269</f>
        <v>-9.2163471666315575E-4</v>
      </c>
      <c r="H1270" s="3">
        <f>(Master_Table!H1270-Master_Table!H1269)/Master_Table!H1269</f>
        <v>-1.6268554730093272E-2</v>
      </c>
    </row>
    <row r="1271" spans="1:8" x14ac:dyDescent="0.3">
      <c r="A1271" s="1">
        <v>45694</v>
      </c>
      <c r="B1271" s="3">
        <f>(Master_Table!B1271-Master_Table!B1270)/Master_Table!B1270</f>
        <v>-3.9225533100104544E-3</v>
      </c>
      <c r="C1271" s="3">
        <f>(Master_Table!C1271-Master_Table!C1270)/Master_Table!C1270</f>
        <v>2.6208731028007424E-3</v>
      </c>
      <c r="D1271" s="3">
        <f>(Master_Table!D1271-Master_Table!D1270)/Master_Table!D1270</f>
        <v>3.4843205574912684E-3</v>
      </c>
      <c r="E1271" s="3">
        <f>(Master_Table!E1271-Master_Table!E1270)/Master_Table!E1270</f>
        <v>-1.5731339953140588E-2</v>
      </c>
      <c r="F1271" s="3">
        <f>(Master_Table!F1271-Master_Table!F1270)/Master_Table!F1270</f>
        <v>-2.0410158637041162E-3</v>
      </c>
      <c r="G1271" s="3">
        <f>(Master_Table!G1271-Master_Table!G1270)/Master_Table!G1270</f>
        <v>9.8046967660315419E-3</v>
      </c>
      <c r="H1271" s="3">
        <f>(Master_Table!H1271-Master_Table!H1270)/Master_Table!H1270</f>
        <v>-9.0003546937809827E-3</v>
      </c>
    </row>
    <row r="1272" spans="1:8" x14ac:dyDescent="0.3">
      <c r="A1272" s="1">
        <v>45695</v>
      </c>
      <c r="B1272" s="3">
        <f>(Master_Table!B1272-Master_Table!B1271)/Master_Table!B1271</f>
        <v>-1.8387220458112013E-3</v>
      </c>
      <c r="C1272" s="3">
        <f>(Master_Table!C1272-Master_Table!C1271)/Master_Table!C1271</f>
        <v>-1.1587530724513214E-2</v>
      </c>
      <c r="D1272" s="3">
        <f>(Master_Table!D1272-Master_Table!D1271)/Master_Table!D1271</f>
        <v>-6.3695732155996639E-3</v>
      </c>
      <c r="E1272" s="3">
        <f>(Master_Table!E1272-Master_Table!E1271)/Master_Table!E1271</f>
        <v>-2.3237361142598049E-2</v>
      </c>
      <c r="F1272" s="3">
        <f>(Master_Table!F1272-Master_Table!F1271)/Master_Table!F1271</f>
        <v>-1.3067172861429161E-2</v>
      </c>
      <c r="G1272" s="3">
        <f>(Master_Table!G1272-Master_Table!G1271)/Master_Table!G1271</f>
        <v>-6.2641923107039383E-3</v>
      </c>
      <c r="H1272" s="3">
        <f>(Master_Table!H1272-Master_Table!H1271)/Master_Table!H1271</f>
        <v>-4.7274625307583053E-3</v>
      </c>
    </row>
    <row r="1273" spans="1:8" x14ac:dyDescent="0.3">
      <c r="A1273" s="1">
        <v>45698</v>
      </c>
      <c r="B1273" s="3">
        <f>(Master_Table!B1273-Master_Table!B1272)/Master_Table!B1272</f>
        <v>-7.5700500213286602E-3</v>
      </c>
      <c r="C1273" s="3">
        <f>(Master_Table!C1273-Master_Table!C1272)/Master_Table!C1272</f>
        <v>-1.0302360464198274E-2</v>
      </c>
      <c r="D1273" s="3">
        <f>(Master_Table!D1273-Master_Table!D1272)/Master_Table!D1272</f>
        <v>-9.8007451806253355E-3</v>
      </c>
      <c r="E1273" s="3">
        <f>(Master_Table!E1273-Master_Table!E1272)/Master_Table!E1272</f>
        <v>-8.4716258558663899E-3</v>
      </c>
      <c r="F1273" s="3">
        <f>(Master_Table!F1273-Master_Table!F1272)/Master_Table!F1272</f>
        <v>1.8737280984761323E-3</v>
      </c>
      <c r="G1273" s="3">
        <f>(Master_Table!G1273-Master_Table!G1272)/Master_Table!G1272</f>
        <v>-1.2265910225093969E-2</v>
      </c>
      <c r="H1273" s="3">
        <f>(Master_Table!H1273-Master_Table!H1272)/Master_Table!H1272</f>
        <v>-2.4723545805987591E-3</v>
      </c>
    </row>
    <row r="1274" spans="1:8" x14ac:dyDescent="0.3">
      <c r="A1274" s="1">
        <v>45699</v>
      </c>
      <c r="B1274" s="3">
        <f>(Master_Table!B1274-Master_Table!B1273)/Master_Table!B1273</f>
        <v>-1.3249734834228593E-2</v>
      </c>
      <c r="C1274" s="3">
        <f>(Master_Table!C1274-Master_Table!C1273)/Master_Table!C1273</f>
        <v>-1.4996211063694158E-2</v>
      </c>
      <c r="D1274" s="3">
        <f>(Master_Table!D1274-Master_Table!D1273)/Master_Table!D1273</f>
        <v>-8.3669295939234212E-3</v>
      </c>
      <c r="E1274" s="3">
        <f>(Master_Table!E1274-Master_Table!E1273)/Master_Table!E1273</f>
        <v>-2.083333333333328E-2</v>
      </c>
      <c r="F1274" s="3">
        <f>(Master_Table!F1274-Master_Table!F1273)/Master_Table!F1273</f>
        <v>-1.8182043374329541E-2</v>
      </c>
      <c r="G1274" s="3">
        <f>(Master_Table!G1274-Master_Table!G1273)/Master_Table!G1273</f>
        <v>-2.4730096261234183E-3</v>
      </c>
      <c r="H1274" s="3">
        <f>(Master_Table!H1274-Master_Table!H1273)/Master_Table!H1273</f>
        <v>-2.6737566280624278E-2</v>
      </c>
    </row>
    <row r="1275" spans="1:8" x14ac:dyDescent="0.3">
      <c r="A1275" s="1">
        <v>45700</v>
      </c>
      <c r="B1275" s="3">
        <f>(Master_Table!B1275-Master_Table!B1274)/Master_Table!B1274</f>
        <v>-1.1507554677138009E-3</v>
      </c>
      <c r="C1275" s="3">
        <f>(Master_Table!C1275-Master_Table!C1274)/Master_Table!C1274</f>
        <v>-1.481961371826534E-2</v>
      </c>
      <c r="D1275" s="3">
        <f>(Master_Table!D1275-Master_Table!D1274)/Master_Table!D1274</f>
        <v>3.1699642937106738E-3</v>
      </c>
      <c r="E1275" s="3">
        <f>(Master_Table!E1275-Master_Table!E1274)/Master_Table!E1274</f>
        <v>-2.0081281377002231E-2</v>
      </c>
      <c r="F1275" s="3">
        <f>(Master_Table!F1275-Master_Table!F1274)/Master_Table!F1274</f>
        <v>-3.3808076093401348E-3</v>
      </c>
      <c r="G1275" s="3">
        <f>(Master_Table!G1275-Master_Table!G1274)/Master_Table!G1274</f>
        <v>-6.6643563564630923E-3</v>
      </c>
      <c r="H1275" s="3">
        <f>(Master_Table!H1275-Master_Table!H1274)/Master_Table!H1274</f>
        <v>1.543376599324001E-2</v>
      </c>
    </row>
    <row r="1276" spans="1:8" x14ac:dyDescent="0.3">
      <c r="A1276" s="1">
        <v>45701</v>
      </c>
      <c r="B1276" s="3">
        <f>(Master_Table!B1276-Master_Table!B1275)/Master_Table!B1275</f>
        <v>-6.0099152753814971E-4</v>
      </c>
      <c r="C1276" s="3">
        <f>(Master_Table!C1276-Master_Table!C1275)/Master_Table!C1275</f>
        <v>-3.6989848341625539E-4</v>
      </c>
      <c r="D1276" s="3">
        <f>(Master_Table!D1276-Master_Table!D1275)/Master_Table!D1275</f>
        <v>-5.3331453810731644E-3</v>
      </c>
      <c r="E1276" s="3">
        <f>(Master_Table!E1276-Master_Table!E1275)/Master_Table!E1275</f>
        <v>-4.8792388387408793E-4</v>
      </c>
      <c r="F1276" s="3">
        <f>(Master_Table!F1276-Master_Table!F1275)/Master_Table!F1275</f>
        <v>-1.0126197739326355E-2</v>
      </c>
      <c r="G1276" s="3">
        <f>(Master_Table!G1276-Master_Table!G1275)/Master_Table!G1275</f>
        <v>-1.0680836218232612E-2</v>
      </c>
      <c r="H1276" s="3">
        <f>(Master_Table!H1276-Master_Table!H1275)/Master_Table!H1275</f>
        <v>-7.9035763683066584E-3</v>
      </c>
    </row>
    <row r="1277" spans="1:8" x14ac:dyDescent="0.3">
      <c r="A1277" s="1">
        <v>45702</v>
      </c>
      <c r="B1277" s="3">
        <f>(Master_Table!B1277-Master_Table!B1276)/Master_Table!B1276</f>
        <v>-4.4352492683901734E-3</v>
      </c>
      <c r="C1277" s="3">
        <f>(Master_Table!C1277-Master_Table!C1276)/Master_Table!C1276</f>
        <v>9.4564591727661464E-4</v>
      </c>
      <c r="D1277" s="3">
        <f>(Master_Table!D1277-Master_Table!D1276)/Master_Table!D1276</f>
        <v>-1.6770201006211577E-3</v>
      </c>
      <c r="E1277" s="3">
        <f>(Master_Table!E1277-Master_Table!E1276)/Master_Table!E1276</f>
        <v>1.3424456919697617E-3</v>
      </c>
      <c r="F1277" s="3">
        <f>(Master_Table!F1277-Master_Table!F1276)/Master_Table!F1276</f>
        <v>6.3168932138152802E-3</v>
      </c>
      <c r="G1277" s="3">
        <f>(Master_Table!G1277-Master_Table!G1276)/Master_Table!G1276</f>
        <v>7.1341380713414301E-3</v>
      </c>
      <c r="H1277" s="3">
        <f>(Master_Table!H1277-Master_Table!H1276)/Master_Table!H1276</f>
        <v>-7.9665405297749455E-3</v>
      </c>
    </row>
    <row r="1278" spans="1:8" x14ac:dyDescent="0.3">
      <c r="A1278" s="1">
        <v>45705</v>
      </c>
      <c r="B1278" s="3">
        <f>(Master_Table!B1278-Master_Table!B1277)/Master_Table!B1277</f>
        <v>1.3192755977626831E-3</v>
      </c>
      <c r="C1278" s="3">
        <f>(Master_Table!C1278-Master_Table!C1277)/Master_Table!C1277</f>
        <v>6.2846580406655094E-3</v>
      </c>
      <c r="D1278" s="3">
        <f>(Master_Table!D1278-Master_Table!D1277)/Master_Table!D1277</f>
        <v>1.3273080017034866E-2</v>
      </c>
      <c r="E1278" s="3">
        <f>(Master_Table!E1278-Master_Table!E1277)/Master_Table!E1277</f>
        <v>-4.021937842778738E-3</v>
      </c>
      <c r="F1278" s="3">
        <f>(Master_Table!F1278-Master_Table!F1277)/Master_Table!F1277</f>
        <v>-7.7131275652184729E-3</v>
      </c>
      <c r="G1278" s="3">
        <f>(Master_Table!G1278-Master_Table!G1277)/Master_Table!G1277</f>
        <v>-7.595345830640021E-3</v>
      </c>
      <c r="H1278" s="3">
        <f>(Master_Table!H1278-Master_Table!H1277)/Master_Table!H1277</f>
        <v>-4.8800827760876507E-3</v>
      </c>
    </row>
    <row r="1279" spans="1:8" x14ac:dyDescent="0.3">
      <c r="A1279" s="1">
        <v>45706</v>
      </c>
      <c r="B1279" s="3">
        <f>(Master_Table!B1279-Master_Table!B1278)/Master_Table!B1278</f>
        <v>-6.184803676038558E-4</v>
      </c>
      <c r="C1279" s="3">
        <f>(Master_Table!C1279-Master_Table!C1278)/Master_Table!C1278</f>
        <v>4.0819658747652868E-4</v>
      </c>
      <c r="D1279" s="3">
        <f>(Master_Table!D1279-Master_Table!D1278)/Master_Table!D1278</f>
        <v>3.3273402292946304E-3</v>
      </c>
      <c r="E1279" s="3">
        <f>(Master_Table!E1279-Master_Table!E1278)/Master_Table!E1278</f>
        <v>-8.1987273617230121E-3</v>
      </c>
      <c r="F1279" s="3">
        <f>(Master_Table!F1279-Master_Table!F1278)/Master_Table!F1278</f>
        <v>-8.0163913433218548E-3</v>
      </c>
      <c r="G1279" s="3">
        <f>(Master_Table!G1279-Master_Table!G1278)/Master_Table!G1278</f>
        <v>5.2380176952722636E-3</v>
      </c>
      <c r="H1279" s="3">
        <f>(Master_Table!H1279-Master_Table!H1278)/Master_Table!H1278</f>
        <v>-5.2764715924075243E-4</v>
      </c>
    </row>
    <row r="1280" spans="1:8" x14ac:dyDescent="0.3">
      <c r="A1280" s="1">
        <v>45707</v>
      </c>
      <c r="B1280" s="3">
        <f>(Master_Table!B1280-Master_Table!B1279)/Master_Table!B1279</f>
        <v>-5.4041568425768321E-4</v>
      </c>
      <c r="C1280" s="3">
        <f>(Master_Table!C1280-Master_Table!C1279)/Master_Table!C1279</f>
        <v>1.6729231271421204E-3</v>
      </c>
      <c r="D1280" s="3">
        <f>(Master_Table!D1280-Master_Table!D1279)/Master_Table!D1279</f>
        <v>2.4086852302214945E-3</v>
      </c>
      <c r="E1280" s="3">
        <f>(Master_Table!E1280-Master_Table!E1279)/Master_Table!E1279</f>
        <v>2.837754472547754E-3</v>
      </c>
      <c r="F1280" s="3">
        <f>(Master_Table!F1280-Master_Table!F1279)/Master_Table!F1279</f>
        <v>-2.3004234224930267E-2</v>
      </c>
      <c r="G1280" s="3">
        <f>(Master_Table!G1280-Master_Table!G1279)/Master_Table!G1279</f>
        <v>-2.2219822349415528E-2</v>
      </c>
      <c r="H1280" s="3">
        <f>(Master_Table!H1280-Master_Table!H1279)/Master_Table!H1279</f>
        <v>1.7312858096672514E-2</v>
      </c>
    </row>
    <row r="1281" spans="1:8" x14ac:dyDescent="0.3">
      <c r="A1281" s="1">
        <v>45708</v>
      </c>
      <c r="B1281" s="3">
        <f>(Master_Table!B1281-Master_Table!B1280)/Master_Table!B1280</f>
        <v>-8.6120813329321623E-4</v>
      </c>
      <c r="C1281" s="3">
        <f>(Master_Table!C1281-Master_Table!C1280)/Master_Table!C1280</f>
        <v>4.5215691066845531E-3</v>
      </c>
      <c r="D1281" s="3">
        <f>(Master_Table!D1281-Master_Table!D1280)/Master_Table!D1280</f>
        <v>-2.3216400065005919E-2</v>
      </c>
      <c r="E1281" s="3">
        <f>(Master_Table!E1281-Master_Table!E1280)/Master_Table!E1280</f>
        <v>-1.0703740157480232E-2</v>
      </c>
      <c r="F1281" s="3">
        <f>(Master_Table!F1281-Master_Table!F1280)/Master_Table!F1280</f>
        <v>-1.2420390581643769E-3</v>
      </c>
      <c r="G1281" s="3">
        <f>(Master_Table!G1281-Master_Table!G1280)/Master_Table!G1280</f>
        <v>7.9246741771593424E-3</v>
      </c>
      <c r="H1281" s="3">
        <f>(Master_Table!H1281-Master_Table!H1280)/Master_Table!H1280</f>
        <v>-3.0525962330934717E-5</v>
      </c>
    </row>
    <row r="1282" spans="1:8" x14ac:dyDescent="0.3">
      <c r="A1282" s="1">
        <v>45709</v>
      </c>
      <c r="B1282" s="3">
        <f>(Master_Table!B1282-Master_Table!B1281)/Master_Table!B1281</f>
        <v>-5.1171488861199788E-3</v>
      </c>
      <c r="C1282" s="3">
        <f>(Master_Table!C1282-Master_Table!C1281)/Master_Table!C1281</f>
        <v>-3.9334955393348818E-3</v>
      </c>
      <c r="D1282" s="3">
        <f>(Master_Table!D1282-Master_Table!D1281)/Master_Table!D1281</f>
        <v>3.1968245668242586E-3</v>
      </c>
      <c r="E1282" s="3">
        <f>(Master_Table!E1282-Master_Table!E1281)/Master_Table!E1281</f>
        <v>-2.860340753637692E-3</v>
      </c>
      <c r="F1282" s="3">
        <f>(Master_Table!F1282-Master_Table!F1281)/Master_Table!F1281</f>
        <v>1.7463089379266309E-3</v>
      </c>
      <c r="G1282" s="3">
        <f>(Master_Table!G1282-Master_Table!G1281)/Master_Table!G1281</f>
        <v>-5.5611867517738767E-3</v>
      </c>
      <c r="H1282" s="3">
        <f>(Master_Table!H1282-Master_Table!H1281)/Master_Table!H1281</f>
        <v>1.1997069418157313E-2</v>
      </c>
    </row>
    <row r="1283" spans="1:8" x14ac:dyDescent="0.3">
      <c r="A1283" s="1">
        <v>45712</v>
      </c>
      <c r="B1283" s="3">
        <f>(Master_Table!B1283-Master_Table!B1282)/Master_Table!B1282</f>
        <v>-1.0640071240881163E-2</v>
      </c>
      <c r="C1283" s="3">
        <f>(Master_Table!C1283-Master_Table!C1282)/Master_Table!C1282</f>
        <v>-1.1073565932500211E-2</v>
      </c>
      <c r="D1283" s="3">
        <f>(Master_Table!D1283-Master_Table!D1282)/Master_Table!D1282</f>
        <v>-9.0979091393709067E-3</v>
      </c>
      <c r="E1283" s="3">
        <f>(Master_Table!E1283-Master_Table!E1282)/Master_Table!E1282</f>
        <v>2.4943876278373661E-3</v>
      </c>
      <c r="F1283" s="3">
        <f>(Master_Table!F1283-Master_Table!F1282)/Master_Table!F1282</f>
        <v>-2.9160063391442181E-2</v>
      </c>
      <c r="G1283" s="3">
        <f>(Master_Table!G1283-Master_Table!G1282)/Master_Table!G1282</f>
        <v>-2.8044077134986276E-2</v>
      </c>
      <c r="H1283" s="3">
        <f>(Master_Table!H1283-Master_Table!H1282)/Master_Table!H1282</f>
        <v>-1.7314711471750503E-2</v>
      </c>
    </row>
    <row r="1284" spans="1:8" x14ac:dyDescent="0.3">
      <c r="A1284" s="1">
        <v>45713</v>
      </c>
      <c r="B1284" s="3">
        <f>(Master_Table!B1284-Master_Table!B1283)/Master_Table!B1283</f>
        <v>-2.571680038663557E-4</v>
      </c>
      <c r="C1284" s="3">
        <f>(Master_Table!C1284-Master_Table!C1283)/Master_Table!C1283</f>
        <v>-8.6863447367337334E-3</v>
      </c>
      <c r="D1284" s="3">
        <f>(Master_Table!D1284-Master_Table!D1283)/Master_Table!D1283</f>
        <v>3.1322103602041966E-3</v>
      </c>
      <c r="E1284" s="3">
        <f>(Master_Table!E1284-Master_Table!E1283)/Master_Table!E1283</f>
        <v>7.3401343617816514E-3</v>
      </c>
      <c r="F1284" s="3">
        <f>(Master_Table!F1284-Master_Table!F1283)/Master_Table!F1283</f>
        <v>-1.2528566764609785E-2</v>
      </c>
      <c r="G1284" s="3">
        <f>(Master_Table!G1284-Master_Table!G1283)/Master_Table!G1283</f>
        <v>2.0407006405533342E-3</v>
      </c>
      <c r="H1284" s="3">
        <f>(Master_Table!H1284-Master_Table!H1283)/Master_Table!H1283</f>
        <v>-9.7614881664977535E-3</v>
      </c>
    </row>
    <row r="1285" spans="1:8" x14ac:dyDescent="0.3">
      <c r="A1285" s="1">
        <v>45715</v>
      </c>
      <c r="B1285" s="3">
        <f>(Master_Table!B1285-Master_Table!B1284)/Master_Table!B1284</f>
        <v>-1.1087679149175853E-4</v>
      </c>
      <c r="C1285" s="3">
        <f>(Master_Table!C1285-Master_Table!C1284)/Master_Table!C1284</f>
        <v>2.5747508305647084E-3</v>
      </c>
      <c r="D1285" s="3">
        <f>(Master_Table!D1285-Master_Table!D1284)/Master_Table!D1284</f>
        <v>1.0904670535937714E-2</v>
      </c>
      <c r="E1285" s="3">
        <f>(Master_Table!E1285-Master_Table!E1284)/Master_Table!E1284</f>
        <v>-8.0276645671236262E-3</v>
      </c>
      <c r="F1285" s="3">
        <f>(Master_Table!F1285-Master_Table!F1284)/Master_Table!F1284</f>
        <v>-4.683776225702911E-3</v>
      </c>
      <c r="G1285" s="3">
        <f>(Master_Table!G1285-Master_Table!G1284)/Master_Table!G1284</f>
        <v>-1.9234032924139225E-3</v>
      </c>
      <c r="H1285" s="3">
        <f>(Master_Table!H1285-Master_Table!H1284)/Master_Table!H1284</f>
        <v>-5.083852568275548E-3</v>
      </c>
    </row>
    <row r="1286" spans="1:8" x14ac:dyDescent="0.3">
      <c r="A1286" s="1">
        <v>45716</v>
      </c>
      <c r="B1286" s="3">
        <f>(Master_Table!B1286-Master_Table!B1285)/Master_Table!B1285</f>
        <v>-1.8644891007116797E-2</v>
      </c>
      <c r="C1286" s="3">
        <f>(Master_Table!C1286-Master_Table!C1285)/Master_Table!C1285</f>
        <v>-5.7990224505012015E-3</v>
      </c>
      <c r="D1286" s="3">
        <f>(Master_Table!D1286-Master_Table!D1285)/Master_Table!D1285</f>
        <v>1.863859285107982E-2</v>
      </c>
      <c r="E1286" s="3">
        <f>(Master_Table!E1286-Master_Table!E1285)/Master_Table!E1285</f>
        <v>-1.6434262948207226E-2</v>
      </c>
      <c r="F1286" s="3">
        <f>(Master_Table!F1286-Master_Table!F1285)/Master_Table!F1285</f>
        <v>-3.5791892153741865E-2</v>
      </c>
      <c r="G1286" s="3">
        <f>(Master_Table!G1286-Master_Table!G1285)/Master_Table!G1285</f>
        <v>-4.3416652496740864E-2</v>
      </c>
      <c r="H1286" s="3">
        <f>(Master_Table!H1286-Master_Table!H1285)/Master_Table!H1285</f>
        <v>-1.4223399283377501E-2</v>
      </c>
    </row>
    <row r="1287" spans="1:8" x14ac:dyDescent="0.3">
      <c r="A1287" s="1">
        <v>45719</v>
      </c>
      <c r="B1287" s="3">
        <f>(Master_Table!B1287-Master_Table!B1286)/Master_Table!B1286</f>
        <v>-2.4407110604896133E-4</v>
      </c>
      <c r="C1287" s="3">
        <f>(Master_Table!C1287-Master_Table!C1286)/Master_Table!C1286</f>
        <v>-2.4039663361386476E-2</v>
      </c>
      <c r="D1287" s="3">
        <f>(Master_Table!D1287-Master_Table!D1286)/Master_Table!D1286</f>
        <v>-1.7811469243678012E-2</v>
      </c>
      <c r="E1287" s="3">
        <f>(Master_Table!E1287-Master_Table!E1286)/Master_Table!E1286</f>
        <v>6.2025316455695916E-3</v>
      </c>
      <c r="F1287" s="3">
        <f>(Master_Table!F1287-Master_Table!F1286)/Master_Table!F1286</f>
        <v>2.8134644369483047E-3</v>
      </c>
      <c r="G1287" s="3">
        <f>(Master_Table!G1287-Master_Table!G1286)/Master_Table!G1286</f>
        <v>1.238371748533499E-2</v>
      </c>
      <c r="H1287" s="3">
        <f>(Master_Table!H1287-Master_Table!H1286)/Master_Table!H1286</f>
        <v>1.0572561910330855E-2</v>
      </c>
    </row>
    <row r="1288" spans="1:8" x14ac:dyDescent="0.3">
      <c r="A1288" s="1">
        <v>45720</v>
      </c>
      <c r="B1288" s="3">
        <f>(Master_Table!B1288-Master_Table!B1287)/Master_Table!B1287</f>
        <v>-1.656924043708337E-3</v>
      </c>
      <c r="C1288" s="3">
        <f>(Master_Table!C1288-Master_Table!C1287)/Master_Table!C1287</f>
        <v>-7.9829242262539242E-3</v>
      </c>
      <c r="D1288" s="3">
        <f>(Master_Table!D1288-Master_Table!D1287)/Master_Table!D1287</f>
        <v>4.9725449532204034E-3</v>
      </c>
      <c r="E1288" s="3">
        <f>(Master_Table!E1288-Master_Table!E1287)/Master_Table!E1287</f>
        <v>-6.5417033589129855E-3</v>
      </c>
      <c r="F1288" s="3">
        <f>(Master_Table!F1288-Master_Table!F1287)/Master_Table!F1287</f>
        <v>1.1165027697857172E-2</v>
      </c>
      <c r="G1288" s="3">
        <f>(Master_Table!G1288-Master_Table!G1287)/Master_Table!G1287</f>
        <v>-1.1881072222872501E-2</v>
      </c>
      <c r="H1288" s="3">
        <f>(Master_Table!H1288-Master_Table!H1287)/Master_Table!H1287</f>
        <v>4.9103931442153748E-3</v>
      </c>
    </row>
    <row r="1289" spans="1:8" x14ac:dyDescent="0.3">
      <c r="A1289" s="1">
        <v>45721</v>
      </c>
      <c r="B1289" s="3">
        <f>(Master_Table!B1289-Master_Table!B1288)/Master_Table!B1288</f>
        <v>1.1531677583985519E-2</v>
      </c>
      <c r="C1289" s="3">
        <f>(Master_Table!C1289-Master_Table!C1288)/Master_Table!C1288</f>
        <v>1.1791031930458573E-2</v>
      </c>
      <c r="D1289" s="3">
        <f>(Master_Table!D1289-Master_Table!D1288)/Master_Table!D1288</f>
        <v>-1.1701528937247935E-2</v>
      </c>
      <c r="E1289" s="3">
        <f>(Master_Table!E1289-Master_Table!E1288)/Master_Table!E1288</f>
        <v>2.5832594656198526E-2</v>
      </c>
      <c r="F1289" s="3">
        <f>(Master_Table!F1289-Master_Table!F1288)/Master_Table!F1288</f>
        <v>4.2468254979402898E-3</v>
      </c>
      <c r="G1289" s="3">
        <f>(Master_Table!G1289-Master_Table!G1288)/Master_Table!G1288</f>
        <v>1.3741633595924922E-2</v>
      </c>
      <c r="H1289" s="3">
        <f>(Master_Table!H1289-Master_Table!H1288)/Master_Table!H1288</f>
        <v>8.2944288826642051E-3</v>
      </c>
    </row>
    <row r="1290" spans="1:8" x14ac:dyDescent="0.3">
      <c r="A1290" s="1">
        <v>45722</v>
      </c>
      <c r="B1290" s="3">
        <f>(Master_Table!B1290-Master_Table!B1289)/Master_Table!B1289</f>
        <v>9.2849180518684658E-3</v>
      </c>
      <c r="C1290" s="3">
        <f>(Master_Table!C1290-Master_Table!C1289)/Master_Table!C1289</f>
        <v>2.892140183735965E-2</v>
      </c>
      <c r="D1290" s="3">
        <f>(Master_Table!D1290-Master_Table!D1289)/Master_Table!D1289</f>
        <v>7.1182821212483426E-4</v>
      </c>
      <c r="E1290" s="3">
        <f>(Master_Table!E1290-Master_Table!E1289)/Master_Table!E1289</f>
        <v>1.6047401555362973E-3</v>
      </c>
      <c r="F1290" s="3">
        <f>(Master_Table!F1290-Master_Table!F1289)/Master_Table!F1289</f>
        <v>1.5378976896294026E-2</v>
      </c>
      <c r="G1290" s="3">
        <f>(Master_Table!G1290-Master_Table!G1289)/Master_Table!G1289</f>
        <v>2.5416301489920592E-3</v>
      </c>
      <c r="H1290" s="3">
        <f>(Master_Table!H1290-Master_Table!H1289)/Master_Table!H1289</f>
        <v>6.2506752272622037E-3</v>
      </c>
    </row>
    <row r="1291" spans="1:8" x14ac:dyDescent="0.3">
      <c r="A1291" s="1">
        <v>45723</v>
      </c>
      <c r="B1291" s="3">
        <f>(Master_Table!B1291-Master_Table!B1290)/Master_Table!B1290</f>
        <v>3.4597932108208459E-4</v>
      </c>
      <c r="C1291" s="3">
        <f>(Master_Table!C1291-Master_Table!C1290)/Master_Table!C1290</f>
        <v>3.3234126984127026E-2</v>
      </c>
      <c r="D1291" s="3">
        <f>(Master_Table!D1291-Master_Table!D1290)/Master_Table!D1290</f>
        <v>-1.1499703615886511E-3</v>
      </c>
      <c r="E1291" s="3">
        <f>(Master_Table!E1291-Master_Table!E1290)/Master_Table!E1290</f>
        <v>-4.436775942814916E-3</v>
      </c>
      <c r="F1291" s="3">
        <f>(Master_Table!F1291-Master_Table!F1290)/Master_Table!F1290</f>
        <v>2.6654820079964206E-3</v>
      </c>
      <c r="G1291" s="3">
        <f>(Master_Table!G1291-Master_Table!G1290)/Master_Table!G1290</f>
        <v>-1.7396625579158966E-2</v>
      </c>
      <c r="H1291" s="3">
        <f>(Master_Table!H1291-Master_Table!H1290)/Master_Table!H1290</f>
        <v>-4.6627197153287746E-3</v>
      </c>
    </row>
    <row r="1292" spans="1:8" x14ac:dyDescent="0.3">
      <c r="A1292" s="1">
        <v>45726</v>
      </c>
      <c r="B1292" s="3">
        <f>(Master_Table!B1292-Master_Table!B1291)/Master_Table!B1291</f>
        <v>-4.0882385544840144E-3</v>
      </c>
      <c r="C1292" s="3">
        <f>(Master_Table!C1292-Master_Table!C1291)/Master_Table!C1291</f>
        <v>-9.121459433509253E-3</v>
      </c>
      <c r="D1292" s="3">
        <f>(Master_Table!D1292-Master_Table!D1291)/Master_Table!D1291</f>
        <v>-1.0326041802665835E-3</v>
      </c>
      <c r="E1292" s="3">
        <f>(Master_Table!E1292-Master_Table!E1291)/Master_Table!E1291</f>
        <v>2.7234463976232304E-3</v>
      </c>
      <c r="F1292" s="3">
        <f>(Master_Table!F1292-Master_Table!F1291)/Master_Table!F1291</f>
        <v>-5.9675454142666508E-3</v>
      </c>
      <c r="G1292" s="3">
        <f>(Master_Table!G1292-Master_Table!G1291)/Master_Table!G1291</f>
        <v>9.1637010676156854E-3</v>
      </c>
      <c r="H1292" s="3">
        <f>(Master_Table!H1292-Master_Table!H1291)/Master_Table!H1291</f>
        <v>-2.0649058464572996E-2</v>
      </c>
    </row>
    <row r="1293" spans="1:8" x14ac:dyDescent="0.3">
      <c r="A1293" s="1">
        <v>45727</v>
      </c>
      <c r="B1293" s="3">
        <f>(Master_Table!B1293-Master_Table!B1292)/Master_Table!B1292</f>
        <v>1.6740649056335927E-3</v>
      </c>
      <c r="C1293" s="3">
        <f>(Master_Table!C1293-Master_Table!C1292)/Master_Table!C1292</f>
        <v>7.1866925064598373E-3</v>
      </c>
      <c r="D1293" s="3">
        <f>(Master_Table!D1293-Master_Table!D1292)/Master_Table!D1292</f>
        <v>-1.1881282227978044E-3</v>
      </c>
      <c r="E1293" s="3">
        <f>(Master_Table!E1293-Master_Table!E1292)/Master_Table!E1292</f>
        <v>2.9629629629629351E-3</v>
      </c>
      <c r="F1293" s="3">
        <f>(Master_Table!F1293-Master_Table!F1292)/Master_Table!F1292</f>
        <v>-3.9976042232529379E-3</v>
      </c>
      <c r="G1293" s="3">
        <f>(Master_Table!G1293-Master_Table!G1292)/Master_Table!G1292</f>
        <v>-2.3421199565076926E-2</v>
      </c>
      <c r="H1293" s="3">
        <f>(Master_Table!H1293-Master_Table!H1292)/Master_Table!H1292</f>
        <v>5.5858010510746771E-3</v>
      </c>
    </row>
    <row r="1294" spans="1:8" x14ac:dyDescent="0.3">
      <c r="A1294" s="1">
        <v>45728</v>
      </c>
      <c r="B1294" s="3">
        <f>(Master_Table!B1294-Master_Table!B1293)/Master_Table!B1293</f>
        <v>-1.2178914476462894E-3</v>
      </c>
      <c r="C1294" s="3">
        <f>(Master_Table!C1294-Master_Table!C1293)/Master_Table!C1293</f>
        <v>7.8168844704561858E-3</v>
      </c>
      <c r="D1294" s="3">
        <f>(Master_Table!D1294-Master_Table!D1293)/Master_Table!D1293</f>
        <v>1.5214236433278707E-2</v>
      </c>
      <c r="E1294" s="3">
        <f>(Master_Table!E1294-Master_Table!E1293)/Master_Table!E1293</f>
        <v>1.5263417035942858E-2</v>
      </c>
      <c r="F1294" s="3">
        <f>(Master_Table!F1294-Master_Table!F1293)/Master_Table!F1293</f>
        <v>-1.9327049478365551E-2</v>
      </c>
      <c r="G1294" s="3">
        <f>(Master_Table!G1294-Master_Table!G1293)/Master_Table!G1293</f>
        <v>-4.2579441502166589E-2</v>
      </c>
      <c r="H1294" s="3">
        <f>(Master_Table!H1294-Master_Table!H1293)/Master_Table!H1293</f>
        <v>-5.6330094352899504E-4</v>
      </c>
    </row>
    <row r="1295" spans="1:8" x14ac:dyDescent="0.3">
      <c r="A1295" s="1">
        <v>45729</v>
      </c>
      <c r="B1295" s="3">
        <f>(Master_Table!B1295-Master_Table!B1294)/Master_Table!B1294</f>
        <v>-3.262054693932012E-3</v>
      </c>
      <c r="C1295" s="3">
        <f>(Master_Table!C1295-Master_Table!C1294)/Master_Table!C1294</f>
        <v>-7.2789467403841243E-3</v>
      </c>
      <c r="D1295" s="3">
        <f>(Master_Table!D1295-Master_Table!D1294)/Master_Table!D1294</f>
        <v>-2.6597926064796948E-3</v>
      </c>
      <c r="E1295" s="3">
        <f>(Master_Table!E1295-Master_Table!E1294)/Master_Table!E1294</f>
        <v>-8.486905916585012E-4</v>
      </c>
      <c r="F1295" s="3">
        <f>(Master_Table!F1295-Master_Table!F1294)/Master_Table!F1294</f>
        <v>1.3832639324625989E-3</v>
      </c>
      <c r="G1295" s="3">
        <f>(Master_Table!G1295-Master_Table!G1294)/Master_Table!G1294</f>
        <v>-6.9145425401514913E-3</v>
      </c>
      <c r="H1295" s="3">
        <f>(Master_Table!H1295-Master_Table!H1294)/Master_Table!H1294</f>
        <v>-1.9883205736382849E-3</v>
      </c>
    </row>
    <row r="1296" spans="1:8" x14ac:dyDescent="0.3">
      <c r="A1296" s="1">
        <v>45733</v>
      </c>
      <c r="B1296" s="3">
        <f>(Master_Table!B1296-Master_Table!B1295)/Master_Table!B1295</f>
        <v>4.9805332809458001E-3</v>
      </c>
      <c r="C1296" s="3">
        <f>(Master_Table!C1296-Master_Table!C1295)/Master_Table!C1295</f>
        <v>-7.2521836685633312E-3</v>
      </c>
      <c r="D1296" s="3">
        <f>(Master_Table!D1296-Master_Table!D1295)/Master_Table!D1295</f>
        <v>2.2321953053409281E-3</v>
      </c>
      <c r="E1296" s="3">
        <f>(Master_Table!E1296-Master_Table!E1295)/Master_Table!E1295</f>
        <v>-9.9502487562189608E-3</v>
      </c>
      <c r="F1296" s="3">
        <f>(Master_Table!F1296-Master_Table!F1295)/Master_Table!F1295</f>
        <v>-3.8022813688213964E-3</v>
      </c>
      <c r="G1296" s="3">
        <f>(Master_Table!G1296-Master_Table!G1295)/Master_Table!G1295</f>
        <v>6.4563091432731246E-3</v>
      </c>
      <c r="H1296" s="3">
        <f>(Master_Table!H1296-Master_Table!H1295)/Master_Table!H1295</f>
        <v>-4.3453706899257566E-3</v>
      </c>
    </row>
    <row r="1297" spans="1:8" x14ac:dyDescent="0.3">
      <c r="A1297" s="1">
        <v>45734</v>
      </c>
      <c r="B1297" s="3">
        <f>(Master_Table!B1297-Master_Table!B1296)/Master_Table!B1296</f>
        <v>1.4463264286110925E-2</v>
      </c>
      <c r="C1297" s="3">
        <f>(Master_Table!C1297-Master_Table!C1296)/Master_Table!C1296</f>
        <v>-4.0360011300766461E-5</v>
      </c>
      <c r="D1297" s="3">
        <f>(Master_Table!D1297-Master_Table!D1296)/Master_Table!D1296</f>
        <v>1.2742064050264927E-2</v>
      </c>
      <c r="E1297" s="3">
        <f>(Master_Table!E1297-Master_Table!E1296)/Master_Table!E1296</f>
        <v>2.8189729133473074E-3</v>
      </c>
      <c r="F1297" s="3">
        <f>(Master_Table!F1297-Master_Table!F1296)/Master_Table!F1296</f>
        <v>1.5653143494296251E-2</v>
      </c>
      <c r="G1297" s="3">
        <f>(Master_Table!G1297-Master_Table!G1296)/Master_Table!G1296</f>
        <v>1.2137983082292981E-2</v>
      </c>
      <c r="H1297" s="3">
        <f>(Master_Table!H1297-Master_Table!H1296)/Master_Table!H1296</f>
        <v>3.0644881753296885E-2</v>
      </c>
    </row>
    <row r="1298" spans="1:8" x14ac:dyDescent="0.3">
      <c r="A1298" s="1">
        <v>45735</v>
      </c>
      <c r="B1298" s="3">
        <f>(Master_Table!B1298-Master_Table!B1297)/Master_Table!B1297</f>
        <v>3.2100830767748203E-3</v>
      </c>
      <c r="C1298" s="3">
        <f>(Master_Table!C1298-Master_Table!C1297)/Master_Table!C1297</f>
        <v>6.7403939296094093E-3</v>
      </c>
      <c r="D1298" s="3">
        <f>(Master_Table!D1298-Master_Table!D1297)/Master_Table!D1297</f>
        <v>6.8753978818217962E-3</v>
      </c>
      <c r="E1298" s="3">
        <f>(Master_Table!E1298-Master_Table!E1297)/Master_Table!E1297</f>
        <v>-1.47885602542166E-2</v>
      </c>
      <c r="F1298" s="3">
        <f>(Master_Table!F1298-Master_Table!F1297)/Master_Table!F1297</f>
        <v>-1.5580796351813512E-2</v>
      </c>
      <c r="G1298" s="3">
        <f>(Master_Table!G1298-Master_Table!G1297)/Master_Table!G1297</f>
        <v>-1.4167210364432819E-2</v>
      </c>
      <c r="H1298" s="3">
        <f>(Master_Table!H1298-Master_Table!H1297)/Master_Table!H1297</f>
        <v>1.4935640688537734E-2</v>
      </c>
    </row>
    <row r="1299" spans="1:8" x14ac:dyDescent="0.3">
      <c r="A1299" s="1">
        <v>45736</v>
      </c>
      <c r="B1299" s="3">
        <f>(Master_Table!B1299-Master_Table!B1298)/Master_Table!B1298</f>
        <v>1.23561612739878E-2</v>
      </c>
      <c r="C1299" s="3">
        <f>(Master_Table!C1299-Master_Table!C1298)/Master_Table!C1298</f>
        <v>1.7640219700918093E-2</v>
      </c>
      <c r="D1299" s="3">
        <f>(Master_Table!D1299-Master_Table!D1298)/Master_Table!D1298</f>
        <v>1.4128223108668871E-2</v>
      </c>
      <c r="E1299" s="3">
        <f>(Master_Table!E1299-Master_Table!E1298)/Master_Table!E1298</f>
        <v>2.2329735764792884E-3</v>
      </c>
      <c r="F1299" s="3">
        <f>(Master_Table!F1299-Master_Table!F1298)/Master_Table!F1298</f>
        <v>1.8887077864516367E-2</v>
      </c>
      <c r="G1299" s="3">
        <f>(Master_Table!G1299-Master_Table!G1298)/Master_Table!G1298</f>
        <v>1.8278654943115567E-2</v>
      </c>
      <c r="H1299" s="3">
        <f>(Master_Table!H1299-Master_Table!H1298)/Master_Table!H1298</f>
        <v>9.4892379991263869E-3</v>
      </c>
    </row>
    <row r="1300" spans="1:8" x14ac:dyDescent="0.3">
      <c r="A1300" s="1">
        <v>45737</v>
      </c>
      <c r="B1300" s="3">
        <f>(Master_Table!B1300-Master_Table!B1299)/Master_Table!B1299</f>
        <v>6.8885520673202345E-3</v>
      </c>
      <c r="C1300" s="3">
        <f>(Master_Table!C1300-Master_Table!C1299)/Master_Table!C1299</f>
        <v>5.6730882874363297E-3</v>
      </c>
      <c r="D1300" s="3">
        <f>(Master_Table!D1300-Master_Table!D1299)/Master_Table!D1299</f>
        <v>9.0684440817074554E-4</v>
      </c>
      <c r="E1300" s="3">
        <f>(Master_Table!E1300-Master_Table!E1299)/Master_Table!E1299</f>
        <v>3.9608862482981132E-3</v>
      </c>
      <c r="F1300" s="3">
        <f>(Master_Table!F1300-Master_Table!F1299)/Master_Table!F1299</f>
        <v>4.1957256921543624E-3</v>
      </c>
      <c r="G1300" s="3">
        <f>(Master_Table!G1300-Master_Table!G1299)/Master_Table!G1299</f>
        <v>-1.4236637677571107E-2</v>
      </c>
      <c r="H1300" s="3">
        <f>(Master_Table!H1300-Master_Table!H1299)/Master_Table!H1299</f>
        <v>1.9367064054549958E-2</v>
      </c>
    </row>
    <row r="1301" spans="1:8" x14ac:dyDescent="0.3">
      <c r="A1301" s="1">
        <v>45740</v>
      </c>
      <c r="B1301" s="3">
        <f>(Master_Table!B1301-Master_Table!B1300)/Master_Table!B1300</f>
        <v>1.3188210908592447E-2</v>
      </c>
      <c r="C1301" s="3">
        <f>(Master_Table!C1301-Master_Table!C1300)/Master_Table!C1300</f>
        <v>2.0174716966349357E-2</v>
      </c>
      <c r="D1301" s="3">
        <f>(Master_Table!D1301-Master_Table!D1300)/Master_Table!D1300</f>
        <v>1.6750096264921022E-2</v>
      </c>
      <c r="E1301" s="3">
        <f>(Master_Table!E1301-Master_Table!E1300)/Master_Table!E1300</f>
        <v>1.3191961533719555E-2</v>
      </c>
      <c r="F1301" s="3">
        <f>(Master_Table!F1301-Master_Table!F1300)/Master_Table!F1300</f>
        <v>1.4211453005785168E-2</v>
      </c>
      <c r="G1301" s="3">
        <f>(Master_Table!G1301-Master_Table!G1300)/Master_Table!G1300</f>
        <v>1.2558475401089163E-4</v>
      </c>
      <c r="H1301" s="3">
        <f>(Master_Table!H1301-Master_Table!H1300)/Master_Table!H1300</f>
        <v>1.9291851461526104E-2</v>
      </c>
    </row>
    <row r="1302" spans="1:8" x14ac:dyDescent="0.3">
      <c r="A1302" s="1">
        <v>45741</v>
      </c>
      <c r="B1302" s="3">
        <f>(Master_Table!B1302-Master_Table!B1301)/Master_Table!B1301</f>
        <v>4.3536425828525282E-4</v>
      </c>
      <c r="C1302" s="3">
        <f>(Master_Table!C1302-Master_Table!C1301)/Master_Table!C1301</f>
        <v>-1.2787036325934925E-2</v>
      </c>
      <c r="D1302" s="3">
        <f>(Master_Table!D1302-Master_Table!D1301)/Master_Table!D1301</f>
        <v>1.1907281374962468E-2</v>
      </c>
      <c r="E1302" s="3">
        <f>(Master_Table!E1302-Master_Table!E1301)/Master_Table!E1301</f>
        <v>-2.6770503772206521E-3</v>
      </c>
      <c r="F1302" s="3">
        <f>(Master_Table!F1302-Master_Table!F1301)/Master_Table!F1301</f>
        <v>7.9361798867441501E-3</v>
      </c>
      <c r="G1302" s="3">
        <f>(Master_Table!G1302-Master_Table!G1301)/Master_Table!G1301</f>
        <v>2.2414063726259644E-2</v>
      </c>
      <c r="H1302" s="3">
        <f>(Master_Table!H1302-Master_Table!H1301)/Master_Table!H1301</f>
        <v>-3.518244611341672E-3</v>
      </c>
    </row>
    <row r="1303" spans="1:8" x14ac:dyDescent="0.3">
      <c r="A1303" s="1">
        <v>45742</v>
      </c>
      <c r="B1303" s="3">
        <f>(Master_Table!B1303-Master_Table!B1302)/Master_Table!B1302</f>
        <v>-7.6810464475161409E-3</v>
      </c>
      <c r="C1303" s="3">
        <f>(Master_Table!C1303-Master_Table!C1302)/Master_Table!C1302</f>
        <v>-9.6464273211716439E-3</v>
      </c>
      <c r="D1303" s="3">
        <f>(Master_Table!D1303-Master_Table!D1302)/Master_Table!D1302</f>
        <v>-8.1786760011448648E-3</v>
      </c>
      <c r="E1303" s="3">
        <f>(Master_Table!E1303-Master_Table!E1302)/Master_Table!E1302</f>
        <v>-5.9785261102976786E-3</v>
      </c>
      <c r="F1303" s="3">
        <f>(Master_Table!F1303-Master_Table!F1302)/Master_Table!F1302</f>
        <v>-6.0009568723941821E-3</v>
      </c>
      <c r="G1303" s="3">
        <f>(Master_Table!G1303-Master_Table!G1302)/Master_Table!G1302</f>
        <v>-1.780834535908379E-2</v>
      </c>
      <c r="H1303" s="3">
        <f>(Master_Table!H1303-Master_Table!H1302)/Master_Table!H1302</f>
        <v>-7.1477980170624074E-3</v>
      </c>
    </row>
    <row r="1304" spans="1:8" x14ac:dyDescent="0.3">
      <c r="A1304" s="1">
        <v>45743</v>
      </c>
      <c r="B1304" s="3">
        <f>(Master_Table!B1304-Master_Table!B1303)/Master_Table!B1303</f>
        <v>4.4748444342260539E-3</v>
      </c>
      <c r="C1304" s="3">
        <f>(Master_Table!C1304-Master_Table!C1303)/Master_Table!C1303</f>
        <v>4.0454027728683796E-3</v>
      </c>
      <c r="D1304" s="3">
        <f>(Master_Table!D1304-Master_Table!D1303)/Master_Table!D1303</f>
        <v>1.0410308202834529E-2</v>
      </c>
      <c r="E1304" s="3">
        <f>(Master_Table!E1304-Master_Table!E1303)/Master_Table!E1303</f>
        <v>5.1552718792192602E-3</v>
      </c>
      <c r="F1304" s="3">
        <f>(Master_Table!F1304-Master_Table!F1303)/Master_Table!F1303</f>
        <v>4.2356565267615475E-3</v>
      </c>
      <c r="G1304" s="3">
        <f>(Master_Table!G1304-Master_Table!G1303)/Master_Table!G1303</f>
        <v>2.5633811622744751E-3</v>
      </c>
      <c r="H1304" s="3">
        <f>(Master_Table!H1304-Master_Table!H1303)/Master_Table!H1303</f>
        <v>1.6488620529493649E-2</v>
      </c>
    </row>
    <row r="1305" spans="1:8" x14ac:dyDescent="0.3">
      <c r="A1305" s="1">
        <v>45744</v>
      </c>
      <c r="B1305" s="3">
        <f>(Master_Table!B1305-Master_Table!B1304)/Master_Table!B1304</f>
        <v>-3.077320865803894E-3</v>
      </c>
      <c r="C1305" s="3">
        <f>(Master_Table!C1305-Master_Table!C1304)/Master_Table!C1304</f>
        <v>-2.425285557815785E-3</v>
      </c>
      <c r="D1305" s="3">
        <f>(Master_Table!D1305-Master_Table!D1304)/Master_Table!D1304</f>
        <v>1.5597368218715445E-3</v>
      </c>
      <c r="E1305" s="3">
        <f>(Master_Table!E1305-Master_Table!E1304)/Master_Table!E1304</f>
        <v>7.3269019416292926E-4</v>
      </c>
      <c r="F1305" s="3">
        <f>(Master_Table!F1305-Master_Table!F1304)/Master_Table!F1304</f>
        <v>-1.2338409290096332E-2</v>
      </c>
      <c r="G1305" s="3">
        <f>(Master_Table!G1305-Master_Table!G1304)/Master_Table!G1304</f>
        <v>-2.05169779551619E-2</v>
      </c>
      <c r="H1305" s="3">
        <f>(Master_Table!H1305-Master_Table!H1304)/Master_Table!H1304</f>
        <v>-2.6559287183001278E-3</v>
      </c>
    </row>
    <row r="1306" spans="1:8" x14ac:dyDescent="0.3">
      <c r="A1306" s="1">
        <v>45748</v>
      </c>
      <c r="B1306" s="3">
        <f>(Master_Table!B1306-Master_Table!B1305)/Master_Table!B1305</f>
        <v>-1.5036555006834706E-2</v>
      </c>
      <c r="C1306" s="3">
        <f>(Master_Table!C1306-Master_Table!C1305)/Master_Table!C1305</f>
        <v>-1.7645674849031449E-2</v>
      </c>
      <c r="D1306" s="3">
        <f>(Master_Table!D1306-Master_Table!D1305)/Master_Table!D1305</f>
        <v>-3.3010539245254072E-2</v>
      </c>
      <c r="E1306" s="3">
        <f>(Master_Table!E1306-Master_Table!E1305)/Master_Table!E1305</f>
        <v>-7.5655887736425205E-3</v>
      </c>
      <c r="F1306" s="3">
        <f>(Master_Table!F1306-Master_Table!F1305)/Master_Table!F1305</f>
        <v>-1.5348779168919736E-2</v>
      </c>
      <c r="G1306" s="3">
        <f>(Master_Table!G1306-Master_Table!G1305)/Master_Table!G1305</f>
        <v>-2.8109381466271982E-2</v>
      </c>
      <c r="H1306" s="3">
        <f>(Master_Table!H1306-Master_Table!H1305)/Master_Table!H1305</f>
        <v>-1.5892105489219138E-2</v>
      </c>
    </row>
    <row r="1307" spans="1:8" x14ac:dyDescent="0.3">
      <c r="A1307" s="1">
        <v>45749</v>
      </c>
      <c r="B1307" s="3">
        <f>(Master_Table!B1307-Master_Table!B1306)/Master_Table!B1306</f>
        <v>7.1938253538635921E-3</v>
      </c>
      <c r="C1307" s="3">
        <f>(Master_Table!C1307-Master_Table!C1306)/Master_Table!C1306</f>
        <v>-1.1575922082067845E-3</v>
      </c>
      <c r="D1307" s="3">
        <f>(Master_Table!D1307-Master_Table!D1306)/Master_Table!D1306</f>
        <v>1.6433602123098918E-2</v>
      </c>
      <c r="E1307" s="3">
        <f>(Master_Table!E1307-Master_Table!E1306)/Master_Table!E1306</f>
        <v>5.9018812246404385E-3</v>
      </c>
      <c r="F1307" s="3">
        <f>(Master_Table!F1307-Master_Table!F1306)/Master_Table!F1306</f>
        <v>-1.9291427283993363E-3</v>
      </c>
      <c r="G1307" s="3">
        <f>(Master_Table!G1307-Master_Table!G1306)/Master_Table!G1306</f>
        <v>1.5492957746478932E-2</v>
      </c>
      <c r="H1307" s="3">
        <f>(Master_Table!H1307-Master_Table!H1306)/Master_Table!H1306</f>
        <v>-4.9173649906890391E-3</v>
      </c>
    </row>
    <row r="1308" spans="1:8" x14ac:dyDescent="0.3">
      <c r="A1308" s="1">
        <v>45750</v>
      </c>
      <c r="B1308" s="3">
        <f>(Master_Table!B1308-Master_Table!B1307)/Master_Table!B1307</f>
        <v>-3.5251485598321647E-3</v>
      </c>
      <c r="C1308" s="3">
        <f>(Master_Table!C1308-Master_Table!C1307)/Master_Table!C1307</f>
        <v>-1.9581984574192106E-3</v>
      </c>
      <c r="D1308" s="3">
        <f>(Master_Table!D1308-Master_Table!D1307)/Master_Table!D1307</f>
        <v>-1.1381134096538593E-3</v>
      </c>
      <c r="E1308" s="3">
        <f>(Master_Table!E1308-Master_Table!E1307)/Master_Table!E1307</f>
        <v>8.5564111966743891E-4</v>
      </c>
      <c r="F1308" s="3">
        <f>(Master_Table!F1308-Master_Table!F1307)/Master_Table!F1307</f>
        <v>-3.9729680159144382E-2</v>
      </c>
      <c r="G1308" s="3">
        <f>(Master_Table!G1308-Master_Table!G1307)/Master_Table!G1307</f>
        <v>-3.4609553914137399E-2</v>
      </c>
      <c r="H1308" s="3">
        <f>(Master_Table!H1308-Master_Table!H1307)/Master_Table!H1307</f>
        <v>7.3101552676978852E-5</v>
      </c>
    </row>
    <row r="1309" spans="1:8" x14ac:dyDescent="0.3">
      <c r="A1309" s="1">
        <v>45751</v>
      </c>
      <c r="B1309" s="3">
        <f>(Master_Table!B1309-Master_Table!B1308)/Master_Table!B1308</f>
        <v>-1.4866602724289265E-2</v>
      </c>
      <c r="C1309" s="3">
        <f>(Master_Table!C1309-Master_Table!C1308)/Master_Table!C1308</f>
        <v>-3.5236646111956434E-2</v>
      </c>
      <c r="D1309" s="3">
        <f>(Master_Table!D1309-Master_Table!D1308)/Master_Table!D1308</f>
        <v>1.2499999999999933E-2</v>
      </c>
      <c r="E1309" s="3">
        <f>(Master_Table!E1309-Master_Table!E1308)/Master_Table!E1308</f>
        <v>7.3277967757696971E-4</v>
      </c>
      <c r="F1309" s="3">
        <f>(Master_Table!F1309-Master_Table!F1308)/Master_Table!F1308</f>
        <v>-3.0486461072829582E-2</v>
      </c>
      <c r="G1309" s="3">
        <f>(Master_Table!G1309-Master_Table!G1308)/Master_Table!G1308</f>
        <v>-2.9969929836284603E-2</v>
      </c>
      <c r="H1309" s="3">
        <f>(Master_Table!H1309-Master_Table!H1308)/Master_Table!H1308</f>
        <v>-4.6781573907577152E-2</v>
      </c>
    </row>
    <row r="1310" spans="1:8" x14ac:dyDescent="0.3">
      <c r="A1310" s="1">
        <v>45754</v>
      </c>
      <c r="B1310" s="3">
        <f>(Master_Table!B1310-Master_Table!B1309)/Master_Table!B1309</f>
        <v>-3.2432562231356883E-2</v>
      </c>
      <c r="C1310" s="3">
        <f>(Master_Table!C1310-Master_Table!C1309)/Master_Table!C1309</f>
        <v>-3.2373204947289777E-2</v>
      </c>
      <c r="D1310" s="3">
        <f>(Master_Table!D1310-Master_Table!D1309)/Master_Table!D1309</f>
        <v>-3.278941735897354E-2</v>
      </c>
      <c r="E1310" s="3">
        <f>(Master_Table!E1310-Master_Table!E1309)/Master_Table!E1309</f>
        <v>-8.9089577739809057E-3</v>
      </c>
      <c r="F1310" s="3">
        <f>(Master_Table!F1310-Master_Table!F1309)/Master_Table!F1309</f>
        <v>-7.6832151300236127E-3</v>
      </c>
      <c r="G1310" s="3">
        <f>(Master_Table!G1310-Master_Table!G1309)/Master_Table!G1309</f>
        <v>-3.7819033513588049E-2</v>
      </c>
      <c r="H1310" s="3">
        <f>(Master_Table!H1310-Master_Table!H1309)/Master_Table!H1309</f>
        <v>-5.8785638697605967E-2</v>
      </c>
    </row>
    <row r="1311" spans="1:8" x14ac:dyDescent="0.3">
      <c r="A1311" s="1">
        <v>45755</v>
      </c>
      <c r="B1311" s="3">
        <f>(Master_Table!B1311-Master_Table!B1310)/Master_Table!B1310</f>
        <v>1.6887318605154862E-2</v>
      </c>
      <c r="C1311" s="3">
        <f>(Master_Table!C1311-Master_Table!C1310)/Master_Table!C1310</f>
        <v>1.4154585227760143E-2</v>
      </c>
      <c r="D1311" s="3">
        <f>(Master_Table!D1311-Master_Table!D1310)/Master_Table!D1310</f>
        <v>6.5132832194554815E-3</v>
      </c>
      <c r="E1311" s="3">
        <f>(Master_Table!E1311-Master_Table!E1310)/Master_Table!E1310</f>
        <v>1.600788080285679E-2</v>
      </c>
      <c r="F1311" s="3">
        <f>(Master_Table!F1311-Master_Table!F1310)/Master_Table!F1310</f>
        <v>5.772666880469032E-3</v>
      </c>
      <c r="G1311" s="3">
        <f>(Master_Table!G1311-Master_Table!G1310)/Master_Table!G1310</f>
        <v>2.2946124932879869E-2</v>
      </c>
      <c r="H1311" s="3">
        <f>(Master_Table!H1311-Master_Table!H1310)/Master_Table!H1310</f>
        <v>3.0177611210689233E-2</v>
      </c>
    </row>
    <row r="1312" spans="1:8" x14ac:dyDescent="0.3">
      <c r="A1312" s="1">
        <v>45756</v>
      </c>
      <c r="B1312" s="3">
        <f>(Master_Table!B1312-Master_Table!B1311)/Master_Table!B1311</f>
        <v>-6.06589056991403E-3</v>
      </c>
      <c r="C1312" s="3">
        <f>(Master_Table!C1312-Master_Table!C1311)/Master_Table!C1311</f>
        <v>2.6645237692436673E-3</v>
      </c>
      <c r="D1312" s="3">
        <f>(Master_Table!D1312-Master_Table!D1311)/Master_Table!D1311</f>
        <v>-2.3459280582062716E-3</v>
      </c>
      <c r="E1312" s="3">
        <f>(Master_Table!E1312-Master_Table!E1311)/Master_Table!E1311</f>
        <v>9.089807296085323E-3</v>
      </c>
      <c r="F1312" s="3">
        <f>(Master_Table!F1312-Master_Table!F1311)/Master_Table!F1311</f>
        <v>-1.4075524985195619E-2</v>
      </c>
      <c r="G1312" s="3">
        <f>(Master_Table!G1312-Master_Table!G1311)/Master_Table!G1311</f>
        <v>-1.7567189249719981E-2</v>
      </c>
      <c r="H1312" s="3">
        <f>(Master_Table!H1312-Master_Table!H1311)/Master_Table!H1311</f>
        <v>-3.3833159343266528E-2</v>
      </c>
    </row>
    <row r="1313" spans="1:8" x14ac:dyDescent="0.3">
      <c r="A1313" s="1">
        <v>45758</v>
      </c>
      <c r="B1313" s="3">
        <f>(Master_Table!B1313-Master_Table!B1312)/Master_Table!B1312</f>
        <v>1.9170370304230196E-2</v>
      </c>
      <c r="C1313" s="3">
        <f>(Master_Table!C1313-Master_Table!C1312)/Master_Table!C1312</f>
        <v>2.8346058126291929E-2</v>
      </c>
      <c r="D1313" s="3">
        <f>(Master_Table!D1313-Master_Table!D1312)/Master_Table!D1312</f>
        <v>2.3650759391578024E-2</v>
      </c>
      <c r="E1313" s="3">
        <f>(Master_Table!E1313-Master_Table!E1312)/Master_Table!E1312</f>
        <v>1.2611097766034109E-2</v>
      </c>
      <c r="F1313" s="3">
        <f>(Master_Table!F1313-Master_Table!F1312)/Master_Table!F1312</f>
        <v>-4.6510195281216993E-3</v>
      </c>
      <c r="G1313" s="3">
        <f>(Master_Table!G1313-Master_Table!G1312)/Master_Table!G1312</f>
        <v>4.0963168768255323E-3</v>
      </c>
      <c r="H1313" s="3">
        <f>(Master_Table!H1313-Master_Table!H1312)/Master_Table!H1312</f>
        <v>2.0234762536221116E-2</v>
      </c>
    </row>
    <row r="1314" spans="1:8" x14ac:dyDescent="0.3">
      <c r="A1314" s="1">
        <v>45762</v>
      </c>
      <c r="B1314" s="3">
        <f>(Master_Table!B1314-Master_Table!B1313)/Master_Table!B1313</f>
        <v>2.1902398531663203E-2</v>
      </c>
      <c r="C1314" s="3">
        <f>(Master_Table!C1314-Master_Table!C1313)/Master_Table!C1313</f>
        <v>1.7350998810451504E-2</v>
      </c>
      <c r="D1314" s="3">
        <f>(Master_Table!D1314-Master_Table!D1313)/Master_Table!D1313</f>
        <v>3.2192913342137086E-2</v>
      </c>
      <c r="E1314" s="3">
        <f>(Master_Table!E1314-Master_Table!E1313)/Master_Table!E1313</f>
        <v>-2.7280275174950399E-3</v>
      </c>
      <c r="F1314" s="3">
        <f>(Master_Table!F1314-Master_Table!F1313)/Master_Table!F1313</f>
        <v>5.1678786941048481E-3</v>
      </c>
      <c r="G1314" s="3">
        <f>(Master_Table!G1314-Master_Table!G1313)/Master_Table!G1313</f>
        <v>1.1742168931143321E-2</v>
      </c>
      <c r="H1314" s="3">
        <f>(Master_Table!H1314-Master_Table!H1313)/Master_Table!H1313</f>
        <v>4.5459651149729649E-2</v>
      </c>
    </row>
    <row r="1315" spans="1:8" x14ac:dyDescent="0.3">
      <c r="A1315" s="1">
        <v>45763</v>
      </c>
      <c r="B1315" s="3">
        <f>(Master_Table!B1315-Master_Table!B1314)/Master_Table!B1314</f>
        <v>4.6573833350123115E-3</v>
      </c>
      <c r="C1315" s="3">
        <f>(Master_Table!C1315-Master_Table!C1314)/Master_Table!C1314</f>
        <v>-6.4510926538178745E-4</v>
      </c>
      <c r="D1315" s="3">
        <f>(Master_Table!D1315-Master_Table!D1314)/Master_Table!D1314</f>
        <v>7.0204485346291668E-3</v>
      </c>
      <c r="E1315" s="3">
        <f>(Master_Table!E1315-Master_Table!E1314)/Master_Table!E1314</f>
        <v>9.6336822074215307E-3</v>
      </c>
      <c r="F1315" s="3">
        <f>(Master_Table!F1315-Master_Table!F1314)/Master_Table!F1314</f>
        <v>7.8812880980236328E-3</v>
      </c>
      <c r="G1315" s="3">
        <f>(Master_Table!G1315-Master_Table!G1314)/Master_Table!G1314</f>
        <v>-9.0462833099579885E-3</v>
      </c>
      <c r="H1315" s="3">
        <f>(Master_Table!H1315-Master_Table!H1314)/Master_Table!H1314</f>
        <v>-9.1785363457760599E-3</v>
      </c>
    </row>
    <row r="1316" spans="1:8" x14ac:dyDescent="0.3">
      <c r="A1316" s="1">
        <v>45764</v>
      </c>
      <c r="B1316" s="3">
        <f>(Master_Table!B1316-Master_Table!B1315)/Master_Table!B1315</f>
        <v>1.7683426347857283E-2</v>
      </c>
      <c r="C1316" s="3">
        <f>(Master_Table!C1316-Master_Table!C1315)/Master_Table!C1315</f>
        <v>2.8403130799644998E-2</v>
      </c>
      <c r="D1316" s="3">
        <f>(Master_Table!D1316-Master_Table!D1315)/Master_Table!D1315</f>
        <v>1.5277525702755569E-2</v>
      </c>
      <c r="E1316" s="3">
        <f>(Master_Table!E1316-Master_Table!E1315)/Master_Table!E1315</f>
        <v>6.5967722935563943E-3</v>
      </c>
      <c r="F1316" s="3">
        <f>(Master_Table!F1316-Master_Table!F1315)/Master_Table!F1315</f>
        <v>7.6669313947094839E-3</v>
      </c>
      <c r="G1316" s="3">
        <f>(Master_Table!G1316-Master_Table!G1315)/Master_Table!G1315</f>
        <v>4.5290496072465441E-3</v>
      </c>
      <c r="H1316" s="3">
        <f>(Master_Table!H1316-Master_Table!H1315)/Master_Table!H1315</f>
        <v>6.0724354803731338E-3</v>
      </c>
    </row>
    <row r="1317" spans="1:8" x14ac:dyDescent="0.3">
      <c r="A1317" s="1">
        <v>45768</v>
      </c>
      <c r="B1317" s="3">
        <f>(Master_Table!B1317-Master_Table!B1316)/Master_Table!B1316</f>
        <v>1.1483482274811085E-2</v>
      </c>
      <c r="C1317" s="3">
        <f>(Master_Table!C1317-Master_Table!C1316)/Master_Table!C1316</f>
        <v>1.6477049823460179E-2</v>
      </c>
      <c r="D1317" s="3">
        <f>(Master_Table!D1317-Master_Table!D1316)/Master_Table!D1316</f>
        <v>1.0704746682369714E-2</v>
      </c>
      <c r="E1317" s="3">
        <f>(Master_Table!E1317-Master_Table!E1316)/Master_Table!E1316</f>
        <v>-1.0298420128730199E-2</v>
      </c>
      <c r="F1317" s="3">
        <f>(Master_Table!F1317-Master_Table!F1316)/Master_Table!F1316</f>
        <v>6.8810815726453719E-3</v>
      </c>
      <c r="G1317" s="3">
        <f>(Master_Table!G1317-Master_Table!G1316)/Master_Table!G1316</f>
        <v>2.2190912293060937E-2</v>
      </c>
      <c r="H1317" s="3">
        <f>(Master_Table!H1317-Master_Table!H1316)/Master_Table!H1316</f>
        <v>1.022387829889441E-2</v>
      </c>
    </row>
    <row r="1318" spans="1:8" x14ac:dyDescent="0.3">
      <c r="A1318" s="1">
        <v>45769</v>
      </c>
      <c r="B1318" s="3">
        <f>(Master_Table!B1318-Master_Table!B1317)/Master_Table!B1317</f>
        <v>1.7284580040662588E-3</v>
      </c>
      <c r="C1318" s="3">
        <f>(Master_Table!C1318-Master_Table!C1317)/Master_Table!C1317</f>
        <v>-3.3191817830952948E-3</v>
      </c>
      <c r="D1318" s="3">
        <f>(Master_Table!D1318-Master_Table!D1317)/Master_Table!D1317</f>
        <v>1.7957468059428182E-2</v>
      </c>
      <c r="E1318" s="3">
        <f>(Master_Table!E1318-Master_Table!E1317)/Master_Table!E1317</f>
        <v>2.5422726735248907E-2</v>
      </c>
      <c r="F1318" s="3">
        <f>(Master_Table!F1318-Master_Table!F1317)/Master_Table!F1317</f>
        <v>-2.1676300578034133E-3</v>
      </c>
      <c r="G1318" s="3">
        <f>(Master_Table!G1318-Master_Table!G1317)/Master_Table!G1317</f>
        <v>-1.9434872501722981E-2</v>
      </c>
      <c r="H1318" s="3">
        <f>(Master_Table!H1318-Master_Table!H1317)/Master_Table!H1317</f>
        <v>-6.91967687852456E-3</v>
      </c>
    </row>
    <row r="1319" spans="1:8" x14ac:dyDescent="0.3">
      <c r="A1319" s="1">
        <v>45770</v>
      </c>
      <c r="B1319" s="3">
        <f>(Master_Table!B1319-Master_Table!B1318)/Master_Table!B1318</f>
        <v>6.6908729789281248E-3</v>
      </c>
      <c r="C1319" s="3">
        <f>(Master_Table!C1319-Master_Table!C1318)/Master_Table!C1318</f>
        <v>6.8153655514249954E-3</v>
      </c>
      <c r="D1319" s="3">
        <f>(Master_Table!D1319-Master_Table!D1318)/Master_Table!D1318</f>
        <v>-1.9275975552421266E-2</v>
      </c>
      <c r="E1319" s="3">
        <f>(Master_Table!E1319-Master_Table!E1318)/Master_Table!E1318</f>
        <v>-6.3422509225092251E-3</v>
      </c>
      <c r="F1319" s="3">
        <f>(Master_Table!F1319-Master_Table!F1318)/Master_Table!F1318</f>
        <v>2.9748974173304341E-2</v>
      </c>
      <c r="G1319" s="3">
        <f>(Master_Table!G1319-Master_Table!G1318)/Master_Table!G1318</f>
        <v>3.6617936463311879E-2</v>
      </c>
      <c r="H1319" s="3">
        <f>(Master_Table!H1319-Master_Table!H1318)/Master_Table!H1318</f>
        <v>1.3260482534225494E-2</v>
      </c>
    </row>
    <row r="1320" spans="1:8" x14ac:dyDescent="0.3">
      <c r="A1320" s="1">
        <v>45771</v>
      </c>
      <c r="B1320" s="3">
        <f>(Master_Table!B1320-Master_Table!B1319)/Master_Table!B1319</f>
        <v>-3.3807459836943227E-3</v>
      </c>
      <c r="C1320" s="3">
        <f>(Master_Table!C1320-Master_Table!C1319)/Master_Table!C1319</f>
        <v>1.2307692307691608E-3</v>
      </c>
      <c r="D1320" s="3">
        <f>(Master_Table!D1320-Master_Table!D1319)/Master_Table!D1319</f>
        <v>-3.6891908791529073E-3</v>
      </c>
      <c r="E1320" s="3">
        <f>(Master_Table!E1320-Master_Table!E1319)/Master_Table!E1319</f>
        <v>-1.856794708135108E-3</v>
      </c>
      <c r="F1320" s="3">
        <f>(Master_Table!F1320-Master_Table!F1319)/Master_Table!F1319</f>
        <v>-3.3401699384705804E-3</v>
      </c>
      <c r="G1320" s="3">
        <f>(Master_Table!G1320-Master_Table!G1319)/Master_Table!G1319</f>
        <v>-2.3730422401518746E-3</v>
      </c>
      <c r="H1320" s="3">
        <f>(Master_Table!H1320-Master_Table!H1319)/Master_Table!H1319</f>
        <v>-1.2117540139354467E-4</v>
      </c>
    </row>
    <row r="1321" spans="1:8" x14ac:dyDescent="0.3">
      <c r="A1321" s="1">
        <v>45772</v>
      </c>
      <c r="B1321" s="3">
        <f>(Master_Table!B1321-Master_Table!B1320)/Master_Table!B1320</f>
        <v>-8.5516791975816155E-3</v>
      </c>
      <c r="C1321" s="3">
        <f>(Master_Table!C1321-Master_Table!C1320)/Master_Table!C1320</f>
        <v>-9.2194222495376322E-4</v>
      </c>
      <c r="D1321" s="3">
        <f>(Master_Table!D1321-Master_Table!D1320)/Master_Table!D1320</f>
        <v>-2.9183489885148467E-3</v>
      </c>
      <c r="E1321" s="3">
        <f>(Master_Table!E1321-Master_Table!E1320)/Master_Table!E1320</f>
        <v>-5.2319497732821766E-3</v>
      </c>
      <c r="F1321" s="3">
        <f>(Master_Table!F1321-Master_Table!F1320)/Master_Table!F1320</f>
        <v>1.364063969896522E-2</v>
      </c>
      <c r="G1321" s="3">
        <f>(Master_Table!G1321-Master_Table!G1320)/Master_Table!G1320</f>
        <v>5.9806986543427714E-3</v>
      </c>
      <c r="H1321" s="3">
        <f>(Master_Table!H1321-Master_Table!H1320)/Master_Table!H1320</f>
        <v>-8.6347936738774764E-3</v>
      </c>
    </row>
    <row r="1322" spans="1:8" x14ac:dyDescent="0.3">
      <c r="A1322" s="1">
        <v>45775</v>
      </c>
      <c r="B1322" s="3">
        <f>(Master_Table!B1322-Master_Table!B1321)/Master_Table!B1321</f>
        <v>1.2028195437896677E-2</v>
      </c>
      <c r="C1322" s="3">
        <f>(Master_Table!C1322-Master_Table!C1321)/Master_Table!C1321</f>
        <v>5.2599200246078018E-2</v>
      </c>
      <c r="D1322" s="3">
        <f>(Master_Table!D1322-Master_Table!D1321)/Master_Table!D1321</f>
        <v>4.7103007668663479E-3</v>
      </c>
      <c r="E1322" s="3">
        <f>(Master_Table!E1322-Master_Table!E1321)/Master_Table!E1321</f>
        <v>2.3375409069658717E-3</v>
      </c>
      <c r="F1322" s="3">
        <f>(Master_Table!F1322-Master_Table!F1321)/Master_Table!F1321</f>
        <v>-1.3051044083526682E-3</v>
      </c>
      <c r="G1322" s="3">
        <f>(Master_Table!G1322-Master_Table!G1321)/Master_Table!G1321</f>
        <v>1.2836103229292416E-3</v>
      </c>
      <c r="H1322" s="3">
        <f>(Master_Table!H1322-Master_Table!H1321)/Master_Table!H1321</f>
        <v>1.6869900064179051E-2</v>
      </c>
    </row>
    <row r="1323" spans="1:8" x14ac:dyDescent="0.3">
      <c r="A1323" s="1">
        <v>45776</v>
      </c>
      <c r="B1323" s="3">
        <f>(Master_Table!B1323-Master_Table!B1322)/Master_Table!B1322</f>
        <v>3.0622520911690931E-4</v>
      </c>
      <c r="C1323" s="3">
        <f>(Master_Table!C1323-Master_Table!C1322)/Master_Table!C1322</f>
        <v>2.2574517825832915E-2</v>
      </c>
      <c r="D1323" s="3">
        <f>(Master_Table!D1323-Master_Table!D1322)/Master_Table!D1322</f>
        <v>-5.9411936682955925E-3</v>
      </c>
      <c r="E1323" s="3">
        <f>(Master_Table!E1323-Master_Table!E1322)/Master_Table!E1322</f>
        <v>-6.5298507462686834E-3</v>
      </c>
      <c r="F1323" s="3">
        <f>(Master_Table!F1323-Master_Table!F1322)/Master_Table!F1322</f>
        <v>8.4216640046464349E-3</v>
      </c>
      <c r="G1323" s="3">
        <f>(Master_Table!G1323-Master_Table!G1322)/Master_Table!G1322</f>
        <v>1.0390661898657373E-2</v>
      </c>
      <c r="H1323" s="3">
        <f>(Master_Table!H1323-Master_Table!H1322)/Master_Table!H1322</f>
        <v>-1.5027199230607398E-3</v>
      </c>
    </row>
    <row r="1324" spans="1:8" x14ac:dyDescent="0.3">
      <c r="A1324" s="1">
        <v>45777</v>
      </c>
      <c r="B1324" s="3">
        <f>(Master_Table!B1324-Master_Table!B1323)/Master_Table!B1323</f>
        <v>-7.1910075423396255E-5</v>
      </c>
      <c r="C1324" s="3">
        <f>(Master_Table!C1324-Master_Table!C1323)/Master_Table!C1323</f>
        <v>3.7865256840751262E-3</v>
      </c>
      <c r="D1324" s="3">
        <f>(Master_Table!D1324-Master_Table!D1323)/Master_Table!D1323</f>
        <v>8.4871275064861834E-3</v>
      </c>
      <c r="E1324" s="3">
        <f>(Master_Table!E1324-Master_Table!E1323)/Master_Table!E1323</f>
        <v>-4.6948356807509069E-4</v>
      </c>
      <c r="F1324" s="3">
        <f>(Master_Table!F1324-Master_Table!F1323)/Master_Table!F1323</f>
        <v>-5.4139668826494406E-3</v>
      </c>
      <c r="G1324" s="3">
        <f>(Master_Table!G1324-Master_Table!G1323)/Master_Table!G1323</f>
        <v>1.7362270450750645E-3</v>
      </c>
      <c r="H1324" s="3">
        <f>(Master_Table!H1324-Master_Table!H1323)/Master_Table!H1323</f>
        <v>5.6286307678415004E-3</v>
      </c>
    </row>
    <row r="1325" spans="1:8" x14ac:dyDescent="0.3">
      <c r="A1325" s="1">
        <v>45779</v>
      </c>
      <c r="B1325" s="3">
        <f>(Master_Table!B1325-Master_Table!B1324)/Master_Table!B1324</f>
        <v>5.1368033467301161E-4</v>
      </c>
      <c r="C1325" s="3">
        <f>(Master_Table!C1325-Master_Table!C1324)/Master_Table!C1324</f>
        <v>1.2384341637010741E-2</v>
      </c>
      <c r="D1325" s="3">
        <f>(Master_Table!D1325-Master_Table!D1324)/Master_Table!D1324</f>
        <v>0</v>
      </c>
      <c r="E1325" s="3">
        <f>(Master_Table!E1325-Master_Table!E1324)/Master_Table!E1324</f>
        <v>1.0450915922968504E-2</v>
      </c>
      <c r="F1325" s="3">
        <f>(Master_Table!F1325-Master_Table!F1324)/Master_Table!F1324</f>
        <v>-2.6059009178562124E-3</v>
      </c>
      <c r="G1325" s="3">
        <f>(Master_Table!G1325-Master_Table!G1324)/Master_Table!G1324</f>
        <v>4.4663689087394483E-3</v>
      </c>
      <c r="H1325" s="3">
        <f>(Master_Table!H1325-Master_Table!H1324)/Master_Table!H1324</f>
        <v>-3.3522897336126364E-3</v>
      </c>
    </row>
    <row r="1326" spans="1:8" x14ac:dyDescent="0.3">
      <c r="A1326" s="1">
        <v>45782</v>
      </c>
      <c r="B1326" s="3">
        <f>(Master_Table!B1326-Master_Table!B1325)/Master_Table!B1325</f>
        <v>4.700842413961675E-3</v>
      </c>
      <c r="C1326" s="3">
        <f>(Master_Table!C1326-Master_Table!C1325)/Master_Table!C1325</f>
        <v>6.2570303712035031E-3</v>
      </c>
      <c r="D1326" s="3">
        <f>(Master_Table!D1326-Master_Table!D1325)/Master_Table!D1325</f>
        <v>6.1347137307183408E-3</v>
      </c>
      <c r="E1326" s="3">
        <f>(Master_Table!E1326-Master_Table!E1325)/Master_Table!E1325</f>
        <v>1.5572341661824494E-2</v>
      </c>
      <c r="F1326" s="3">
        <f>(Master_Table!F1326-Master_Table!F1325)/Master_Table!F1325</f>
        <v>2.7868900049352234E-3</v>
      </c>
      <c r="G1326" s="3">
        <f>(Master_Table!G1326-Master_Table!G1325)/Master_Table!G1325</f>
        <v>1.1945845500397894E-3</v>
      </c>
      <c r="H1326" s="3">
        <f>(Master_Table!H1326-Master_Table!H1325)/Master_Table!H1325</f>
        <v>1.2012733497496432E-4</v>
      </c>
    </row>
    <row r="1327" spans="1:8" x14ac:dyDescent="0.3">
      <c r="A1327" s="1">
        <v>45783</v>
      </c>
      <c r="B1327" s="3">
        <f>(Master_Table!B1327-Master_Table!B1326)/Master_Table!B1326</f>
        <v>-3.333857974788712E-3</v>
      </c>
      <c r="C1327" s="3">
        <f>(Master_Table!C1327-Master_Table!C1326)/Master_Table!C1326</f>
        <v>-7.2661217075385065E-3</v>
      </c>
      <c r="D1327" s="3">
        <f>(Master_Table!D1327-Master_Table!D1326)/Master_Table!D1326</f>
        <v>-2.6397515527949839E-3</v>
      </c>
      <c r="E1327" s="3">
        <f>(Master_Table!E1327-Master_Table!E1326)/Master_Table!E1326</f>
        <v>-3.2040279208146866E-3</v>
      </c>
      <c r="F1327" s="3">
        <f>(Master_Table!F1327-Master_Table!F1326)/Master_Table!F1326</f>
        <v>1.6501172451726307E-3</v>
      </c>
      <c r="G1327" s="3">
        <f>(Master_Table!G1327-Master_Table!G1326)/Master_Table!G1326</f>
        <v>1.9223120774228364E-3</v>
      </c>
      <c r="H1327" s="3">
        <f>(Master_Table!H1327-Master_Table!H1326)/Master_Table!H1326</f>
        <v>1.1410726082518113E-3</v>
      </c>
    </row>
    <row r="1328" spans="1:8" x14ac:dyDescent="0.3">
      <c r="A1328" s="1">
        <v>45784</v>
      </c>
      <c r="B1328" s="3">
        <f>(Master_Table!B1328-Master_Table!B1327)/Master_Table!B1327</f>
        <v>1.4274229273656218E-3</v>
      </c>
      <c r="C1328" s="3">
        <f>(Master_Table!C1328-Master_Table!C1327)/Master_Table!C1327</f>
        <v>-1.0486311492715948E-2</v>
      </c>
      <c r="D1328" s="3">
        <f>(Master_Table!D1328-Master_Table!D1327)/Master_Table!D1327</f>
        <v>7.2032798795992944E-3</v>
      </c>
      <c r="E1328" s="3">
        <f>(Master_Table!E1328-Master_Table!E1327)/Master_Table!E1327</f>
        <v>-1.010216967053159E-2</v>
      </c>
      <c r="F1328" s="3">
        <f>(Master_Table!F1328-Master_Table!F1327)/Master_Table!F1327</f>
        <v>-4.3063583815029166E-3</v>
      </c>
      <c r="G1328" s="3">
        <f>(Master_Table!G1328-Master_Table!G1327)/Master_Table!G1327</f>
        <v>-2.1171022163414127E-3</v>
      </c>
      <c r="H1328" s="3">
        <f>(Master_Table!H1328-Master_Table!H1327)/Master_Table!H1327</f>
        <v>-3.7792441511697388E-3</v>
      </c>
    </row>
    <row r="1329" spans="1:8" x14ac:dyDescent="0.3">
      <c r="A1329" s="1">
        <v>45785</v>
      </c>
      <c r="B1329" s="3">
        <f>(Master_Table!B1329-Master_Table!B1328)/Master_Table!B1328</f>
        <v>-5.7588963890164071E-3</v>
      </c>
      <c r="C1329" s="3">
        <f>(Master_Table!C1329-Master_Table!C1328)/Master_Table!C1328</f>
        <v>7.1123755334281653E-4</v>
      </c>
      <c r="D1329" s="3">
        <f>(Master_Table!D1329-Master_Table!D1328)/Master_Table!D1328</f>
        <v>-8.7902801966219489E-3</v>
      </c>
      <c r="E1329" s="3">
        <f>(Master_Table!E1329-Master_Table!E1328)/Master_Table!E1328</f>
        <v>-1.2756581236227638E-3</v>
      </c>
      <c r="F1329" s="3">
        <f>(Master_Table!F1329-Master_Table!F1328)/Master_Table!F1328</f>
        <v>1.1030158776233439E-3</v>
      </c>
      <c r="G1329" s="3">
        <f>(Master_Table!G1329-Master_Table!G1328)/Master_Table!G1328</f>
        <v>2.0552940396473757E-3</v>
      </c>
      <c r="H1329" s="3">
        <f>(Master_Table!H1329-Master_Table!H1328)/Master_Table!H1328</f>
        <v>7.5269464683567165E-4</v>
      </c>
    </row>
    <row r="1330" spans="1:8" x14ac:dyDescent="0.3">
      <c r="A1330" s="1">
        <v>45786</v>
      </c>
      <c r="B1330" s="3">
        <f>(Master_Table!B1330-Master_Table!B1329)/Master_Table!B1329</f>
        <v>-1.095007786172743E-2</v>
      </c>
      <c r="C1330" s="3">
        <f>(Master_Table!C1330-Master_Table!C1329)/Master_Table!C1329</f>
        <v>-2.1179815209665925E-2</v>
      </c>
      <c r="D1330" s="3">
        <f>(Master_Table!D1330-Master_Table!D1329)/Master_Table!D1329</f>
        <v>-2.0127669307383626E-2</v>
      </c>
      <c r="E1330" s="3">
        <f>(Master_Table!E1330-Master_Table!E1329)/Master_Table!E1329</f>
        <v>-1.6372503483511405E-2</v>
      </c>
      <c r="F1330" s="3">
        <f>(Master_Table!F1330-Master_Table!F1329)/Master_Table!F1329</f>
        <v>-2.4935486676911215E-3</v>
      </c>
      <c r="G1330" s="3">
        <f>(Master_Table!G1330-Master_Table!G1329)/Master_Table!G1329</f>
        <v>-2.5142252216489224E-3</v>
      </c>
      <c r="H1330" s="3">
        <f>(Master_Table!H1330-Master_Table!H1329)/Master_Table!H1329</f>
        <v>3.6102169138662411E-2</v>
      </c>
    </row>
    <row r="1331" spans="1:8" x14ac:dyDescent="0.3">
      <c r="A1331" s="1">
        <v>45789</v>
      </c>
      <c r="B1331" s="3">
        <f>(Master_Table!B1331-Master_Table!B1330)/Master_Table!B1330</f>
        <v>3.8183105631456209E-2</v>
      </c>
      <c r="C1331" s="3">
        <f>(Master_Table!C1331-Master_Table!C1330)/Master_Table!C1330</f>
        <v>4.3058379320360114E-2</v>
      </c>
      <c r="D1331" s="3">
        <f>(Master_Table!D1331-Master_Table!D1330)/Master_Table!D1330</f>
        <v>3.572413793103444E-2</v>
      </c>
      <c r="E1331" s="3">
        <f>(Master_Table!E1331-Master_Table!E1330)/Master_Table!E1330</f>
        <v>2.8213906268445256E-2</v>
      </c>
      <c r="F1331" s="3">
        <f>(Master_Table!F1331-Master_Table!F1330)/Master_Table!F1330</f>
        <v>5.235008574833587E-2</v>
      </c>
      <c r="G1331" s="3">
        <f>(Master_Table!G1331-Master_Table!G1330)/Master_Table!G1330</f>
        <v>7.9132395860971205E-2</v>
      </c>
      <c r="H1331" s="3">
        <f>(Master_Table!H1331-Master_Table!H1330)/Master_Table!H1330</f>
        <v>4.1609802839803631E-2</v>
      </c>
    </row>
    <row r="1332" spans="1:8" x14ac:dyDescent="0.3">
      <c r="A1332" s="1">
        <v>45790</v>
      </c>
      <c r="B1332" s="3">
        <f>(Master_Table!B1332-Master_Table!B1331)/Master_Table!B1331</f>
        <v>-1.389585431319142E-2</v>
      </c>
      <c r="C1332" s="3">
        <f>(Master_Table!C1332-Master_Table!C1331)/Master_Table!C1331</f>
        <v>-1.4479638009049741E-2</v>
      </c>
      <c r="D1332" s="3">
        <f>(Master_Table!D1332-Master_Table!D1331)/Master_Table!D1331</f>
        <v>-1.7681346486779957E-2</v>
      </c>
      <c r="E1332" s="3">
        <f>(Master_Table!E1332-Master_Table!E1331)/Master_Table!E1331</f>
        <v>-1.7451205510907057E-2</v>
      </c>
      <c r="F1332" s="3">
        <f>(Master_Table!F1332-Master_Table!F1331)/Master_Table!F1331</f>
        <v>-2.9112805214893407E-2</v>
      </c>
      <c r="G1332" s="3">
        <f>(Master_Table!G1332-Master_Table!G1331)/Master_Table!G1331</f>
        <v>-3.583502366463838E-2</v>
      </c>
      <c r="H1332" s="3">
        <f>(Master_Table!H1332-Master_Table!H1331)/Master_Table!H1331</f>
        <v>-5.6311329170383078E-3</v>
      </c>
    </row>
    <row r="1333" spans="1:8" x14ac:dyDescent="0.3">
      <c r="A1333" s="1">
        <v>45791</v>
      </c>
      <c r="B1333" s="3">
        <f>(Master_Table!B1333-Master_Table!B1332)/Master_Table!B1332</f>
        <v>3.6027642213575326E-3</v>
      </c>
      <c r="C1333" s="3">
        <f>(Master_Table!C1333-Master_Table!C1332)/Master_Table!C1332</f>
        <v>6.14536978173345E-3</v>
      </c>
      <c r="D1333" s="3">
        <f>(Master_Table!D1333-Master_Table!D1332)/Master_Table!D1332</f>
        <v>-6.2362474059088112E-3</v>
      </c>
      <c r="E1333" s="3">
        <f>(Master_Table!E1333-Master_Table!E1332)/Master_Table!E1332</f>
        <v>2.8043935498949417E-3</v>
      </c>
      <c r="F1333" s="3">
        <f>(Master_Table!F1333-Master_Table!F1332)/Master_Table!F1332</f>
        <v>9.5874822190611143E-3</v>
      </c>
      <c r="G1333" s="3">
        <f>(Master_Table!G1333-Master_Table!G1332)/Master_Table!G1332</f>
        <v>1.5172765523396777E-2</v>
      </c>
      <c r="H1333" s="3">
        <f>(Master_Table!H1333-Master_Table!H1332)/Master_Table!H1332</f>
        <v>1.7101205494813314E-3</v>
      </c>
    </row>
    <row r="1334" spans="1:8" x14ac:dyDescent="0.3">
      <c r="A1334" s="1">
        <v>45792</v>
      </c>
      <c r="B1334" s="3">
        <f>(Master_Table!B1334-Master_Table!B1333)/Master_Table!B1333</f>
        <v>1.6021470067174921E-2</v>
      </c>
      <c r="C1334" s="3">
        <f>(Master_Table!C1334-Master_Table!C1333)/Master_Table!C1333</f>
        <v>2.0921089581578175E-2</v>
      </c>
      <c r="D1334" s="3">
        <f>(Master_Table!D1334-Master_Table!D1333)/Master_Table!D1333</f>
        <v>1.2141500425005038E-2</v>
      </c>
      <c r="E1334" s="3">
        <f>(Master_Table!E1334-Master_Table!E1333)/Master_Table!E1333</f>
        <v>8.2731298065717874E-3</v>
      </c>
      <c r="F1334" s="3">
        <f>(Master_Table!F1334-Master_Table!F1333)/Master_Table!F1333</f>
        <v>8.7919519824161737E-3</v>
      </c>
      <c r="G1334" s="3">
        <f>(Master_Table!G1334-Master_Table!G1333)/Master_Table!G1333</f>
        <v>1.2936448128610844E-2</v>
      </c>
      <c r="H1334" s="3">
        <f>(Master_Table!H1334-Master_Table!H1333)/Master_Table!H1333</f>
        <v>1.2622092860541242E-2</v>
      </c>
    </row>
    <row r="1335" spans="1:8" x14ac:dyDescent="0.3">
      <c r="A1335" s="1">
        <v>45793</v>
      </c>
      <c r="B1335" s="3">
        <f>(Master_Table!B1335-Master_Table!B1334)/Master_Table!B1334</f>
        <v>-1.6878074862042396E-3</v>
      </c>
      <c r="C1335" s="3">
        <f>(Master_Table!C1335-Master_Table!C1334)/Master_Table!C1334</f>
        <v>1.5128593040847514E-3</v>
      </c>
      <c r="D1335" s="3">
        <f>(Master_Table!D1335-Master_Table!D1334)/Master_Table!D1334</f>
        <v>4.6656298600315755E-4</v>
      </c>
      <c r="E1335" s="3">
        <f>(Master_Table!E1335-Master_Table!E1334)/Master_Table!E1334</f>
        <v>7.0495781809777223E-3</v>
      </c>
      <c r="F1335" s="3">
        <f>(Master_Table!F1335-Master_Table!F1334)/Master_Table!F1334</f>
        <v>-5.1956758568674844E-3</v>
      </c>
      <c r="G1335" s="3">
        <f>(Master_Table!G1335-Master_Table!G1334)/Master_Table!G1334</f>
        <v>-1.432114073155605E-2</v>
      </c>
      <c r="H1335" s="3">
        <f>(Master_Table!H1335-Master_Table!H1334)/Master_Table!H1334</f>
        <v>-3.7311370294621639E-3</v>
      </c>
    </row>
    <row r="1336" spans="1:8" x14ac:dyDescent="0.3">
      <c r="A1336" s="1">
        <v>45796</v>
      </c>
      <c r="B1336" s="3">
        <f>(Master_Table!B1336-Master_Table!B1335)/Master_Table!B1335</f>
        <v>-2.9716464560067845E-3</v>
      </c>
      <c r="C1336" s="3">
        <f>(Master_Table!C1336-Master_Table!C1335)/Master_Table!C1335</f>
        <v>-1.0711343037627118E-2</v>
      </c>
      <c r="D1336" s="3">
        <f>(Master_Table!D1336-Master_Table!D1335)/Master_Table!D1335</f>
        <v>2.0622830198455972E-3</v>
      </c>
      <c r="E1336" s="3">
        <f>(Master_Table!E1336-Master_Table!E1335)/Master_Table!E1335</f>
        <v>-8.0330502639422972E-4</v>
      </c>
      <c r="F1336" s="3">
        <f>(Master_Table!F1336-Master_Table!F1335)/Master_Table!F1335</f>
        <v>-1.1933844382669249E-2</v>
      </c>
      <c r="G1336" s="3">
        <f>(Master_Table!G1336-Master_Table!G1335)/Master_Table!G1335</f>
        <v>-1.8932008302409042E-2</v>
      </c>
      <c r="H1336" s="3">
        <f>(Master_Table!H1336-Master_Table!H1335)/Master_Table!H1335</f>
        <v>-1.2483701833717093E-3</v>
      </c>
    </row>
    <row r="1337" spans="1:8" x14ac:dyDescent="0.3">
      <c r="A1337" s="1">
        <v>45797</v>
      </c>
      <c r="B1337" s="3">
        <f>(Master_Table!B1337-Master_Table!B1336)/Master_Table!B1336</f>
        <v>-1.0484878003804271E-2</v>
      </c>
      <c r="C1337" s="3">
        <f>(Master_Table!C1337-Master_Table!C1336)/Master_Table!C1336</f>
        <v>-1.1243753470294313E-2</v>
      </c>
      <c r="D1337" s="3">
        <f>(Master_Table!D1337-Master_Table!D1336)/Master_Table!D1336</f>
        <v>-1.2275839245454738E-2</v>
      </c>
      <c r="E1337" s="3">
        <f>(Master_Table!E1337-Master_Table!E1336)/Master_Table!E1336</f>
        <v>-1.033651085333744E-3</v>
      </c>
      <c r="F1337" s="3">
        <f>(Master_Table!F1337-Master_Table!F1336)/Master_Table!F1336</f>
        <v>-5.8258497214959638E-3</v>
      </c>
      <c r="G1337" s="3">
        <f>(Master_Table!G1337-Master_Table!G1336)/Master_Table!G1336</f>
        <v>5.1288626747015935E-4</v>
      </c>
      <c r="H1337" s="3">
        <f>(Master_Table!H1337-Master_Table!H1336)/Master_Table!H1336</f>
        <v>-8.9995000277761344E-3</v>
      </c>
    </row>
    <row r="1338" spans="1:8" x14ac:dyDescent="0.3">
      <c r="A1338" s="1">
        <v>45798</v>
      </c>
      <c r="B1338" s="3">
        <f>(Master_Table!B1338-Master_Table!B1337)/Master_Table!B1337</f>
        <v>5.2483602672186835E-3</v>
      </c>
      <c r="C1338" s="3">
        <f>(Master_Table!C1338-Master_Table!C1337)/Master_Table!C1337</f>
        <v>3.2289765548225023E-3</v>
      </c>
      <c r="D1338" s="3">
        <f>(Master_Table!D1338-Master_Table!D1337)/Master_Table!D1337</f>
        <v>6.2194394128178461E-3</v>
      </c>
      <c r="E1338" s="3">
        <f>(Master_Table!E1338-Master_Table!E1337)/Master_Table!E1337</f>
        <v>-4.3688204184869567E-3</v>
      </c>
      <c r="F1338" s="3">
        <f>(Master_Table!F1338-Master_Table!F1337)/Master_Table!F1337</f>
        <v>7.8609610382185634E-3</v>
      </c>
      <c r="G1338" s="3">
        <f>(Master_Table!G1338-Master_Table!G1337)/Master_Table!G1337</f>
        <v>5.0621555811867815E-3</v>
      </c>
      <c r="H1338" s="3">
        <f>(Master_Table!H1338-Master_Table!H1337)/Master_Table!H1337</f>
        <v>5.9420371097034077E-3</v>
      </c>
    </row>
    <row r="1339" spans="1:8" x14ac:dyDescent="0.3">
      <c r="A1339" s="1">
        <v>45799</v>
      </c>
      <c r="B1339" s="3">
        <f>(Master_Table!B1339-Master_Table!B1338)/Master_Table!B1338</f>
        <v>-8.2112725155107404E-3</v>
      </c>
      <c r="C1339" s="3">
        <f>(Master_Table!C1339-Master_Table!C1338)/Master_Table!C1338</f>
        <v>-1.3853904282115836E-2</v>
      </c>
      <c r="D1339" s="3">
        <f>(Master_Table!D1339-Master_Table!D1338)/Master_Table!D1338</f>
        <v>-3.5795673302046189E-3</v>
      </c>
      <c r="E1339" s="3">
        <f>(Master_Table!E1339-Master_Table!E1338)/Master_Table!E1338</f>
        <v>-1.5935334872979164E-2</v>
      </c>
      <c r="F1339" s="3">
        <f>(Master_Table!F1339-Master_Table!F1338)/Master_Table!F1338</f>
        <v>-1.384083044982704E-2</v>
      </c>
      <c r="G1339" s="3">
        <f>(Master_Table!G1339-Master_Table!G1338)/Master_Table!G1338</f>
        <v>-1.33885878227606E-2</v>
      </c>
      <c r="H1339" s="3">
        <f>(Master_Table!H1339-Master_Table!H1338)/Master_Table!H1338</f>
        <v>-1.0476455837280555E-2</v>
      </c>
    </row>
    <row r="1340" spans="1:8" x14ac:dyDescent="0.3">
      <c r="A1340" s="1">
        <v>45800</v>
      </c>
      <c r="B1340" s="3">
        <f>(Master_Table!B1340-Master_Table!B1339)/Master_Table!B1339</f>
        <v>9.8924407855439413E-3</v>
      </c>
      <c r="C1340" s="3">
        <f>(Master_Table!C1340-Master_Table!C1339)/Master_Table!C1339</f>
        <v>1.2345679012345581E-2</v>
      </c>
      <c r="D1340" s="3">
        <f>(Master_Table!D1340-Master_Table!D1339)/Master_Table!D1339</f>
        <v>7.1326378228222763E-3</v>
      </c>
      <c r="E1340" s="3">
        <f>(Master_Table!E1340-Master_Table!E1339)/Master_Table!E1339</f>
        <v>2.3938042712978145E-2</v>
      </c>
      <c r="F1340" s="3">
        <f>(Master_Table!F1340-Master_Table!F1339)/Master_Table!F1339</f>
        <v>1.0813920046016655E-2</v>
      </c>
      <c r="G1340" s="3">
        <f>(Master_Table!G1340-Master_Table!G1339)/Master_Table!G1339</f>
        <v>1.1179321486268145E-2</v>
      </c>
      <c r="H1340" s="3">
        <f>(Master_Table!H1340-Master_Table!H1339)/Master_Table!H1339</f>
        <v>1.3656586135045334E-2</v>
      </c>
    </row>
    <row r="1341" spans="1:8" x14ac:dyDescent="0.3">
      <c r="A1341" s="1">
        <v>45803</v>
      </c>
      <c r="B1341" s="3">
        <f>(Master_Table!B1341-Master_Table!B1340)/Master_Table!B1340</f>
        <v>5.9549795498759711E-3</v>
      </c>
      <c r="C1341" s="3">
        <f>(Master_Table!C1341-Master_Table!C1340)/Master_Table!C1340</f>
        <v>5.6069526212503508E-3</v>
      </c>
      <c r="D1341" s="3">
        <f>(Master_Table!D1341-Master_Table!D1340)/Master_Table!D1340</f>
        <v>3.4114475321444186E-3</v>
      </c>
      <c r="E1341" s="3">
        <f>(Master_Table!E1341-Master_Table!E1340)/Master_Table!E1340</f>
        <v>1.5127206050882342E-2</v>
      </c>
      <c r="F1341" s="3">
        <f>(Master_Table!F1341-Master_Table!F1340)/Master_Table!F1340</f>
        <v>6.4587719797417273E-3</v>
      </c>
      <c r="G1341" s="3">
        <f>(Master_Table!G1341-Master_Table!G1340)/Master_Table!G1340</f>
        <v>1.003323108384461E-2</v>
      </c>
      <c r="H1341" s="3">
        <f>(Master_Table!H1341-Master_Table!H1340)/Master_Table!H1340</f>
        <v>1.3555932109225181E-2</v>
      </c>
    </row>
    <row r="1342" spans="1:8" x14ac:dyDescent="0.3">
      <c r="A1342" s="1">
        <v>45804</v>
      </c>
      <c r="B1342" s="3">
        <f>(Master_Table!B1342-Master_Table!B1341)/Master_Table!B1341</f>
        <v>-6.9976781068071155E-3</v>
      </c>
      <c r="C1342" s="3">
        <f>(Master_Table!C1342-Master_Table!C1341)/Master_Table!C1341</f>
        <v>-8.8514078617229208E-3</v>
      </c>
      <c r="D1342" s="3">
        <f>(Master_Table!D1342-Master_Table!D1341)/Master_Table!D1341</f>
        <v>-7.1613843276256478E-3</v>
      </c>
      <c r="E1342" s="3">
        <f>(Master_Table!E1342-Master_Table!E1341)/Master_Table!E1341</f>
        <v>-2.0320614134116056E-2</v>
      </c>
      <c r="F1342" s="3">
        <f>(Master_Table!F1342-Master_Table!F1341)/Master_Table!F1341</f>
        <v>-1.0912277725949273E-2</v>
      </c>
      <c r="G1342" s="3">
        <f>(Master_Table!G1342-Master_Table!G1341)/Master_Table!G1341</f>
        <v>-6.5801961404619363E-3</v>
      </c>
      <c r="H1342" s="3">
        <f>(Master_Table!H1342-Master_Table!H1341)/Master_Table!H1341</f>
        <v>-2.3844108860689613E-3</v>
      </c>
    </row>
    <row r="1343" spans="1:8" x14ac:dyDescent="0.3">
      <c r="A1343" s="1">
        <v>45805</v>
      </c>
      <c r="B1343" s="3">
        <f>(Master_Table!B1343-Master_Table!B1342)/Master_Table!B1342</f>
        <v>-2.9706519725129095E-3</v>
      </c>
      <c r="C1343" s="3">
        <f>(Master_Table!C1343-Master_Table!C1342)/Master_Table!C1342</f>
        <v>-6.4693059559804648E-3</v>
      </c>
      <c r="D1343" s="3">
        <f>(Master_Table!D1343-Master_Table!D1342)/Master_Table!D1342</f>
        <v>-1.4571797327115796E-3</v>
      </c>
      <c r="E1343" s="3">
        <f>(Master_Table!E1343-Master_Table!E1342)/Master_Table!E1342</f>
        <v>-3.1574095413689766E-2</v>
      </c>
      <c r="F1343" s="3">
        <f>(Master_Table!F1343-Master_Table!F1342)/Master_Table!F1342</f>
        <v>-2.8582044759482096E-4</v>
      </c>
      <c r="G1343" s="3">
        <f>(Master_Table!G1343-Master_Table!G1342)/Master_Table!G1342</f>
        <v>1.0827335838481916E-3</v>
      </c>
      <c r="H1343" s="3">
        <f>(Master_Table!H1343-Master_Table!H1342)/Master_Table!H1342</f>
        <v>1.7307692307692807E-3</v>
      </c>
    </row>
    <row r="1344" spans="1:8" x14ac:dyDescent="0.3">
      <c r="A1344" s="1">
        <v>45806</v>
      </c>
      <c r="B1344" s="3">
        <f>(Master_Table!B1344-Master_Table!B1343)/Master_Table!B1343</f>
        <v>3.2784633440325226E-3</v>
      </c>
      <c r="C1344" s="3">
        <f>(Master_Table!C1344-Master_Table!C1343)/Master_Table!C1343</f>
        <v>3.4680444475899664E-3</v>
      </c>
      <c r="D1344" s="3">
        <f>(Master_Table!D1344-Master_Table!D1343)/Master_Table!D1343</f>
        <v>2.084723148765844E-3</v>
      </c>
      <c r="E1344" s="3">
        <f>(Master_Table!E1344-Master_Table!E1343)/Master_Table!E1343</f>
        <v>-3.4507377439314344E-3</v>
      </c>
      <c r="F1344" s="3">
        <f>(Master_Table!F1344-Master_Table!F1343)/Master_Table!F1343</f>
        <v>1.1436086571177944E-4</v>
      </c>
      <c r="G1344" s="3">
        <f>(Master_Table!G1344-Master_Table!G1343)/Master_Table!G1343</f>
        <v>8.7797429698434626E-3</v>
      </c>
      <c r="H1344" s="3">
        <f>(Master_Table!H1344-Master_Table!H1343)/Master_Table!H1343</f>
        <v>2.4682554918684695E-3</v>
      </c>
    </row>
    <row r="1345" spans="1:8" x14ac:dyDescent="0.3">
      <c r="A1345" s="1">
        <v>45807</v>
      </c>
      <c r="B1345" s="3">
        <f>(Master_Table!B1345-Master_Table!B1344)/Master_Table!B1344</f>
        <v>-3.3382191869079725E-3</v>
      </c>
      <c r="C1345" s="3">
        <f>(Master_Table!C1345-Master_Table!C1344)/Master_Table!C1344</f>
        <v>2.1864861052335567E-3</v>
      </c>
      <c r="D1345" s="3">
        <f>(Master_Table!D1345-Master_Table!D1344)/Master_Table!D1344</f>
        <v>9.0288757593408823E-3</v>
      </c>
      <c r="E1345" s="3">
        <f>(Master_Table!E1345-Master_Table!E1344)/Master_Table!E1344</f>
        <v>-1.671641791044749E-3</v>
      </c>
      <c r="F1345" s="3">
        <f>(Master_Table!F1345-Master_Table!F1344)/Master_Table!F1344</f>
        <v>-9.9196706783682056E-3</v>
      </c>
      <c r="G1345" s="3">
        <f>(Master_Table!G1345-Master_Table!G1344)/Master_Table!G1344</f>
        <v>-1.4442482341069542E-2</v>
      </c>
      <c r="H1345" s="3">
        <f>(Master_Table!H1345-Master_Table!H1344)/Master_Table!H1344</f>
        <v>5.4167920553715772E-3</v>
      </c>
    </row>
    <row r="1346" spans="1:8" x14ac:dyDescent="0.3">
      <c r="A1346" s="1">
        <v>45810</v>
      </c>
      <c r="B1346" s="3">
        <f>(Master_Table!B1346-Master_Table!B1345)/Master_Table!B1345</f>
        <v>-1.3777388114276437E-3</v>
      </c>
      <c r="C1346" s="3">
        <f>(Master_Table!C1346-Master_Table!C1345)/Master_Table!C1345</f>
        <v>-5.067210922654687E-3</v>
      </c>
      <c r="D1346" s="3">
        <f>(Master_Table!D1346-Master_Table!D1345)/Master_Table!D1345</f>
        <v>-6.5873572223825684E-3</v>
      </c>
      <c r="E1346" s="3">
        <f>(Master_Table!E1346-Master_Table!E1345)/Master_Table!E1345</f>
        <v>2.9900729577801697E-3</v>
      </c>
      <c r="F1346" s="3">
        <f>(Master_Table!F1346-Master_Table!F1345)/Master_Table!F1345</f>
        <v>-3.9267771553964052E-3</v>
      </c>
      <c r="G1346" s="3">
        <f>(Master_Table!G1346-Master_Table!G1345)/Master_Table!G1345</f>
        <v>-5.6952710053113781E-3</v>
      </c>
      <c r="H1346" s="3">
        <f>(Master_Table!H1346-Master_Table!H1345)/Master_Table!H1345</f>
        <v>1.2244564773747654E-3</v>
      </c>
    </row>
    <row r="1347" spans="1:8" x14ac:dyDescent="0.3">
      <c r="A1347" s="1">
        <v>45811</v>
      </c>
      <c r="B1347" s="3">
        <f>(Master_Table!B1347-Master_Table!B1346)/Master_Table!B1346</f>
        <v>-7.0438490730925186E-3</v>
      </c>
      <c r="C1347" s="3">
        <f>(Master_Table!C1347-Master_Table!C1346)/Master_Table!C1346</f>
        <v>-5.800381976374086E-3</v>
      </c>
      <c r="D1347" s="3">
        <f>(Master_Table!D1347-Master_Table!D1346)/Master_Table!D1346</f>
        <v>-3.8810771545685768E-3</v>
      </c>
      <c r="E1347" s="3">
        <f>(Master_Table!E1347-Master_Table!E1346)/Master_Table!E1346</f>
        <v>-5.6045790603387134E-3</v>
      </c>
      <c r="F1347" s="3">
        <f>(Master_Table!F1347-Master_Table!F1346)/Master_Table!F1346</f>
        <v>-1.2928285697721711E-2</v>
      </c>
      <c r="G1347" s="3">
        <f>(Master_Table!G1347-Master_Table!G1346)/Master_Table!G1346</f>
        <v>-6.9507015059852972E-3</v>
      </c>
      <c r="H1347" s="3">
        <f>(Master_Table!H1347-Master_Table!H1346)/Master_Table!H1346</f>
        <v>-9.4575497336666283E-3</v>
      </c>
    </row>
    <row r="1348" spans="1:8" x14ac:dyDescent="0.3">
      <c r="A1348" s="1">
        <v>45812</v>
      </c>
      <c r="B1348" s="3">
        <f>(Master_Table!B1348-Master_Table!B1347)/Master_Table!B1347</f>
        <v>3.165936640521574E-3</v>
      </c>
      <c r="C1348" s="3">
        <f>(Master_Table!C1348-Master_Table!C1347)/Master_Table!C1347</f>
        <v>1.2806830309498399E-2</v>
      </c>
      <c r="D1348" s="3">
        <f>(Master_Table!D1348-Master_Table!D1347)/Master_Table!D1347</f>
        <v>8.6258086695628622E-3</v>
      </c>
      <c r="E1348" s="3">
        <f>(Master_Table!E1348-Master_Table!E1347)/Master_Table!E1347</f>
        <v>1.1991845545032107E-4</v>
      </c>
      <c r="F1348" s="3">
        <f>(Master_Table!F1348-Master_Table!F1347)/Master_Table!F1347</f>
        <v>-7.1361447198401646E-3</v>
      </c>
      <c r="G1348" s="3">
        <f>(Master_Table!G1348-Master_Table!G1347)/Master_Table!G1347</f>
        <v>5.3143227478937433E-3</v>
      </c>
      <c r="H1348" s="3">
        <f>(Master_Table!H1348-Master_Table!H1347)/Master_Table!H1347</f>
        <v>-5.0208516242318318E-3</v>
      </c>
    </row>
    <row r="1349" spans="1:8" x14ac:dyDescent="0.3">
      <c r="A1349" s="1">
        <v>45813</v>
      </c>
      <c r="B1349" s="3">
        <f>(Master_Table!B1349-Master_Table!B1348)/Master_Table!B1348</f>
        <v>5.308648995540277E-3</v>
      </c>
      <c r="C1349" s="3">
        <f>(Master_Table!C1349-Master_Table!C1348)/Master_Table!C1348</f>
        <v>1.3277133825079095E-2</v>
      </c>
      <c r="D1349" s="3">
        <f>(Master_Table!D1349-Master_Table!D1348)/Master_Table!D1348</f>
        <v>4.3276629587167192E-3</v>
      </c>
      <c r="E1349" s="3">
        <f>(Master_Table!E1349-Master_Table!E1348)/Master_Table!E1348</f>
        <v>5.0359712230216369E-3</v>
      </c>
      <c r="F1349" s="3">
        <f>(Master_Table!F1349-Master_Table!F1348)/Master_Table!F1348</f>
        <v>-2.8986364577479906E-3</v>
      </c>
      <c r="G1349" s="3">
        <f>(Master_Table!G1349-Master_Table!G1348)/Master_Table!G1348</f>
        <v>1.9984528107271204E-3</v>
      </c>
      <c r="H1349" s="3">
        <f>(Master_Table!H1349-Master_Table!H1348)/Master_Table!H1348</f>
        <v>4.4395422583758193E-3</v>
      </c>
    </row>
    <row r="1350" spans="1:8" x14ac:dyDescent="0.3">
      <c r="A1350" s="1">
        <v>45814</v>
      </c>
      <c r="B1350" s="3">
        <f>(Master_Table!B1350-Master_Table!B1349)/Master_Table!B1349</f>
        <v>1.0187508333030225E-2</v>
      </c>
      <c r="C1350" s="3">
        <f>(Master_Table!C1350-Master_Table!C1349)/Master_Table!C1349</f>
        <v>7.6261785912361962E-4</v>
      </c>
      <c r="D1350" s="3">
        <f>(Master_Table!D1350-Master_Table!D1349)/Master_Table!D1349</f>
        <v>1.4922149776836207E-2</v>
      </c>
      <c r="E1350" s="3">
        <f>(Master_Table!E1350-Master_Table!E1349)/Master_Table!E1349</f>
        <v>4.6528274874731296E-3</v>
      </c>
      <c r="F1350" s="3">
        <f>(Master_Table!F1350-Master_Table!F1349)/Master_Table!F1349</f>
        <v>3.8859719379430776E-3</v>
      </c>
      <c r="G1350" s="3">
        <f>(Master_Table!G1350-Master_Table!G1349)/Master_Table!G1349</f>
        <v>6.1120761757704435E-3</v>
      </c>
      <c r="H1350" s="3">
        <f>(Master_Table!H1350-Master_Table!H1349)/Master_Table!H1349</f>
        <v>3.7610497995937717E-3</v>
      </c>
    </row>
    <row r="1351" spans="1:8" x14ac:dyDescent="0.3">
      <c r="A1351" s="1">
        <v>45817</v>
      </c>
      <c r="B1351" s="3">
        <f>(Master_Table!B1351-Master_Table!B1350)/Master_Table!B1350</f>
        <v>4.0055113276180887E-3</v>
      </c>
      <c r="C1351" s="3">
        <f>(Master_Table!C1351-Master_Table!C1350)/Master_Table!C1350</f>
        <v>3.6716314513335329E-3</v>
      </c>
      <c r="D1351" s="3">
        <f>(Master_Table!D1351-Master_Table!D1350)/Master_Table!D1350</f>
        <v>1.0132841552758943E-4</v>
      </c>
      <c r="E1351" s="3">
        <f>(Master_Table!E1351-Master_Table!E1350)/Master_Table!E1350</f>
        <v>4.7500296876855476E-3</v>
      </c>
      <c r="F1351" s="3">
        <f>(Master_Table!F1351-Master_Table!F1350)/Master_Table!F1350</f>
        <v>1.1140003545889805E-2</v>
      </c>
      <c r="G1351" s="3">
        <f>(Master_Table!G1351-Master_Table!G1350)/Master_Table!G1350</f>
        <v>5.8191584601612334E-3</v>
      </c>
      <c r="H1351" s="3">
        <f>(Master_Table!H1351-Master_Table!H1350)/Master_Table!H1350</f>
        <v>6.1811120531684782E-3</v>
      </c>
    </row>
    <row r="1352" spans="1:8" x14ac:dyDescent="0.3">
      <c r="A1352" s="1">
        <v>45818</v>
      </c>
      <c r="B1352" s="3">
        <f>(Master_Table!B1352-Master_Table!B1351)/Master_Table!B1351</f>
        <v>4.1827336753850999E-5</v>
      </c>
      <c r="C1352" s="3">
        <f>(Master_Table!C1352-Master_Table!C1351)/Master_Table!C1351</f>
        <v>-7.1093318608503276E-3</v>
      </c>
      <c r="D1352" s="3">
        <f>(Master_Table!D1352-Master_Table!D1351)/Master_Table!D1351</f>
        <v>-6.8693705103394891E-3</v>
      </c>
      <c r="E1352" s="3">
        <f>(Master_Table!E1352-Master_Table!E1351)/Master_Table!E1351</f>
        <v>9.3369578064058344E-3</v>
      </c>
      <c r="F1352" s="3">
        <f>(Master_Table!F1352-Master_Table!F1351)/Master_Table!F1351</f>
        <v>1.1981647622665769E-2</v>
      </c>
      <c r="G1352" s="3">
        <f>(Master_Table!G1352-Master_Table!G1351)/Master_Table!G1351</f>
        <v>1.4686248331108086E-2</v>
      </c>
      <c r="H1352" s="3">
        <f>(Master_Table!H1352-Master_Table!H1351)/Master_Table!H1351</f>
        <v>2.4463834298298157E-4</v>
      </c>
    </row>
    <row r="1353" spans="1:8" x14ac:dyDescent="0.3">
      <c r="A1353" s="1">
        <v>45819</v>
      </c>
      <c r="B1353" s="3">
        <f>(Master_Table!B1353-Master_Table!B1352)/Master_Table!B1352</f>
        <v>1.479829112600514E-3</v>
      </c>
      <c r="C1353" s="3">
        <f>(Master_Table!C1353-Master_Table!C1352)/Master_Table!C1352</f>
        <v>7.229753215154738E-3</v>
      </c>
      <c r="D1353" s="3">
        <f>(Master_Table!D1353-Master_Table!D1352)/Master_Table!D1352</f>
        <v>-7.5800083655543846E-3</v>
      </c>
      <c r="E1353" s="3">
        <f>(Master_Table!E1353-Master_Table!E1352)/Master_Table!E1352</f>
        <v>-1.9906323185012241E-3</v>
      </c>
      <c r="F1353" s="3">
        <f>(Master_Table!F1353-Master_Table!F1352)/Master_Table!F1352</f>
        <v>2.5989777354240664E-3</v>
      </c>
      <c r="G1353" s="3">
        <f>(Master_Table!G1353-Master_Table!G1352)/Master_Table!G1352</f>
        <v>2.1992481203007463E-2</v>
      </c>
      <c r="H1353" s="3">
        <f>(Master_Table!H1353-Master_Table!H1352)/Master_Table!H1352</f>
        <v>1.3587694983423011E-3</v>
      </c>
    </row>
    <row r="1354" spans="1:8" x14ac:dyDescent="0.3">
      <c r="A1354" s="1">
        <v>45820</v>
      </c>
      <c r="B1354" s="3">
        <f>(Master_Table!B1354-Master_Table!B1353)/Master_Table!B1353</f>
        <v>-1.0071038207896168E-2</v>
      </c>
      <c r="C1354" s="3">
        <f>(Master_Table!C1354-Master_Table!C1353)/Master_Table!C1353</f>
        <v>-5.038304920974658E-3</v>
      </c>
      <c r="D1354" s="3">
        <f>(Master_Table!D1354-Master_Table!D1353)/Master_Table!D1353</f>
        <v>-3.5876559962170367E-3</v>
      </c>
      <c r="E1354" s="3">
        <f>(Master_Table!E1354-Master_Table!E1353)/Master_Table!E1353</f>
        <v>-1.2084946615041598E-2</v>
      </c>
      <c r="F1354" s="3">
        <f>(Master_Table!F1354-Master_Table!F1353)/Master_Table!F1353</f>
        <v>-1.0858607678792671E-2</v>
      </c>
      <c r="G1354" s="3">
        <f>(Master_Table!G1354-Master_Table!G1353)/Master_Table!G1353</f>
        <v>-1.3794371896266325E-2</v>
      </c>
      <c r="H1354" s="3">
        <f>(Master_Table!H1354-Master_Table!H1353)/Master_Table!H1353</f>
        <v>-2.1955058619192381E-2</v>
      </c>
    </row>
    <row r="1355" spans="1:8" x14ac:dyDescent="0.3">
      <c r="A1355" s="1">
        <v>45821</v>
      </c>
      <c r="B1355" s="3">
        <f>(Master_Table!B1355-Master_Table!B1354)/Master_Table!B1354</f>
        <v>-6.8144743292002704E-3</v>
      </c>
      <c r="C1355" s="3">
        <f>(Master_Table!C1355-Master_Table!C1354)/Master_Table!C1354</f>
        <v>-9.5033296337401624E-3</v>
      </c>
      <c r="D1355" s="3">
        <f>(Master_Table!D1355-Master_Table!D1354)/Master_Table!D1354</f>
        <v>-1.3277760009904162E-2</v>
      </c>
      <c r="E1355" s="3">
        <f>(Master_Table!E1355-Master_Table!E1354)/Master_Table!E1354</f>
        <v>-1.6864608076009556E-2</v>
      </c>
      <c r="F1355" s="3">
        <f>(Master_Table!F1355-Master_Table!F1354)/Master_Table!F1354</f>
        <v>3.3486692679517796E-3</v>
      </c>
      <c r="G1355" s="3">
        <f>(Master_Table!G1355-Master_Table!G1354)/Master_Table!G1354</f>
        <v>-4.1029466616933413E-3</v>
      </c>
      <c r="H1355" s="3">
        <f>(Master_Table!H1355-Master_Table!H1354)/Master_Table!H1354</f>
        <v>-4.5783734287854821E-3</v>
      </c>
    </row>
    <row r="1356" spans="1:8" x14ac:dyDescent="0.3">
      <c r="A1356" s="1">
        <v>45824</v>
      </c>
      <c r="B1356" s="3">
        <f>(Master_Table!B1356-Master_Table!B1355)/Master_Table!B1355</f>
        <v>9.2197778191322102E-3</v>
      </c>
      <c r="C1356" s="3">
        <f>(Master_Table!C1356-Master_Table!C1355)/Master_Table!C1355</f>
        <v>6.933258631556736E-3</v>
      </c>
      <c r="D1356" s="3">
        <f>(Master_Table!D1356-Master_Table!D1355)/Master_Table!D1355</f>
        <v>9.2846239099976958E-3</v>
      </c>
      <c r="E1356" s="3">
        <f>(Master_Table!E1356-Master_Table!E1355)/Master_Table!E1355</f>
        <v>1.038898284609812E-2</v>
      </c>
      <c r="F1356" s="3">
        <f>(Master_Table!F1356-Master_Table!F1355)/Master_Table!F1355</f>
        <v>1.4684969672345349E-2</v>
      </c>
      <c r="G1356" s="3">
        <f>(Master_Table!G1356-Master_Table!G1355)/Master_Table!G1355</f>
        <v>1.3607990012484366E-2</v>
      </c>
      <c r="H1356" s="3">
        <f>(Master_Table!H1356-Master_Table!H1355)/Master_Table!H1355</f>
        <v>1.1512516028321271E-2</v>
      </c>
    </row>
    <row r="1357" spans="1:8" x14ac:dyDescent="0.3">
      <c r="A1357" s="1">
        <v>45825</v>
      </c>
      <c r="B1357" s="3">
        <f>(Master_Table!B1357-Master_Table!B1356)/Master_Table!B1356</f>
        <v>-3.7319864510050927E-3</v>
      </c>
      <c r="C1357" s="3">
        <f>(Master_Table!C1357-Master_Table!C1356)/Master_Table!C1356</f>
        <v>-4.5903463624981985E-3</v>
      </c>
      <c r="D1357" s="3">
        <f>(Master_Table!D1357-Master_Table!D1356)/Master_Table!D1356</f>
        <v>-2.993887910494133E-3</v>
      </c>
      <c r="E1357" s="3">
        <f>(Master_Table!E1357-Master_Table!E1356)/Master_Table!E1356</f>
        <v>-1.9129603060736762E-3</v>
      </c>
      <c r="F1357" s="3">
        <f>(Master_Table!F1357-Master_Table!F1356)/Master_Table!F1356</f>
        <v>5.4343162772073333E-3</v>
      </c>
      <c r="G1357" s="3">
        <f>(Master_Table!G1357-Master_Table!G1356)/Master_Table!G1356</f>
        <v>9.9150141643060338E-3</v>
      </c>
      <c r="H1357" s="3">
        <f>(Master_Table!H1357-Master_Table!H1356)/Master_Table!H1356</f>
        <v>-1.7637170336483139E-3</v>
      </c>
    </row>
    <row r="1358" spans="1:8" x14ac:dyDescent="0.3">
      <c r="A1358" s="1">
        <v>45826</v>
      </c>
      <c r="B1358" s="3">
        <f>(Master_Table!B1358-Master_Table!B1357)/Master_Table!B1357</f>
        <v>-1.6637562667482992E-3</v>
      </c>
      <c r="C1358" s="3">
        <f>(Master_Table!C1358-Master_Table!C1357)/Master_Table!C1357</f>
        <v>-7.6858580212418696E-4</v>
      </c>
      <c r="D1358" s="3">
        <f>(Master_Table!D1358-Master_Table!D1357)/Master_Table!D1357</f>
        <v>2.2235845429702376E-3</v>
      </c>
      <c r="E1358" s="3">
        <f>(Master_Table!E1358-Master_Table!E1357)/Master_Table!E1357</f>
        <v>-3.5936751317680884E-3</v>
      </c>
      <c r="F1358" s="3">
        <f>(Master_Table!F1358-Master_Table!F1357)/Master_Table!F1357</f>
        <v>-1.8177680425568256E-2</v>
      </c>
      <c r="G1358" s="3">
        <f>(Master_Table!G1358-Master_Table!G1357)/Master_Table!G1357</f>
        <v>-4.2685529605463743E-3</v>
      </c>
      <c r="H1358" s="3">
        <f>(Master_Table!H1358-Master_Table!H1357)/Master_Table!H1357</f>
        <v>-5.7422079893990506E-3</v>
      </c>
    </row>
    <row r="1359" spans="1:8" x14ac:dyDescent="0.3">
      <c r="A1359" s="1">
        <v>45827</v>
      </c>
      <c r="B1359" s="3">
        <f>(Master_Table!B1359-Master_Table!B1358)/Master_Table!B1358</f>
        <v>-7.5769636124380178E-4</v>
      </c>
      <c r="C1359" s="3">
        <f>(Master_Table!C1359-Master_Table!C1358)/Master_Table!C1358</f>
        <v>2.2376057618348688E-3</v>
      </c>
      <c r="D1359" s="3">
        <f>(Master_Table!D1359-Master_Table!D1358)/Master_Table!D1358</f>
        <v>7.2572702296412367E-4</v>
      </c>
      <c r="E1359" s="3">
        <f>(Master_Table!E1359-Master_Table!E1358)/Master_Table!E1358</f>
        <v>2.4044241404189167E-4</v>
      </c>
      <c r="F1359" s="3">
        <f>(Master_Table!F1359-Master_Table!F1358)/Master_Table!F1358</f>
        <v>-7.9388074404589705E-3</v>
      </c>
      <c r="G1359" s="3">
        <f>(Master_Table!G1359-Master_Table!G1358)/Master_Table!G1358</f>
        <v>-8.8799069140792445E-3</v>
      </c>
      <c r="H1359" s="3">
        <f>(Master_Table!H1359-Master_Table!H1358)/Master_Table!H1358</f>
        <v>5.4421768707482738E-3</v>
      </c>
    </row>
    <row r="1360" spans="1:8" x14ac:dyDescent="0.3">
      <c r="A1360" s="1">
        <v>45828</v>
      </c>
      <c r="B1360" s="3">
        <f>(Master_Table!B1360-Master_Table!B1359)/Master_Table!B1359</f>
        <v>1.2872455204541618E-2</v>
      </c>
      <c r="C1360" s="3">
        <f>(Master_Table!C1360-Master_Table!C1359)/Master_Table!C1359</f>
        <v>2.2954022186562541E-2</v>
      </c>
      <c r="D1360" s="3">
        <f>(Master_Table!D1360-Master_Table!D1359)/Master_Table!D1359</f>
        <v>1.5187775187775155E-2</v>
      </c>
      <c r="E1360" s="3">
        <f>(Master_Table!E1360-Master_Table!E1359)/Master_Table!E1359</f>
        <v>6.12980769230772E-3</v>
      </c>
      <c r="F1360" s="3">
        <f>(Master_Table!F1360-Master_Table!F1359)/Master_Table!F1359</f>
        <v>3.417056074766302E-3</v>
      </c>
      <c r="G1360" s="3">
        <f>(Master_Table!G1360-Master_Table!G1359)/Master_Table!G1359</f>
        <v>2.7805239742956004E-3</v>
      </c>
      <c r="H1360" s="3">
        <f>(Master_Table!H1360-Master_Table!H1359)/Master_Table!H1359</f>
        <v>1.1294910386346715E-2</v>
      </c>
    </row>
    <row r="1361" spans="1:8" x14ac:dyDescent="0.3">
      <c r="A1361" s="1">
        <v>45831</v>
      </c>
      <c r="B1361" s="3">
        <f>(Master_Table!B1361-Master_Table!B1360)/Master_Table!B1360</f>
        <v>-5.5948455742979557E-3</v>
      </c>
      <c r="C1361" s="3">
        <f>(Master_Table!C1361-Master_Table!C1360)/Master_Table!C1360</f>
        <v>-6.4111308143500823E-3</v>
      </c>
      <c r="D1361" s="3">
        <f>(Master_Table!D1361-Master_Table!D1360)/Master_Table!D1360</f>
        <v>-8.2966803073751625E-3</v>
      </c>
      <c r="E1361" s="3">
        <f>(Master_Table!E1361-Master_Table!E1360)/Master_Table!E1360</f>
        <v>-1.1109783777326566E-2</v>
      </c>
      <c r="F1361" s="3">
        <f>(Master_Table!F1361-Master_Table!F1360)/Master_Table!F1360</f>
        <v>-1.2253689204528892E-2</v>
      </c>
      <c r="G1361" s="3">
        <f>(Master_Table!G1361-Master_Table!G1360)/Master_Table!G1360</f>
        <v>-2.3969437426828572E-2</v>
      </c>
      <c r="H1361" s="3">
        <f>(Master_Table!H1361-Master_Table!H1360)/Master_Table!H1360</f>
        <v>-2.1381758601856957E-2</v>
      </c>
    </row>
    <row r="1362" spans="1:8" x14ac:dyDescent="0.3">
      <c r="A1362" s="1">
        <v>45832</v>
      </c>
      <c r="B1362" s="3">
        <f>(Master_Table!B1362-Master_Table!B1361)/Master_Table!B1361</f>
        <v>2.9012610173834224E-3</v>
      </c>
      <c r="C1362" s="3">
        <f>(Master_Table!C1362-Master_Table!C1361)/Master_Table!C1361</f>
        <v>-4.1186161449752881E-3</v>
      </c>
      <c r="D1362" s="3">
        <f>(Master_Table!D1362-Master_Table!D1361)/Master_Table!D1361</f>
        <v>6.4212064459034032E-3</v>
      </c>
      <c r="E1362" s="3">
        <f>(Master_Table!E1362-Master_Table!E1361)/Master_Table!E1361</f>
        <v>1.0872191350568868E-3</v>
      </c>
      <c r="F1362" s="3">
        <f>(Master_Table!F1362-Master_Table!F1361)/Master_Table!F1361</f>
        <v>-9.4295143800088939E-4</v>
      </c>
      <c r="G1362" s="3">
        <f>(Master_Table!G1362-Master_Table!G1361)/Master_Table!G1361</f>
        <v>-1.5151515151515726E-3</v>
      </c>
      <c r="H1362" s="3">
        <f>(Master_Table!H1362-Master_Table!H1361)/Master_Table!H1361</f>
        <v>5.8877696235735038E-3</v>
      </c>
    </row>
    <row r="1363" spans="1:8" x14ac:dyDescent="0.3">
      <c r="A1363" s="1">
        <v>45833</v>
      </c>
      <c r="B1363" s="3">
        <f>(Master_Table!B1363-Master_Table!B1362)/Master_Table!B1362</f>
        <v>8.0018047982878954E-3</v>
      </c>
      <c r="C1363" s="3">
        <f>(Master_Table!C1363-Master_Table!C1362)/Master_Table!C1362</f>
        <v>1.1373035566583953E-2</v>
      </c>
      <c r="D1363" s="3">
        <f>(Master_Table!D1363-Master_Table!D1362)/Master_Table!D1362</f>
        <v>9.8361996687184351E-3</v>
      </c>
      <c r="E1363" s="3">
        <f>(Master_Table!E1363-Master_Table!E1362)/Master_Table!E1362</f>
        <v>4.8268372149149266E-3</v>
      </c>
      <c r="F1363" s="3">
        <f>(Master_Table!F1363-Master_Table!F1362)/Master_Table!F1362</f>
        <v>1.6045304388862699E-2</v>
      </c>
      <c r="G1363" s="3">
        <f>(Master_Table!G1363-Master_Table!G1362)/Master_Table!G1362</f>
        <v>2.1054628224582816E-2</v>
      </c>
      <c r="H1363" s="3">
        <f>(Master_Table!H1363-Master_Table!H1362)/Master_Table!H1362</f>
        <v>4.1611185086551259E-3</v>
      </c>
    </row>
    <row r="1364" spans="1:8" x14ac:dyDescent="0.3">
      <c r="A1364" s="1">
        <v>45834</v>
      </c>
      <c r="B1364" s="3">
        <f>(Master_Table!B1364-Master_Table!B1363)/Master_Table!B1363</f>
        <v>1.205201081412967E-2</v>
      </c>
      <c r="C1364" s="3">
        <f>(Master_Table!C1364-Master_Table!C1363)/Master_Table!C1363</f>
        <v>1.9082668847543106E-2</v>
      </c>
      <c r="D1364" s="3">
        <f>(Master_Table!D1364-Master_Table!D1363)/Master_Table!D1363</f>
        <v>2.1009679640354786E-2</v>
      </c>
      <c r="E1364" s="3">
        <f>(Master_Table!E1364-Master_Table!E1363)/Master_Table!E1363</f>
        <v>9.4872102798126291E-3</v>
      </c>
      <c r="F1364" s="3">
        <f>(Master_Table!F1364-Master_Table!F1363)/Master_Table!F1363</f>
        <v>-8.7087784486762653E-4</v>
      </c>
      <c r="G1364" s="3">
        <f>(Master_Table!G1364-Master_Table!G1363)/Master_Table!G1363</f>
        <v>6.8115672797071586E-4</v>
      </c>
      <c r="H1364" s="3">
        <f>(Master_Table!H1364-Master_Table!H1363)/Master_Table!H1363</f>
        <v>1.0995082601248611E-2</v>
      </c>
    </row>
    <row r="1365" spans="1:8" x14ac:dyDescent="0.3">
      <c r="A1365" s="1">
        <v>45835</v>
      </c>
      <c r="B1365" s="3">
        <f>(Master_Table!B1365-Master_Table!B1364)/Master_Table!B1364</f>
        <v>3.4756741946846948E-3</v>
      </c>
      <c r="C1365" s="3">
        <f>(Master_Table!C1365-Master_Table!C1364)/Master_Table!C1364</f>
        <v>1.3442118638400412E-2</v>
      </c>
      <c r="D1365" s="3">
        <f>(Master_Table!D1365-Master_Table!D1364)/Master_Table!D1364</f>
        <v>-3.4113785340988516E-3</v>
      </c>
      <c r="E1365" s="3">
        <f>(Master_Table!E1365-Master_Table!E1364)/Master_Table!E1364</f>
        <v>-3.925767309065035E-3</v>
      </c>
      <c r="F1365" s="3">
        <f>(Master_Table!F1365-Master_Table!F1364)/Master_Table!F1364</f>
        <v>-2.0338195130462921E-4</v>
      </c>
      <c r="G1365" s="3">
        <f>(Master_Table!G1365-Master_Table!G1364)/Master_Table!G1364</f>
        <v>-4.9504950495049506E-3</v>
      </c>
      <c r="H1365" s="3">
        <f>(Master_Table!H1365-Master_Table!H1364)/Master_Table!H1364</f>
        <v>5.3557765876051776E-3</v>
      </c>
    </row>
    <row r="1366" spans="1:8" x14ac:dyDescent="0.3">
      <c r="A1366" s="1">
        <v>45838</v>
      </c>
      <c r="B1366" s="3">
        <f>(Master_Table!B1366-Master_Table!B1365)/Master_Table!B1365</f>
        <v>-4.7098424981862723E-3</v>
      </c>
      <c r="C1366" s="3">
        <f>(Master_Table!C1366-Master_Table!C1365)/Master_Table!C1365</f>
        <v>-9.7663983106771688E-3</v>
      </c>
      <c r="D1366" s="3">
        <f>(Master_Table!D1366-Master_Table!D1365)/Master_Table!D1365</f>
        <v>-6.6470968704911322E-3</v>
      </c>
      <c r="E1366" s="3">
        <f>(Master_Table!E1366-Master_Table!E1365)/Master_Table!E1365</f>
        <v>-5.2549862653767793E-3</v>
      </c>
      <c r="F1366" s="3">
        <f>(Master_Table!F1366-Master_Table!F1365)/Master_Table!F1365</f>
        <v>6.0736392432652617E-3</v>
      </c>
      <c r="G1366" s="3">
        <f>(Master_Table!G1366-Master_Table!G1365)/Master_Table!G1365</f>
        <v>-3.8557213930348541E-3</v>
      </c>
      <c r="H1366" s="3">
        <f>(Master_Table!H1366-Master_Table!H1365)/Master_Table!H1365</f>
        <v>-2.5549032398346481E-3</v>
      </c>
    </row>
    <row r="1367" spans="1:8" x14ac:dyDescent="0.3">
      <c r="A1367" s="1">
        <v>45839</v>
      </c>
      <c r="B1367" s="3">
        <f>(Master_Table!B1367-Master_Table!B1366)/Master_Table!B1366</f>
        <v>9.6993970698023484E-4</v>
      </c>
      <c r="C1367" s="3">
        <f>(Master_Table!C1367-Master_Table!C1366)/Master_Table!C1366</f>
        <v>1.8525922964147797E-2</v>
      </c>
      <c r="D1367" s="3">
        <f>(Master_Table!D1367-Master_Table!D1366)/Master_Table!D1366</f>
        <v>5.2891502298976958E-3</v>
      </c>
      <c r="E1367" s="3">
        <f>(Master_Table!E1367-Master_Table!E1366)/Master_Table!E1366</f>
        <v>-3.241685676551725E-3</v>
      </c>
      <c r="F1367" s="3">
        <f>(Master_Table!F1367-Master_Table!F1366)/Master_Table!F1366</f>
        <v>-9.3298671288273207E-3</v>
      </c>
      <c r="G1367" s="3">
        <f>(Master_Table!G1367-Master_Table!G1366)/Master_Table!G1366</f>
        <v>3.1214883256336623E-3</v>
      </c>
      <c r="H1367" s="3">
        <f>(Master_Table!H1367-Master_Table!H1366)/Master_Table!H1366</f>
        <v>-8.4473268298009799E-4</v>
      </c>
    </row>
    <row r="1368" spans="1:8" x14ac:dyDescent="0.3">
      <c r="A1368" s="1">
        <v>45840</v>
      </c>
      <c r="B1368" s="3">
        <f>(Master_Table!B1368-Master_Table!B1367)/Master_Table!B1367</f>
        <v>-3.4609933520737702E-3</v>
      </c>
      <c r="C1368" s="3">
        <f>(Master_Table!C1368-Master_Table!C1367)/Master_Table!C1367</f>
        <v>-6.2810782517666421E-3</v>
      </c>
      <c r="D1368" s="3">
        <f>(Master_Table!D1368-Master_Table!D1367)/Master_Table!D1367</f>
        <v>-1.2963977878531206E-2</v>
      </c>
      <c r="E1368" s="3">
        <f>(Master_Table!E1368-Master_Table!E1367)/Master_Table!E1367</f>
        <v>-5.1794748253433725E-3</v>
      </c>
      <c r="F1368" s="3">
        <f>(Master_Table!F1368-Master_Table!F1367)/Master_Table!F1367</f>
        <v>-1.8660524244101923E-3</v>
      </c>
      <c r="G1368" s="3">
        <f>(Master_Table!G1368-Master_Table!G1367)/Master_Table!G1367</f>
        <v>2.3027134677620397E-3</v>
      </c>
      <c r="H1368" s="3">
        <f>(Master_Table!H1368-Master_Table!H1367)/Master_Table!H1367</f>
        <v>-1.9063463059426633E-2</v>
      </c>
    </row>
    <row r="1369" spans="1:8" x14ac:dyDescent="0.3">
      <c r="A1369" s="1">
        <v>45841</v>
      </c>
      <c r="B1369" s="3">
        <f>(Master_Table!B1369-Master_Table!B1368)/Master_Table!B1368</f>
        <v>-1.8897278948982132E-3</v>
      </c>
      <c r="C1369" s="3">
        <f>(Master_Table!C1369-Master_Table!C1368)/Master_Table!C1368</f>
        <v>-6.5841453779299445E-4</v>
      </c>
      <c r="D1369" s="3">
        <f>(Master_Table!D1369-Master_Table!D1368)/Master_Table!D1368</f>
        <v>5.4515718698899319E-4</v>
      </c>
      <c r="E1369" s="3">
        <f>(Master_Table!E1369-Master_Table!E1368)/Master_Table!E1368</f>
        <v>9.686402712193586E-4</v>
      </c>
      <c r="F1369" s="3">
        <f>(Master_Table!F1369-Master_Table!F1368)/Master_Table!F1368</f>
        <v>-6.5726053807729379E-3</v>
      </c>
      <c r="G1369" s="3">
        <f>(Master_Table!G1369-Master_Table!G1368)/Master_Table!G1368</f>
        <v>5.0915864638311362E-3</v>
      </c>
      <c r="H1369" s="3">
        <f>(Master_Table!H1369-Master_Table!H1368)/Master_Table!H1368</f>
        <v>-3.864546263345221E-3</v>
      </c>
    </row>
    <row r="1370" spans="1:8" x14ac:dyDescent="0.3">
      <c r="A1370" s="1">
        <v>45842</v>
      </c>
      <c r="B1370" s="3">
        <f>(Master_Table!B1370-Master_Table!B1369)/Master_Table!B1369</f>
        <v>2.1924559048702723E-3</v>
      </c>
      <c r="C1370" s="3">
        <f>(Master_Table!C1370-Master_Table!C1369)/Master_Table!C1369</f>
        <v>6.2590591645803138E-3</v>
      </c>
      <c r="D1370" s="3">
        <f>(Master_Table!D1370-Master_Table!D1369)/Master_Table!D1369</f>
        <v>1.1099003107719952E-3</v>
      </c>
      <c r="E1370" s="3">
        <f>(Master_Table!E1370-Master_Table!E1369)/Master_Table!E1369</f>
        <v>-1.9354058304100915E-3</v>
      </c>
      <c r="F1370" s="3">
        <f>(Master_Table!F1370-Master_Table!F1369)/Master_Table!F1369</f>
        <v>5.5869207245354035E-3</v>
      </c>
      <c r="G1370" s="3">
        <f>(Master_Table!G1370-Master_Table!G1369)/Master_Table!G1369</f>
        <v>1.359115339469945E-2</v>
      </c>
      <c r="H1370" s="3">
        <f>(Master_Table!H1370-Master_Table!H1369)/Master_Table!H1369</f>
        <v>3.2655111780959048E-3</v>
      </c>
    </row>
    <row r="1371" spans="1:8" x14ac:dyDescent="0.3">
      <c r="A1371" s="1">
        <v>45845</v>
      </c>
      <c r="B1371" s="3">
        <f>(Master_Table!B1371-Master_Table!B1370)/Master_Table!B1370</f>
        <v>1.1782726522888827E-5</v>
      </c>
      <c r="C1371" s="3">
        <f>(Master_Table!C1371-Master_Table!C1370)/Master_Table!C1370</f>
        <v>9.2974530216722619E-3</v>
      </c>
      <c r="D1371" s="3">
        <f>(Master_Table!D1371-Master_Table!D1370)/Master_Table!D1370</f>
        <v>-9.5748755266174669E-4</v>
      </c>
      <c r="E1371" s="3">
        <f>(Master_Table!E1371-Master_Table!E1370)/Master_Table!E1370</f>
        <v>8.7262150042418263E-3</v>
      </c>
      <c r="F1371" s="3">
        <f>(Master_Table!F1371-Master_Table!F1370)/Master_Table!F1370</f>
        <v>-2.3685595648869416E-3</v>
      </c>
      <c r="G1371" s="3">
        <f>(Master_Table!G1371-Master_Table!G1370)/Master_Table!G1370</f>
        <v>-8.3500944718717888E-3</v>
      </c>
      <c r="H1371" s="3">
        <f>(Master_Table!H1371-Master_Table!H1370)/Master_Table!H1370</f>
        <v>-3.6721749290602066E-3</v>
      </c>
    </row>
    <row r="1372" spans="1:8" x14ac:dyDescent="0.3">
      <c r="A1372" s="1">
        <v>45846</v>
      </c>
      <c r="B1372" s="3">
        <f>(Master_Table!B1372-Master_Table!B1371)/Master_Table!B1371</f>
        <v>2.4036478891494438E-3</v>
      </c>
      <c r="C1372" s="3">
        <f>(Master_Table!C1372-Master_Table!C1371)/Master_Table!C1371</f>
        <v>-2.5300032435939613E-3</v>
      </c>
      <c r="D1372" s="3">
        <f>(Master_Table!D1372-Master_Table!D1371)/Master_Table!D1371</f>
        <v>7.0518446778245298E-3</v>
      </c>
      <c r="E1372" s="3">
        <f>(Master_Table!E1372-Master_Table!E1371)/Master_Table!E1371</f>
        <v>2.5231286795626851E-3</v>
      </c>
      <c r="F1372" s="3">
        <f>(Master_Table!F1372-Master_Table!F1371)/Master_Table!F1371</f>
        <v>-1.6120995398188588E-3</v>
      </c>
      <c r="G1372" s="3">
        <f>(Master_Table!G1372-Master_Table!G1371)/Master_Table!G1371</f>
        <v>7.1911493546404706E-3</v>
      </c>
      <c r="H1372" s="3">
        <f>(Master_Table!H1372-Master_Table!H1371)/Master_Table!H1371</f>
        <v>6.9805104149215386E-3</v>
      </c>
    </row>
    <row r="1373" spans="1:8" x14ac:dyDescent="0.3">
      <c r="A1373" s="1">
        <v>45847</v>
      </c>
      <c r="B1373" s="3">
        <f>(Master_Table!B1373-Master_Table!B1372)/Master_Table!B1372</f>
        <v>-1.8180037222059538E-3</v>
      </c>
      <c r="C1373" s="3">
        <f>(Master_Table!C1373-Master_Table!C1372)/Master_Table!C1372</f>
        <v>-1.209677419354833E-2</v>
      </c>
      <c r="D1373" s="3">
        <f>(Master_Table!D1373-Master_Table!D1372)/Master_Table!D1372</f>
        <v>4.888701889363062E-3</v>
      </c>
      <c r="E1373" s="3">
        <f>(Master_Table!E1373-Master_Table!E1372)/Master_Table!E1372</f>
        <v>5.3930968360498561E-3</v>
      </c>
      <c r="F1373" s="3">
        <f>(Master_Table!F1373-Master_Table!F1372)/Master_Table!F1372</f>
        <v>-6.5762433210027711E-3</v>
      </c>
      <c r="G1373" s="3">
        <f>(Master_Table!G1373-Master_Table!G1372)/Master_Table!G1372</f>
        <v>-3.0511991212546531E-3</v>
      </c>
      <c r="H1373" s="3">
        <f>(Master_Table!H1373-Master_Table!H1372)/Master_Table!H1372</f>
        <v>-7.4035048802130301E-3</v>
      </c>
    </row>
    <row r="1374" spans="1:8" x14ac:dyDescent="0.3">
      <c r="A1374" s="1">
        <v>45848</v>
      </c>
      <c r="B1374" s="3">
        <f>(Master_Table!B1374-Master_Table!B1373)/Master_Table!B1373</f>
        <v>-4.7436617064620787E-3</v>
      </c>
      <c r="C1374" s="3">
        <f>(Master_Table!C1374-Master_Table!C1373)/Master_Table!C1373</f>
        <v>-1.1849901250822611E-3</v>
      </c>
      <c r="D1374" s="3">
        <f>(Master_Table!D1374-Master_Table!D1373)/Master_Table!D1373</f>
        <v>-2.4823048549496652E-3</v>
      </c>
      <c r="E1374" s="3">
        <f>(Master_Table!E1374-Master_Table!E1373)/Master_Table!E1373</f>
        <v>-6.1985933961138774E-3</v>
      </c>
      <c r="F1374" s="3">
        <f>(Master_Table!F1374-Master_Table!F1373)/Master_Table!F1373</f>
        <v>-5.3194633252561668E-4</v>
      </c>
      <c r="G1374" s="3">
        <f>(Master_Table!G1374-Master_Table!G1373)/Master_Table!G1373</f>
        <v>-1.0956724000734584E-2</v>
      </c>
      <c r="H1374" s="3">
        <f>(Master_Table!H1374-Master_Table!H1373)/Master_Table!H1373</f>
        <v>-1.3967650920468197E-3</v>
      </c>
    </row>
    <row r="1375" spans="1:8" x14ac:dyDescent="0.3">
      <c r="A1375" s="1">
        <v>45849</v>
      </c>
      <c r="B1375" s="3">
        <f>(Master_Table!B1375-Master_Table!B1374)/Master_Table!B1374</f>
        <v>-8.1008864041964262E-3</v>
      </c>
      <c r="C1375" s="3">
        <f>(Master_Table!C1375-Master_Table!C1374)/Master_Table!C1374</f>
        <v>-1.4500395465330872E-2</v>
      </c>
      <c r="D1375" s="3">
        <f>(Master_Table!D1375-Master_Table!D1374)/Master_Table!D1374</f>
        <v>-1.1213159972416852E-2</v>
      </c>
      <c r="E1375" s="3">
        <f>(Master_Table!E1375-Master_Table!E1374)/Master_Table!E1374</f>
        <v>-1.1994722322180968E-4</v>
      </c>
      <c r="F1375" s="3">
        <f>(Master_Table!F1375-Master_Table!F1374)/Master_Table!F1374</f>
        <v>-3.4299231224127737E-2</v>
      </c>
      <c r="G1375" s="3">
        <f>(Master_Table!G1375-Master_Table!G1374)/Master_Table!G1374</f>
        <v>-1.2934769154598257E-2</v>
      </c>
      <c r="H1375" s="3">
        <f>(Master_Table!H1375-Master_Table!H1374)/Master_Table!H1374</f>
        <v>-9.5392620359750213E-3</v>
      </c>
    </row>
    <row r="1376" spans="1:8" x14ac:dyDescent="0.3">
      <c r="A1376" s="1">
        <v>45852</v>
      </c>
      <c r="B1376" s="3">
        <f>(Master_Table!B1376-Master_Table!B1375)/Master_Table!B1375</f>
        <v>-2.6859007111374135E-3</v>
      </c>
      <c r="C1376" s="3">
        <f>(Master_Table!C1376-Master_Table!C1375)/Master_Table!C1375</f>
        <v>-7.6912787586944885E-3</v>
      </c>
      <c r="D1376" s="3">
        <f>(Master_Table!D1376-Master_Table!D1375)/Master_Table!D1375</f>
        <v>-3.5375332275444741E-4</v>
      </c>
      <c r="E1376" s="3">
        <f>(Master_Table!E1376-Master_Table!E1375)/Master_Table!E1375</f>
        <v>6.2380038387715112E-3</v>
      </c>
      <c r="F1376" s="3">
        <f>(Master_Table!F1376-Master_Table!F1375)/Master_Table!F1375</f>
        <v>-1.3257807715860435E-2</v>
      </c>
      <c r="G1376" s="3">
        <f>(Master_Table!G1376-Master_Table!G1375)/Master_Table!G1375</f>
        <v>-1.5424164524421679E-2</v>
      </c>
      <c r="H1376" s="3">
        <f>(Master_Table!H1376-Master_Table!H1375)/Master_Table!H1375</f>
        <v>-1.2624978817149584E-2</v>
      </c>
    </row>
    <row r="1377" spans="1:8" x14ac:dyDescent="0.3">
      <c r="A1377" s="1">
        <v>45853</v>
      </c>
      <c r="B1377" s="3">
        <f>(Master_Table!B1377-Master_Table!B1376)/Master_Table!B1376</f>
        <v>4.5251033597397371E-3</v>
      </c>
      <c r="C1377" s="3">
        <f>(Master_Table!C1377-Master_Table!C1376)/Master_Table!C1376</f>
        <v>1.1457841881782338E-3</v>
      </c>
      <c r="D1377" s="3">
        <f>(Master_Table!D1377-Master_Table!D1376)/Master_Table!D1376</f>
        <v>6.2990374504570271E-3</v>
      </c>
      <c r="E1377" s="3">
        <f>(Master_Table!E1377-Master_Table!E1376)/Master_Table!E1376</f>
        <v>6.437768240343456E-3</v>
      </c>
      <c r="F1377" s="3">
        <f>(Master_Table!F1377-Master_Table!F1376)/Master_Table!F1376</f>
        <v>9.1848450057406411E-3</v>
      </c>
      <c r="G1377" s="3">
        <f>(Master_Table!G1377-Master_Table!G1376)/Master_Table!G1376</f>
        <v>9.7433611411831839E-3</v>
      </c>
      <c r="H1377" s="3">
        <f>(Master_Table!H1377-Master_Table!H1376)/Master_Table!H1376</f>
        <v>-5.4349380703111959E-4</v>
      </c>
    </row>
    <row r="1378" spans="1:8" x14ac:dyDescent="0.3">
      <c r="A1378" s="1">
        <v>45854</v>
      </c>
      <c r="B1378" s="3">
        <f>(Master_Table!B1378-Master_Table!B1377)/Master_Table!B1377</f>
        <v>6.4494876130148681E-4</v>
      </c>
      <c r="C1378" s="3">
        <f>(Master_Table!C1378-Master_Table!C1377)/Master_Table!C1377</f>
        <v>1.3464386697173696E-4</v>
      </c>
      <c r="D1378" s="3">
        <f>(Master_Table!D1378-Master_Table!D1377)/Master_Table!D1377</f>
        <v>4.0190099169067414E-4</v>
      </c>
      <c r="E1378" s="3">
        <f>(Master_Table!E1378-Master_Table!E1377)/Master_Table!E1377</f>
        <v>5.9227671167969669E-3</v>
      </c>
      <c r="F1378" s="3">
        <f>(Master_Table!F1378-Master_Table!F1377)/Master_Table!F1377</f>
        <v>-5.9035144359377281E-3</v>
      </c>
      <c r="G1378" s="3">
        <f>(Master_Table!G1378-Master_Table!G1377)/Master_Table!G1377</f>
        <v>1.4064076690212023E-2</v>
      </c>
      <c r="H1378" s="3">
        <f>(Master_Table!H1378-Master_Table!H1377)/Master_Table!H1377</f>
        <v>2.8048082427018267E-3</v>
      </c>
    </row>
    <row r="1379" spans="1:8" x14ac:dyDescent="0.3">
      <c r="A1379" s="1">
        <v>45855</v>
      </c>
      <c r="B1379" s="3">
        <f>(Master_Table!B1379-Master_Table!B1378)/Master_Table!B1378</f>
        <v>-3.9901555010401196E-3</v>
      </c>
      <c r="C1379" s="3">
        <f>(Master_Table!C1379-Master_Table!C1378)/Master_Table!C1378</f>
        <v>-6.1927840603122099E-3</v>
      </c>
      <c r="D1379" s="3">
        <f>(Master_Table!D1379-Master_Table!D1378)/Master_Table!D1378</f>
        <v>-4.7103960147437812E-3</v>
      </c>
      <c r="E1379" s="3">
        <f>(Master_Table!E1379-Master_Table!E1378)/Master_Table!E1378</f>
        <v>-1.5308525671220775E-3</v>
      </c>
      <c r="F1379" s="3">
        <f>(Master_Table!F1379-Master_Table!F1378)/Master_Table!F1378</f>
        <v>-7.3922860412607375E-3</v>
      </c>
      <c r="G1379" s="3">
        <f>(Master_Table!G1379-Master_Table!G1378)/Master_Table!G1378</f>
        <v>-1.5175073076683929E-2</v>
      </c>
      <c r="H1379" s="3">
        <f>(Master_Table!H1379-Master_Table!H1378)/Master_Table!H1378</f>
        <v>-8.50505165819972E-3</v>
      </c>
    </row>
    <row r="1380" spans="1:8" x14ac:dyDescent="0.3">
      <c r="A1380" s="1">
        <v>45856</v>
      </c>
      <c r="B1380" s="3">
        <f>(Master_Table!B1380-Master_Table!B1379)/Master_Table!B1379</f>
        <v>-5.6966045369741397E-3</v>
      </c>
      <c r="C1380" s="3">
        <f>(Master_Table!C1380-Master_Table!C1379)/Master_Table!C1379</f>
        <v>-2.7092928745603559E-4</v>
      </c>
      <c r="D1380" s="3">
        <f>(Master_Table!D1380-Master_Table!D1379)/Master_Table!D1379</f>
        <v>-1.4843891904982982E-2</v>
      </c>
      <c r="E1380" s="3">
        <f>(Master_Table!E1380-Master_Table!E1379)/Master_Table!E1379</f>
        <v>-2.8305224672720572E-3</v>
      </c>
      <c r="F1380" s="3">
        <f>(Master_Table!F1380-Master_Table!F1379)/Master_Table!F1379</f>
        <v>-6.0139598653869281E-3</v>
      </c>
      <c r="G1380" s="3">
        <f>(Master_Table!G1380-Master_Table!G1379)/Master_Table!G1379</f>
        <v>1.6419324281653988E-3</v>
      </c>
      <c r="H1380" s="3">
        <f>(Master_Table!H1380-Master_Table!H1379)/Master_Table!H1379</f>
        <v>-2.6482440990212488E-3</v>
      </c>
    </row>
    <row r="1381" spans="1:8" x14ac:dyDescent="0.3">
      <c r="A1381" s="1">
        <v>45859</v>
      </c>
      <c r="B1381" s="3">
        <f>(Master_Table!B1381-Master_Table!B1380)/Master_Table!B1380</f>
        <v>4.8981913138206401E-3</v>
      </c>
      <c r="C1381" s="3">
        <f>(Master_Table!C1381-Master_Table!C1380)/Master_Table!C1380</f>
        <v>-3.2113821138211443E-2</v>
      </c>
      <c r="D1381" s="3">
        <f>(Master_Table!D1381-Master_Table!D1380)/Master_Table!D1380</f>
        <v>2.2022596208016224E-2</v>
      </c>
      <c r="E1381" s="3">
        <f>(Master_Table!E1381-Master_Table!E1380)/Master_Table!E1380</f>
        <v>-6.2684801892370842E-3</v>
      </c>
      <c r="F1381" s="3">
        <f>(Master_Table!F1381-Master_Table!F1380)/Master_Table!F1380</f>
        <v>-9.9376155992351705E-3</v>
      </c>
      <c r="G1381" s="3">
        <f>(Master_Table!G1381-Master_Table!G1380)/Master_Table!G1380</f>
        <v>-1.1348590883298371E-3</v>
      </c>
      <c r="H1381" s="3">
        <f>(Master_Table!H1381-Master_Table!H1380)/Master_Table!H1380</f>
        <v>1.0967444008312167E-2</v>
      </c>
    </row>
    <row r="1382" spans="1:8" x14ac:dyDescent="0.3">
      <c r="A1382" s="1">
        <v>45860</v>
      </c>
      <c r="B1382" s="3">
        <f>(Master_Table!B1382-Master_Table!B1381)/Master_Table!B1381</f>
        <v>-1.1876910568457346E-3</v>
      </c>
      <c r="C1382" s="3">
        <f>(Master_Table!C1382-Master_Table!C1381)/Master_Table!C1381</f>
        <v>-1.1059778804423881E-2</v>
      </c>
      <c r="D1382" s="3">
        <f>(Master_Table!D1382-Master_Table!D1381)/Master_Table!D1381</f>
        <v>3.2973530974071815E-3</v>
      </c>
      <c r="E1382" s="3">
        <f>(Master_Table!E1382-Master_Table!E1381)/Master_Table!E1381</f>
        <v>-9.7595810521304994E-3</v>
      </c>
      <c r="F1382" s="3">
        <f>(Master_Table!F1382-Master_Table!F1381)/Master_Table!F1381</f>
        <v>4.4329048192010988E-4</v>
      </c>
      <c r="G1382" s="3">
        <f>(Master_Table!G1382-Master_Table!G1381)/Master_Table!G1381</f>
        <v>-8.4579940667801959E-3</v>
      </c>
      <c r="H1382" s="3">
        <f>(Master_Table!H1382-Master_Table!H1381)/Master_Table!H1381</f>
        <v>-1.0905561265273573E-2</v>
      </c>
    </row>
    <row r="1383" spans="1:8" x14ac:dyDescent="0.3">
      <c r="A1383" s="1">
        <v>45861</v>
      </c>
      <c r="B1383" s="3">
        <f>(Master_Table!B1383-Master_Table!B1382)/Master_Table!B1382</f>
        <v>6.3445446891372608E-3</v>
      </c>
      <c r="C1383" s="3">
        <f>(Master_Table!C1383-Master_Table!C1382)/Master_Table!C1382</f>
        <v>8.3522083805209202E-3</v>
      </c>
      <c r="D1383" s="3">
        <f>(Master_Table!D1383-Master_Table!D1382)/Master_Table!D1382</f>
        <v>8.5709148302799444E-3</v>
      </c>
      <c r="E1383" s="3">
        <f>(Master_Table!E1383-Master_Table!E1382)/Master_Table!E1382</f>
        <v>-2.524038461538489E-3</v>
      </c>
      <c r="F1383" s="3">
        <f>(Master_Table!F1383-Master_Table!F1382)/Master_Table!F1382</f>
        <v>6.171667299658185E-3</v>
      </c>
      <c r="G1383" s="3">
        <f>(Master_Table!G1383-Master_Table!G1382)/Master_Table!G1382</f>
        <v>2.2916799287032333E-3</v>
      </c>
      <c r="H1383" s="3">
        <f>(Master_Table!H1383-Master_Table!H1382)/Master_Table!H1382</f>
        <v>5.8592622524967332E-3</v>
      </c>
    </row>
    <row r="1384" spans="1:8" x14ac:dyDescent="0.3">
      <c r="A1384" s="1">
        <v>45862</v>
      </c>
      <c r="B1384" s="3">
        <f>(Master_Table!B1384-Master_Table!B1383)/Master_Table!B1383</f>
        <v>-6.2569637468825375E-3</v>
      </c>
      <c r="C1384" s="3">
        <f>(Master_Table!C1384-Master_Table!C1383)/Master_Table!C1383</f>
        <v>-1.5232345921662093E-2</v>
      </c>
      <c r="D1384" s="3">
        <f>(Master_Table!D1384-Master_Table!D1383)/Master_Table!D1383</f>
        <v>-4.9918782932530052E-3</v>
      </c>
      <c r="E1384" s="3">
        <f>(Master_Table!E1384-Master_Table!E1383)/Master_Table!E1383</f>
        <v>-1.2049644535486204E-2</v>
      </c>
      <c r="F1384" s="3">
        <f>(Master_Table!F1384-Master_Table!F1383)/Master_Table!F1383</f>
        <v>-9.7826428863514552E-3</v>
      </c>
      <c r="G1384" s="3">
        <f>(Master_Table!G1384-Master_Table!G1383)/Master_Table!G1383</f>
        <v>-1.3972689742775483E-2</v>
      </c>
      <c r="H1384" s="3">
        <f>(Master_Table!H1384-Master_Table!H1383)/Master_Table!H1383</f>
        <v>-2.1234468707854144E-3</v>
      </c>
    </row>
    <row r="1385" spans="1:8" x14ac:dyDescent="0.3">
      <c r="A1385" s="1">
        <v>45863</v>
      </c>
      <c r="B1385" s="3">
        <f>(Master_Table!B1385-Master_Table!B1384)/Master_Table!B1384</f>
        <v>-8.9816894833233667E-3</v>
      </c>
      <c r="C1385" s="3">
        <f>(Master_Table!C1385-Master_Table!C1384)/Master_Table!C1384</f>
        <v>-7.9834628270012437E-3</v>
      </c>
      <c r="D1385" s="3">
        <f>(Master_Table!D1385-Master_Table!D1384)/Master_Table!D1384</f>
        <v>-2.2894684451523675E-3</v>
      </c>
      <c r="E1385" s="3">
        <f>(Master_Table!E1385-Master_Table!E1384)/Master_Table!E1384</f>
        <v>-1.3416270276863311E-3</v>
      </c>
      <c r="F1385" s="3">
        <f>(Master_Table!F1385-Master_Table!F1384)/Master_Table!F1384</f>
        <v>-3.8754764930113779E-3</v>
      </c>
      <c r="G1385" s="3">
        <f>(Master_Table!G1385-Master_Table!G1384)/Master_Table!G1384</f>
        <v>-2.3703703703703675E-2</v>
      </c>
      <c r="H1385" s="3">
        <f>(Master_Table!H1385-Master_Table!H1384)/Master_Table!H1384</f>
        <v>-9.9496764917325412E-3</v>
      </c>
    </row>
    <row r="1386" spans="1:8" x14ac:dyDescent="0.3">
      <c r="A1386" s="1">
        <v>45866</v>
      </c>
      <c r="B1386" s="3">
        <f>(Master_Table!B1386-Master_Table!B1385)/Master_Table!B1385</f>
        <v>-6.2849780569311326E-3</v>
      </c>
      <c r="C1386" s="3">
        <f>(Master_Table!C1386-Master_Table!C1385)/Master_Table!C1385</f>
        <v>-2.946037220665471E-3</v>
      </c>
      <c r="D1386" s="3">
        <f>(Master_Table!D1386-Master_Table!D1385)/Master_Table!D1385</f>
        <v>1.9455252918288393E-3</v>
      </c>
      <c r="E1386" s="3">
        <f>(Master_Table!E1386-Master_Table!E1385)/Master_Table!E1385</f>
        <v>1.2212994626282364E-3</v>
      </c>
      <c r="F1386" s="3">
        <f>(Master_Table!F1386-Master_Table!F1385)/Master_Table!F1385</f>
        <v>-1.8017730722622614E-2</v>
      </c>
      <c r="G1386" s="3">
        <f>(Master_Table!G1386-Master_Table!G1385)/Master_Table!G1385</f>
        <v>1.9792834993729268E-4</v>
      </c>
      <c r="H1386" s="3">
        <f>(Master_Table!H1386-Master_Table!H1385)/Master_Table!H1385</f>
        <v>-6.012373289959125E-3</v>
      </c>
    </row>
    <row r="1387" spans="1:8" x14ac:dyDescent="0.3">
      <c r="A1387" s="1">
        <v>45867</v>
      </c>
      <c r="B1387" s="3">
        <f>(Master_Table!B1387-Master_Table!B1386)/Master_Table!B1386</f>
        <v>5.6805059783069933E-3</v>
      </c>
      <c r="C1387" s="3">
        <f>(Master_Table!C1387-Master_Table!C1386)/Master_Table!C1386</f>
        <v>2.1259729028538486E-2</v>
      </c>
      <c r="D1387" s="3">
        <f>(Master_Table!D1387-Master_Table!D1386)/Master_Table!D1386</f>
        <v>6.5222803086880301E-3</v>
      </c>
      <c r="E1387" s="3">
        <f>(Master_Table!E1387-Master_Table!E1386)/Master_Table!E1386</f>
        <v>-3.5374481580873109E-3</v>
      </c>
      <c r="F1387" s="3">
        <f>(Master_Table!F1387-Master_Table!F1386)/Master_Table!F1386</f>
        <v>-7.5666547591985781E-3</v>
      </c>
      <c r="G1387" s="3">
        <f>(Master_Table!G1387-Master_Table!G1386)/Master_Table!G1386</f>
        <v>-1.517150395778334E-3</v>
      </c>
      <c r="H1387" s="3">
        <f>(Master_Table!H1387-Master_Table!H1386)/Master_Table!H1386</f>
        <v>2.1448191222020949E-2</v>
      </c>
    </row>
    <row r="1388" spans="1:8" x14ac:dyDescent="0.3">
      <c r="A1388" s="1">
        <v>45868</v>
      </c>
      <c r="B1388" s="3">
        <f>(Master_Table!B1388-Master_Table!B1387)/Master_Table!B1387</f>
        <v>1.3677878901418845E-3</v>
      </c>
      <c r="C1388" s="3">
        <f>(Master_Table!C1388-Master_Table!C1387)/Master_Table!C1387</f>
        <v>-4.9396655140780468E-3</v>
      </c>
      <c r="D1388" s="3">
        <f>(Master_Table!D1388-Master_Table!D1387)/Master_Table!D1387</f>
        <v>2.0775623268698288E-3</v>
      </c>
      <c r="E1388" s="3">
        <f>(Master_Table!E1388-Master_Table!E1387)/Master_Table!E1387</f>
        <v>-2.0810380707552111E-3</v>
      </c>
      <c r="F1388" s="3">
        <f>(Master_Table!F1388-Master_Table!F1387)/Master_Table!F1387</f>
        <v>-7.8534031413615539E-4</v>
      </c>
      <c r="G1388" s="3">
        <f>(Master_Table!G1388-Master_Table!G1387)/Master_Table!G1387</f>
        <v>3.5013542974168953E-3</v>
      </c>
      <c r="H1388" s="3">
        <f>(Master_Table!H1388-Master_Table!H1387)/Master_Table!H1387</f>
        <v>4.8489529694473052E-2</v>
      </c>
    </row>
    <row r="1389" spans="1:8" x14ac:dyDescent="0.3">
      <c r="A1389" s="1">
        <v>45869</v>
      </c>
      <c r="B1389" s="3">
        <f>(Master_Table!B1389-Master_Table!B1388)/Master_Table!B1388</f>
        <v>-3.4882247269669838E-3</v>
      </c>
      <c r="C1389" s="3">
        <f>(Master_Table!C1389-Master_Table!C1388)/Master_Table!C1388</f>
        <v>-1.4112474292603266E-2</v>
      </c>
      <c r="D1389" s="3">
        <f>(Master_Table!D1389-Master_Table!D1388)/Master_Table!D1388</f>
        <v>-3.7516043044722625E-3</v>
      </c>
      <c r="E1389" s="3">
        <f>(Master_Table!E1389-Master_Table!E1388)/Master_Table!E1388</f>
        <v>1.0672227674190298E-2</v>
      </c>
      <c r="F1389" s="3">
        <f>(Master_Table!F1389-Master_Table!F1388)/Master_Table!F1388</f>
        <v>-5.5017029080428768E-3</v>
      </c>
      <c r="G1389" s="3">
        <f>(Master_Table!G1389-Master_Table!G1388)/Master_Table!G1388</f>
        <v>-6.5832784726793945E-3</v>
      </c>
      <c r="H1389" s="3">
        <f>(Master_Table!H1389-Master_Table!H1388)/Master_Table!H1388</f>
        <v>-7.803334151864863E-3</v>
      </c>
    </row>
    <row r="1390" spans="1:8" x14ac:dyDescent="0.3">
      <c r="A1390" s="1">
        <v>45870</v>
      </c>
      <c r="B1390" s="3">
        <f>(Master_Table!B1390-Master_Table!B1389)/Master_Table!B1389</f>
        <v>-8.1959436135229033E-3</v>
      </c>
      <c r="C1390" s="3">
        <f>(Master_Table!C1390-Master_Table!C1389)/Master_Table!C1389</f>
        <v>2.5176233635448137E-3</v>
      </c>
      <c r="D1390" s="3">
        <f>(Master_Table!D1390-Master_Table!D1389)/Master_Table!D1389</f>
        <v>-2.9729461896739668E-3</v>
      </c>
      <c r="E1390" s="3">
        <f>(Master_Table!E1390-Master_Table!E1389)/Master_Table!E1389</f>
        <v>1.0923655783468867E-2</v>
      </c>
      <c r="F1390" s="3">
        <f>(Master_Table!F1390-Master_Table!F1389)/Master_Table!F1389</f>
        <v>-1.113013698630143E-2</v>
      </c>
      <c r="G1390" s="3">
        <f>(Master_Table!G1390-Master_Table!G1389)/Master_Table!G1389</f>
        <v>-2.6110006626905297E-2</v>
      </c>
      <c r="H1390" s="3">
        <f>(Master_Table!H1390-Master_Table!H1389)/Master_Table!H1389</f>
        <v>-1.3529492644025799E-2</v>
      </c>
    </row>
    <row r="1391" spans="1:8" x14ac:dyDescent="0.3">
      <c r="A1391" s="1">
        <v>45873</v>
      </c>
      <c r="B1391" s="3">
        <f>(Master_Table!B1391-Master_Table!B1390)/Master_Table!B1390</f>
        <v>6.407399039704359E-3</v>
      </c>
      <c r="C1391" s="3">
        <f>(Master_Table!C1391-Master_Table!C1390)/Master_Table!C1390</f>
        <v>1.2771758628112187E-2</v>
      </c>
      <c r="D1391" s="3">
        <f>(Master_Table!D1391-Master_Table!D1390)/Master_Table!D1390</f>
        <v>-1.0038763542391435E-2</v>
      </c>
      <c r="E1391" s="3">
        <f>(Master_Table!E1391-Master_Table!E1390)/Master_Table!E1390</f>
        <v>9.6049945971913588E-4</v>
      </c>
      <c r="F1391" s="3">
        <f>(Master_Table!F1391-Master_Table!F1390)/Master_Table!F1390</f>
        <v>2.3776223776223807E-2</v>
      </c>
      <c r="G1391" s="3">
        <f>(Master_Table!G1391-Master_Table!G1390)/Master_Table!G1390</f>
        <v>7.4169842133914613E-3</v>
      </c>
      <c r="H1391" s="3">
        <f>(Master_Table!H1391-Master_Table!H1390)/Master_Table!H1390</f>
        <v>1.2209739915814045E-2</v>
      </c>
    </row>
    <row r="1392" spans="1:8" x14ac:dyDescent="0.3">
      <c r="A1392" s="1">
        <v>45874</v>
      </c>
      <c r="B1392" s="3">
        <f>(Master_Table!B1392-Master_Table!B1391)/Master_Table!B1391</f>
        <v>-2.9608356675531939E-3</v>
      </c>
      <c r="C1392" s="3">
        <f>(Master_Table!C1392-Master_Table!C1391)/Master_Table!C1391</f>
        <v>-1.4027630180658841E-2</v>
      </c>
      <c r="D1392" s="3">
        <f>(Master_Table!D1392-Master_Table!D1391)/Master_Table!D1391</f>
        <v>-7.2289156626506477E-3</v>
      </c>
      <c r="E1392" s="3">
        <f>(Master_Table!E1392-Master_Table!E1391)/Master_Table!E1391</f>
        <v>-6.4771500539763591E-3</v>
      </c>
      <c r="F1392" s="3">
        <f>(Master_Table!F1392-Master_Table!F1391)/Master_Table!F1391</f>
        <v>-3.4153005464480873E-3</v>
      </c>
      <c r="G1392" s="3">
        <f>(Master_Table!G1392-Master_Table!G1391)/Master_Table!G1391</f>
        <v>-1.36440391759541E-2</v>
      </c>
      <c r="H1392" s="3">
        <f>(Master_Table!H1392-Master_Table!H1391)/Master_Table!H1391</f>
        <v>5.9210707499104953E-3</v>
      </c>
    </row>
    <row r="1393" spans="1:8" x14ac:dyDescent="0.3">
      <c r="A1393" s="1">
        <v>45875</v>
      </c>
      <c r="B1393" s="3">
        <f>(Master_Table!B1393-Master_Table!B1392)/Master_Table!B1392</f>
        <v>-3.0568509364267723E-3</v>
      </c>
      <c r="C1393" s="3">
        <f>(Master_Table!C1393-Master_Table!C1392)/Master_Table!C1392</f>
        <v>7.9040022993454701E-4</v>
      </c>
      <c r="D1393" s="3">
        <f>(Master_Table!D1393-Master_Table!D1392)/Master_Table!D1392</f>
        <v>3.8936084142395053E-3</v>
      </c>
      <c r="E1393" s="3">
        <f>(Master_Table!E1393-Master_Table!E1392)/Master_Table!E1392</f>
        <v>-5.1913557889652958E-3</v>
      </c>
      <c r="F1393" s="3">
        <f>(Master_Table!F1393-Master_Table!F1392)/Master_Table!F1392</f>
        <v>-1.0313652534351613E-2</v>
      </c>
      <c r="G1393" s="3">
        <f>(Master_Table!G1393-Master_Table!G1392)/Master_Table!G1392</f>
        <v>-1.616106279531597E-2</v>
      </c>
      <c r="H1393" s="3">
        <f>(Master_Table!H1393-Master_Table!H1392)/Master_Table!H1392</f>
        <v>-6.625417510814165E-3</v>
      </c>
    </row>
    <row r="1394" spans="1:8" x14ac:dyDescent="0.3">
      <c r="A1394" s="1">
        <v>45876</v>
      </c>
      <c r="B1394" s="3">
        <f>(Master_Table!B1394-Master_Table!B1393)/Master_Table!B1393</f>
        <v>8.9321320734757294E-4</v>
      </c>
      <c r="C1394" s="3">
        <f>(Master_Table!C1394-Master_Table!C1393)/Master_Table!C1393</f>
        <v>-2.4411257897758928E-3</v>
      </c>
      <c r="D1394" s="3">
        <f>(Master_Table!D1394-Master_Table!D1393)/Master_Table!D1393</f>
        <v>5.0873923336524135E-3</v>
      </c>
      <c r="E1394" s="3">
        <f>(Master_Table!E1394-Master_Table!E1393)/Master_Table!E1393</f>
        <v>3.8834951456311233E-3</v>
      </c>
      <c r="F1394" s="3">
        <f>(Master_Table!F1394-Master_Table!F1393)/Master_Table!F1393</f>
        <v>4.8478052963096714E-3</v>
      </c>
      <c r="G1394" s="3">
        <f>(Master_Table!G1394-Master_Table!G1393)/Master_Table!G1393</f>
        <v>1.3920790700914978E-4</v>
      </c>
      <c r="H1394" s="3">
        <f>(Master_Table!H1394-Master_Table!H1393)/Master_Table!H1393</f>
        <v>3.6379671480541885E-3</v>
      </c>
    </row>
    <row r="1395" spans="1:8" x14ac:dyDescent="0.3">
      <c r="A1395" s="1">
        <v>45877</v>
      </c>
      <c r="B1395" s="3">
        <f>(Master_Table!B1395-Master_Table!B1394)/Master_Table!B1394</f>
        <v>-9.4669287673071669E-3</v>
      </c>
      <c r="C1395" s="3">
        <f>(Master_Table!C1395-Master_Table!C1394)/Master_Table!C1394</f>
        <v>-1.554627896933938E-2</v>
      </c>
      <c r="D1395" s="3">
        <f>(Master_Table!D1395-Master_Table!D1394)/Master_Table!D1394</f>
        <v>-1.0774781998596772E-2</v>
      </c>
      <c r="E1395" s="3">
        <f>(Master_Table!E1395-Master_Table!E1394)/Master_Table!E1394</f>
        <v>2.1760154738877592E-3</v>
      </c>
      <c r="F1395" s="3">
        <f>(Master_Table!F1395-Master_Table!F1394)/Master_Table!F1394</f>
        <v>-3.478831637676373E-3</v>
      </c>
      <c r="G1395" s="3">
        <f>(Master_Table!G1395-Master_Table!G1394)/Master_Table!G1394</f>
        <v>-9.6040086296890394E-3</v>
      </c>
      <c r="H1395" s="3">
        <f>(Master_Table!H1395-Master_Table!H1394)/Master_Table!H1394</f>
        <v>-9.3365553602811954E-3</v>
      </c>
    </row>
    <row r="1396" spans="1:8" x14ac:dyDescent="0.3">
      <c r="A1396" s="1">
        <v>45880</v>
      </c>
      <c r="B1396" s="3">
        <f>(Master_Table!B1396-Master_Table!B1395)/Master_Table!B1395</f>
        <v>9.1018047637224844E-3</v>
      </c>
      <c r="C1396" s="3">
        <f>(Master_Table!C1396-Master_Table!C1395)/Master_Table!C1395</f>
        <v>1.3452259102207991E-2</v>
      </c>
      <c r="D1396" s="3">
        <f>(Master_Table!D1396-Master_Table!D1395)/Master_Table!D1395</f>
        <v>1.0993464714524453E-2</v>
      </c>
      <c r="E1396" s="3">
        <f>(Master_Table!E1396-Master_Table!E1395)/Master_Table!E1395</f>
        <v>5.6694813027744822E-3</v>
      </c>
      <c r="F1396" s="3">
        <f>(Master_Table!F1396-Master_Table!F1395)/Master_Table!F1395</f>
        <v>1.4490844421025197E-3</v>
      </c>
      <c r="G1396" s="3">
        <f>(Master_Table!G1396-Master_Table!G1395)/Master_Table!G1395</f>
        <v>3.5837256693135667E-3</v>
      </c>
      <c r="H1396" s="3">
        <f>(Master_Table!H1396-Master_Table!H1395)/Master_Table!H1395</f>
        <v>1.6853309679565411E-2</v>
      </c>
    </row>
    <row r="1397" spans="1:8" x14ac:dyDescent="0.3">
      <c r="A1397" s="1">
        <v>45881</v>
      </c>
      <c r="B1397" s="3">
        <f>(Master_Table!B1397-Master_Table!B1396)/Master_Table!B1396</f>
        <v>-3.9719260282162459E-3</v>
      </c>
      <c r="C1397" s="3">
        <f>(Master_Table!C1397-Master_Table!C1396)/Master_Table!C1396</f>
        <v>-4.1841004184100085E-3</v>
      </c>
      <c r="D1397" s="3">
        <f>(Master_Table!D1397-Master_Table!D1396)/Master_Table!D1396</f>
        <v>-1.2878332331128391E-2</v>
      </c>
      <c r="E1397" s="3">
        <f>(Master_Table!E1397-Master_Table!E1396)/Master_Table!E1396</f>
        <v>-1.199472232217824E-3</v>
      </c>
      <c r="F1397" s="3">
        <f>(Master_Table!F1397-Master_Table!F1396)/Master_Table!F1396</f>
        <v>-1.7758484609313636E-3</v>
      </c>
      <c r="G1397" s="3">
        <f>(Master_Table!G1397-Master_Table!G1396)/Master_Table!G1396</f>
        <v>-2.8707463940625517E-3</v>
      </c>
      <c r="H1397" s="3">
        <f>(Master_Table!H1397-Master_Table!H1396)/Master_Table!H1396</f>
        <v>4.8249918220477092E-3</v>
      </c>
    </row>
    <row r="1398" spans="1:8" x14ac:dyDescent="0.3">
      <c r="A1398" s="1">
        <v>45882</v>
      </c>
      <c r="B1398" s="3">
        <f>(Master_Table!B1398-Master_Table!B1397)/Master_Table!B1397</f>
        <v>5.3884855068319663E-3</v>
      </c>
      <c r="C1398" s="3">
        <f>(Master_Table!C1398-Master_Table!C1397)/Master_Table!C1397</f>
        <v>1.5937409446535916E-3</v>
      </c>
      <c r="D1398" s="3">
        <f>(Master_Table!D1398-Master_Table!D1397)/Master_Table!D1397</f>
        <v>5.2794558099395214E-3</v>
      </c>
      <c r="E1398" s="3">
        <f>(Master_Table!E1398-Master_Table!E1397)/Master_Table!E1397</f>
        <v>-5.4041071214122726E-3</v>
      </c>
      <c r="F1398" s="3">
        <f>(Master_Table!F1398-Master_Table!F1397)/Master_Table!F1397</f>
        <v>2.6355669763448872E-4</v>
      </c>
      <c r="G1398" s="3">
        <f>(Master_Table!G1398-Master_Table!G1397)/Master_Table!G1397</f>
        <v>1.755494698406011E-3</v>
      </c>
      <c r="H1398" s="3">
        <f>(Master_Table!H1398-Master_Table!H1397)/Master_Table!H1397</f>
        <v>2.0617997341363255E-3</v>
      </c>
    </row>
    <row r="1399" spans="1:8" x14ac:dyDescent="0.3">
      <c r="A1399" s="1">
        <v>45883</v>
      </c>
      <c r="B1399" s="3">
        <f>(Master_Table!B1399-Master_Table!B1398)/Master_Table!B1398</f>
        <v>4.8539055661504988E-4</v>
      </c>
      <c r="C1399" s="3">
        <f>(Master_Table!C1399-Master_Table!C1398)/Master_Table!C1398</f>
        <v>-6.3648199045276688E-3</v>
      </c>
      <c r="D1399" s="3">
        <f>(Master_Table!D1399-Master_Table!D1398)/Master_Table!D1398</f>
        <v>5.4537191334646041E-3</v>
      </c>
      <c r="E1399" s="3">
        <f>(Master_Table!E1399-Master_Table!E1398)/Master_Table!E1398</f>
        <v>-6.3994204298479448E-3</v>
      </c>
      <c r="F1399" s="3">
        <f>(Master_Table!F1399-Master_Table!F1398)/Master_Table!F1398</f>
        <v>-4.5780910348460699E-3</v>
      </c>
      <c r="G1399" s="3">
        <f>(Master_Table!G1399-Master_Table!G1398)/Master_Table!G1398</f>
        <v>1.479041076685836E-2</v>
      </c>
      <c r="H1399" s="3">
        <f>(Master_Table!H1399-Master_Table!H1398)/Master_Table!H1398</f>
        <v>-4.5212117930529868E-3</v>
      </c>
    </row>
    <row r="1400" spans="1:8" x14ac:dyDescent="0.3">
      <c r="A1400" s="1">
        <v>45887</v>
      </c>
      <c r="B1400" s="3">
        <f>(Master_Table!B1400-Master_Table!B1399)/Master_Table!B1399</f>
        <v>9.9730830285044425E-3</v>
      </c>
      <c r="C1400" s="3">
        <f>(Master_Table!C1400-Master_Table!C1399)/Master_Table!C1399</f>
        <v>5.7504731401951462E-3</v>
      </c>
      <c r="D1400" s="3">
        <f>(Master_Table!D1400-Master_Table!D1399)/Master_Table!D1399</f>
        <v>6.2779368188438552E-3</v>
      </c>
      <c r="E1400" s="3">
        <f>(Master_Table!E1400-Master_Table!E1399)/Master_Table!E1399</f>
        <v>-1.2516709199173599E-2</v>
      </c>
      <c r="F1400" s="3">
        <f>(Master_Table!F1400-Master_Table!F1399)/Master_Table!F1399</f>
        <v>-3.6726995996427766E-3</v>
      </c>
      <c r="G1400" s="3">
        <f>(Master_Table!G1400-Master_Table!G1399)/Master_Table!G1399</f>
        <v>-8.2199350694205225E-3</v>
      </c>
      <c r="H1400" s="3">
        <f>(Master_Table!H1400-Master_Table!H1399)/Master_Table!H1399</f>
        <v>-1.1395159097090045E-2</v>
      </c>
    </row>
    <row r="1401" spans="1:8" x14ac:dyDescent="0.3">
      <c r="A1401" s="1">
        <v>45888</v>
      </c>
      <c r="B1401" s="3">
        <f>(Master_Table!B1401-Master_Table!B1400)/Master_Table!B1400</f>
        <v>4.1685174428537555E-3</v>
      </c>
      <c r="C1401" s="3">
        <f>(Master_Table!C1401-Master_Table!C1400)/Master_Table!C1400</f>
        <v>2.7791850618802825E-2</v>
      </c>
      <c r="D1401" s="3">
        <f>(Master_Table!D1401-Master_Table!D1400)/Master_Table!D1400</f>
        <v>-6.2387702136154927E-3</v>
      </c>
      <c r="E1401" s="3">
        <f>(Master_Table!E1401-Master_Table!E1400)/Master_Table!E1400</f>
        <v>6.8914595126753908E-3</v>
      </c>
      <c r="F1401" s="3">
        <f>(Master_Table!F1401-Master_Table!F1400)/Master_Table!F1400</f>
        <v>1.6604675876726888E-3</v>
      </c>
      <c r="G1401" s="3">
        <f>(Master_Table!G1401-Master_Table!G1400)/Master_Table!G1400</f>
        <v>2.9251984956122339E-3</v>
      </c>
      <c r="H1401" s="3">
        <f>(Master_Table!H1401-Master_Table!H1400)/Master_Table!H1400</f>
        <v>-6.0796126654012019E-3</v>
      </c>
    </row>
    <row r="1402" spans="1:8" x14ac:dyDescent="0.3">
      <c r="A1402" s="1">
        <v>45889</v>
      </c>
      <c r="B1402" s="3">
        <f>(Master_Table!B1402-Master_Table!B1401)/Master_Table!B1401</f>
        <v>2.7981657803138756E-3</v>
      </c>
      <c r="C1402" s="3">
        <f>(Master_Table!C1402-Master_Table!C1401)/Master_Table!C1401</f>
        <v>-4.9996479121188009E-3</v>
      </c>
      <c r="D1402" s="3">
        <f>(Master_Table!D1402-Master_Table!D1401)/Master_Table!D1401</f>
        <v>-1.4564813419717059E-3</v>
      </c>
      <c r="E1402" s="3">
        <f>(Master_Table!E1402-Master_Table!E1401)/Master_Table!E1401</f>
        <v>-7.455389880224911E-3</v>
      </c>
      <c r="F1402" s="3">
        <f>(Master_Table!F1402-Master_Table!F1401)/Master_Table!F1401</f>
        <v>2.731914329288512E-2</v>
      </c>
      <c r="G1402" s="3">
        <f>(Master_Table!G1402-Master_Table!G1401)/Master_Table!G1401</f>
        <v>3.9027777777777807E-2</v>
      </c>
      <c r="H1402" s="3">
        <f>(Master_Table!H1402-Master_Table!H1401)/Master_Table!H1401</f>
        <v>-5.7293108220315024E-3</v>
      </c>
    </row>
    <row r="1403" spans="1:8" x14ac:dyDescent="0.3">
      <c r="A1403" s="1">
        <v>45890</v>
      </c>
      <c r="B1403" s="3">
        <f>(Master_Table!B1403-Master_Table!B1402)/Master_Table!B1402</f>
        <v>1.3253202025504721E-3</v>
      </c>
      <c r="C1403" s="3">
        <f>(Master_Table!C1403-Master_Table!C1402)/Master_Table!C1402</f>
        <v>8.351026185421058E-3</v>
      </c>
      <c r="D1403" s="3">
        <f>(Master_Table!D1403-Master_Table!D1402)/Master_Table!D1402</f>
        <v>1.5089025248968917E-3</v>
      </c>
      <c r="E1403" s="3">
        <f>(Master_Table!E1403-Master_Table!E1402)/Master_Table!E1402</f>
        <v>-1.2313754463735994E-3</v>
      </c>
      <c r="F1403" s="3">
        <f>(Master_Table!F1403-Master_Table!F1402)/Master_Table!F1402</f>
        <v>1.2909055702575356E-3</v>
      </c>
      <c r="G1403" s="3">
        <f>(Master_Table!G1403-Master_Table!G1402)/Master_Table!G1402</f>
        <v>1.3367196898813358E-4</v>
      </c>
      <c r="H1403" s="3">
        <f>(Master_Table!H1403-Master_Table!H1402)/Master_Table!H1402</f>
        <v>5.6509756980206906E-3</v>
      </c>
    </row>
    <row r="1404" spans="1:8" x14ac:dyDescent="0.3">
      <c r="A1404" s="1">
        <v>45891</v>
      </c>
      <c r="B1404" s="3">
        <f>(Master_Table!B1404-Master_Table!B1403)/Master_Table!B1403</f>
        <v>-8.5174664872677119E-3</v>
      </c>
      <c r="C1404" s="3">
        <f>(Master_Table!C1404-Master_Table!C1403)/Master_Table!C1403</f>
        <v>-1.0948905109488987E-2</v>
      </c>
      <c r="D1404" s="3">
        <f>(Master_Table!D1404-Master_Table!D1403)/Master_Table!D1403</f>
        <v>-1.3358778625954266E-2</v>
      </c>
      <c r="E1404" s="3">
        <f>(Master_Table!E1404-Master_Table!E1403)/Master_Table!E1403</f>
        <v>-1.7876957218592036E-2</v>
      </c>
      <c r="F1404" s="3">
        <f>(Master_Table!F1404-Master_Table!F1403)/Master_Table!F1403</f>
        <v>-1.5664281570295851E-2</v>
      </c>
      <c r="G1404" s="3">
        <f>(Master_Table!G1404-Master_Table!G1403)/Master_Table!G1403</f>
        <v>-5.9476075915531213E-3</v>
      </c>
      <c r="H1404" s="3">
        <f>(Master_Table!H1404-Master_Table!H1403)/Master_Table!H1403</f>
        <v>-4.6503903006144404E-3</v>
      </c>
    </row>
    <row r="1405" spans="1:8" x14ac:dyDescent="0.3">
      <c r="A1405" s="1">
        <v>45894</v>
      </c>
      <c r="B1405" s="3">
        <f>(Master_Table!B1405-Master_Table!B1404)/Master_Table!B1404</f>
        <v>3.9264015826233692E-3</v>
      </c>
      <c r="C1405" s="3">
        <f>(Master_Table!C1405-Master_Table!C1404)/Master_Table!C1404</f>
        <v>2.4127164348565593E-3</v>
      </c>
      <c r="D1405" s="3">
        <f>(Master_Table!D1405-Master_Table!D1404)/Master_Table!D1404</f>
        <v>-2.5450473378804846E-4</v>
      </c>
      <c r="E1405" s="3">
        <f>(Master_Table!E1405-Master_Table!E1404)/Master_Table!E1404</f>
        <v>2.6362038664323661E-3</v>
      </c>
      <c r="F1405" s="3">
        <f>(Master_Table!F1405-Master_Table!F1404)/Master_Table!F1404</f>
        <v>2.8356254092992767E-2</v>
      </c>
      <c r="G1405" s="3">
        <f>(Master_Table!G1405-Master_Table!G1404)/Master_Table!G1404</f>
        <v>2.9983193277310864E-2</v>
      </c>
      <c r="H1405" s="3">
        <f>(Master_Table!H1405-Master_Table!H1404)/Master_Table!H1404</f>
        <v>2.030146281773104E-3</v>
      </c>
    </row>
    <row r="1406" spans="1:8" x14ac:dyDescent="0.3">
      <c r="A1406" s="1">
        <v>45895</v>
      </c>
      <c r="B1406" s="3">
        <f>(Master_Table!B1406-Master_Table!B1405)/Master_Table!B1405</f>
        <v>-1.0241211162399524E-2</v>
      </c>
      <c r="C1406" s="3">
        <f>(Master_Table!C1406-Master_Table!C1405)/Master_Table!C1405</f>
        <v>-1.9609231204870323E-2</v>
      </c>
      <c r="D1406" s="3">
        <f>(Master_Table!D1406-Master_Table!D1405)/Master_Table!D1405</f>
        <v>-8.808105493610283E-3</v>
      </c>
      <c r="E1406" s="3">
        <f>(Master_Table!E1406-Master_Table!E1405)/Master_Table!E1405</f>
        <v>1.0016276449229998E-2</v>
      </c>
      <c r="F1406" s="3">
        <f>(Master_Table!F1406-Master_Table!F1405)/Master_Table!F1405</f>
        <v>5.2856142138444596E-3</v>
      </c>
      <c r="G1406" s="3">
        <f>(Master_Table!G1406-Master_Table!G1405)/Master_Table!G1405</f>
        <v>-1.6317472749820508E-3</v>
      </c>
      <c r="H1406" s="3">
        <f>(Master_Table!H1406-Master_Table!H1405)/Master_Table!H1405</f>
        <v>-1.7151896977602544E-2</v>
      </c>
    </row>
    <row r="1407" spans="1:8" x14ac:dyDescent="0.3">
      <c r="A1407" s="1">
        <v>45897</v>
      </c>
      <c r="B1407" s="3">
        <f>(Master_Table!B1407-Master_Table!B1406)/Master_Table!B1406</f>
        <v>-8.5444145669824161E-3</v>
      </c>
      <c r="C1407" s="3">
        <f>(Master_Table!C1407-Master_Table!C1406)/Master_Table!C1406</f>
        <v>7.2207379594194522E-4</v>
      </c>
      <c r="D1407" s="3">
        <f>(Master_Table!D1407-Master_Table!D1406)/Master_Table!D1406</f>
        <v>-1.6026299568522726E-2</v>
      </c>
      <c r="E1407" s="3">
        <f>(Master_Table!E1407-Master_Table!E1406)/Master_Table!E1406</f>
        <v>-6.0741291682163022E-3</v>
      </c>
      <c r="F1407" s="3">
        <f>(Master_Table!F1407-Master_Table!F1406)/Master_Table!F1406</f>
        <v>-2.011275814012416E-2</v>
      </c>
      <c r="G1407" s="3">
        <f>(Master_Table!G1407-Master_Table!G1406)/Master_Table!G1406</f>
        <v>-1.9286087866108789E-2</v>
      </c>
      <c r="H1407" s="3">
        <f>(Master_Table!H1407-Master_Table!H1406)/Master_Table!H1406</f>
        <v>5.3087849094964352E-3</v>
      </c>
    </row>
    <row r="1408" spans="1:8" x14ac:dyDescent="0.3">
      <c r="A1408" s="1">
        <v>45898</v>
      </c>
      <c r="B1408" s="3">
        <f>(Master_Table!B1408-Master_Table!B1407)/Master_Table!B1407</f>
        <v>-3.0223379549323866E-3</v>
      </c>
      <c r="C1408" s="3">
        <f>(Master_Table!C1408-Master_Table!C1407)/Master_Table!C1407</f>
        <v>-2.0708564831517458E-2</v>
      </c>
      <c r="D1408" s="3">
        <f>(Master_Table!D1408-Master_Table!D1407)/Master_Table!D1407</f>
        <v>-6.4731676759239212E-3</v>
      </c>
      <c r="E1408" s="3">
        <f>(Master_Table!E1408-Master_Table!E1407)/Master_Table!E1407</f>
        <v>2.2075330506360746E-2</v>
      </c>
      <c r="F1408" s="3">
        <f>(Master_Table!F1408-Master_Table!F1407)/Master_Table!F1407</f>
        <v>-2.9091379254614219E-3</v>
      </c>
      <c r="G1408" s="3">
        <f>(Master_Table!G1408-Master_Table!G1407)/Master_Table!G1407</f>
        <v>-2.0331977868142125E-2</v>
      </c>
      <c r="H1408" s="3">
        <f>(Master_Table!H1408-Master_Table!H1407)/Master_Table!H1407</f>
        <v>1.1488441335917556E-2</v>
      </c>
    </row>
    <row r="1409" spans="1:8" x14ac:dyDescent="0.3">
      <c r="A1409" s="1">
        <v>45901</v>
      </c>
      <c r="B1409" s="3">
        <f>(Master_Table!B1409-Master_Table!B1408)/Master_Table!B1408</f>
        <v>8.1140220699763062E-3</v>
      </c>
      <c r="C1409" s="3">
        <f>(Master_Table!C1409-Master_Table!C1408)/Master_Table!C1408</f>
        <v>-2.4314765694075703E-3</v>
      </c>
      <c r="D1409" s="3">
        <f>(Master_Table!D1409-Master_Table!D1408)/Master_Table!D1408</f>
        <v>-1.0508617065994115E-3</v>
      </c>
      <c r="E1409" s="3">
        <f>(Master_Table!E1409-Master_Table!E1408)/Master_Table!E1408</f>
        <v>-9.5179987797436912E-3</v>
      </c>
      <c r="F1409" s="3">
        <f>(Master_Table!F1409-Master_Table!F1408)/Master_Table!F1408</f>
        <v>9.0446396732259508E-3</v>
      </c>
      <c r="G1409" s="3">
        <f>(Master_Table!G1409-Master_Table!G1408)/Master_Table!G1408</f>
        <v>2.0277626565051839E-2</v>
      </c>
      <c r="H1409" s="3">
        <f>(Master_Table!H1409-Master_Table!H1408)/Master_Table!H1408</f>
        <v>-7.2202166064979419E-4</v>
      </c>
    </row>
    <row r="1410" spans="1:8" x14ac:dyDescent="0.3">
      <c r="A1410" s="1">
        <v>45902</v>
      </c>
      <c r="B1410" s="3">
        <f>(Master_Table!B1410-Master_Table!B1409)/Master_Table!B1409</f>
        <v>-1.845681531611133E-3</v>
      </c>
      <c r="C1410" s="3">
        <f>(Master_Table!C1410-Master_Table!C1409)/Master_Table!C1409</f>
        <v>9.3064480389983811E-3</v>
      </c>
      <c r="D1410" s="3">
        <f>(Master_Table!D1410-Master_Table!D1409)/Master_Table!D1409</f>
        <v>-6.4169997896065881E-3</v>
      </c>
      <c r="E1410" s="3">
        <f>(Master_Table!E1410-Master_Table!E1409)/Master_Table!E1409</f>
        <v>2.2175680670197787E-3</v>
      </c>
      <c r="F1410" s="3">
        <f>(Master_Table!F1410-Master_Table!F1409)/Master_Table!F1409</f>
        <v>-3.534023003276711E-4</v>
      </c>
      <c r="G1410" s="3">
        <f>(Master_Table!G1410-Master_Table!G1409)/Master_Table!G1409</f>
        <v>-4.6685340802990894E-4</v>
      </c>
      <c r="H1410" s="3">
        <f>(Master_Table!H1410-Master_Table!H1409)/Master_Table!H1409</f>
        <v>-6.5306803023566029E-3</v>
      </c>
    </row>
    <row r="1411" spans="1:8" x14ac:dyDescent="0.3">
      <c r="A1411" s="1">
        <v>45903</v>
      </c>
      <c r="B1411" s="3">
        <f>(Master_Table!B1411-Master_Table!B1410)/Master_Table!B1410</f>
        <v>5.5106673827076411E-3</v>
      </c>
      <c r="C1411" s="3">
        <f>(Master_Table!C1411-Master_Table!C1410)/Master_Table!C1410</f>
        <v>4.4639590193925422E-3</v>
      </c>
      <c r="D1411" s="3">
        <f>(Master_Table!D1411-Master_Table!D1410)/Master_Table!D1410</f>
        <v>1.0534674430915877E-2</v>
      </c>
      <c r="E1411" s="3">
        <f>(Master_Table!E1411-Master_Table!E1410)/Master_Table!E1410</f>
        <v>1.2292562999385371E-2</v>
      </c>
      <c r="F1411" s="3">
        <f>(Master_Table!F1411-Master_Table!F1410)/Master_Table!F1410</f>
        <v>-4.4994375703037125E-3</v>
      </c>
      <c r="G1411" s="3">
        <f>(Master_Table!G1411-Master_Table!G1410)/Master_Table!G1410</f>
        <v>-1.3078000934143014E-2</v>
      </c>
      <c r="H1411" s="3">
        <f>(Master_Table!H1411-Master_Table!H1410)/Master_Table!H1410</f>
        <v>7.2449579009203303E-3</v>
      </c>
    </row>
    <row r="1412" spans="1:8" x14ac:dyDescent="0.3">
      <c r="A1412" s="1">
        <v>45904</v>
      </c>
      <c r="B1412" s="3">
        <f>(Master_Table!B1412-Master_Table!B1411)/Master_Table!B1411</f>
        <v>7.7887764742535419E-4</v>
      </c>
      <c r="C1412" s="3">
        <f>(Master_Table!C1412-Master_Table!C1411)/Master_Table!C1411</f>
        <v>-9.6896400990820024E-3</v>
      </c>
      <c r="D1412" s="3">
        <f>(Master_Table!D1412-Master_Table!D1411)/Master_Table!D1411</f>
        <v>7.1245219760070764E-3</v>
      </c>
      <c r="E1412" s="3">
        <f>(Master_Table!E1412-Master_Table!E1411)/Master_Table!E1411</f>
        <v>1.0078931390406744E-2</v>
      </c>
      <c r="F1412" s="3">
        <f>(Master_Table!F1412-Master_Table!F1411)/Master_Table!F1411</f>
        <v>-5.8111380145284318E-4</v>
      </c>
      <c r="G1412" s="3">
        <f>(Master_Table!G1412-Master_Table!G1411)/Master_Table!G1411</f>
        <v>-1.0884997633696106E-2</v>
      </c>
      <c r="H1412" s="3">
        <f>(Master_Table!H1412-Master_Table!H1411)/Master_Table!H1411</f>
        <v>-2.2772717173962097E-3</v>
      </c>
    </row>
    <row r="1413" spans="1:8" x14ac:dyDescent="0.3">
      <c r="A1413" s="1">
        <v>45905</v>
      </c>
      <c r="B1413" s="3">
        <f>(Master_Table!B1413-Master_Table!B1412)/Master_Table!B1412</f>
        <v>2.7087890095942588E-4</v>
      </c>
      <c r="C1413" s="3">
        <f>(Master_Table!C1413-Master_Table!C1412)/Master_Table!C1412</f>
        <v>1.1550062532185717E-2</v>
      </c>
      <c r="D1413" s="3">
        <f>(Master_Table!D1413-Master_Table!D1412)/Master_Table!D1412</f>
        <v>2.2366710013003665E-3</v>
      </c>
      <c r="E1413" s="3">
        <f>(Master_Table!E1413-Master_Table!E1412)/Master_Table!E1412</f>
        <v>-2.0557826400576955E-2</v>
      </c>
      <c r="F1413" s="3">
        <f>(Master_Table!F1413-Master_Table!F1412)/Master_Table!F1412</f>
        <v>-1.5311561197790367E-2</v>
      </c>
      <c r="G1413" s="3">
        <f>(Master_Table!G1413-Master_Table!G1412)/Master_Table!G1412</f>
        <v>-1.2576896787423165E-2</v>
      </c>
      <c r="H1413" s="3">
        <f>(Master_Table!H1413-Master_Table!H1412)/Master_Table!H1412</f>
        <v>-1.085564772031398E-2</v>
      </c>
    </row>
    <row r="1414" spans="1:8" x14ac:dyDescent="0.3">
      <c r="A1414" s="1">
        <v>45908</v>
      </c>
      <c r="B1414" s="3">
        <f>(Master_Table!B1414-Master_Table!B1413)/Master_Table!B1413</f>
        <v>1.2994624307829698E-3</v>
      </c>
      <c r="C1414" s="3">
        <f>(Master_Table!C1414-Master_Table!C1413)/Master_Table!C1413</f>
        <v>2.5454545454545456E-3</v>
      </c>
      <c r="D1414" s="3">
        <f>(Master_Table!D1414-Master_Table!D1413)/Master_Table!D1413</f>
        <v>2.6987751712684478E-3</v>
      </c>
      <c r="E1414" s="3">
        <f>(Master_Table!E1414-Master_Table!E1413)/Master_Table!E1413</f>
        <v>4.9097827421133819E-4</v>
      </c>
      <c r="F1414" s="3">
        <f>(Master_Table!F1414-Master_Table!F1413)/Master_Table!F1413</f>
        <v>-9.6119148377784933E-3</v>
      </c>
      <c r="G1414" s="3">
        <f>(Master_Table!G1414-Master_Table!G1413)/Master_Table!G1413</f>
        <v>-8.0991277862382804E-3</v>
      </c>
      <c r="H1414" s="3">
        <f>(Master_Table!H1414-Master_Table!H1413)/Master_Table!H1413</f>
        <v>-6.7537145429986496E-3</v>
      </c>
    </row>
    <row r="1415" spans="1:8" x14ac:dyDescent="0.3">
      <c r="A1415" s="1">
        <v>45909</v>
      </c>
      <c r="B1415" s="3">
        <f>(Master_Table!B1415-Master_Table!B1414)/Master_Table!B1414</f>
        <v>3.8529617751475722E-3</v>
      </c>
      <c r="C1415" s="3">
        <f>(Master_Table!C1415-Master_Table!C1414)/Master_Table!C1414</f>
        <v>-1.6684802321363472E-3</v>
      </c>
      <c r="D1415" s="3">
        <f>(Master_Table!D1415-Master_Table!D1414)/Master_Table!D1414</f>
        <v>-8.7991718426503392E-4</v>
      </c>
      <c r="E1415" s="3">
        <f>(Master_Table!E1415-Master_Table!E1414)/Master_Table!E1414</f>
        <v>6.1342166605324495E-3</v>
      </c>
      <c r="F1415" s="3">
        <f>(Master_Table!F1415-Master_Table!F1414)/Master_Table!F1414</f>
        <v>1.0069559456773796E-2</v>
      </c>
      <c r="G1415" s="3">
        <f>(Master_Table!G1415-Master_Table!G1414)/Master_Table!G1414</f>
        <v>4.9829018075231948E-2</v>
      </c>
      <c r="H1415" s="3">
        <f>(Master_Table!H1415-Master_Table!H1414)/Master_Table!H1414</f>
        <v>-1.303263825929258E-3</v>
      </c>
    </row>
    <row r="1416" spans="1:8" x14ac:dyDescent="0.3">
      <c r="A1416" s="1">
        <v>45910</v>
      </c>
      <c r="B1416" s="3">
        <f>(Master_Table!B1416-Master_Table!B1415)/Master_Table!B1415</f>
        <v>4.202086164882623E-3</v>
      </c>
      <c r="C1416" s="3">
        <f>(Master_Table!C1416-Master_Table!C1415)/Master_Table!C1415</f>
        <v>5.8131085598020233E-4</v>
      </c>
      <c r="D1416" s="3">
        <f>(Master_Table!D1416-Master_Table!D1415)/Master_Table!D1415</f>
        <v>7.770812827021707E-4</v>
      </c>
      <c r="E1416" s="3">
        <f>(Master_Table!E1416-Master_Table!E1415)/Master_Table!E1415</f>
        <v>7.3161809535422506E-3</v>
      </c>
      <c r="F1416" s="3">
        <f>(Master_Table!F1416-Master_Table!F1415)/Master_Table!F1415</f>
        <v>1.9872761854791077E-2</v>
      </c>
      <c r="G1416" s="3">
        <f>(Master_Table!G1416-Master_Table!G1415)/Master_Table!G1415</f>
        <v>1.8812736821112782E-2</v>
      </c>
      <c r="H1416" s="3">
        <f>(Master_Table!H1416-Master_Table!H1415)/Master_Table!H1415</f>
        <v>7.0921985815602835E-3</v>
      </c>
    </row>
    <row r="1417" spans="1:8" x14ac:dyDescent="0.3">
      <c r="A1417" s="1">
        <v>45911</v>
      </c>
      <c r="B1417" s="3">
        <f>(Master_Table!B1417-Master_Table!B1416)/Master_Table!B1416</f>
        <v>1.2973959980940074E-3</v>
      </c>
      <c r="C1417" s="3">
        <f>(Master_Table!C1417-Master_Table!C1416)/Master_Table!C1416</f>
        <v>4.5751633986927777E-3</v>
      </c>
      <c r="D1417" s="3">
        <f>(Master_Table!D1417-Master_Table!D1416)/Master_Table!D1416</f>
        <v>1.9670773371984443E-3</v>
      </c>
      <c r="E1417" s="3">
        <f>(Master_Table!E1417-Master_Table!E1416)/Master_Table!E1416</f>
        <v>4.8420288100714196E-3</v>
      </c>
      <c r="F1417" s="3">
        <f>(Master_Table!F1417-Master_Table!F1416)/Master_Table!F1416</f>
        <v>4.5659163987137675E-3</v>
      </c>
      <c r="G1417" s="3">
        <f>(Master_Table!G1417-Master_Table!G1416)/Master_Table!G1416</f>
        <v>-1.4941928748531818E-2</v>
      </c>
      <c r="H1417" s="3">
        <f>(Master_Table!H1417-Master_Table!H1416)/Master_Table!H1416</f>
        <v>-2.9014084507042767E-3</v>
      </c>
    </row>
    <row r="1418" spans="1:8" x14ac:dyDescent="0.3">
      <c r="A1418" s="1">
        <v>45912</v>
      </c>
      <c r="B1418" s="3">
        <f>(Master_Table!B1418-Master_Table!B1417)/Master_Table!B1417</f>
        <v>4.3390454100097975E-3</v>
      </c>
      <c r="C1418" s="3">
        <f>(Master_Table!C1418-Master_Table!C1417)/Master_Table!C1417</f>
        <v>8.4580351333767411E-3</v>
      </c>
      <c r="D1418" s="3">
        <f>(Master_Table!D1418-Master_Table!D1417)/Master_Table!D1417</f>
        <v>-5.1663566852655507E-4</v>
      </c>
      <c r="E1418" s="3">
        <f>(Master_Table!E1418-Master_Table!E1417)/Master_Table!E1417</f>
        <v>-3.1321527526804271E-3</v>
      </c>
      <c r="F1418" s="3">
        <f>(Master_Table!F1418-Master_Table!F1417)/Master_Table!F1417</f>
        <v>2.9447538569874762E-3</v>
      </c>
      <c r="G1418" s="3">
        <f>(Master_Table!G1418-Master_Table!G1417)/Master_Table!G1417</f>
        <v>1.0531893753725815E-2</v>
      </c>
      <c r="H1418" s="3">
        <f>(Master_Table!H1418-Master_Table!H1417)/Master_Table!H1417</f>
        <v>1.1328643670367648E-2</v>
      </c>
    </row>
    <row r="1419" spans="1:8" x14ac:dyDescent="0.3">
      <c r="A1419" s="1">
        <v>45915</v>
      </c>
      <c r="B1419" s="3">
        <f>(Master_Table!B1419-Master_Table!B1418)/Master_Table!B1418</f>
        <v>-1.7838655729871494E-3</v>
      </c>
      <c r="C1419" s="3">
        <f>(Master_Table!C1419-Master_Table!C1418)/Master_Table!C1418</f>
        <v>3.0824372759856306E-3</v>
      </c>
      <c r="D1419" s="3">
        <f>(Master_Table!D1419-Master_Table!D1418)/Master_Table!D1418</f>
        <v>-2.5845135945415073E-4</v>
      </c>
      <c r="E1419" s="3">
        <f>(Master_Table!E1419-Master_Table!E1418)/Master_Table!E1418</f>
        <v>-2.6586102719033783E-3</v>
      </c>
      <c r="F1419" s="3">
        <f>(Master_Table!F1419-Master_Table!F1418)/Master_Table!F1418</f>
        <v>-6.8615561371034653E-3</v>
      </c>
      <c r="G1419" s="3">
        <f>(Master_Table!G1419-Master_Table!G1418)/Master_Table!G1418</f>
        <v>-1.1274252753015088E-2</v>
      </c>
      <c r="H1419" s="3">
        <f>(Master_Table!H1419-Master_Table!H1418)/Master_Table!H1418</f>
        <v>1.7878093748253075E-3</v>
      </c>
    </row>
    <row r="1420" spans="1:8" x14ac:dyDescent="0.3">
      <c r="A1420" s="1">
        <v>45916</v>
      </c>
      <c r="B1420" s="3">
        <f>(Master_Table!B1420-Master_Table!B1419)/Master_Table!B1419</f>
        <v>6.7772405980245807E-3</v>
      </c>
      <c r="C1420" s="3">
        <f>(Master_Table!C1420-Master_Table!C1419)/Master_Table!C1419</f>
        <v>4.2878582148216963E-3</v>
      </c>
      <c r="D1420" s="3">
        <f>(Master_Table!D1420-Master_Table!D1419)/Master_Table!D1419</f>
        <v>-2.0681453906202553E-4</v>
      </c>
      <c r="E1420" s="3">
        <f>(Master_Table!E1420-Master_Table!E1419)/Master_Table!E1419</f>
        <v>1.0905125408943305E-3</v>
      </c>
      <c r="F1420" s="3">
        <f>(Master_Table!F1420-Master_Table!F1419)/Master_Table!F1419</f>
        <v>1.0861531540216501E-2</v>
      </c>
      <c r="G1420" s="3">
        <f>(Master_Table!G1420-Master_Table!G1419)/Master_Table!G1419</f>
        <v>1.9225669583663905E-3</v>
      </c>
      <c r="H1420" s="3">
        <f>(Master_Table!H1420-Master_Table!H1419)/Master_Table!H1419</f>
        <v>2.2753889911326854E-2</v>
      </c>
    </row>
    <row r="1421" spans="1:8" x14ac:dyDescent="0.3">
      <c r="A1421" s="1">
        <v>45917</v>
      </c>
      <c r="B1421" s="3">
        <f>(Master_Table!B1421-Master_Table!B1420)/Master_Table!B1420</f>
        <v>3.6114599965926465E-3</v>
      </c>
      <c r="C1421" s="3">
        <f>(Master_Table!C1421-Master_Table!C1420)/Master_Table!C1420</f>
        <v>6.0485305628691383E-3</v>
      </c>
      <c r="D1421" s="3">
        <f>(Master_Table!D1421-Master_Table!D1420)/Master_Table!D1420</f>
        <v>-3.6200031028600378E-4</v>
      </c>
      <c r="E1421" s="3">
        <f>(Master_Table!E1421-Master_Table!E1420)/Master_Table!E1420</f>
        <v>-9.1987412248850427E-3</v>
      </c>
      <c r="F1421" s="3">
        <f>(Master_Table!F1421-Master_Table!F1420)/Master_Table!F1420</f>
        <v>8.6149346727279665E-3</v>
      </c>
      <c r="G1421" s="3">
        <f>(Master_Table!G1421-Master_Table!G1420)/Master_Table!G1420</f>
        <v>7.3446701515252674E-3</v>
      </c>
      <c r="H1421" s="3">
        <f>(Master_Table!H1421-Master_Table!H1420)/Master_Table!H1420</f>
        <v>4.8257811221985433E-3</v>
      </c>
    </row>
    <row r="1422" spans="1:8" x14ac:dyDescent="0.3">
      <c r="A1422" s="1">
        <v>45918</v>
      </c>
      <c r="B1422" s="3">
        <f>(Master_Table!B1422-Master_Table!B1421)/Master_Table!B1421</f>
        <v>3.6853169629197718E-3</v>
      </c>
      <c r="C1422" s="3">
        <f>(Master_Table!C1422-Master_Table!C1421)/Master_Table!C1421</f>
        <v>8.487763474324837E-4</v>
      </c>
      <c r="D1422" s="3">
        <f>(Master_Table!D1422-Master_Table!D1421)/Master_Table!D1421</f>
        <v>1.0760475944128274E-2</v>
      </c>
      <c r="E1422" s="3">
        <f>(Master_Table!E1422-Master_Table!E1421)/Master_Table!E1421</f>
        <v>5.4971903249450282E-3</v>
      </c>
      <c r="F1422" s="3">
        <f>(Master_Table!F1422-Master_Table!F1421)/Master_Table!F1421</f>
        <v>1.2291981845687205E-3</v>
      </c>
      <c r="G1422" s="3">
        <f>(Master_Table!G1422-Master_Table!G1421)/Master_Table!G1421</f>
        <v>1.1954808197582644E-2</v>
      </c>
      <c r="H1422" s="3">
        <f>(Master_Table!H1422-Master_Table!H1421)/Master_Table!H1421</f>
        <v>1.35666802333469E-4</v>
      </c>
    </row>
    <row r="1423" spans="1:8" x14ac:dyDescent="0.3">
      <c r="A1423" s="1">
        <v>45919</v>
      </c>
      <c r="B1423" s="3">
        <f>(Master_Table!B1423-Master_Table!B1422)/Master_Table!B1422</f>
        <v>-3.7976525747730173E-3</v>
      </c>
      <c r="C1423" s="3">
        <f>(Master_Table!C1423-Master_Table!C1422)/Master_Table!C1422</f>
        <v>-5.371024734982268E-3</v>
      </c>
      <c r="D1423" s="3">
        <f>(Master_Table!D1423-Master_Table!D1422)/Master_Table!D1422</f>
        <v>-1.0236462278636503E-2</v>
      </c>
      <c r="E1423" s="3">
        <f>(Master_Table!E1423-Master_Table!E1422)/Master_Table!E1422</f>
        <v>-2.1868545741709003E-3</v>
      </c>
      <c r="F1423" s="3">
        <f>(Master_Table!F1423-Master_Table!F1422)/Master_Table!F1422</f>
        <v>-2.3609405987345361E-3</v>
      </c>
      <c r="G1423" s="3">
        <f>(Master_Table!G1423-Master_Table!G1422)/Master_Table!G1422</f>
        <v>-2.5963910164861974E-4</v>
      </c>
      <c r="H1423" s="3">
        <f>(Master_Table!H1423-Master_Table!H1422)/Master_Table!H1422</f>
        <v>-2.8757460661963941E-3</v>
      </c>
    </row>
    <row r="1424" spans="1:8" x14ac:dyDescent="0.3">
      <c r="A1424" s="1">
        <v>45922</v>
      </c>
      <c r="B1424" s="3">
        <f>(Master_Table!B1424-Master_Table!B1423)/Master_Table!B1423</f>
        <v>-4.9235896008418163E-3</v>
      </c>
      <c r="C1424" s="3">
        <f>(Master_Table!C1424-Master_Table!C1423)/Master_Table!C1423</f>
        <v>-1.1936904931078712E-2</v>
      </c>
      <c r="D1424" s="3">
        <f>(Master_Table!D1424-Master_Table!D1423)/Master_Table!D1423</f>
        <v>-2.7924294135897526E-3</v>
      </c>
      <c r="E1424" s="3">
        <f>(Master_Table!E1424-Master_Table!E1423)/Master_Table!E1423</f>
        <v>-9.01010592962374E-3</v>
      </c>
      <c r="F1424" s="3">
        <f>(Master_Table!F1424-Master_Table!F1423)/Master_Table!F1423</f>
        <v>-3.0102234002271754E-2</v>
      </c>
      <c r="G1424" s="3">
        <f>(Master_Table!G1424-Master_Table!G1423)/Master_Table!G1423</f>
        <v>-2.6425139592260775E-2</v>
      </c>
      <c r="H1424" s="3">
        <f>(Master_Table!H1424-Master_Table!H1423)/Master_Table!H1423</f>
        <v>-8.4072481906731483E-3</v>
      </c>
    </row>
    <row r="1425" spans="1:8" x14ac:dyDescent="0.3">
      <c r="A1425" s="1">
        <v>45923</v>
      </c>
      <c r="B1425" s="3">
        <f>(Master_Table!B1425-Master_Table!B1424)/Master_Table!B1424</f>
        <v>-1.3034498766979488E-3</v>
      </c>
      <c r="C1425" s="3">
        <f>(Master_Table!C1425-Master_Table!C1424)/Master_Table!C1424</f>
        <v>-5.7529124119082016E-4</v>
      </c>
      <c r="D1425" s="3">
        <f>(Master_Table!D1425-Master_Table!D1424)/Master_Table!D1424</f>
        <v>-7.2599045841111797E-3</v>
      </c>
      <c r="E1425" s="3">
        <f>(Master_Table!E1425-Master_Table!E1424)/Master_Table!E1424</f>
        <v>-9.2148912642830809E-3</v>
      </c>
      <c r="F1425" s="3">
        <f>(Master_Table!F1425-Master_Table!F1424)/Master_Table!F1424</f>
        <v>-3.7087643958618292E-3</v>
      </c>
      <c r="G1425" s="3">
        <f>(Master_Table!G1425-Master_Table!G1424)/Master_Table!G1424</f>
        <v>-1.333777925975325E-3</v>
      </c>
      <c r="H1425" s="3">
        <f>(Master_Table!H1425-Master_Table!H1424)/Master_Table!H1424</f>
        <v>3.5944574015639758E-3</v>
      </c>
    </row>
    <row r="1426" spans="1:8" x14ac:dyDescent="0.3">
      <c r="A1426" s="1">
        <v>45924</v>
      </c>
      <c r="B1426" s="3">
        <f>(Master_Table!B1426-Master_Table!B1425)/Master_Table!B1425</f>
        <v>-4.4736685273842761E-3</v>
      </c>
      <c r="C1426" s="3">
        <f>(Master_Table!C1426-Master_Table!C1425)/Master_Table!C1425</f>
        <v>-4.8927903295437865E-3</v>
      </c>
      <c r="D1426" s="3">
        <f>(Master_Table!D1426-Master_Table!D1425)/Master_Table!D1425</f>
        <v>-6.4249895528626106E-3</v>
      </c>
      <c r="E1426" s="3">
        <f>(Master_Table!E1426-Master_Table!E1425)/Master_Table!E1425</f>
        <v>-5.4563492063491783E-3</v>
      </c>
      <c r="F1426" s="3">
        <f>(Master_Table!F1426-Master_Table!F1425)/Master_Table!F1425</f>
        <v>-8.8166144200626951E-3</v>
      </c>
      <c r="G1426" s="3">
        <f>(Master_Table!G1426-Master_Table!G1425)/Master_Table!G1425</f>
        <v>-1.9365609348915465E-3</v>
      </c>
      <c r="H1426" s="3">
        <f>(Master_Table!H1426-Master_Table!H1425)/Master_Table!H1425</f>
        <v>4.4291338582677911E-3</v>
      </c>
    </row>
    <row r="1427" spans="1:8" x14ac:dyDescent="0.3">
      <c r="A1427" s="1">
        <v>45925</v>
      </c>
      <c r="B1427" s="3">
        <f>(Master_Table!B1427-Master_Table!B1426)/Master_Table!B1426</f>
        <v>-6.6269171365972209E-3</v>
      </c>
      <c r="C1427" s="3">
        <f>(Master_Table!C1427-Master_Table!C1426)/Master_Table!C1426</f>
        <v>-7.6644974692696381E-3</v>
      </c>
      <c r="D1427" s="3">
        <f>(Master_Table!D1427-Master_Table!D1426)/Master_Table!D1426</f>
        <v>-1.2617633142315671E-3</v>
      </c>
      <c r="E1427" s="3">
        <f>(Master_Table!E1427-Master_Table!E1426)/Master_Table!E1426</f>
        <v>-2.2443890274313648E-3</v>
      </c>
      <c r="F1427" s="3">
        <f>(Master_Table!F1427-Master_Table!F1426)/Master_Table!F1426</f>
        <v>-2.5696778019371418E-2</v>
      </c>
      <c r="G1427" s="3">
        <f>(Master_Table!G1427-Master_Table!G1426)/Master_Table!G1426</f>
        <v>-6.556938311253817E-3</v>
      </c>
      <c r="H1427" s="3">
        <f>(Master_Table!H1427-Master_Table!H1426)/Master_Table!H1426</f>
        <v>-8.0026130981545231E-3</v>
      </c>
    </row>
    <row r="1428" spans="1:8" x14ac:dyDescent="0.3">
      <c r="A1428" s="1">
        <v>45926</v>
      </c>
      <c r="B1428" s="3">
        <f>(Master_Table!B1428-Master_Table!B1427)/Master_Table!B1427</f>
        <v>-9.487422084822247E-3</v>
      </c>
      <c r="C1428" s="3">
        <f>(Master_Table!C1428-Master_Table!C1427)/Master_Table!C1427</f>
        <v>3.7889828038471423E-3</v>
      </c>
      <c r="D1428" s="3">
        <f>(Master_Table!D1428-Master_Table!D1427)/Master_Table!D1427</f>
        <v>-5.0534294888667352E-3</v>
      </c>
      <c r="E1428" s="3">
        <f>(Master_Table!E1428-Master_Table!E1427)/Master_Table!E1427</f>
        <v>1.2496875781054736E-2</v>
      </c>
      <c r="F1428" s="3">
        <f>(Master_Table!F1428-Master_Table!F1427)/Master_Table!F1427</f>
        <v>-1.9713261648745581E-2</v>
      </c>
      <c r="G1428" s="3">
        <f>(Master_Table!G1428-Master_Table!G1427)/Master_Table!G1427</f>
        <v>-2.4178340517241288E-2</v>
      </c>
      <c r="H1428" s="3">
        <f>(Master_Table!H1428-Master_Table!H1427)/Master_Table!H1427</f>
        <v>2.3350894523103915E-2</v>
      </c>
    </row>
    <row r="1429" spans="1:8" x14ac:dyDescent="0.3">
      <c r="A1429" s="1">
        <v>45929</v>
      </c>
      <c r="B1429" s="3">
        <f>(Master_Table!B1429-Master_Table!B1428)/Master_Table!B1428</f>
        <v>-8.0309231099949595E-4</v>
      </c>
      <c r="C1429" s="3">
        <f>(Master_Table!C1429-Master_Table!C1428)/Master_Table!C1428</f>
        <v>-3.4843205574912562E-3</v>
      </c>
      <c r="D1429" s="3">
        <f>(Master_Table!D1429-Master_Table!D1428)/Master_Table!D1428</f>
        <v>5.5552616263689755E-3</v>
      </c>
      <c r="E1429" s="3">
        <f>(Master_Table!E1429-Master_Table!E1428)/Master_Table!E1428</f>
        <v>5.3073315230806641E-3</v>
      </c>
      <c r="F1429" s="3">
        <f>(Master_Table!F1429-Master_Table!F1428)/Master_Table!F1428</f>
        <v>-1.0348039046600668E-3</v>
      </c>
      <c r="G1429" s="3">
        <f>(Master_Table!G1429-Master_Table!G1428)/Master_Table!G1428</f>
        <v>-4.9002691697150498E-3</v>
      </c>
      <c r="H1429" s="3">
        <f>(Master_Table!H1429-Master_Table!H1428)/Master_Table!H1428</f>
        <v>-1.102024400053624E-2</v>
      </c>
    </row>
    <row r="1430" spans="1:8" x14ac:dyDescent="0.3">
      <c r="A1430" s="1">
        <v>45930</v>
      </c>
      <c r="B1430" s="3">
        <f>(Master_Table!B1430-Master_Table!B1429)/Master_Table!B1429</f>
        <v>-9.6610905666363205E-4</v>
      </c>
      <c r="C1430" s="3">
        <f>(Master_Table!C1430-Master_Table!C1429)/Master_Table!C1429</f>
        <v>-6.4102564102563771E-3</v>
      </c>
      <c r="D1430" s="3">
        <f>(Master_Table!D1430-Master_Table!D1429)/Master_Table!D1429</f>
        <v>7.3660949173949856E-4</v>
      </c>
      <c r="E1430" s="3">
        <f>(Master_Table!E1430-Master_Table!E1429)/Master_Table!E1429</f>
        <v>-1.3996316758747671E-2</v>
      </c>
      <c r="F1430" s="3">
        <f>(Master_Table!F1430-Master_Table!F1429)/Master_Table!F1429</f>
        <v>-2.6587479714097642E-3</v>
      </c>
      <c r="G1430" s="3">
        <f>(Master_Table!G1430-Master_Table!G1429)/Master_Table!G1429</f>
        <v>0</v>
      </c>
      <c r="H1430" s="3">
        <f>(Master_Table!H1430-Master_Table!H1429)/Master_Table!H1429</f>
        <v>-7.9709359071684447E-3</v>
      </c>
    </row>
    <row r="1431" spans="1:8" x14ac:dyDescent="0.3">
      <c r="A1431" s="1">
        <v>45931</v>
      </c>
      <c r="B1431" s="3">
        <f>(Master_Table!B1431-Master_Table!B1430)/Master_Table!B1430</f>
        <v>9.1503427315317368E-3</v>
      </c>
      <c r="C1431" s="3">
        <f>(Master_Table!C1431-Master_Table!C1430)/Master_Table!C1430</f>
        <v>3.4457478005865435E-3</v>
      </c>
      <c r="D1431" s="3">
        <f>(Master_Table!D1431-Master_Table!D1430)/Master_Table!D1430</f>
        <v>1.498422712933754E-2</v>
      </c>
      <c r="E1431" s="3">
        <f>(Master_Table!E1431-Master_Table!E1430)/Master_Table!E1430</f>
        <v>1.0085917071348552E-2</v>
      </c>
      <c r="F1431" s="3">
        <f>(Master_Table!F1431-Master_Table!F1430)/Master_Table!F1430</f>
        <v>8.9322808475279479E-3</v>
      </c>
      <c r="G1431" s="3">
        <f>(Master_Table!G1431-Master_Table!G1430)/Master_Table!G1430</f>
        <v>2.7743098904147593E-3</v>
      </c>
      <c r="H1431" s="3">
        <f>(Master_Table!H1431-Master_Table!H1430)/Master_Table!H1430</f>
        <v>3.0882754851052699E-3</v>
      </c>
    </row>
    <row r="1432" spans="1:8" x14ac:dyDescent="0.3">
      <c r="A1432" s="1">
        <v>45933</v>
      </c>
      <c r="B1432" s="3">
        <f>(Master_Table!B1432-Master_Table!B1431)/Master_Table!B1431</f>
        <v>2.333278306350009E-3</v>
      </c>
      <c r="C1432" s="3">
        <f>(Master_Table!C1432-Master_Table!C1431)/Master_Table!C1431</f>
        <v>-3.8722875721487211E-3</v>
      </c>
      <c r="D1432" s="3">
        <f>(Master_Table!D1432-Master_Table!D1431)/Master_Table!D1431</f>
        <v>-1.0360010360012716E-4</v>
      </c>
      <c r="E1432" s="3">
        <f>(Master_Table!E1432-Master_Table!E1431)/Master_Table!E1431</f>
        <v>-3.2051282051282328E-3</v>
      </c>
      <c r="F1432" s="3">
        <f>(Master_Table!F1432-Master_Table!F1431)/Master_Table!F1431</f>
        <v>-4.2207123738932564E-3</v>
      </c>
      <c r="G1432" s="3">
        <f>(Master_Table!G1432-Master_Table!G1431)/Master_Table!G1431</f>
        <v>5.5332687785306024E-4</v>
      </c>
      <c r="H1432" s="3">
        <f>(Master_Table!H1432-Master_Table!H1431)/Master_Table!H1431</f>
        <v>1.7110317957660062E-2</v>
      </c>
    </row>
    <row r="1433" spans="1:8" x14ac:dyDescent="0.3">
      <c r="A1433" s="1">
        <v>45936</v>
      </c>
      <c r="B1433" s="3">
        <f>(Master_Table!B1433-Master_Table!B1432)/Master_Table!B1432</f>
        <v>7.3671630999126887E-3</v>
      </c>
      <c r="C1433" s="3">
        <f>(Master_Table!C1433-Master_Table!C1432)/Master_Table!C1432</f>
        <v>8.5081414111778698E-3</v>
      </c>
      <c r="D1433" s="3">
        <f>(Master_Table!D1433-Master_Table!D1432)/Master_Table!D1432</f>
        <v>8.5996995285707589E-3</v>
      </c>
      <c r="E1433" s="3">
        <f>(Master_Table!E1433-Master_Table!E1432)/Master_Table!E1432</f>
        <v>-8.7806084590650781E-3</v>
      </c>
      <c r="F1433" s="3">
        <f>(Master_Table!F1433-Master_Table!F1432)/Master_Table!F1432</f>
        <v>2.9808056790378717E-2</v>
      </c>
      <c r="G1433" s="3">
        <f>(Master_Table!G1433-Master_Table!G1432)/Master_Table!G1432</f>
        <v>2.0323517212774846E-2</v>
      </c>
      <c r="H1433" s="3">
        <f>(Master_Table!H1433-Master_Table!H1432)/Master_Table!H1432</f>
        <v>1.0447081514023441E-3</v>
      </c>
    </row>
    <row r="1434" spans="1:8" x14ac:dyDescent="0.3">
      <c r="A1434" s="1">
        <v>45937</v>
      </c>
      <c r="B1434" s="3">
        <f>(Master_Table!B1434-Master_Table!B1433)/Master_Table!B1433</f>
        <v>1.2222038348887482E-3</v>
      </c>
      <c r="C1434" s="3">
        <f>(Master_Table!C1434-Master_Table!C1433)/Master_Table!C1433</f>
        <v>7.1272727272726939E-3</v>
      </c>
      <c r="D1434" s="3">
        <f>(Master_Table!D1434-Master_Table!D1433)/Master_Table!D1433</f>
        <v>9.2968308593147607E-3</v>
      </c>
      <c r="E1434" s="3">
        <f>(Master_Table!E1434-Master_Table!E1433)/Master_Table!E1433</f>
        <v>-2.370555208983128E-3</v>
      </c>
      <c r="F1434" s="3">
        <f>(Master_Table!F1434-Master_Table!F1433)/Master_Table!F1433</f>
        <v>-4.9190202114844971E-3</v>
      </c>
      <c r="G1434" s="3">
        <f>(Master_Table!G1434-Master_Table!G1433)/Master_Table!G1433</f>
        <v>-1.1856368563685637E-2</v>
      </c>
      <c r="H1434" s="3">
        <f>(Master_Table!H1434-Master_Table!H1433)/Master_Table!H1433</f>
        <v>-1.953438587102002E-3</v>
      </c>
    </row>
    <row r="1435" spans="1:8" x14ac:dyDescent="0.3">
      <c r="A1435" s="1">
        <v>45938</v>
      </c>
      <c r="B1435" s="3">
        <f>(Master_Table!B1435-Master_Table!B1434)/Master_Table!B1434</f>
        <v>-2.4752770996044264E-3</v>
      </c>
      <c r="C1435" s="3">
        <f>(Master_Table!C1435-Master_Table!C1434)/Master_Table!C1434</f>
        <v>-1.2564991334488637E-2</v>
      </c>
      <c r="D1435" s="3">
        <f>(Master_Table!D1435-Master_Table!D1434)/Master_Table!D1434</f>
        <v>-3.867684478371455E-3</v>
      </c>
      <c r="E1435" s="3">
        <f>(Master_Table!E1435-Master_Table!E1434)/Master_Table!E1434</f>
        <v>-1.2506253126566124E-4</v>
      </c>
      <c r="F1435" s="3">
        <f>(Master_Table!F1435-Master_Table!F1434)/Master_Table!F1434</f>
        <v>1.7991054914752665E-2</v>
      </c>
      <c r="G1435" s="3">
        <f>(Master_Table!G1435-Master_Table!G1434)/Master_Table!G1434</f>
        <v>2.5025711347274597E-2</v>
      </c>
      <c r="H1435" s="3">
        <f>(Master_Table!H1435-Master_Table!H1434)/Master_Table!H1434</f>
        <v>2.6811807920305602E-5</v>
      </c>
    </row>
    <row r="1436" spans="1:8" x14ac:dyDescent="0.3">
      <c r="A1436" s="1">
        <v>45939</v>
      </c>
      <c r="B1436" s="3">
        <f>(Master_Table!B1436-Master_Table!B1435)/Master_Table!B1435</f>
        <v>5.416002060196789E-3</v>
      </c>
      <c r="C1436" s="3">
        <f>(Master_Table!C1436-Master_Table!C1435)/Master_Table!C1435</f>
        <v>7.6056750036564745E-3</v>
      </c>
      <c r="D1436" s="3">
        <f>(Master_Table!D1436-Master_Table!D1435)/Master_Table!D1435</f>
        <v>-1.6348217022581206E-3</v>
      </c>
      <c r="E1436" s="3">
        <f>(Master_Table!E1436-Master_Table!E1435)/Master_Table!E1435</f>
        <v>3.7523452157592812E-4</v>
      </c>
      <c r="F1436" s="3">
        <f>(Master_Table!F1436-Master_Table!F1435)/Master_Table!F1435</f>
        <v>1.1396670190274842E-2</v>
      </c>
      <c r="G1436" s="3">
        <f>(Master_Table!G1436-Master_Table!G1435)/Master_Table!G1435</f>
        <v>9.5652173913043179E-3</v>
      </c>
      <c r="H1436" s="3">
        <f>(Master_Table!H1436-Master_Table!H1435)/Master_Table!H1435</f>
        <v>1.0563569092176426E-2</v>
      </c>
    </row>
    <row r="1437" spans="1:8" x14ac:dyDescent="0.3">
      <c r="A1437" s="1">
        <v>45940</v>
      </c>
      <c r="B1437" s="3">
        <f>(Master_Table!B1437-Master_Table!B1436)/Master_Table!B1436</f>
        <v>4.1120968318388391E-3</v>
      </c>
      <c r="C1437" s="3">
        <f>(Master_Table!C1437-Master_Table!C1436)/Master_Table!C1436</f>
        <v>2.8305995064596395E-3</v>
      </c>
      <c r="D1437" s="3">
        <f>(Master_Table!D1437-Master_Table!D1436)/Master_Table!D1436</f>
        <v>3.8890594616722489E-3</v>
      </c>
      <c r="E1437" s="3">
        <f>(Master_Table!E1437-Master_Table!E1436)/Master_Table!E1436</f>
        <v>7.2518129532383952E-3</v>
      </c>
      <c r="F1437" s="3">
        <f>(Master_Table!F1437-Master_Table!F1436)/Master_Table!F1436</f>
        <v>-1.0908972139660855E-2</v>
      </c>
      <c r="G1437" s="3">
        <f>(Master_Table!G1437-Master_Table!G1436)/Master_Table!G1436</f>
        <v>3.7103292917247312E-3</v>
      </c>
      <c r="H1437" s="3">
        <f>(Master_Table!H1437-Master_Table!H1436)/Master_Table!H1436</f>
        <v>3.9265626658177288E-3</v>
      </c>
    </row>
    <row r="1438" spans="1:8" x14ac:dyDescent="0.3">
      <c r="A1438" s="1">
        <v>45943</v>
      </c>
      <c r="B1438" s="3">
        <f>(Master_Table!B1438-Master_Table!B1437)/Master_Table!B1437</f>
        <v>-2.2938183572701189E-3</v>
      </c>
      <c r="C1438" s="3">
        <f>(Master_Table!C1438-Master_Table!C1437)/Master_Table!C1437</f>
        <v>-4.8490989360932511E-3</v>
      </c>
      <c r="D1438" s="3">
        <f>(Master_Table!D1438-Master_Table!D1437)/Master_Table!D1437</f>
        <v>-3.9759404628402261E-3</v>
      </c>
      <c r="E1438" s="3">
        <f>(Master_Table!E1438-Master_Table!E1437)/Master_Table!E1437</f>
        <v>-8.8133068520357769E-3</v>
      </c>
      <c r="F1438" s="3">
        <f>(Master_Table!F1438-Master_Table!F1437)/Master_Table!F1437</f>
        <v>-6.9676055872933207E-3</v>
      </c>
      <c r="G1438" s="3">
        <f>(Master_Table!G1438-Master_Table!G1437)/Master_Table!G1437</f>
        <v>-1.4324377846722585E-2</v>
      </c>
      <c r="H1438" s="3">
        <f>(Master_Table!H1438-Master_Table!H1437)/Master_Table!H1437</f>
        <v>-3.831923890063425E-3</v>
      </c>
    </row>
    <row r="1439" spans="1:8" x14ac:dyDescent="0.3">
      <c r="A1439" s="1">
        <v>45944</v>
      </c>
      <c r="B1439" s="3">
        <f>(Master_Table!B1439-Master_Table!B1438)/Master_Table!B1438</f>
        <v>-3.2444945664129822E-3</v>
      </c>
      <c r="C1439" s="3">
        <f>(Master_Table!C1439-Master_Table!C1438)/Master_Table!C1438</f>
        <v>6.5454545454552066E-4</v>
      </c>
      <c r="D1439" s="3">
        <f>(Master_Table!D1439-Master_Table!D1438)/Master_Table!D1438</f>
        <v>1.5353121801430631E-4</v>
      </c>
      <c r="E1439" s="3">
        <f>(Master_Table!E1439-Master_Table!E1438)/Master_Table!E1438</f>
        <v>-6.1365059486536968E-3</v>
      </c>
      <c r="F1439" s="3">
        <f>(Master_Table!F1439-Master_Table!F1438)/Master_Table!F1438</f>
        <v>-1.5595903165735447E-2</v>
      </c>
      <c r="G1439" s="3">
        <f>(Master_Table!G1439-Master_Table!G1438)/Master_Table!G1438</f>
        <v>-2.2100187516742261E-3</v>
      </c>
      <c r="H1439" s="3">
        <f>(Master_Table!H1439-Master_Table!H1438)/Master_Table!H1438</f>
        <v>-6.6852367688021806E-3</v>
      </c>
    </row>
    <row r="1440" spans="1:8" x14ac:dyDescent="0.3">
      <c r="A1440" s="1">
        <v>45945</v>
      </c>
      <c r="B1440" s="3">
        <f>(Master_Table!B1440-Master_Table!B1439)/Master_Table!B1439</f>
        <v>7.080789803344506E-3</v>
      </c>
      <c r="C1440" s="3">
        <f>(Master_Table!C1440-Master_Table!C1439)/Master_Table!C1439</f>
        <v>-1.1628752089542381E-3</v>
      </c>
      <c r="D1440" s="3">
        <f>(Master_Table!D1440-Master_Table!D1439)/Master_Table!D1439</f>
        <v>1.1257227651844883E-3</v>
      </c>
      <c r="E1440" s="3">
        <f>(Master_Table!E1440-Master_Table!E1439)/Master_Table!E1439</f>
        <v>7.8124999999999141E-3</v>
      </c>
      <c r="F1440" s="3">
        <f>(Master_Table!F1440-Master_Table!F1439)/Master_Table!F1439</f>
        <v>3.2091342093706716E-3</v>
      </c>
      <c r="G1440" s="3">
        <f>(Master_Table!G1440-Master_Table!G1439)/Master_Table!G1439</f>
        <v>-1.0403382777367609E-2</v>
      </c>
      <c r="H1440" s="3">
        <f>(Master_Table!H1440-Master_Table!H1439)/Master_Table!H1439</f>
        <v>2.2540928878561982E-2</v>
      </c>
    </row>
    <row r="1441" spans="1:8" x14ac:dyDescent="0.3">
      <c r="A1441" s="1">
        <v>45946</v>
      </c>
      <c r="B1441" s="3">
        <f>(Master_Table!B1441-Master_Table!B1440)/Master_Table!B1440</f>
        <v>1.033622853036008E-2</v>
      </c>
      <c r="C1441" s="3">
        <f>(Master_Table!C1441-Master_Table!C1440)/Master_Table!C1440</f>
        <v>1.7463435931019428E-2</v>
      </c>
      <c r="D1441" s="3">
        <f>(Master_Table!D1441-Master_Table!D1440)/Master_Table!D1440</f>
        <v>1.6457960644007178E-2</v>
      </c>
      <c r="E1441" s="3">
        <f>(Master_Table!E1441-Master_Table!E1440)/Master_Table!E1440</f>
        <v>1.312828207051763E-2</v>
      </c>
      <c r="F1441" s="3">
        <f>(Master_Table!F1441-Master_Table!F1440)/Master_Table!F1440</f>
        <v>3.0305071048543206E-4</v>
      </c>
      <c r="G1441" s="3">
        <f>(Master_Table!G1441-Master_Table!G1440)/Master_Table!G1440</f>
        <v>-1.9669017905589331E-3</v>
      </c>
      <c r="H1441" s="3">
        <f>(Master_Table!H1441-Master_Table!H1440)/Master_Table!H1440</f>
        <v>8.6452320631024548E-3</v>
      </c>
    </row>
    <row r="1442" spans="1:8" x14ac:dyDescent="0.3">
      <c r="A1442" s="1">
        <v>45947</v>
      </c>
      <c r="B1442" s="3">
        <f>(Master_Table!B1442-Master_Table!B1441)/Master_Table!B1441</f>
        <v>4.8680296889229077E-3</v>
      </c>
      <c r="C1442" s="3">
        <f>(Master_Table!C1442-Master_Table!C1441)/Master_Table!C1441</f>
        <v>1.3230351140670815E-2</v>
      </c>
      <c r="D1442" s="3">
        <f>(Master_Table!D1442-Master_Table!D1441)/Master_Table!D1441</f>
        <v>8.2465932518730137E-3</v>
      </c>
      <c r="E1442" s="3">
        <f>(Master_Table!E1442-Master_Table!E1441)/Master_Table!E1441</f>
        <v>1.7277551524126869E-2</v>
      </c>
      <c r="F1442" s="3">
        <f>(Master_Table!F1442-Master_Table!F1441)/Master_Table!F1441</f>
        <v>-2.8612784865519915E-3</v>
      </c>
      <c r="G1442" s="3">
        <f>(Master_Table!G1442-Master_Table!G1441)/Master_Table!G1441</f>
        <v>-2.0659191301393199E-2</v>
      </c>
      <c r="H1442" s="3">
        <f>(Master_Table!H1442-Master_Table!H1441)/Master_Table!H1441</f>
        <v>-5.8004039567041508E-3</v>
      </c>
    </row>
    <row r="1443" spans="1:8" x14ac:dyDescent="0.3">
      <c r="A1443" s="1">
        <v>45950</v>
      </c>
      <c r="B1443" s="3">
        <f>(Master_Table!B1443-Master_Table!B1442)/Master_Table!B1442</f>
        <v>5.1847832640020425E-3</v>
      </c>
      <c r="C1443" s="3">
        <f>(Master_Table!C1443-Master_Table!C1442)/Master_Table!C1442</f>
        <v>3.5290796160361376E-2</v>
      </c>
      <c r="D1443" s="3">
        <f>(Master_Table!D1443-Master_Table!D1442)/Master_Table!D1442</f>
        <v>3.989825943844107E-4</v>
      </c>
      <c r="E1443" s="3">
        <f>(Master_Table!E1443-Master_Table!E1442)/Master_Table!E1442</f>
        <v>2.1836709935703848E-3</v>
      </c>
      <c r="F1443" s="3">
        <f>(Master_Table!F1443-Master_Table!F1442)/Master_Table!F1442</f>
        <v>1.7892107217608536E-2</v>
      </c>
      <c r="G1443" s="3">
        <f>(Master_Table!G1443-Master_Table!G1442)/Master_Table!G1442</f>
        <v>1.3739504545139256E-2</v>
      </c>
      <c r="H1443" s="3">
        <f>(Master_Table!H1443-Master_Table!H1442)/Master_Table!H1442</f>
        <v>8.673230192217463E-3</v>
      </c>
    </row>
    <row r="1444" spans="1:8" x14ac:dyDescent="0.3">
      <c r="A1444" s="1">
        <v>45951</v>
      </c>
      <c r="B1444" s="3">
        <f>(Master_Table!B1444-Master_Table!B1443)/Master_Table!B1443</f>
        <v>9.8478707123539843E-4</v>
      </c>
      <c r="C1444" s="3">
        <f>(Master_Table!C1444-Master_Table!C1443)/Master_Table!C1443</f>
        <v>-1.0908099263702679E-3</v>
      </c>
      <c r="D1444" s="3">
        <f>(Master_Table!D1444-Master_Table!D1443)/Master_Table!D1443</f>
        <v>4.7360287152898948E-3</v>
      </c>
      <c r="E1444" s="3">
        <f>(Master_Table!E1444-Master_Table!E1443)/Master_Table!E1443</f>
        <v>-4.8420288100711447E-4</v>
      </c>
      <c r="F1444" s="3">
        <f>(Master_Table!F1444-Master_Table!F1443)/Master_Table!F1443</f>
        <v>-2.819050145927302E-3</v>
      </c>
      <c r="G1444" s="3">
        <f>(Master_Table!G1444-Master_Table!G1443)/Master_Table!G1443</f>
        <v>7.8718598124443828E-3</v>
      </c>
      <c r="H1444" s="3">
        <f>(Master_Table!H1444-Master_Table!H1443)/Master_Table!H1443</f>
        <v>4.0023756035840628E-3</v>
      </c>
    </row>
    <row r="1445" spans="1:8" x14ac:dyDescent="0.3">
      <c r="A1445" s="1">
        <v>45953</v>
      </c>
      <c r="B1445" s="3">
        <f>(Master_Table!B1445-Master_Table!B1444)/Master_Table!B1444</f>
        <v>8.8137742282160274E-4</v>
      </c>
      <c r="C1445" s="3">
        <f>(Master_Table!C1445-Master_Table!C1444)/Master_Table!C1444</f>
        <v>-1.1466011466011434E-2</v>
      </c>
      <c r="D1445" s="3">
        <f>(Master_Table!D1445-Master_Table!D1444)/Master_Table!D1444</f>
        <v>1.091594720650897E-3</v>
      </c>
      <c r="E1445" s="3">
        <f>(Master_Table!E1445-Master_Table!E1444)/Master_Table!E1444</f>
        <v>7.5087804287270578E-3</v>
      </c>
      <c r="F1445" s="3">
        <f>(Master_Table!F1445-Master_Table!F1444)/Master_Table!F1444</f>
        <v>2.2117271427146042E-2</v>
      </c>
      <c r="G1445" s="3">
        <f>(Master_Table!G1445-Master_Table!G1444)/Master_Table!G1444</f>
        <v>3.8101059494702459E-2</v>
      </c>
      <c r="H1445" s="3">
        <f>(Master_Table!H1445-Master_Table!H1444)/Master_Table!H1444</f>
        <v>7.8442466951288512E-3</v>
      </c>
    </row>
    <row r="1446" spans="1:8" x14ac:dyDescent="0.3">
      <c r="A1446" s="1">
        <v>45954</v>
      </c>
      <c r="B1446" s="3">
        <f>(Master_Table!B1446-Master_Table!B1445)/Master_Table!B1445</f>
        <v>-3.7174505820465479E-3</v>
      </c>
      <c r="C1446" s="3">
        <f>(Master_Table!C1446-Master_Table!C1445)/Master_Table!C1445</f>
        <v>2.2093344380004266E-3</v>
      </c>
      <c r="D1446" s="3">
        <f>(Master_Table!D1446-Master_Table!D1445)/Master_Table!D1445</f>
        <v>-1.3927438540840558E-2</v>
      </c>
      <c r="E1446" s="3">
        <f>(Master_Table!E1446-Master_Table!E1445)/Master_Table!E1445</f>
        <v>2.0435148455343736E-3</v>
      </c>
      <c r="F1446" s="3">
        <f>(Master_Table!F1446-Master_Table!F1445)/Master_Table!F1445</f>
        <v>-3.2539372640895486E-3</v>
      </c>
      <c r="G1446" s="3">
        <f>(Master_Table!G1446-Master_Table!G1445)/Master_Table!G1445</f>
        <v>-2.028132155708151E-3</v>
      </c>
      <c r="H1446" s="3">
        <f>(Master_Table!H1446-Master_Table!H1445)/Master_Table!H1445</f>
        <v>-3.5215760328679733E-3</v>
      </c>
    </row>
    <row r="1447" spans="1:8" x14ac:dyDescent="0.3">
      <c r="A1447" s="1">
        <v>45957</v>
      </c>
      <c r="B1447" s="3">
        <f>(Master_Table!B1447-Master_Table!B1446)/Master_Table!B1446</f>
        <v>6.6252764570083065E-3</v>
      </c>
      <c r="C1447" s="3">
        <f>(Master_Table!C1447-Master_Table!C1446)/Master_Table!C1446</f>
        <v>2.2389087903003584E-2</v>
      </c>
      <c r="D1447" s="3">
        <f>(Master_Table!D1447-Master_Table!D1446)/Master_Table!D1446</f>
        <v>8.243277205328017E-3</v>
      </c>
      <c r="E1447" s="3">
        <f>(Master_Table!E1447-Master_Table!E1446)/Master_Table!E1446</f>
        <v>9.2370441458732386E-3</v>
      </c>
      <c r="F1447" s="3">
        <f>(Master_Table!F1447-Master_Table!F1446)/Master_Table!F1446</f>
        <v>7.084095063985464E-3</v>
      </c>
      <c r="G1447" s="3">
        <f>(Master_Table!G1447-Master_Table!G1446)/Master_Table!G1446</f>
        <v>-1.3701324242821614E-2</v>
      </c>
      <c r="H1447" s="3">
        <f>(Master_Table!H1447-Master_Table!H1446)/Master_Table!H1446</f>
        <v>4.8400727291352122E-3</v>
      </c>
    </row>
    <row r="1448" spans="1:8" x14ac:dyDescent="0.3">
      <c r="A1448" s="1">
        <v>45958</v>
      </c>
      <c r="B1448" s="3">
        <f>(Master_Table!B1448-Master_Table!B1447)/Master_Table!B1447</f>
        <v>-1.1495780066663411E-3</v>
      </c>
      <c r="C1448" s="3">
        <f>(Master_Table!C1448-Master_Table!C1447)/Master_Table!C1447</f>
        <v>1.8866653190487044E-3</v>
      </c>
      <c r="D1448" s="3">
        <f>(Master_Table!D1448-Master_Table!D1447)/Master_Table!D1447</f>
        <v>5.9823520614179072E-4</v>
      </c>
      <c r="E1448" s="3">
        <f>(Master_Table!E1448-Master_Table!E1447)/Master_Table!E1447</f>
        <v>-6.5375014857957927E-3</v>
      </c>
      <c r="F1448" s="3">
        <f>(Master_Table!F1448-Master_Table!F1447)/Master_Table!F1447</f>
        <v>-8.7523096372653895E-3</v>
      </c>
      <c r="G1448" s="3">
        <f>(Master_Table!G1448-Master_Table!G1447)/Master_Table!G1447</f>
        <v>-2.8580923894981421E-3</v>
      </c>
      <c r="H1448" s="3">
        <f>(Master_Table!H1448-Master_Table!H1447)/Master_Table!H1447</f>
        <v>1.2487894388093175E-2</v>
      </c>
    </row>
    <row r="1449" spans="1:8" x14ac:dyDescent="0.3">
      <c r="A1449" s="1">
        <v>45959</v>
      </c>
      <c r="B1449" s="3">
        <f>(Master_Table!B1449-Master_Table!B1448)/Master_Table!B1448</f>
        <v>4.5380587749940518E-3</v>
      </c>
      <c r="C1449" s="3">
        <f>(Master_Table!C1449-Master_Table!C1448)/Master_Table!C1448</f>
        <v>1.1634945187974951E-2</v>
      </c>
      <c r="D1449" s="3">
        <f>(Master_Table!D1449-Master_Table!D1448)/Master_Table!D1448</f>
        <v>4.2847889990534288E-3</v>
      </c>
      <c r="E1449" s="3">
        <f>(Master_Table!E1449-Master_Table!E1448)/Master_Table!E1448</f>
        <v>8.8537927733908731E-3</v>
      </c>
      <c r="F1449" s="3">
        <f>(Master_Table!F1449-Master_Table!F1448)/Master_Table!F1448</f>
        <v>-9.8106543706524707E-5</v>
      </c>
      <c r="G1449" s="3">
        <f>(Master_Table!G1449-Master_Table!G1448)/Master_Table!G1448</f>
        <v>6.7990934542061362E-3</v>
      </c>
      <c r="H1449" s="3">
        <f>(Master_Table!H1449-Master_Table!H1448)/Master_Table!H1448</f>
        <v>-3.7001610954491221E-3</v>
      </c>
    </row>
    <row r="1450" spans="1:8" x14ac:dyDescent="0.3">
      <c r="A1450" s="1">
        <v>45960</v>
      </c>
      <c r="B1450" s="3">
        <f>(Master_Table!B1450-Master_Table!B1449)/Master_Table!B1449</f>
        <v>-6.7571457632063878E-3</v>
      </c>
      <c r="C1450" s="3">
        <f>(Master_Table!C1450-Master_Table!C1449)/Master_Table!C1449</f>
        <v>-1.0437441829543974E-2</v>
      </c>
      <c r="D1450" s="3">
        <f>(Master_Table!D1450-Master_Table!D1449)/Master_Table!D1449</f>
        <v>-9.6244480825520128E-3</v>
      </c>
      <c r="E1450" s="3">
        <f>(Master_Table!E1450-Master_Table!E1449)/Master_Table!E1449</f>
        <v>-6.7599620493359169E-3</v>
      </c>
      <c r="F1450" s="3">
        <f>(Master_Table!F1450-Master_Table!F1449)/Master_Table!F1449</f>
        <v>-7.29330193615899E-3</v>
      </c>
      <c r="G1450" s="3">
        <f>(Master_Table!G1450-Master_Table!G1449)/Master_Table!G1449</f>
        <v>-1.0990466101695006E-2</v>
      </c>
      <c r="H1450" s="3">
        <f>(Master_Table!H1450-Master_Table!H1449)/Master_Table!H1449</f>
        <v>7.4278062706854527E-3</v>
      </c>
    </row>
    <row r="1451" spans="1:8" x14ac:dyDescent="0.3">
      <c r="A1451" s="1">
        <v>45961</v>
      </c>
      <c r="B1451" s="3">
        <f>(Master_Table!B1451-Master_Table!B1450)/Master_Table!B1450</f>
        <v>-6.0186607465457917E-3</v>
      </c>
      <c r="C1451" s="3">
        <f>(Master_Table!C1451-Master_Table!C1450)/Master_Table!C1450</f>
        <v>-1.410816257977769E-3</v>
      </c>
      <c r="D1451" s="3">
        <f>(Master_Table!D1451-Master_Table!D1450)/Master_Table!D1450</f>
        <v>-1.0870109702950482E-2</v>
      </c>
      <c r="E1451" s="3">
        <f>(Master_Table!E1451-Master_Table!E1450)/Master_Table!E1450</f>
        <v>3.820895522388114E-3</v>
      </c>
      <c r="F1451" s="3">
        <f>(Master_Table!F1451-Master_Table!F1450)/Master_Table!F1450</f>
        <v>7.4786676770005655E-3</v>
      </c>
      <c r="G1451" s="3">
        <f>(Master_Table!G1451-Master_Table!G1450)/Master_Table!G1450</f>
        <v>-7.6984870799303795E-3</v>
      </c>
      <c r="H1451" s="3">
        <f>(Master_Table!H1451-Master_Table!H1450)/Master_Table!H1450</f>
        <v>1.0884012539184976E-2</v>
      </c>
    </row>
    <row r="1452" spans="1:8" x14ac:dyDescent="0.3">
      <c r="A1452" s="1">
        <v>45964</v>
      </c>
      <c r="B1452" s="3">
        <f>(Master_Table!B1452-Master_Table!B1451)/Master_Table!B1451</f>
        <v>1.6036793263380518E-3</v>
      </c>
      <c r="C1452" s="3">
        <f>(Master_Table!C1452-Master_Table!C1451)/Master_Table!C1451</f>
        <v>-1.1437029063509454E-3</v>
      </c>
      <c r="D1452" s="3">
        <f>(Master_Table!D1452-Master_Table!D1451)/Master_Table!D1451</f>
        <v>5.4188190013167454E-3</v>
      </c>
      <c r="E1452" s="3">
        <f>(Master_Table!E1452-Master_Table!E1451)/Master_Table!E1451</f>
        <v>-1.5225407398596487E-2</v>
      </c>
      <c r="F1452" s="3">
        <f>(Master_Table!F1452-Master_Table!F1451)/Master_Table!F1451</f>
        <v>-1.3472858077174564E-2</v>
      </c>
      <c r="G1452" s="3">
        <f>(Master_Table!G1452-Master_Table!G1451)/Master_Table!G1451</f>
        <v>2.1588072589894393E-3</v>
      </c>
      <c r="H1452" s="3">
        <f>(Master_Table!H1452-Master_Table!H1451)/Master_Table!H1451</f>
        <v>-1.2503411148874963E-2</v>
      </c>
    </row>
    <row r="1453" spans="1:8" x14ac:dyDescent="0.3">
      <c r="A1453" s="1">
        <v>45965</v>
      </c>
      <c r="B1453" s="3">
        <f>(Master_Table!B1453-Master_Table!B1452)/Master_Table!B1452</f>
        <v>-6.4316170063286448E-3</v>
      </c>
      <c r="C1453" s="3">
        <f>(Master_Table!C1453-Master_Table!C1452)/Master_Table!C1452</f>
        <v>-7.8130262005793333E-3</v>
      </c>
      <c r="D1453" s="3">
        <f>(Master_Table!D1453-Master_Table!D1452)/Master_Table!D1452</f>
        <v>-7.4547927265400469E-3</v>
      </c>
      <c r="E1453" s="3">
        <f>(Master_Table!E1453-Master_Table!E1452)/Master_Table!E1452</f>
        <v>-1.2199541007368067E-2</v>
      </c>
      <c r="F1453" s="3">
        <f>(Master_Table!F1453-Master_Table!F1452)/Master_Table!F1452</f>
        <v>-8.8172898435429463E-3</v>
      </c>
      <c r="G1453" s="3">
        <f>(Master_Table!G1453-Master_Table!G1452)/Master_Table!G1452</f>
        <v>-1.184786267250078E-2</v>
      </c>
      <c r="H1453" s="3">
        <f>(Master_Table!H1453-Master_Table!H1452)/Master_Table!H1452</f>
        <v>-1.409370682075114E-2</v>
      </c>
    </row>
    <row r="1454" spans="1:8" x14ac:dyDescent="0.3">
      <c r="A1454" s="1">
        <v>45967</v>
      </c>
      <c r="B1454" s="3">
        <f>(Master_Table!B1454-Master_Table!B1453)/Master_Table!B1453</f>
        <v>-3.4358622764199338E-3</v>
      </c>
      <c r="C1454" s="3">
        <f>(Master_Table!C1454-Master_Table!C1453)/Master_Table!C1453</f>
        <v>1.5613332428212614E-2</v>
      </c>
      <c r="D1454" s="3">
        <f>(Master_Table!D1454-Master_Table!D1453)/Master_Table!D1453</f>
        <v>-6.0898249175338518E-4</v>
      </c>
      <c r="E1454" s="3">
        <f>(Master_Table!E1454-Master_Table!E1453)/Master_Table!E1453</f>
        <v>-3.4238200048911159E-3</v>
      </c>
      <c r="F1454" s="3">
        <f>(Master_Table!F1454-Master_Table!F1453)/Master_Table!F1453</f>
        <v>6.9226138719818992E-3</v>
      </c>
      <c r="G1454" s="3">
        <f>(Master_Table!G1454-Master_Table!G1453)/Master_Table!G1453</f>
        <v>-8.1749437972617031E-4</v>
      </c>
      <c r="H1454" s="3">
        <f>(Master_Table!H1454-Master_Table!H1453)/Master_Table!H1453</f>
        <v>-1.0906125777188917E-2</v>
      </c>
    </row>
    <row r="1455" spans="1:8" x14ac:dyDescent="0.3">
      <c r="A1455" s="1">
        <v>45968</v>
      </c>
      <c r="B1455" s="3">
        <f>(Master_Table!B1455-Master_Table!B1454)/Master_Table!B1454</f>
        <v>-6.8209347816718558E-4</v>
      </c>
      <c r="C1455" s="3">
        <f>(Master_Table!C1455-Master_Table!C1454)/Master_Table!C1454</f>
        <v>-1.2098121783303195E-2</v>
      </c>
      <c r="D1455" s="3">
        <f>(Master_Table!D1455-Master_Table!D1454)/Master_Table!D1454</f>
        <v>-2.3866348448687582E-3</v>
      </c>
      <c r="E1455" s="3">
        <f>(Master_Table!E1455-Master_Table!E1454)/Master_Table!E1454</f>
        <v>-8.4662576687116291E-3</v>
      </c>
      <c r="F1455" s="3">
        <f>(Master_Table!F1455-Master_Table!F1454)/Master_Table!F1454</f>
        <v>-6.3436181872529506E-3</v>
      </c>
      <c r="G1455" s="3">
        <f>(Master_Table!G1455-Master_Table!G1454)/Master_Table!G1454</f>
        <v>6.8862071316560369E-3</v>
      </c>
      <c r="H1455" s="3">
        <f>(Master_Table!H1455-Master_Table!H1454)/Master_Table!H1454</f>
        <v>2.3186314921684123E-4</v>
      </c>
    </row>
    <row r="1456" spans="1:8" x14ac:dyDescent="0.3">
      <c r="A1456" s="1">
        <v>45971</v>
      </c>
      <c r="B1456" s="3">
        <f>(Master_Table!B1456-Master_Table!B1455)/Master_Table!B1455</f>
        <v>3.2186189555277189E-3</v>
      </c>
      <c r="C1456" s="3">
        <f>(Master_Table!C1456-Master_Table!C1455)/Master_Table!C1455</f>
        <v>7.6454668470906321E-3</v>
      </c>
      <c r="D1456" s="3">
        <f>(Master_Table!D1456-Master_Table!D1455)/Master_Table!D1455</f>
        <v>2.2396416573348728E-3</v>
      </c>
      <c r="E1456" s="3">
        <f>(Master_Table!E1456-Master_Table!E1455)/Master_Table!E1455</f>
        <v>3.7124118302190321E-3</v>
      </c>
      <c r="F1456" s="3">
        <f>(Master_Table!F1456-Master_Table!F1455)/Master_Table!F1455</f>
        <v>1.1163847850792044E-2</v>
      </c>
      <c r="G1456" s="3">
        <f>(Master_Table!G1456-Master_Table!G1455)/Master_Table!G1455</f>
        <v>2.4851029252437734E-2</v>
      </c>
      <c r="H1456" s="3">
        <f>(Master_Table!H1456-Master_Table!H1455)/Master_Table!H1455</f>
        <v>9.2723760463618802E-3</v>
      </c>
    </row>
    <row r="1457" spans="1:8" x14ac:dyDescent="0.3">
      <c r="A1457" s="1">
        <v>45972</v>
      </c>
      <c r="B1457" s="3">
        <f>(Master_Table!B1457-Master_Table!B1456)/Master_Table!B1456</f>
        <v>4.7156623726508076E-3</v>
      </c>
      <c r="C1457" s="3">
        <f>(Master_Table!C1457-Master_Table!C1456)/Master_Table!C1456</f>
        <v>2.7529711945210077E-3</v>
      </c>
      <c r="D1457" s="3">
        <f>(Master_Table!D1457-Master_Table!D1456)/Master_Table!D1456</f>
        <v>7.3133570340274713E-3</v>
      </c>
      <c r="E1457" s="3">
        <f>(Master_Table!E1457-Master_Table!E1456)/Master_Table!E1456</f>
        <v>3.2055233633337724E-3</v>
      </c>
      <c r="F1457" s="3">
        <f>(Master_Table!F1457-Master_Table!F1456)/Master_Table!F1456</f>
        <v>7.2061351315616104E-3</v>
      </c>
      <c r="G1457" s="3">
        <f>(Master_Table!G1457-Master_Table!G1456)/Master_Table!G1456</f>
        <v>1.1100099108027721E-2</v>
      </c>
      <c r="H1457" s="3">
        <f>(Master_Table!H1457-Master_Table!H1456)/Master_Table!H1456</f>
        <v>9.3147888222534139E-3</v>
      </c>
    </row>
    <row r="1458" spans="1:8" x14ac:dyDescent="0.3">
      <c r="A1458" s="1">
        <v>45973</v>
      </c>
      <c r="B1458" s="3">
        <f>(Master_Table!B1458-Master_Table!B1457)/Master_Table!B1457</f>
        <v>7.0383480022338449E-3</v>
      </c>
      <c r="C1458" s="3">
        <f>(Master_Table!C1458-Master_Table!C1457)/Master_Table!C1457</f>
        <v>1.2119994643096229E-2</v>
      </c>
      <c r="D1458" s="3">
        <f>(Master_Table!D1458-Master_Table!D1457)/Master_Table!D1457</f>
        <v>-2.2184128264596606E-3</v>
      </c>
      <c r="E1458" s="3">
        <f>(Master_Table!E1458-Master_Table!E1457)/Master_Table!E1457</f>
        <v>3.6868624800289357E-4</v>
      </c>
      <c r="F1458" s="3">
        <f>(Master_Table!F1458-Master_Table!F1457)/Master_Table!F1457</f>
        <v>2.7830653101411282E-2</v>
      </c>
      <c r="G1458" s="3">
        <f>(Master_Table!G1458-Master_Table!G1457)/Master_Table!G1457</f>
        <v>1.3984186107299281E-2</v>
      </c>
      <c r="H1458" s="3">
        <f>(Master_Table!H1458-Master_Table!H1457)/Master_Table!H1457</f>
        <v>-1.011378002528675E-4</v>
      </c>
    </row>
    <row r="1459" spans="1:8" x14ac:dyDescent="0.3">
      <c r="A1459" s="1">
        <v>45974</v>
      </c>
      <c r="B1459" s="3">
        <f>(Master_Table!B1459-Master_Table!B1458)/Master_Table!B1458</f>
        <v>1.2946459626377477E-4</v>
      </c>
      <c r="C1459" s="3">
        <f>(Master_Table!C1459-Master_Table!C1458)/Master_Table!C1458</f>
        <v>-3.9695666556394907E-4</v>
      </c>
      <c r="D1459" s="3">
        <f>(Master_Table!D1459-Master_Table!D1458)/Master_Table!D1458</f>
        <v>-2.8802425467408009E-3</v>
      </c>
      <c r="E1459" s="3">
        <f>(Master_Table!E1459-Master_Table!E1458)/Master_Table!E1458</f>
        <v>-3.194103194103222E-3</v>
      </c>
      <c r="F1459" s="3">
        <f>(Master_Table!F1459-Master_Table!F1458)/Master_Table!F1458</f>
        <v>-8.3338655086532872E-3</v>
      </c>
      <c r="G1459" s="3">
        <f>(Master_Table!G1459-Master_Table!G1458)/Master_Table!G1458</f>
        <v>-6.3800992459883297E-3</v>
      </c>
      <c r="H1459" s="3">
        <f>(Master_Table!H1459-Master_Table!H1458)/Master_Table!H1458</f>
        <v>1.2112476609518053E-2</v>
      </c>
    </row>
    <row r="1460" spans="1:8" x14ac:dyDescent="0.3">
      <c r="A1460" s="1">
        <v>45975</v>
      </c>
      <c r="B1460" s="3">
        <f>(Master_Table!B1460-Master_Table!B1459)/Master_Table!B1459</f>
        <v>1.194011395273717E-3</v>
      </c>
      <c r="C1460" s="3">
        <f>(Master_Table!C1460-Master_Table!C1459)/Master_Table!C1459</f>
        <v>5.2948573697796011E-3</v>
      </c>
      <c r="D1460" s="3">
        <f>(Master_Table!D1460-Master_Table!D1459)/Master_Table!D1459</f>
        <v>2.9899153701921101E-3</v>
      </c>
      <c r="E1460" s="3">
        <f>(Master_Table!E1460-Master_Table!E1459)/Master_Table!E1459</f>
        <v>6.0389450332757914E-3</v>
      </c>
      <c r="F1460" s="3">
        <f>(Master_Table!F1460-Master_Table!F1459)/Master_Table!F1459</f>
        <v>9.6596580481109545E-5</v>
      </c>
      <c r="G1460" s="3">
        <f>(Master_Table!G1460-Master_Table!G1459)/Master_Table!G1459</f>
        <v>-2.5295109612141653E-2</v>
      </c>
      <c r="H1460" s="3">
        <f>(Master_Table!H1460-Master_Table!H1459)/Master_Table!H1459</f>
        <v>4.7470331043100337E-4</v>
      </c>
    </row>
    <row r="1461" spans="1:8" x14ac:dyDescent="0.3">
      <c r="A1461" s="1">
        <v>45978</v>
      </c>
      <c r="B1461" s="3">
        <f>(Master_Table!B1461-Master_Table!B1460)/Master_Table!B1460</f>
        <v>3.9907294659794739E-3</v>
      </c>
      <c r="C1461" s="3">
        <f>(Master_Table!C1461-Master_Table!C1460)/Master_Table!C1460</f>
        <v>-3.9502271380613364E-4</v>
      </c>
      <c r="D1461" s="3">
        <f>(Master_Table!D1461-Master_Table!D1460)/Master_Table!D1460</f>
        <v>7.0230396119643611E-3</v>
      </c>
      <c r="E1461" s="3">
        <f>(Master_Table!E1461-Master_Table!E1460)/Master_Table!E1460</f>
        <v>-2.5725836089671803E-3</v>
      </c>
      <c r="F1461" s="3">
        <f>(Master_Table!F1461-Master_Table!F1460)/Master_Table!F1460</f>
        <v>-1.2234385061172511E-3</v>
      </c>
      <c r="G1461" s="3">
        <f>(Master_Table!G1461-Master_Table!G1460)/Master_Table!G1460</f>
        <v>3.1940377961138904E-3</v>
      </c>
      <c r="H1461" s="3">
        <f>(Master_Table!H1461-Master_Table!H1460)/Master_Table!H1460</f>
        <v>5.8185995405053755E-3</v>
      </c>
    </row>
    <row r="1462" spans="1:8" x14ac:dyDescent="0.3">
      <c r="A1462" s="1">
        <v>45979</v>
      </c>
      <c r="B1462" s="3">
        <f>(Master_Table!B1462-Master_Table!B1461)/Master_Table!B1461</f>
        <v>-3.9748668477269048E-3</v>
      </c>
      <c r="C1462" s="3">
        <f>(Master_Table!C1462-Master_Table!C1461)/Master_Table!C1461</f>
        <v>7.244945004282003E-4</v>
      </c>
      <c r="D1462" s="3">
        <f>(Master_Table!D1462-Master_Table!D1461)/Master_Table!D1461</f>
        <v>-4.1141939691936276E-3</v>
      </c>
      <c r="E1462" s="3">
        <f>(Master_Table!E1462-Master_Table!E1461)/Master_Table!E1461</f>
        <v>-3.0704986489805942E-3</v>
      </c>
      <c r="F1462" s="3">
        <f>(Master_Table!F1462-Master_Table!F1461)/Master_Table!F1461</f>
        <v>-4.8675133776029623E-3</v>
      </c>
      <c r="G1462" s="3">
        <f>(Master_Table!G1462-Master_Table!G1461)/Master_Table!G1461</f>
        <v>-1.4062085433801949E-2</v>
      </c>
      <c r="H1462" s="3">
        <f>(Master_Table!H1462-Master_Table!H1461)/Master_Table!H1461</f>
        <v>-6.9766864463589422E-3</v>
      </c>
    </row>
    <row r="1463" spans="1:8" x14ac:dyDescent="0.3">
      <c r="A1463" s="1">
        <v>45980</v>
      </c>
      <c r="B1463" s="3">
        <f>(Master_Table!B1463-Master_Table!B1462)/Master_Table!B1462</f>
        <v>5.503655917298584E-3</v>
      </c>
      <c r="C1463" s="3">
        <f>(Master_Table!C1463-Master_Table!C1462)/Master_Table!C1462</f>
        <v>-3.2907726734237198E-4</v>
      </c>
      <c r="D1463" s="3">
        <f>(Master_Table!D1463-Master_Table!D1462)/Master_Table!D1462</f>
        <v>2.1663559877071661E-3</v>
      </c>
      <c r="E1463" s="3">
        <f>(Master_Table!E1463-Master_Table!E1462)/Master_Table!E1462</f>
        <v>-5.6671183934951614E-3</v>
      </c>
      <c r="F1463" s="3">
        <f>(Master_Table!F1463-Master_Table!F1462)/Master_Table!F1462</f>
        <v>1.9630073531793565E-2</v>
      </c>
      <c r="G1463" s="3">
        <f>(Master_Table!G1463-Master_Table!G1462)/Master_Table!G1462</f>
        <v>3.6800322927879318E-2</v>
      </c>
      <c r="H1463" s="3">
        <f>(Master_Table!H1463-Master_Table!H1462)/Master_Table!H1462</f>
        <v>5.0005000500050007E-3</v>
      </c>
    </row>
    <row r="1464" spans="1:8" x14ac:dyDescent="0.3">
      <c r="A1464" s="1">
        <v>45981</v>
      </c>
      <c r="B1464" s="3">
        <f>(Master_Table!B1464-Master_Table!B1463)/Master_Table!B1463</f>
        <v>5.3545416685058904E-3</v>
      </c>
      <c r="C1464" s="3">
        <f>(Master_Table!C1464-Master_Table!C1463)/Master_Table!C1463</f>
        <v>1.9882809928237419E-2</v>
      </c>
      <c r="D1464" s="3">
        <f>(Master_Table!D1464-Master_Table!D1463)/Master_Table!D1463</f>
        <v>1.4327367786044641E-2</v>
      </c>
      <c r="E1464" s="3">
        <f>(Master_Table!E1464-Master_Table!E1463)/Master_Table!E1463</f>
        <v>4.7082145954651898E-3</v>
      </c>
      <c r="F1464" s="3">
        <f>(Master_Table!F1464-Master_Table!F1463)/Master_Table!F1463</f>
        <v>-9.2130762143775977E-4</v>
      </c>
      <c r="G1464" s="3">
        <f>(Master_Table!G1464-Master_Table!G1463)/Master_Table!G1463</f>
        <v>-2.9848809292063521E-3</v>
      </c>
      <c r="H1464" s="3">
        <f>(Master_Table!H1464-Master_Table!H1463)/Master_Table!H1463</f>
        <v>4.4283013235148234E-3</v>
      </c>
    </row>
    <row r="1465" spans="1:8" x14ac:dyDescent="0.3">
      <c r="A1465" s="1">
        <v>45982</v>
      </c>
      <c r="B1465" s="3">
        <f>(Master_Table!B1465-Master_Table!B1464)/Master_Table!B1464</f>
        <v>-4.734242893385995E-3</v>
      </c>
      <c r="C1465" s="3">
        <f>(Master_Table!C1465-Master_Table!C1464)/Master_Table!C1464</f>
        <v>-1.6138402943644697E-3</v>
      </c>
      <c r="D1465" s="3">
        <f>(Master_Table!D1465-Master_Table!D1464)/Master_Table!D1464</f>
        <v>-1.0705258462606004E-2</v>
      </c>
      <c r="E1465" s="3">
        <f>(Master_Table!E1465-Master_Table!E1464)/Master_Table!E1464</f>
        <v>5.9193488716242056E-3</v>
      </c>
      <c r="F1465" s="3">
        <f>(Master_Table!F1465-Master_Table!F1464)/Master_Table!F1464</f>
        <v>1.8443144238106484E-3</v>
      </c>
      <c r="G1465" s="3">
        <f>(Master_Table!G1465-Master_Table!G1464)/Master_Table!G1464</f>
        <v>5.5320533680442568E-3</v>
      </c>
      <c r="H1465" s="3">
        <f>(Master_Table!H1465-Master_Table!H1464)/Master_Table!H1464</f>
        <v>-3.096051914598504E-3</v>
      </c>
    </row>
    <row r="1466" spans="1:8" x14ac:dyDescent="0.3">
      <c r="A1466" s="1">
        <v>45985</v>
      </c>
      <c r="B1466" s="3">
        <f>(Master_Table!B1466-Master_Table!B1465)/Master_Table!B1465</f>
        <v>-4.1679213906626071E-3</v>
      </c>
      <c r="C1466" s="3">
        <f>(Master_Table!C1466-Master_Table!C1465)/Master_Table!C1465</f>
        <v>-6.9184016552436434E-3</v>
      </c>
      <c r="D1466" s="3">
        <f>(Master_Table!D1466-Master_Table!D1465)/Master_Table!D1465</f>
        <v>1.1021491909223213E-3</v>
      </c>
      <c r="E1466" s="3">
        <f>(Master_Table!E1466-Master_Table!E1465)/Master_Table!E1465</f>
        <v>-1.054309182297416E-2</v>
      </c>
      <c r="F1466" s="3">
        <f>(Master_Table!F1466-Master_Table!F1465)/Master_Table!F1465</f>
        <v>-2.9835586872342065E-3</v>
      </c>
      <c r="G1466" s="3">
        <f>(Master_Table!G1466-Master_Table!G1465)/Master_Table!G1465</f>
        <v>1.9417475728155339E-3</v>
      </c>
      <c r="H1466" s="3">
        <f>(Master_Table!H1466-Master_Table!H1465)/Master_Table!H1465</f>
        <v>-2.8820591815945512E-3</v>
      </c>
    </row>
    <row r="1467" spans="1:8" x14ac:dyDescent="0.3">
      <c r="A1467" s="1">
        <v>45986</v>
      </c>
      <c r="B1467" s="3">
        <f>(Master_Table!B1467-Master_Table!B1466)/Master_Table!B1466</f>
        <v>-2.8775592750245856E-3</v>
      </c>
      <c r="C1467" s="3">
        <f>(Master_Table!C1467-Master_Table!C1466)/Master_Table!C1466</f>
        <v>2.4741194088156483E-3</v>
      </c>
      <c r="D1467" s="3">
        <f>(Master_Table!D1467-Master_Table!D1466)/Master_Table!D1466</f>
        <v>-9.3579542611219764E-3</v>
      </c>
      <c r="E1467" s="3">
        <f>(Master_Table!E1467-Master_Table!E1466)/Master_Table!E1466</f>
        <v>-6.8145211250154871E-3</v>
      </c>
      <c r="F1467" s="3">
        <f>(Master_Table!F1467-Master_Table!F1466)/Master_Table!F1466</f>
        <v>-7.0036928562332871E-3</v>
      </c>
      <c r="G1467" s="3">
        <f>(Master_Table!G1467-Master_Table!G1466)/Master_Table!G1466</f>
        <v>-1.1240310077519439E-2</v>
      </c>
      <c r="H1467" s="3">
        <f>(Master_Table!H1467-Master_Table!H1466)/Master_Table!H1466</f>
        <v>-4.1362469787955955E-3</v>
      </c>
    </row>
    <row r="1468" spans="1:8" x14ac:dyDescent="0.3">
      <c r="A1468" s="1">
        <v>45987</v>
      </c>
      <c r="B1468" s="3">
        <f>(Master_Table!B1468-Master_Table!B1467)/Master_Table!B1467</f>
        <v>1.2381783904067252E-2</v>
      </c>
      <c r="C1468" s="3">
        <f>(Master_Table!C1468-Master_Table!C1467)/Master_Table!C1467</f>
        <v>1.9614210560498828E-2</v>
      </c>
      <c r="D1468" s="3">
        <f>(Master_Table!D1468-Master_Table!D1467)/Master_Table!D1467</f>
        <v>1.4245302081228555E-2</v>
      </c>
      <c r="E1468" s="3">
        <f>(Master_Table!E1468-Master_Table!E1467)/Master_Table!E1467</f>
        <v>3.7425149700598802E-3</v>
      </c>
      <c r="F1468" s="3">
        <f>(Master_Table!F1468-Master_Table!F1467)/Master_Table!F1467</f>
        <v>1.4010002564760283E-2</v>
      </c>
      <c r="G1468" s="3">
        <f>(Master_Table!G1468-Master_Table!G1467)/Master_Table!G1467</f>
        <v>1.7836142689141632E-2</v>
      </c>
      <c r="H1468" s="3">
        <f>(Master_Table!H1468-Master_Table!H1467)/Master_Table!H1467</f>
        <v>1.6338479245377482E-2</v>
      </c>
    </row>
    <row r="1469" spans="1:8" x14ac:dyDescent="0.3">
      <c r="A1469" s="1">
        <v>45988</v>
      </c>
      <c r="B1469" s="3">
        <f>(Master_Table!B1469-Master_Table!B1468)/Master_Table!B1468</f>
        <v>3.9114224985022116E-4</v>
      </c>
      <c r="C1469" s="3">
        <f>(Master_Table!C1469-Master_Table!C1468)/Master_Table!C1468</f>
        <v>-4.1403911077138667E-3</v>
      </c>
      <c r="D1469" s="3">
        <f>(Master_Table!D1469-Master_Table!D1468)/Master_Table!D1468</f>
        <v>5.5782448451041165E-3</v>
      </c>
      <c r="E1469" s="3">
        <f>(Master_Table!E1469-Master_Table!E1468)/Master_Table!E1468</f>
        <v>4.9714143673875218E-3</v>
      </c>
      <c r="F1469" s="3">
        <f>(Master_Table!F1469-Master_Table!F1468)/Master_Table!F1468</f>
        <v>-8.3151538145373495E-3</v>
      </c>
      <c r="G1469" s="3">
        <f>(Master_Table!G1469-Master_Table!G1468)/Master_Table!G1468</f>
        <v>5.4560626484369979E-3</v>
      </c>
      <c r="H1469" s="3">
        <f>(Master_Table!H1469-Master_Table!H1468)/Master_Table!H1468</f>
        <v>4.7513540128016202E-3</v>
      </c>
    </row>
    <row r="1470" spans="1:8" x14ac:dyDescent="0.3">
      <c r="A1470" s="1">
        <v>45989</v>
      </c>
      <c r="B1470" s="3">
        <f>(Master_Table!B1470-Master_Table!B1469)/Master_Table!B1469</f>
        <v>-4.806307706684981E-4</v>
      </c>
      <c r="C1470" s="3">
        <f>(Master_Table!C1470-Master_Table!C1469)/Master_Table!C1469</f>
        <v>2.6224894460790001E-3</v>
      </c>
      <c r="D1470" s="3">
        <f>(Master_Table!D1470-Master_Table!D1469)/Master_Table!D1469</f>
        <v>-1.8821198613174614E-3</v>
      </c>
      <c r="E1470" s="3">
        <f>(Master_Table!E1470-Master_Table!E1469)/Master_Table!E1469</f>
        <v>-1.2367054167700066E-4</v>
      </c>
      <c r="F1470" s="3">
        <f>(Master_Table!F1470-Master_Table!F1469)/Master_Table!F1469</f>
        <v>2.869348976599155E-4</v>
      </c>
      <c r="G1470" s="3">
        <f>(Master_Table!G1470-Master_Table!G1469)/Master_Table!G1469</f>
        <v>-4.0219611848826492E-3</v>
      </c>
      <c r="H1470" s="3">
        <f>(Master_Table!H1470-Master_Table!H1469)/Master_Table!H1469</f>
        <v>-2.8667336387916283E-3</v>
      </c>
    </row>
    <row r="1471" spans="1:8" x14ac:dyDescent="0.3">
      <c r="A1471" s="1">
        <v>45992</v>
      </c>
      <c r="B1471" s="3">
        <f>(Master_Table!B1471-Master_Table!B1470)/Master_Table!B1470</f>
        <v>-1.038051059136499E-3</v>
      </c>
      <c r="C1471" s="3">
        <f>(Master_Table!C1471-Master_Table!C1470)/Master_Table!C1470</f>
        <v>-8.9314194577358279E-4</v>
      </c>
      <c r="D1471" s="3">
        <f>(Master_Table!D1471-Master_Table!D1470)/Master_Table!D1470</f>
        <v>-5.4585152838427945E-3</v>
      </c>
      <c r="E1471" s="3">
        <f>(Master_Table!E1471-Master_Table!E1470)/Master_Table!E1470</f>
        <v>0</v>
      </c>
      <c r="F1471" s="3">
        <f>(Master_Table!F1471-Master_Table!F1470)/Master_Table!F1470</f>
        <v>-1.3067729083665049E-3</v>
      </c>
      <c r="G1471" s="3">
        <f>(Master_Table!G1471-Master_Table!G1470)/Master_Table!G1470</f>
        <v>2.4998397538619904E-3</v>
      </c>
      <c r="H1471" s="3">
        <f>(Master_Table!H1471-Master_Table!H1470)/Master_Table!H1470</f>
        <v>8.8460782386473092E-4</v>
      </c>
    </row>
    <row r="1472" spans="1:8" x14ac:dyDescent="0.3">
      <c r="A1472" s="1">
        <v>45993</v>
      </c>
      <c r="B1472" s="3">
        <f>(Master_Table!B1472-Master_Table!B1471)/Master_Table!B1471</f>
        <v>-5.4840835506145677E-3</v>
      </c>
      <c r="C1472" s="3">
        <f>(Master_Table!C1472-Master_Table!C1471)/Master_Table!C1471</f>
        <v>-1.2642870825617748E-2</v>
      </c>
      <c r="D1472" s="3">
        <f>(Master_Table!D1472-Master_Table!D1471)/Master_Table!D1471</f>
        <v>-1.2274224129328479E-2</v>
      </c>
      <c r="E1472" s="3">
        <f>(Master_Table!E1472-Master_Table!E1471)/Master_Table!E1471</f>
        <v>-8.1632653061224775E-3</v>
      </c>
      <c r="F1472" s="3">
        <f>(Master_Table!F1472-Master_Table!F1471)/Master_Table!F1471</f>
        <v>7.3402693559702784E-4</v>
      </c>
      <c r="G1472" s="3">
        <f>(Master_Table!G1472-Master_Table!G1471)/Master_Table!G1471</f>
        <v>-1.9181585677749361E-3</v>
      </c>
      <c r="H1472" s="3">
        <f>(Master_Table!H1472-Master_Table!H1471)/Master_Table!H1471</f>
        <v>-1.0483158204851179E-2</v>
      </c>
    </row>
    <row r="1473" spans="1:8" x14ac:dyDescent="0.3">
      <c r="A1473" s="1">
        <v>45994</v>
      </c>
      <c r="B1473" s="3">
        <f>(Master_Table!B1473-Master_Table!B1472)/Master_Table!B1472</f>
        <v>-1.77472514808586E-3</v>
      </c>
      <c r="C1473" s="3">
        <f>(Master_Table!C1473-Master_Table!C1472)/Master_Table!C1472</f>
        <v>-4.8502877837418353E-3</v>
      </c>
      <c r="D1473" s="3">
        <f>(Master_Table!D1473-Master_Table!D1472)/Master_Table!D1472</f>
        <v>1.0810264699939428E-2</v>
      </c>
      <c r="E1473" s="3">
        <f>(Master_Table!E1473-Master_Table!E1472)/Master_Table!E1472</f>
        <v>-1.1223344556677607E-3</v>
      </c>
      <c r="F1473" s="3">
        <f>(Master_Table!F1473-Master_Table!F1472)/Master_Table!F1472</f>
        <v>1.4127627005134478E-2</v>
      </c>
      <c r="G1473" s="3">
        <f>(Master_Table!G1473-Master_Table!G1472)/Master_Table!G1472</f>
        <v>1.1338885329916748E-2</v>
      </c>
      <c r="H1473" s="3">
        <f>(Master_Table!H1473-Master_Table!H1472)/Master_Table!H1472</f>
        <v>-1.0544597444485796E-2</v>
      </c>
    </row>
    <row r="1474" spans="1:8" x14ac:dyDescent="0.3">
      <c r="A1474" s="1">
        <v>45995</v>
      </c>
      <c r="B1474" s="3">
        <f>(Master_Table!B1474-Master_Table!B1473)/Master_Table!B1473</f>
        <v>1.8375278996382667E-3</v>
      </c>
      <c r="C1474" s="3">
        <f>(Master_Table!C1474-Master_Table!C1473)/Master_Table!C1473</f>
        <v>-2.0795425006498868E-3</v>
      </c>
      <c r="D1474" s="3">
        <f>(Master_Table!D1474-Master_Table!D1473)/Master_Table!D1473</f>
        <v>-3.2983508245876605E-3</v>
      </c>
      <c r="E1474" s="3">
        <f>(Master_Table!E1474-Master_Table!E1473)/Master_Table!E1473</f>
        <v>6.367041198501901E-3</v>
      </c>
      <c r="F1474" s="3">
        <f>(Master_Table!F1474-Master_Table!F1473)/Master_Table!F1473</f>
        <v>1.5471698113207489E-2</v>
      </c>
      <c r="G1474" s="3">
        <f>(Master_Table!G1474-Master_Table!G1473)/Master_Table!G1473</f>
        <v>1.1971875593842949E-2</v>
      </c>
      <c r="H1474" s="3">
        <f>(Master_Table!H1474-Master_Table!H1473)/Master_Table!H1473</f>
        <v>-1.1033099297893909E-3</v>
      </c>
    </row>
    <row r="1475" spans="1:8" x14ac:dyDescent="0.3">
      <c r="A1475" s="1">
        <v>45996</v>
      </c>
      <c r="B1475" s="3">
        <f>(Master_Table!B1475-Master_Table!B1474)/Master_Table!B1474</f>
        <v>5.8654631007826656E-3</v>
      </c>
      <c r="C1475" s="3">
        <f>(Master_Table!C1475-Master_Table!C1474)/Master_Table!C1474</f>
        <v>3.2560562646522535E-3</v>
      </c>
      <c r="D1475" s="3">
        <f>(Master_Table!D1475-Master_Table!D1474)/Master_Table!D1474</f>
        <v>6.1171279582831013E-3</v>
      </c>
      <c r="E1475" s="3">
        <f>(Master_Table!E1475-Master_Table!E1474)/Master_Table!E1474</f>
        <v>4.7140553281230053E-3</v>
      </c>
      <c r="F1475" s="3">
        <f>(Master_Table!F1475-Master_Table!F1474)/Master_Table!F1474</f>
        <v>2.787068004459309E-3</v>
      </c>
      <c r="G1475" s="3">
        <f>(Master_Table!G1475-Master_Table!G1474)/Master_Table!G1474</f>
        <v>1.1642463695543401E-2</v>
      </c>
      <c r="H1475" s="3">
        <f>(Master_Table!H1475-Master_Table!H1474)/Master_Table!H1474</f>
        <v>1.370619540114467E-2</v>
      </c>
    </row>
    <row r="1476" spans="1:8" x14ac:dyDescent="0.3">
      <c r="A1476" s="1">
        <v>45999</v>
      </c>
      <c r="B1476" s="3">
        <f>(Master_Table!B1476-Master_Table!B1475)/Master_Table!B1475</f>
        <v>-8.6265988707901007E-3</v>
      </c>
      <c r="C1476" s="3">
        <f>(Master_Table!C1476-Master_Table!C1475)/Master_Table!C1475</f>
        <v>1.5578346098923089E-3</v>
      </c>
      <c r="D1476" s="3">
        <f>(Master_Table!D1476-Master_Table!D1475)/Master_Table!D1475</f>
        <v>-1.9934217083617241E-4</v>
      </c>
      <c r="E1476" s="3">
        <f>(Master_Table!E1476-Master_Table!E1475)/Master_Table!E1475</f>
        <v>-6.54401777997278E-3</v>
      </c>
      <c r="F1476" s="3">
        <f>(Master_Table!F1476-Master_Table!F1475)/Master_Table!F1475</f>
        <v>-5.2498301525533261E-4</v>
      </c>
      <c r="G1476" s="3">
        <f>(Master_Table!G1476-Master_Table!G1475)/Master_Table!G1475</f>
        <v>-3.3411706471971852E-3</v>
      </c>
      <c r="H1476" s="3">
        <f>(Master_Table!H1476-Master_Table!H1475)/Master_Table!H1475</f>
        <v>-1.0276856024961617E-2</v>
      </c>
    </row>
    <row r="1477" spans="1:8" x14ac:dyDescent="0.3">
      <c r="A1477" s="1">
        <v>46000</v>
      </c>
      <c r="B1477" s="3">
        <f>(Master_Table!B1477-Master_Table!B1476)/Master_Table!B1476</f>
        <v>-4.6570662023723616E-3</v>
      </c>
      <c r="C1477" s="3">
        <f>(Master_Table!C1477-Master_Table!C1476)/Master_Table!C1476</f>
        <v>-8.8139987038236608E-3</v>
      </c>
      <c r="D1477" s="3">
        <f>(Master_Table!D1477-Master_Table!D1476)/Master_Table!D1476</f>
        <v>-5.9814574818064003E-3</v>
      </c>
      <c r="E1477" s="3">
        <f>(Master_Table!E1477-Master_Table!E1476)/Master_Table!E1476</f>
        <v>-3.1071339796172009E-3</v>
      </c>
      <c r="F1477" s="3">
        <f>(Master_Table!F1477-Master_Table!F1476)/Master_Table!F1476</f>
        <v>-8.7131160203923422E-3</v>
      </c>
      <c r="G1477" s="3">
        <f>(Master_Table!G1477-Master_Table!G1476)/Master_Table!G1476</f>
        <v>-7.3255525204866867E-3</v>
      </c>
      <c r="H1477" s="3">
        <f>(Master_Table!H1477-Master_Table!H1476)/Master_Table!H1476</f>
        <v>2.0016513623744136E-4</v>
      </c>
    </row>
    <row r="1478" spans="1:8" x14ac:dyDescent="0.3">
      <c r="A1478" s="1">
        <v>46001</v>
      </c>
      <c r="B1478" s="3">
        <f>(Master_Table!B1478-Master_Table!B1477)/Master_Table!B1477</f>
        <v>-3.1598725214931878E-3</v>
      </c>
      <c r="C1478" s="3">
        <f>(Master_Table!C1478-Master_Table!C1477)/Master_Table!C1477</f>
        <v>4.903883876029815E-3</v>
      </c>
      <c r="D1478" s="3">
        <f>(Master_Table!D1478-Master_Table!D1477)/Master_Table!D1477</f>
        <v>-7.3212315715575852E-3</v>
      </c>
      <c r="E1478" s="3">
        <f>(Master_Table!E1478-Master_Table!E1477)/Master_Table!E1477</f>
        <v>5.23625483106836E-3</v>
      </c>
      <c r="F1478" s="3">
        <f>(Master_Table!F1478-Master_Table!F1477)/Master_Table!F1477</f>
        <v>-5.9533086058038099E-3</v>
      </c>
      <c r="G1478" s="3">
        <f>(Master_Table!G1478-Master_Table!G1477)/Master_Table!G1477</f>
        <v>-8.8805503439650067E-3</v>
      </c>
      <c r="H1478" s="3">
        <f>(Master_Table!H1478-Master_Table!H1477)/Master_Table!H1477</f>
        <v>-1.5509693558473591E-3</v>
      </c>
    </row>
    <row r="1479" spans="1:8" x14ac:dyDescent="0.3">
      <c r="A1479" s="1">
        <v>46002</v>
      </c>
      <c r="B1479" s="3">
        <f>(Master_Table!B1479-Master_Table!B1478)/Master_Table!B1478</f>
        <v>5.4565571861169065E-3</v>
      </c>
      <c r="C1479" s="3">
        <f>(Master_Table!C1479-Master_Table!C1478)/Master_Table!C1478</f>
        <v>5.2703494046456561E-3</v>
      </c>
      <c r="D1479" s="3">
        <f>(Master_Table!D1479-Master_Table!D1478)/Master_Table!D1478</f>
        <v>1.0608203677510608E-2</v>
      </c>
      <c r="E1479" s="3">
        <f>(Master_Table!E1479-Master_Table!E1478)/Master_Table!E1478</f>
        <v>-6.2011658191740053E-4</v>
      </c>
      <c r="F1479" s="3">
        <f>(Master_Table!F1479-Master_Table!F1478)/Master_Table!F1478</f>
        <v>8.4660729963635802E-4</v>
      </c>
      <c r="G1479" s="3">
        <f>(Master_Table!G1479-Master_Table!G1478)/Master_Table!G1478</f>
        <v>8.3291267036850365E-3</v>
      </c>
      <c r="H1479" s="3">
        <f>(Master_Table!H1479-Master_Table!H1478)/Master_Table!H1478</f>
        <v>3.1568661839500686E-3</v>
      </c>
    </row>
    <row r="1480" spans="1:8" x14ac:dyDescent="0.3">
      <c r="A1480" s="1">
        <v>46003</v>
      </c>
      <c r="B1480" s="3">
        <f>(Master_Table!B1480-Master_Table!B1479)/Master_Table!B1479</f>
        <v>5.7300505240641449E-3</v>
      </c>
      <c r="C1480" s="3">
        <f>(Master_Table!C1480-Master_Table!C1479)/Master_Table!C1479</f>
        <v>7.4433656957928803E-3</v>
      </c>
      <c r="D1480" s="3">
        <f>(Master_Table!D1480-Master_Table!D1479)/Master_Table!D1479</f>
        <v>1.1996401079676553E-3</v>
      </c>
      <c r="E1480" s="3">
        <f>(Master_Table!E1480-Master_Table!E1479)/Master_Table!E1479</f>
        <v>-6.9496152891535233E-3</v>
      </c>
      <c r="F1480" s="3">
        <f>(Master_Table!F1480-Master_Table!F1479)/Master_Table!F1479</f>
        <v>8.9601804567811996E-3</v>
      </c>
      <c r="G1480" s="3">
        <f>(Master_Table!G1480-Master_Table!G1479)/Master_Table!G1479</f>
        <v>1.2515644555697464E-4</v>
      </c>
      <c r="H1480" s="3">
        <f>(Master_Table!H1480-Master_Table!H1479)/Master_Table!H1479</f>
        <v>1.7532905417218168E-2</v>
      </c>
    </row>
    <row r="1481" spans="1:8" x14ac:dyDescent="0.3">
      <c r="A1481" s="1">
        <v>46006</v>
      </c>
      <c r="B1481" s="3">
        <f>(Master_Table!B1481-Master_Table!B1480)/Master_Table!B1480</f>
        <v>-7.5440694591886787E-4</v>
      </c>
      <c r="C1481" s="3">
        <f>(Master_Table!C1481-Master_Table!C1480)/Master_Table!C1480</f>
        <v>-1.9274012206871476E-4</v>
      </c>
      <c r="D1481" s="3">
        <f>(Master_Table!D1481-Master_Table!D1480)/Master_Table!D1480</f>
        <v>-5.3919121318022735E-3</v>
      </c>
      <c r="E1481" s="3">
        <f>(Master_Table!E1481-Master_Table!E1480)/Master_Table!E1480</f>
        <v>5.4986253436640556E-3</v>
      </c>
      <c r="F1481" s="3">
        <f>(Master_Table!F1481-Master_Table!F1480)/Master_Table!F1480</f>
        <v>3.0119546654245669E-3</v>
      </c>
      <c r="G1481" s="3">
        <f>(Master_Table!G1481-Master_Table!G1480)/Master_Table!G1480</f>
        <v>5.3810536853960136E-3</v>
      </c>
      <c r="H1481" s="3">
        <f>(Master_Table!H1481-Master_Table!H1480)/Master_Table!H1480</f>
        <v>4.467244299354526E-3</v>
      </c>
    </row>
    <row r="1482" spans="1:8" x14ac:dyDescent="0.3">
      <c r="A1482" s="1">
        <v>46007</v>
      </c>
      <c r="B1482" s="3">
        <f>(Master_Table!B1482-Master_Table!B1481)/Master_Table!B1481</f>
        <v>-6.4240240055634173E-3</v>
      </c>
      <c r="C1482" s="3">
        <f>(Master_Table!C1482-Master_Table!C1481)/Master_Table!C1481</f>
        <v>-8.9320138799640729E-3</v>
      </c>
      <c r="D1482" s="3">
        <f>(Master_Table!D1482-Master_Table!D1481)/Master_Table!D1481</f>
        <v>-1.8070474851923182E-3</v>
      </c>
      <c r="E1482" s="3">
        <f>(Master_Table!E1482-Master_Table!E1481)/Master_Table!E1481</f>
        <v>-1.491424310216313E-3</v>
      </c>
      <c r="F1482" s="3">
        <f>(Master_Table!F1482-Master_Table!F1481)/Master_Table!F1481</f>
        <v>-7.7704166924648351E-3</v>
      </c>
      <c r="G1482" s="3">
        <f>(Master_Table!G1482-Master_Table!G1481)/Master_Table!G1481</f>
        <v>-8.6507343788896334E-3</v>
      </c>
      <c r="H1482" s="3">
        <f>(Master_Table!H1482-Master_Table!H1481)/Master_Table!H1481</f>
        <v>-6.9642988050729413E-3</v>
      </c>
    </row>
    <row r="1483" spans="1:8" x14ac:dyDescent="0.3">
      <c r="A1483" s="1">
        <v>46008</v>
      </c>
      <c r="B1483" s="3">
        <f>(Master_Table!B1483-Master_Table!B1482)/Master_Table!B1482</f>
        <v>-1.6067223251263248E-3</v>
      </c>
      <c r="C1483" s="3">
        <f>(Master_Table!C1483-Master_Table!C1482)/Master_Table!C1482</f>
        <v>1.3616028010115648E-3</v>
      </c>
      <c r="D1483" s="3">
        <f>(Master_Table!D1483-Master_Table!D1482)/Master_Table!D1482</f>
        <v>-1.0359046565422865E-2</v>
      </c>
      <c r="E1483" s="3">
        <f>(Master_Table!E1483-Master_Table!E1482)/Master_Table!E1482</f>
        <v>-4.7298979337813728E-3</v>
      </c>
      <c r="F1483" s="3">
        <f>(Master_Table!F1483-Master_Table!F1482)/Master_Table!F1482</f>
        <v>3.9624348694269366E-3</v>
      </c>
      <c r="G1483" s="3">
        <f>(Master_Table!G1483-Master_Table!G1482)/Master_Table!G1482</f>
        <v>5.712850775315405E-3</v>
      </c>
      <c r="H1483" s="3">
        <f>(Master_Table!H1483-Master_Table!H1482)/Master_Table!H1482</f>
        <v>-3.4450514296965667E-4</v>
      </c>
    </row>
    <row r="1484" spans="1:8" x14ac:dyDescent="0.3">
      <c r="A1484" s="1">
        <v>46009</v>
      </c>
      <c r="B1484" s="3">
        <f>(Master_Table!B1484-Master_Table!B1483)/Master_Table!B1483</f>
        <v>-1.1619552608492731E-4</v>
      </c>
      <c r="C1484" s="3">
        <f>(Master_Table!C1484-Master_Table!C1483)/Master_Table!C1483</f>
        <v>0</v>
      </c>
      <c r="D1484" s="3">
        <f>(Master_Table!D1484-Master_Table!D1483)/Master_Table!D1483</f>
        <v>-4.3699186991869457E-3</v>
      </c>
      <c r="E1484" s="3">
        <f>(Master_Table!E1484-Master_Table!E1483)/Master_Table!E1483</f>
        <v>1.5007503751875084E-3</v>
      </c>
      <c r="F1484" s="3">
        <f>(Master_Table!F1484-Master_Table!F1483)/Master_Table!F1483</f>
        <v>1.9578594070482937E-2</v>
      </c>
      <c r="G1484" s="3">
        <f>(Master_Table!G1484-Master_Table!G1483)/Master_Table!G1483</f>
        <v>1.5480649188514328E-2</v>
      </c>
      <c r="H1484" s="3">
        <f>(Master_Table!H1484-Master_Table!H1483)/Master_Table!H1483</f>
        <v>-7.7048050413549085E-3</v>
      </c>
    </row>
    <row r="1485" spans="1:8" x14ac:dyDescent="0.3">
      <c r="A1485" s="1">
        <v>46010</v>
      </c>
      <c r="B1485" s="3">
        <f>(Master_Table!B1485-Master_Table!B1484)/Master_Table!B1484</f>
        <v>5.8433773442751434E-3</v>
      </c>
      <c r="C1485" s="3">
        <f>(Master_Table!C1485-Master_Table!C1484)/Master_Table!C1484</f>
        <v>1.3403263403263284E-2</v>
      </c>
      <c r="D1485" s="3">
        <f>(Master_Table!D1485-Master_Table!D1484)/Master_Table!D1484</f>
        <v>5.9201796468306154E-3</v>
      </c>
      <c r="E1485" s="3">
        <f>(Master_Table!E1485-Master_Table!E1484)/Master_Table!E1484</f>
        <v>1.6233766233767087E-3</v>
      </c>
      <c r="F1485" s="3">
        <f>(Master_Table!F1485-Master_Table!F1484)/Master_Table!F1484</f>
        <v>3.6576444769562854E-4</v>
      </c>
      <c r="G1485" s="3">
        <f>(Master_Table!G1485-Master_Table!G1484)/Master_Table!G1484</f>
        <v>7.3149741824441181E-3</v>
      </c>
      <c r="H1485" s="3">
        <f>(Master_Table!H1485-Master_Table!H1484)/Master_Table!H1484</f>
        <v>1.0518220833023267E-2</v>
      </c>
    </row>
    <row r="1486" spans="1:8" x14ac:dyDescent="0.3">
      <c r="A1486" s="1">
        <v>46013</v>
      </c>
      <c r="B1486" s="3">
        <f>(Master_Table!B1486-Master_Table!B1485)/Master_Table!B1485</f>
        <v>7.933329225460594E-3</v>
      </c>
      <c r="C1486" s="3">
        <f>(Master_Table!C1486-Master_Table!C1485)/Master_Table!C1485</f>
        <v>6.5810491342407403E-3</v>
      </c>
      <c r="D1486" s="3">
        <f>(Master_Table!D1486-Master_Table!D1485)/Master_Table!D1485</f>
        <v>2.2323693556570729E-3</v>
      </c>
      <c r="E1486" s="3">
        <f>(Master_Table!E1486-Master_Table!E1485)/Master_Table!E1485</f>
        <v>4.1142002244108642E-3</v>
      </c>
      <c r="F1486" s="3">
        <f>(Master_Table!F1486-Master_Table!F1485)/Master_Table!F1485</f>
        <v>1.3071297989031106E-2</v>
      </c>
      <c r="G1486" s="3">
        <f>(Master_Table!G1486-Master_Table!G1485)/Master_Table!G1485</f>
        <v>3.1061207054372285E-2</v>
      </c>
      <c r="H1486" s="3">
        <f>(Master_Table!H1486-Master_Table!H1485)/Master_Table!H1485</f>
        <v>-2.7003805081622905E-4</v>
      </c>
    </row>
    <row r="1487" spans="1:8" x14ac:dyDescent="0.3">
      <c r="A1487" s="1">
        <v>46014</v>
      </c>
      <c r="B1487" s="3">
        <f>(Master_Table!B1487-Master_Table!B1486)/Master_Table!B1486</f>
        <v>1.8148889670034082E-4</v>
      </c>
      <c r="C1487" s="3">
        <f>(Master_Table!C1487-Master_Table!C1486)/Master_Table!C1486</f>
        <v>-2.983369303034179E-3</v>
      </c>
      <c r="D1487" s="3">
        <f>(Master_Table!D1487-Master_Table!D1486)/Master_Table!D1486</f>
        <v>9.0108332489622113E-3</v>
      </c>
      <c r="E1487" s="3">
        <f>(Master_Table!E1487-Master_Table!E1486)/Master_Table!E1486</f>
        <v>1.1547057362801177E-2</v>
      </c>
      <c r="F1487" s="3">
        <f>(Master_Table!F1487-Master_Table!F1486)/Master_Table!F1486</f>
        <v>-4.4813377845950523E-3</v>
      </c>
      <c r="G1487" s="3">
        <f>(Master_Table!G1487-Master_Table!G1486)/Master_Table!G1486</f>
        <v>-1.2606534090909064E-2</v>
      </c>
      <c r="H1487" s="3">
        <f>(Master_Table!H1487-Master_Table!H1486)/Master_Table!H1486</f>
        <v>-3.3395540713092794E-3</v>
      </c>
    </row>
    <row r="1488" spans="1:8" x14ac:dyDescent="0.3">
      <c r="A1488" s="1">
        <v>46015</v>
      </c>
      <c r="B1488" s="3">
        <f>(Master_Table!B1488-Master_Table!B1487)/Master_Table!B1487</f>
        <v>-1.3389540114184665E-3</v>
      </c>
      <c r="C1488" s="3">
        <f>(Master_Table!C1488-Master_Table!C1487)/Master_Table!C1487</f>
        <v>-7.958235181766091E-3</v>
      </c>
      <c r="D1488" s="3">
        <f>(Master_Table!D1488-Master_Table!D1487)/Master_Table!D1487</f>
        <v>6.0204695966287647E-4</v>
      </c>
      <c r="E1488" s="3">
        <f>(Master_Table!E1488-Master_Table!E1487)/Master_Table!E1487</f>
        <v>-1.841168528292623E-3</v>
      </c>
      <c r="F1488" s="3">
        <f>(Master_Table!F1488-Master_Table!F1487)/Master_Table!F1487</f>
        <v>2.7190332326283988E-3</v>
      </c>
      <c r="G1488" s="3">
        <f>(Master_Table!G1488-Master_Table!G1487)/Master_Table!G1487</f>
        <v>-2.9371216208115229E-3</v>
      </c>
      <c r="H1488" s="3">
        <f>(Master_Table!H1488-Master_Table!H1487)/Master_Table!H1487</f>
        <v>-1.2811668473441098E-3</v>
      </c>
    </row>
    <row r="1489" spans="1:8" x14ac:dyDescent="0.3">
      <c r="A1489" s="1">
        <v>46017</v>
      </c>
      <c r="B1489" s="3">
        <f>(Master_Table!B1489-Master_Table!B1488)/Master_Table!B1488</f>
        <v>-3.8175969030796791E-3</v>
      </c>
      <c r="C1489" s="3">
        <f>(Master_Table!C1489-Master_Table!C1488)/Master_Table!C1488</f>
        <v>6.4176614041843154E-4</v>
      </c>
      <c r="D1489" s="3">
        <f>(Master_Table!D1489-Master_Table!D1488)/Master_Table!D1488</f>
        <v>-5.1143200962695777E-3</v>
      </c>
      <c r="E1489" s="3">
        <f>(Master_Table!E1489-Master_Table!E1488)/Master_Table!E1488</f>
        <v>-6.0255779636007017E-3</v>
      </c>
      <c r="F1489" s="3">
        <f>(Master_Table!F1489-Master_Table!F1488)/Master_Table!F1488</f>
        <v>-1.1750527267249171E-2</v>
      </c>
      <c r="G1489" s="3">
        <f>(Master_Table!G1489-Master_Table!G1488)/Master_Table!G1488</f>
        <v>-4.3886016592522437E-3</v>
      </c>
      <c r="H1489" s="3">
        <f>(Master_Table!H1489-Master_Table!H1488)/Master_Table!H1488</f>
        <v>-1.5541740674954922E-3</v>
      </c>
    </row>
    <row r="1490" spans="1:8" x14ac:dyDescent="0.3">
      <c r="A1490" s="1">
        <v>46020</v>
      </c>
      <c r="B1490" s="3">
        <f>(Master_Table!B1490-Master_Table!B1489)/Master_Table!B1489</f>
        <v>-3.8475864266981309E-3</v>
      </c>
      <c r="C1490" s="3">
        <f>(Master_Table!C1490-Master_Table!C1489)/Master_Table!C1489</f>
        <v>-8.7224217547461104E-3</v>
      </c>
      <c r="D1490" s="3">
        <f>(Master_Table!D1490-Master_Table!D1489)/Master_Table!D1489</f>
        <v>-4.0318516278598654E-4</v>
      </c>
      <c r="E1490" s="3">
        <f>(Master_Table!E1490-Master_Table!E1489)/Master_Table!E1489</f>
        <v>-3.8352096993689339E-3</v>
      </c>
      <c r="F1490" s="3">
        <f>(Master_Table!F1490-Master_Table!F1489)/Master_Table!F1489</f>
        <v>-8.6890243902439032E-3</v>
      </c>
      <c r="G1490" s="3">
        <f>(Master_Table!G1490-Master_Table!G1489)/Master_Table!G1489</f>
        <v>-6.8836422921320353E-3</v>
      </c>
      <c r="H1490" s="3">
        <f>(Master_Table!H1490-Master_Table!H1489)/Master_Table!H1489</f>
        <v>-2.1248733723717942E-3</v>
      </c>
    </row>
    <row r="1491" spans="1:8" x14ac:dyDescent="0.3">
      <c r="A1491" s="1">
        <v>46021</v>
      </c>
      <c r="B1491" s="3">
        <f>(Master_Table!B1491-Master_Table!B1490)/Master_Table!B1490</f>
        <v>-1.2527898666646109E-4</v>
      </c>
      <c r="C1491" s="3">
        <f>(Master_Table!C1491-Master_Table!C1490)/Master_Table!C1490</f>
        <v>-3.7525879917183974E-3</v>
      </c>
      <c r="D1491" s="3">
        <f>(Master_Table!D1491-Master_Table!D1490)/Master_Table!D1490</f>
        <v>-8.0669557325811054E-4</v>
      </c>
      <c r="E1491" s="3">
        <f>(Master_Table!E1491-Master_Table!E1490)/Master_Table!E1490</f>
        <v>-4.9677098857426726E-3</v>
      </c>
      <c r="F1491" s="3">
        <f>(Master_Table!F1491-Master_Table!F1490)/Master_Table!F1490</f>
        <v>-1.4454866984468147E-3</v>
      </c>
      <c r="G1491" s="3">
        <f>(Master_Table!G1491-Master_Table!G1490)/Master_Table!G1490</f>
        <v>-1.404511461056736E-2</v>
      </c>
      <c r="H1491" s="3">
        <f>(Master_Table!H1491-Master_Table!H1490)/Master_Table!H1490</f>
        <v>3.2931388813232433E-3</v>
      </c>
    </row>
    <row r="1492" spans="1:8" x14ac:dyDescent="0.3">
      <c r="A1492" s="1">
        <v>46022</v>
      </c>
      <c r="B1492" s="3">
        <f>(Master_Table!B1492-Master_Table!B1491)/Master_Table!B1491</f>
        <v>7.353834113694324E-3</v>
      </c>
      <c r="C1492" s="3">
        <f>(Master_Table!C1492-Master_Table!C1491)/Master_Table!C1491</f>
        <v>1.987271074165485E-2</v>
      </c>
      <c r="D1492" s="3">
        <f>(Master_Table!D1492-Master_Table!D1491)/Master_Table!D1491</f>
        <v>3.0275507114751056E-4</v>
      </c>
      <c r="E1492" s="3">
        <f>(Master_Table!E1492-Master_Table!E1491)/Master_Table!E1491</f>
        <v>5.9910134797802727E-3</v>
      </c>
      <c r="F1492" s="3">
        <f>(Master_Table!F1492-Master_Table!F1491)/Master_Table!F1491</f>
        <v>-1.2504619933473069E-2</v>
      </c>
      <c r="G1492" s="3">
        <f>(Master_Table!G1492-Master_Table!G1491)/Master_Table!G1491</f>
        <v>-3.8233843117907117E-3</v>
      </c>
      <c r="H1492" s="3">
        <f>(Master_Table!H1492-Master_Table!H1491)/Master_Table!H1491</f>
        <v>7.7739387956564663E-3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63ED-7B32-4272-BFA3-2FE191431BF5}">
  <sheetPr>
    <pageSetUpPr fitToPage="1"/>
  </sheetPr>
  <dimension ref="A1:E19"/>
  <sheetViews>
    <sheetView tabSelected="1" workbookViewId="0">
      <selection activeCell="K11" sqref="K11"/>
    </sheetView>
  </sheetViews>
  <sheetFormatPr defaultRowHeight="14.4" x14ac:dyDescent="0.3"/>
  <cols>
    <col min="1" max="1" width="9.88671875" bestFit="1" customWidth="1"/>
    <col min="2" max="2" width="16.77734375" customWidth="1"/>
    <col min="3" max="3" width="15.21875" style="3" customWidth="1"/>
    <col min="4" max="4" width="11.21875" style="3" customWidth="1"/>
    <col min="5" max="5" width="13.44140625" style="3" customWidth="1"/>
  </cols>
  <sheetData>
    <row r="1" spans="1:5" x14ac:dyDescent="0.3">
      <c r="A1" t="s">
        <v>9</v>
      </c>
      <c r="B1" t="s">
        <v>10</v>
      </c>
      <c r="C1" s="3" t="s">
        <v>11</v>
      </c>
      <c r="D1" s="3" t="s">
        <v>12</v>
      </c>
      <c r="E1" s="3" t="s">
        <v>13</v>
      </c>
    </row>
    <row r="2" spans="1:5" x14ac:dyDescent="0.3">
      <c r="A2" t="str">
        <f>Master_Table!B1</f>
        <v>Nifty 50</v>
      </c>
      <c r="B2" s="21">
        <f>AVERAGE(Daily_Returns!B3:B1492)</f>
        <v>5.7773481185454203E-4</v>
      </c>
      <c r="C2" s="21">
        <f>B2*252</f>
        <v>0.14558917258734458</v>
      </c>
      <c r="D2" s="21">
        <f>_xlfn.STDEV.S(Daily_Returns!B3:B1492)</f>
        <v>1.1383898595740204E-2</v>
      </c>
      <c r="E2" s="21">
        <f>D2*SQRT(252)</f>
        <v>0.18071378780823599</v>
      </c>
    </row>
    <row r="3" spans="1:5" x14ac:dyDescent="0.3">
      <c r="A3" t="str">
        <f>Master_Table!C1</f>
        <v>Reliance</v>
      </c>
      <c r="B3" s="21">
        <f>AVERAGE(Daily_Returns!C3:C1492)</f>
        <v>7.2065464044811255E-4</v>
      </c>
      <c r="C3" s="21">
        <f t="shared" ref="C3:C8" si="0">B3*252</f>
        <v>0.18160496939292436</v>
      </c>
      <c r="D3" s="21">
        <f>_xlfn.STDEV.S(Daily_Returns!C3:C1492)</f>
        <v>1.7784531903124443E-2</v>
      </c>
      <c r="E3" s="21">
        <f t="shared" ref="E3:E8" si="1">D3*SQRT(252)</f>
        <v>0.28232069159616918</v>
      </c>
    </row>
    <row r="4" spans="1:5" x14ac:dyDescent="0.3">
      <c r="A4" t="str">
        <f>Master_Table!D1</f>
        <v>HDFC Bank</v>
      </c>
      <c r="B4" s="21">
        <f>AVERAGE(Daily_Returns!D3:D1492)</f>
        <v>4.273161258502816E-4</v>
      </c>
      <c r="C4" s="21">
        <f t="shared" si="0"/>
        <v>0.10768366371427096</v>
      </c>
      <c r="D4" s="21">
        <f>_xlfn.STDEV.S(Daily_Returns!D3:D1492)</f>
        <v>1.6181548383362186E-2</v>
      </c>
      <c r="E4" s="21">
        <f t="shared" si="1"/>
        <v>0.25687411710201369</v>
      </c>
    </row>
    <row r="5" spans="1:5" x14ac:dyDescent="0.3">
      <c r="A5" t="str">
        <f>Master_Table!E1</f>
        <v>ITC</v>
      </c>
      <c r="B5" s="21">
        <f>AVERAGE(Daily_Returns!E3:E1492)</f>
        <v>4.8182108701844319E-4</v>
      </c>
      <c r="C5" s="21">
        <f t="shared" si="0"/>
        <v>0.12141891392864768</v>
      </c>
      <c r="D5" s="21">
        <f>_xlfn.STDEV.S(Daily_Returns!E3:E1492)</f>
        <v>1.6010087822697701E-2</v>
      </c>
      <c r="E5" s="21">
        <f t="shared" si="1"/>
        <v>0.25415226508297006</v>
      </c>
    </row>
    <row r="6" spans="1:5" x14ac:dyDescent="0.3">
      <c r="A6" t="str">
        <f>Master_Table!F1</f>
        <v>TCS</v>
      </c>
      <c r="B6" s="21">
        <f>AVERAGE(Daily_Returns!F3:F1492)</f>
        <v>3.7478620278795245E-4</v>
      </c>
      <c r="C6" s="21">
        <f t="shared" si="0"/>
        <v>9.444612310256402E-2</v>
      </c>
      <c r="D6" s="21">
        <f>_xlfn.STDEV.S(Daily_Returns!F3:F1492)</f>
        <v>1.4976313351719749E-2</v>
      </c>
      <c r="E6" s="21">
        <f t="shared" si="1"/>
        <v>0.23774160411135997</v>
      </c>
    </row>
    <row r="7" spans="1:5" x14ac:dyDescent="0.3">
      <c r="A7" t="str">
        <f>Master_Table!G1</f>
        <v>Infosys</v>
      </c>
      <c r="B7" s="21">
        <f>AVERAGE(Daily_Returns!G3:G1492)</f>
        <v>6.7647725470246147E-4</v>
      </c>
      <c r="C7" s="21">
        <f t="shared" si="0"/>
        <v>0.17047226818502029</v>
      </c>
      <c r="D7" s="21">
        <f>_xlfn.STDEV.S(Daily_Returns!G3:G1492)</f>
        <v>1.7305044252582096E-2</v>
      </c>
      <c r="E7" s="21">
        <f t="shared" si="1"/>
        <v>0.27470906111579907</v>
      </c>
    </row>
    <row r="8" spans="1:5" x14ac:dyDescent="0.3">
      <c r="A8" t="str">
        <f>Master_Table!H1</f>
        <v>L&amp;T</v>
      </c>
      <c r="B8" s="21">
        <f>AVERAGE(Daily_Returns!H3:H1492)</f>
        <v>9.1541487374183835E-4</v>
      </c>
      <c r="C8" s="21">
        <f t="shared" si="0"/>
        <v>0.23068454818294326</v>
      </c>
      <c r="D8" s="21">
        <f>_xlfn.STDEV.S(Daily_Returns!H3:H1492)</f>
        <v>1.7374440396208085E-2</v>
      </c>
      <c r="E8" s="21">
        <f t="shared" si="1"/>
        <v>0.27581069074368675</v>
      </c>
    </row>
    <row r="11" spans="1:5" x14ac:dyDescent="0.3">
      <c r="A11" t="s">
        <v>27</v>
      </c>
    </row>
    <row r="12" spans="1:5" x14ac:dyDescent="0.3">
      <c r="A12" t="s">
        <v>28</v>
      </c>
    </row>
    <row r="14" spans="1:5" x14ac:dyDescent="0.3">
      <c r="A14" s="13" t="s">
        <v>29</v>
      </c>
    </row>
    <row r="15" spans="1:5" x14ac:dyDescent="0.3">
      <c r="A15" t="s">
        <v>30</v>
      </c>
    </row>
    <row r="16" spans="1:5" x14ac:dyDescent="0.3">
      <c r="A16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6F27-8214-41EA-8D1B-7969705D0BBC}">
  <sheetPr>
    <pageSetUpPr fitToPage="1"/>
  </sheetPr>
  <dimension ref="A1:H18"/>
  <sheetViews>
    <sheetView tabSelected="1" workbookViewId="0">
      <selection activeCell="K11" sqref="K11"/>
    </sheetView>
  </sheetViews>
  <sheetFormatPr defaultRowHeight="14.4" x14ac:dyDescent="0.3"/>
  <cols>
    <col min="1" max="1" width="9.88671875" bestFit="1" customWidth="1"/>
    <col min="3" max="3" width="9" customWidth="1"/>
    <col min="4" max="4" width="9.88671875" bestFit="1" customWidth="1"/>
  </cols>
  <sheetData>
    <row r="1" spans="1:8" x14ac:dyDescent="0.3">
      <c r="B1" s="16" t="str">
        <f>Master_Table!B1</f>
        <v>Nifty 50</v>
      </c>
      <c r="C1" s="16" t="str">
        <f>Master_Table!C1</f>
        <v>Reliance</v>
      </c>
      <c r="D1" s="16" t="str">
        <f>Master_Table!D1</f>
        <v>HDFC Bank</v>
      </c>
      <c r="E1" s="16" t="str">
        <f>Master_Table!E1</f>
        <v>ITC</v>
      </c>
      <c r="F1" s="16" t="str">
        <f>Master_Table!F1</f>
        <v>TCS</v>
      </c>
      <c r="G1" s="16" t="str">
        <f>Master_Table!G1</f>
        <v>Infosys</v>
      </c>
      <c r="H1" s="16" t="str">
        <f>Master_Table!H1</f>
        <v>L&amp;T</v>
      </c>
    </row>
    <row r="2" spans="1:8" ht="16.95" customHeight="1" x14ac:dyDescent="0.3">
      <c r="A2" s="17" t="str">
        <f>B1</f>
        <v>Nifty 50</v>
      </c>
      <c r="B2" s="4">
        <f>CORREL(Daily_Returns!B3:B1492,Daily_Returns!B3:B1492)</f>
        <v>1</v>
      </c>
      <c r="C2" s="4">
        <f>CORREL(Daily_Returns!C3:C1492,Daily_Returns!B3:B1492)</f>
        <v>0.71302386758808345</v>
      </c>
      <c r="D2" s="4">
        <f>CORREL(Daily_Returns!D3:D1492,Daily_Returns!B3:B1492)</f>
        <v>0.7551529393114309</v>
      </c>
      <c r="E2" s="4">
        <f>CORREL(Daily_Returns!E3:E1492,Daily_Returns!B3:B1492)</f>
        <v>0.47967322978604476</v>
      </c>
      <c r="F2" s="4">
        <f>CORREL(Daily_Returns!F3:F1492,Daily_Returns!B3:B1492)</f>
        <v>0.57203803002739229</v>
      </c>
      <c r="G2" s="4">
        <f>CORREL(Daily_Returns!G3:G1492,Daily_Returns!B3:B1492)</f>
        <v>0.6009956180140037</v>
      </c>
      <c r="H2" s="4">
        <f>CORREL(Daily_Returns!H3:H1492,Daily_Returns!B3:B1492)</f>
        <v>0.68718192430812308</v>
      </c>
    </row>
    <row r="3" spans="1:8" ht="16.95" customHeight="1" x14ac:dyDescent="0.3">
      <c r="A3" s="17" t="str">
        <f>C1</f>
        <v>Reliance</v>
      </c>
      <c r="B3" s="4">
        <f>CORREL(Daily_Returns!B3:B1492,Daily_Returns!C3:C1492)</f>
        <v>0.71302386758808345</v>
      </c>
      <c r="C3" s="4">
        <f>CORREL(Daily_Returns!C3:C1492,Daily_Returns!C3:C1492)</f>
        <v>0.99999999999999978</v>
      </c>
      <c r="D3" s="4">
        <f>CORREL(Daily_Returns!D3:D1492,Daily_Returns!C3:C1492)</f>
        <v>0.43998689258799167</v>
      </c>
      <c r="E3" s="4">
        <f>CORREL(Daily_Returns!E3:E1492,Daily_Returns!C3:C1492)</f>
        <v>0.29657970375395476</v>
      </c>
      <c r="F3" s="4">
        <f>CORREL(Daily_Returns!F3:F1492,Daily_Returns!C3:C1492)</f>
        <v>0.37658080184020465</v>
      </c>
      <c r="G3" s="4">
        <f>CORREL(Daily_Returns!G3:G1492,Daily_Returns!C3:C1492)</f>
        <v>0.34403319393640491</v>
      </c>
      <c r="H3" s="4">
        <f>CORREL(Daily_Returns!H3:H1492,Daily_Returns!C3:C1492)</f>
        <v>0.41424556293773912</v>
      </c>
    </row>
    <row r="4" spans="1:8" ht="16.95" customHeight="1" x14ac:dyDescent="0.3">
      <c r="A4" s="17" t="str">
        <f>D1</f>
        <v>HDFC Bank</v>
      </c>
      <c r="B4" s="4">
        <f>CORREL(Daily_Returns!B3:B1492,Daily_Returns!D3:D1492)</f>
        <v>0.7551529393114309</v>
      </c>
      <c r="C4" s="4">
        <f>CORREL(Daily_Returns!C3:C1492,Daily_Returns!D3:D1492)</f>
        <v>0.43998689258799167</v>
      </c>
      <c r="D4" s="4">
        <f>CORREL(Daily_Returns!D3:D1492,Daily_Returns!D3:D1492)</f>
        <v>1</v>
      </c>
      <c r="E4" s="4">
        <f>CORREL(Daily_Returns!E3:E1492,Daily_Returns!D3:D1492)</f>
        <v>0.28203856559280388</v>
      </c>
      <c r="F4" s="4">
        <f>CORREL(Daily_Returns!F3:F1492,Daily_Returns!D3:D1492)</f>
        <v>0.29710709704447447</v>
      </c>
      <c r="G4" s="4">
        <f>CORREL(Daily_Returns!G3:G1492,Daily_Returns!D3:D1492)</f>
        <v>0.34269485562814156</v>
      </c>
      <c r="H4" s="4">
        <f>CORREL(Daily_Returns!H3:H1492,Daily_Returns!D3:D1492)</f>
        <v>0.48699535522210657</v>
      </c>
    </row>
    <row r="5" spans="1:8" ht="16.95" customHeight="1" x14ac:dyDescent="0.3">
      <c r="A5" s="17" t="str">
        <f>E1</f>
        <v>ITC</v>
      </c>
      <c r="B5" s="4">
        <f>CORREL(Daily_Returns!B3:B1492,Daily_Returns!E3:E1492)</f>
        <v>0.47967322978604476</v>
      </c>
      <c r="C5" s="4">
        <f>CORREL(Daily_Returns!C3:C1492,Daily_Returns!E3:E1492)</f>
        <v>0.29657970375395476</v>
      </c>
      <c r="D5" s="4">
        <f>CORREL(Daily_Returns!D3:D1492,Daily_Returns!E3:E1492)</f>
        <v>0.28203856559280388</v>
      </c>
      <c r="E5" s="4">
        <f>CORREL(Daily_Returns!E3:E1492,Daily_Returns!E3:E1492)</f>
        <v>0.99999999999999978</v>
      </c>
      <c r="F5" s="4">
        <f>CORREL(Daily_Returns!F3:F1492,Daily_Returns!E3:E1492)</f>
        <v>0.23039932847093997</v>
      </c>
      <c r="G5" s="4">
        <f>CORREL(Daily_Returns!G3:G1492,Daily_Returns!E3:E1492)</f>
        <v>0.23430708722124993</v>
      </c>
      <c r="H5" s="4">
        <f>CORREL(Daily_Returns!H3:H1492,Daily_Returns!E3:E1492)</f>
        <v>0.33432678605427835</v>
      </c>
    </row>
    <row r="6" spans="1:8" ht="16.95" customHeight="1" x14ac:dyDescent="0.3">
      <c r="A6" s="17" t="str">
        <f>F1</f>
        <v>TCS</v>
      </c>
      <c r="B6" s="4">
        <f>CORREL(Daily_Returns!B3:B1492,Daily_Returns!F3:F1492)</f>
        <v>0.57203803002739229</v>
      </c>
      <c r="C6" s="4">
        <f>CORREL(Daily_Returns!C3:C1492,Daily_Returns!F3:F1492)</f>
        <v>0.37658080184020465</v>
      </c>
      <c r="D6" s="4">
        <f>CORREL(Daily_Returns!D3:D1492,Daily_Returns!F3:F1492)</f>
        <v>0.29710709704447447</v>
      </c>
      <c r="E6" s="4">
        <f>CORREL(Daily_Returns!E3:E1492,Daily_Returns!F3:F1492)</f>
        <v>0.23039932847093997</v>
      </c>
      <c r="F6" s="4">
        <f>CORREL(Daily_Returns!F3:F1492,Daily_Returns!F3:F1492)</f>
        <v>1</v>
      </c>
      <c r="G6" s="4">
        <f>CORREL(Daily_Returns!G3:G1492,Daily_Returns!F3:F1492)</f>
        <v>0.70957876925121066</v>
      </c>
      <c r="H6" s="4">
        <f>CORREL(Daily_Returns!H3:H1492,Daily_Returns!F3:F1492)</f>
        <v>0.31595801708497895</v>
      </c>
    </row>
    <row r="7" spans="1:8" ht="16.95" customHeight="1" x14ac:dyDescent="0.3">
      <c r="A7" s="17" t="str">
        <f>G1</f>
        <v>Infosys</v>
      </c>
      <c r="B7" s="4">
        <f>CORREL(Daily_Returns!B3:B1492,Daily_Returns!G3:G1492)</f>
        <v>0.6009956180140037</v>
      </c>
      <c r="C7" s="4">
        <f>CORREL(Daily_Returns!C3:C1492,Daily_Returns!G3:G1492)</f>
        <v>0.34403319393640491</v>
      </c>
      <c r="D7" s="4">
        <f>CORREL(Daily_Returns!D3:D1492,Daily_Returns!G3:G1492)</f>
        <v>0.34269485562814156</v>
      </c>
      <c r="E7" s="4">
        <f>CORREL(Daily_Returns!E3:E1492,Daily_Returns!G3:G1492)</f>
        <v>0.23430708722124993</v>
      </c>
      <c r="F7" s="4">
        <f>CORREL(Daily_Returns!F3:F1492,Daily_Returns!G3:G1492)</f>
        <v>0.70957876925121066</v>
      </c>
      <c r="G7" s="4">
        <f>CORREL(Daily_Returns!G3:G1492,Daily_Returns!G3:G1492)</f>
        <v>0.99999999999999978</v>
      </c>
      <c r="H7" s="4">
        <f>CORREL(Daily_Returns!H3:H1492,Daily_Returns!G3:G1492)</f>
        <v>0.34605456251758426</v>
      </c>
    </row>
    <row r="8" spans="1:8" ht="16.95" customHeight="1" x14ac:dyDescent="0.3">
      <c r="A8" s="17" t="str">
        <f>H1</f>
        <v>L&amp;T</v>
      </c>
      <c r="B8" s="4">
        <f>CORREL(Daily_Returns!B3:B1492,Daily_Returns!H3:H1492)</f>
        <v>0.68718192430812308</v>
      </c>
      <c r="C8" s="4">
        <f>CORREL(Daily_Returns!C3:C1492,Daily_Returns!H3:H1492)</f>
        <v>0.41424556293773912</v>
      </c>
      <c r="D8" s="4">
        <f>CORREL(Daily_Returns!D3:D1492,Daily_Returns!H3:H1492)</f>
        <v>0.48699535522210657</v>
      </c>
      <c r="E8" s="4">
        <f>CORREL(Daily_Returns!E3:E1492,Daily_Returns!H3:H1492)</f>
        <v>0.33432678605427835</v>
      </c>
      <c r="F8" s="4">
        <f>CORREL(Daily_Returns!F3:F1492,Daily_Returns!H3:H1492)</f>
        <v>0.31595801708497895</v>
      </c>
      <c r="G8" s="4">
        <f>CORREL(Daily_Returns!G3:G1492,Daily_Returns!H3:H1492)</f>
        <v>0.34605456251758426</v>
      </c>
      <c r="H8" s="4">
        <f>CORREL(Daily_Returns!H3:H1492,Daily_Returns!H3:H1492)</f>
        <v>1</v>
      </c>
    </row>
    <row r="10" spans="1:8" x14ac:dyDescent="0.3">
      <c r="A10" t="s">
        <v>34</v>
      </c>
    </row>
    <row r="11" spans="1:8" x14ac:dyDescent="0.3">
      <c r="A11" t="s">
        <v>35</v>
      </c>
    </row>
    <row r="13" spans="1:8" x14ac:dyDescent="0.3">
      <c r="A13" t="s">
        <v>36</v>
      </c>
    </row>
    <row r="14" spans="1:8" x14ac:dyDescent="0.3">
      <c r="A14" t="s">
        <v>37</v>
      </c>
    </row>
    <row r="16" spans="1:8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</sheetData>
  <conditionalFormatting sqref="B2:H8">
    <cfRule type="colorScale" priority="1">
      <colorScale>
        <cfvo type="min"/>
        <cfvo type="percentile" val="50"/>
        <cfvo type="max"/>
        <color theme="9"/>
        <color rgb="FFFFEB84"/>
        <color theme="5"/>
      </colorScale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E0E5-557A-4654-BF0B-6A7672AAAC7E}">
  <sheetPr>
    <pageSetUpPr fitToPage="1"/>
  </sheetPr>
  <dimension ref="A1:D14"/>
  <sheetViews>
    <sheetView tabSelected="1" workbookViewId="0">
      <selection activeCell="K11" sqref="K11"/>
    </sheetView>
  </sheetViews>
  <sheetFormatPr defaultRowHeight="14.4" x14ac:dyDescent="0.3"/>
  <cols>
    <col min="1" max="1" width="9.88671875" bestFit="1" customWidth="1"/>
    <col min="2" max="2" width="9.5546875" style="6" customWidth="1"/>
    <col min="3" max="3" width="16.109375" customWidth="1"/>
    <col min="4" max="4" width="17" customWidth="1"/>
  </cols>
  <sheetData>
    <row r="1" spans="1:4" ht="28.8" x14ac:dyDescent="0.3">
      <c r="A1" s="18" t="s">
        <v>9</v>
      </c>
      <c r="B1" s="19" t="s">
        <v>14</v>
      </c>
      <c r="C1" s="20" t="s">
        <v>15</v>
      </c>
      <c r="D1" s="20" t="s">
        <v>16</v>
      </c>
    </row>
    <row r="2" spans="1:4" x14ac:dyDescent="0.3">
      <c r="A2" t="str">
        <f>Risk_Return!A3</f>
        <v>Reliance</v>
      </c>
      <c r="B2" s="6">
        <v>0.2</v>
      </c>
      <c r="C2" s="3">
        <f>Risk_Return!B3</f>
        <v>7.2065464044811255E-4</v>
      </c>
      <c r="D2" s="7">
        <f>B2*C2</f>
        <v>1.4413092808962251E-4</v>
      </c>
    </row>
    <row r="3" spans="1:4" x14ac:dyDescent="0.3">
      <c r="A3" t="str">
        <f>Risk_Return!A4</f>
        <v>HDFC Bank</v>
      </c>
      <c r="B3" s="6">
        <v>0.15</v>
      </c>
      <c r="C3" s="3">
        <f>Risk_Return!B4</f>
        <v>4.273161258502816E-4</v>
      </c>
      <c r="D3" s="7">
        <f t="shared" ref="D3:D7" si="0">B3*C3</f>
        <v>6.4097418877542237E-5</v>
      </c>
    </row>
    <row r="4" spans="1:4" x14ac:dyDescent="0.3">
      <c r="A4" t="str">
        <f>Risk_Return!A5</f>
        <v>ITC</v>
      </c>
      <c r="B4" s="6">
        <v>0.15</v>
      </c>
      <c r="C4" s="3">
        <f>Risk_Return!B5</f>
        <v>4.8182108701844319E-4</v>
      </c>
      <c r="D4" s="7">
        <f t="shared" si="0"/>
        <v>7.227316305276647E-5</v>
      </c>
    </row>
    <row r="5" spans="1:4" x14ac:dyDescent="0.3">
      <c r="A5" t="str">
        <f>Risk_Return!A6</f>
        <v>TCS</v>
      </c>
      <c r="B5" s="6">
        <v>0.15</v>
      </c>
      <c r="C5" s="3">
        <f>Risk_Return!B6</f>
        <v>3.7478620278795245E-4</v>
      </c>
      <c r="D5" s="7">
        <f t="shared" si="0"/>
        <v>5.6217930418192863E-5</v>
      </c>
    </row>
    <row r="6" spans="1:4" x14ac:dyDescent="0.3">
      <c r="A6" t="str">
        <f>Risk_Return!A7</f>
        <v>Infosys</v>
      </c>
      <c r="B6" s="6">
        <v>0.15</v>
      </c>
      <c r="C6" s="3">
        <f>Risk_Return!B7</f>
        <v>6.7647725470246147E-4</v>
      </c>
      <c r="D6" s="7">
        <f t="shared" si="0"/>
        <v>1.0147158820536922E-4</v>
      </c>
    </row>
    <row r="7" spans="1:4" x14ac:dyDescent="0.3">
      <c r="A7" t="str">
        <f>Risk_Return!A8</f>
        <v>L&amp;T</v>
      </c>
      <c r="B7" s="6">
        <v>0.2</v>
      </c>
      <c r="C7" s="3">
        <f>Risk_Return!B8</f>
        <v>9.1541487374183835E-4</v>
      </c>
      <c r="D7" s="9">
        <f t="shared" si="0"/>
        <v>1.8308297474836768E-4</v>
      </c>
    </row>
    <row r="8" spans="1:4" x14ac:dyDescent="0.3">
      <c r="D8" s="8">
        <f>SUM(D2:D7)</f>
        <v>6.2127400339186101E-4</v>
      </c>
    </row>
    <row r="9" spans="1:4" ht="15" thickBot="1" x14ac:dyDescent="0.35">
      <c r="D9" s="7"/>
    </row>
    <row r="10" spans="1:4" ht="15" thickBot="1" x14ac:dyDescent="0.35">
      <c r="B10" t="s">
        <v>19</v>
      </c>
      <c r="D10" s="10">
        <f>D8*252</f>
        <v>0.15656104885474897</v>
      </c>
    </row>
    <row r="11" spans="1:4" ht="15" thickBot="1" x14ac:dyDescent="0.35">
      <c r="B11" s="6" t="s">
        <v>20</v>
      </c>
      <c r="D11" s="10">
        <f>Risk_Return!C2</f>
        <v>0.14558917258734458</v>
      </c>
    </row>
    <row r="13" spans="1:4" x14ac:dyDescent="0.3">
      <c r="A13" t="s">
        <v>41</v>
      </c>
      <c r="D13" s="3"/>
    </row>
    <row r="14" spans="1:4" x14ac:dyDescent="0.3">
      <c r="A14" t="s">
        <v>42</v>
      </c>
    </row>
  </sheetData>
  <conditionalFormatting sqref="D10:D11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571F-016E-4386-B0F3-54EC88712D2A}">
  <sheetPr>
    <pageSetUpPr fitToPage="1"/>
  </sheetPr>
  <dimension ref="A1:I19"/>
  <sheetViews>
    <sheetView tabSelected="1" workbookViewId="0">
      <selection activeCell="K11" sqref="K11"/>
    </sheetView>
  </sheetViews>
  <sheetFormatPr defaultRowHeight="14.4" x14ac:dyDescent="0.3"/>
  <cols>
    <col min="1" max="2" width="10.88671875" customWidth="1"/>
    <col min="3" max="3" width="12" customWidth="1"/>
    <col min="4" max="7" width="10.88671875" customWidth="1"/>
    <col min="9" max="9" width="8.88671875" style="4"/>
  </cols>
  <sheetData>
    <row r="1" spans="1:9" x14ac:dyDescent="0.3">
      <c r="A1" s="13" t="s">
        <v>60</v>
      </c>
      <c r="B1" s="15" t="s">
        <v>2</v>
      </c>
      <c r="C1" s="15" t="s">
        <v>3</v>
      </c>
      <c r="D1" s="15" t="s">
        <v>4</v>
      </c>
      <c r="E1" s="15" t="s">
        <v>6</v>
      </c>
      <c r="F1" s="15" t="s">
        <v>7</v>
      </c>
      <c r="G1" s="15" t="s">
        <v>8</v>
      </c>
      <c r="I1" s="12" t="s">
        <v>14</v>
      </c>
    </row>
    <row r="2" spans="1:9" x14ac:dyDescent="0.3">
      <c r="A2" s="13" t="str">
        <f>Risk_Return!A3</f>
        <v>Reliance</v>
      </c>
      <c r="B2" s="11">
        <f>_xlfn.COVARIANCE.S(Daily_Returns!C3:C1492,Daily_Returns!C3:C1492)</f>
        <v>3.1628957501325135E-4</v>
      </c>
      <c r="C2" s="11">
        <f>_xlfn.COVARIANCE.S(Daily_Returns!D3:D1492,Daily_Returns!C3:C1492)</f>
        <v>1.2661998385738848E-4</v>
      </c>
      <c r="D2" s="11">
        <f>_xlfn.COVARIANCE.S(Daily_Returns!E3:E1492,Daily_Returns!C3:C1492)</f>
        <v>8.444570778729421E-5</v>
      </c>
      <c r="E2" s="11">
        <f>_xlfn.COVARIANCE.S(Daily_Returns!F3:F1492,Daily_Returns!C3:C1492)</f>
        <v>1.0030106236227855E-4</v>
      </c>
      <c r="F2" s="11">
        <f>_xlfn.COVARIANCE.S(Daily_Returns!G3:G1492,Daily_Returns!C3:C1492)</f>
        <v>1.0588038222464931E-4</v>
      </c>
      <c r="G2" s="11">
        <f>_xlfn.COVARIANCE.S(Daily_Returns!H3:H1492,Daily_Returns!C3:C1492)</f>
        <v>1.2800034190007926E-4</v>
      </c>
      <c r="I2" s="14">
        <v>0.2</v>
      </c>
    </row>
    <row r="3" spans="1:9" x14ac:dyDescent="0.3">
      <c r="A3" s="13" t="str">
        <f>Risk_Return!A4</f>
        <v>HDFC Bank</v>
      </c>
      <c r="B3" s="11">
        <f>_xlfn.COVARIANCE.S(Daily_Returns!C3:C1492,Daily_Returns!D3:D1492)</f>
        <v>1.2661998385738848E-4</v>
      </c>
      <c r="C3" s="11">
        <f>_xlfn.COVARIANCE.S(Daily_Returns!D3:D1492,Daily_Returns!D3:D1492)</f>
        <v>2.6184250808309164E-4</v>
      </c>
      <c r="D3" s="11">
        <f>_xlfn.COVARIANCE.S(Daily_Returns!E3:E1492,Daily_Returns!D3:D1492)</f>
        <v>7.3067170135820874E-5</v>
      </c>
      <c r="E3" s="11">
        <f>_xlfn.COVARIANCE.S(Daily_Returns!F3:F1492,Daily_Returns!D3:D1492)</f>
        <v>7.2000915805494416E-5</v>
      </c>
      <c r="F3" s="11">
        <f>_xlfn.COVARIANCE.S(Daily_Returns!G3:G1492,Daily_Returns!D3:D1492)</f>
        <v>9.5962239658672777E-5</v>
      </c>
      <c r="G3" s="11">
        <f>_xlfn.COVARIANCE.S(Daily_Returns!H3:H1492,Daily_Returns!D3:D1492)</f>
        <v>1.3691647857207902E-4</v>
      </c>
      <c r="I3" s="14">
        <v>0.15</v>
      </c>
    </row>
    <row r="4" spans="1:9" x14ac:dyDescent="0.3">
      <c r="A4" s="13" t="str">
        <f>Risk_Return!A5</f>
        <v>ITC</v>
      </c>
      <c r="B4" s="11">
        <f>_xlfn.COVARIANCE.S(Daily_Returns!C3:C1492,Daily_Returns!E3:E1492)</f>
        <v>8.444570778729421E-5</v>
      </c>
      <c r="C4" s="11">
        <f>_xlfn.COVARIANCE.S(Daily_Returns!D3:D1492,Daily_Returns!E3:E1492)</f>
        <v>7.3067170135820874E-5</v>
      </c>
      <c r="D4" s="11">
        <f>_xlfn.COVARIANCE.S(Daily_Returns!E3:E1492,Daily_Returns!E3:E1492)</f>
        <v>2.5632291209049326E-4</v>
      </c>
      <c r="E4" s="11">
        <f>_xlfn.COVARIANCE.S(Daily_Returns!F3:F1492,Daily_Returns!E3:E1492)</f>
        <v>5.5243328987773784E-5</v>
      </c>
      <c r="F4" s="11">
        <f>_xlfn.COVARIANCE.S(Daily_Returns!G3:G1492,Daily_Returns!E3:E1492)</f>
        <v>6.4916015248258575E-5</v>
      </c>
      <c r="G4" s="11">
        <f>_xlfn.COVARIANCE.S(Daily_Returns!H3:H1492,Daily_Returns!E3:E1492)</f>
        <v>9.2998450621954349E-5</v>
      </c>
      <c r="I4" s="14">
        <v>0.15</v>
      </c>
    </row>
    <row r="5" spans="1:9" x14ac:dyDescent="0.3">
      <c r="A5" s="13" t="str">
        <f>Risk_Return!A6</f>
        <v>TCS</v>
      </c>
      <c r="B5" s="11">
        <f>_xlfn.COVARIANCE.S(Daily_Returns!C3:C1492,Daily_Returns!F3:F1492)</f>
        <v>1.0030106236227855E-4</v>
      </c>
      <c r="C5" s="11">
        <f>_xlfn.COVARIANCE.S(Daily_Returns!D3:D1492,Daily_Returns!F3:F1492)</f>
        <v>7.2000915805494416E-5</v>
      </c>
      <c r="D5" s="11">
        <f>_xlfn.COVARIANCE.S(Daily_Returns!E3:E1492,Daily_Returns!F3:F1492)</f>
        <v>5.5243328987773784E-5</v>
      </c>
      <c r="E5" s="11">
        <f>_xlfn.COVARIANCE.S(Daily_Returns!F3:F1492,Daily_Returns!F3:F1492)</f>
        <v>2.2428996160889892E-4</v>
      </c>
      <c r="F5" s="11">
        <f>_xlfn.COVARIANCE.S(Daily_Returns!G3:G1492,Daily_Returns!F3:F1492)</f>
        <v>1.8389852476797822E-4</v>
      </c>
      <c r="G5" s="11">
        <f>_xlfn.COVARIANCE.S(Daily_Returns!H3:H1492,Daily_Returns!F3:F1492)</f>
        <v>8.2213875957190525E-5</v>
      </c>
      <c r="I5" s="14">
        <v>0.15</v>
      </c>
    </row>
    <row r="6" spans="1:9" x14ac:dyDescent="0.3">
      <c r="A6" s="13" t="str">
        <f>Risk_Return!A7</f>
        <v>Infosys</v>
      </c>
      <c r="B6" s="11">
        <f>_xlfn.COVARIANCE.S(Daily_Returns!C3:C1492,Daily_Returns!G3:G1492)</f>
        <v>1.0588038222464931E-4</v>
      </c>
      <c r="C6" s="11">
        <f>_xlfn.COVARIANCE.S(Daily_Returns!D3:D1492,Daily_Returns!G3:G1492)</f>
        <v>9.5962239658672777E-5</v>
      </c>
      <c r="D6" s="11">
        <f>_xlfn.COVARIANCE.S(Daily_Returns!E3:E1492,Daily_Returns!G3:G1492)</f>
        <v>6.4916015248258575E-5</v>
      </c>
      <c r="E6" s="11">
        <f>_xlfn.COVARIANCE.S(Daily_Returns!F3:F1492,Daily_Returns!G3:G1492)</f>
        <v>1.8389852476797822E-4</v>
      </c>
      <c r="F6" s="11">
        <f>_xlfn.COVARIANCE.S(Daily_Returns!G3:G1492,Daily_Returns!G3:G1492)</f>
        <v>2.9946455658382459E-4</v>
      </c>
      <c r="G6" s="11">
        <f>_xlfn.COVARIANCE.S(Daily_Returns!H3:H1492,Daily_Returns!G3:G1492)</f>
        <v>1.0404665419684378E-4</v>
      </c>
      <c r="I6" s="14">
        <v>0.15</v>
      </c>
    </row>
    <row r="7" spans="1:9" x14ac:dyDescent="0.3">
      <c r="A7" s="13" t="str">
        <f>Risk_Return!A8</f>
        <v>L&amp;T</v>
      </c>
      <c r="B7" s="11">
        <f>_xlfn.COVARIANCE.S(Daily_Returns!C3:C1492,Daily_Returns!H3:H1492)</f>
        <v>1.2800034190007926E-4</v>
      </c>
      <c r="C7" s="11">
        <f>_xlfn.COVARIANCE.S(Daily_Returns!D3:D1492,Daily_Returns!H3:H1492)</f>
        <v>1.3691647857207902E-4</v>
      </c>
      <c r="D7" s="11">
        <f>_xlfn.COVARIANCE.S(Daily_Returns!E3:E1492,Daily_Returns!H3:H1492)</f>
        <v>9.2998450621954349E-5</v>
      </c>
      <c r="E7" s="11">
        <f>_xlfn.COVARIANCE.S(Daily_Returns!F3:F1492,Daily_Returns!H3:H1492)</f>
        <v>8.2213875957190525E-5</v>
      </c>
      <c r="F7" s="11">
        <f>_xlfn.COVARIANCE.S(Daily_Returns!G3:G1492,Daily_Returns!H3:H1492)</f>
        <v>1.0404665419684378E-4</v>
      </c>
      <c r="G7" s="11">
        <f>_xlfn.COVARIANCE.S(Daily_Returns!H3:H1492,Daily_Returns!H3:H1492)</f>
        <v>3.0187117908138741E-4</v>
      </c>
      <c r="I7" s="14">
        <v>0.2</v>
      </c>
    </row>
    <row r="9" spans="1:9" x14ac:dyDescent="0.3">
      <c r="A9" t="s">
        <v>17</v>
      </c>
      <c r="C9" s="11" cm="1">
        <f t="array" ref="C9">MMULT(TRANSPOSE(I2:I7), MMULT(Covariance!B2:G7, I2:I7))</f>
        <v>1.3294398062099449E-4</v>
      </c>
    </row>
    <row r="10" spans="1:9" x14ac:dyDescent="0.3">
      <c r="A10" t="s">
        <v>18</v>
      </c>
      <c r="C10" s="3">
        <f>SQRT(C9)</f>
        <v>1.1530133590769645E-2</v>
      </c>
    </row>
    <row r="12" spans="1:9" x14ac:dyDescent="0.3">
      <c r="A12" t="s">
        <v>21</v>
      </c>
      <c r="C12" s="3">
        <f>C10*SQRT(252)</f>
        <v>0.183035196387172</v>
      </c>
    </row>
    <row r="13" spans="1:9" x14ac:dyDescent="0.3">
      <c r="A13" t="s">
        <v>22</v>
      </c>
      <c r="C13" s="3">
        <f>Risk_Return!E2</f>
        <v>0.18071378780823599</v>
      </c>
    </row>
    <row r="14" spans="1:9" x14ac:dyDescent="0.3">
      <c r="A14" t="s">
        <v>46</v>
      </c>
      <c r="C14" s="3">
        <f>AVERAGE(Risk_Return!E3:E8)</f>
        <v>0.26360140495866646</v>
      </c>
    </row>
    <row r="16" spans="1:9" x14ac:dyDescent="0.3">
      <c r="A16" t="s">
        <v>43</v>
      </c>
    </row>
    <row r="17" spans="1:1" x14ac:dyDescent="0.3">
      <c r="A17" t="s">
        <v>44</v>
      </c>
    </row>
    <row r="19" spans="1:1" x14ac:dyDescent="0.3">
      <c r="A19" t="s">
        <v>45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7522-3DA6-4C9B-91AF-4A29288F8C76}">
  <sheetPr>
    <pageSetUpPr fitToPage="1"/>
  </sheetPr>
  <dimension ref="A2:C13"/>
  <sheetViews>
    <sheetView tabSelected="1" workbookViewId="0">
      <selection activeCell="K11" sqref="K11"/>
    </sheetView>
  </sheetViews>
  <sheetFormatPr defaultRowHeight="14.4" x14ac:dyDescent="0.3"/>
  <cols>
    <col min="1" max="2" width="9.77734375" customWidth="1"/>
    <col min="3" max="3" width="8.88671875" customWidth="1"/>
  </cols>
  <sheetData>
    <row r="2" spans="1:3" x14ac:dyDescent="0.3">
      <c r="A2" t="s">
        <v>23</v>
      </c>
      <c r="C2" s="6">
        <v>7.0000000000000007E-2</v>
      </c>
    </row>
    <row r="4" spans="1:3" x14ac:dyDescent="0.3">
      <c r="A4" t="s">
        <v>24</v>
      </c>
      <c r="C4" s="22">
        <f>(Portfolio!D10-Sharpe_Ratio!C2)/Covariance!C12</f>
        <v>0.4729202391852958</v>
      </c>
    </row>
    <row r="5" spans="1:3" x14ac:dyDescent="0.3">
      <c r="A5" t="s">
        <v>25</v>
      </c>
      <c r="C5" s="22">
        <f>(Portfolio!D11-Sharpe_Ratio!C2)/Covariance!C13</f>
        <v>0.41828115886517658</v>
      </c>
    </row>
    <row r="8" spans="1:3" x14ac:dyDescent="0.3">
      <c r="A8" t="s">
        <v>26</v>
      </c>
    </row>
    <row r="9" spans="1:3" x14ac:dyDescent="0.3">
      <c r="A9" t="s">
        <v>61</v>
      </c>
    </row>
    <row r="10" spans="1:3" x14ac:dyDescent="0.3">
      <c r="A10" t="s">
        <v>63</v>
      </c>
    </row>
    <row r="12" spans="1:3" x14ac:dyDescent="0.3">
      <c r="A12" t="s">
        <v>62</v>
      </c>
    </row>
    <row r="13" spans="1:3" x14ac:dyDescent="0.3">
      <c r="A13" t="s">
        <v>64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FDD6-0104-4080-BD86-65515B4C54B1}">
  <sheetPr>
    <pageSetUpPr fitToPage="1"/>
  </sheetPr>
  <dimension ref="A2:A17"/>
  <sheetViews>
    <sheetView tabSelected="1" workbookViewId="0">
      <selection activeCell="K11" sqref="K11"/>
    </sheetView>
  </sheetViews>
  <sheetFormatPr defaultRowHeight="14.4" x14ac:dyDescent="0.3"/>
  <sheetData>
    <row r="2" spans="1:1" x14ac:dyDescent="0.3">
      <c r="A2" t="s">
        <v>47</v>
      </c>
    </row>
    <row r="3" spans="1:1" x14ac:dyDescent="0.3">
      <c r="A3" t="s">
        <v>52</v>
      </c>
    </row>
    <row r="4" spans="1:1" x14ac:dyDescent="0.3">
      <c r="A4" t="s">
        <v>53</v>
      </c>
    </row>
    <row r="5" spans="1:1" x14ac:dyDescent="0.3">
      <c r="A5" t="s">
        <v>54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2" spans="1:1" x14ac:dyDescent="0.3">
      <c r="A12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6" spans="1:1" x14ac:dyDescent="0.3">
      <c r="A16" t="s">
        <v>58</v>
      </c>
    </row>
    <row r="17" spans="1:1" x14ac:dyDescent="0.3">
      <c r="A17" t="s">
        <v>59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9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2"/>
  <sheetViews>
    <sheetView workbookViewId="0">
      <selection activeCell="L11" sqref="L11"/>
    </sheetView>
  </sheetViews>
  <sheetFormatPr defaultRowHeight="14.4" x14ac:dyDescent="0.3"/>
  <cols>
    <col min="1" max="8" width="13.6640625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</row>
    <row r="2" spans="1:8" x14ac:dyDescent="0.3">
      <c r="A2" s="1">
        <v>43831</v>
      </c>
      <c r="B2" s="4">
        <f>_xlfn.XLOOKUP($A2, 'Nifty 50'!A:A, 'Nifty 50'!B:B, "")</f>
        <v>12182.5</v>
      </c>
      <c r="C2" s="4">
        <f>_xlfn.XLOOKUP($A2, Reliance!A:A, Reliance!B:B, "")</f>
        <v>678.82</v>
      </c>
      <c r="D2" s="4">
        <f>_xlfn.XLOOKUP($A2, HDFC!A:A, HDFC!B:B, "")</f>
        <v>637.71</v>
      </c>
      <c r="E2" s="4">
        <f>_xlfn.XLOOKUP($A2, ITC!A:A, ITC!B:B, "")</f>
        <v>238.1</v>
      </c>
      <c r="F2" s="4">
        <f>_xlfn.XLOOKUP($A2, TCS!A:A, TCS!B:B, "")</f>
        <v>2167.6</v>
      </c>
      <c r="G2" s="4">
        <f>_xlfn.XLOOKUP($A2, Infosys!A:A, Infosys!B:B,"")</f>
        <v>736.85</v>
      </c>
      <c r="H2" s="4">
        <f>_xlfn.XLOOKUP($A2, 'L &amp; T'!A:A, 'L &amp; T'!B:B, "")</f>
        <v>1309.95</v>
      </c>
    </row>
    <row r="3" spans="1:8" x14ac:dyDescent="0.3">
      <c r="A3" s="1">
        <v>43832</v>
      </c>
      <c r="B3" s="4">
        <f>_xlfn.XLOOKUP($A3, 'Nifty 50'!A:A, 'Nifty 50'!B:B, "")</f>
        <v>12282.2</v>
      </c>
      <c r="C3" s="4">
        <f>_xlfn.XLOOKUP($A3, Reliance!A:A, Reliance!B:B, "")</f>
        <v>690.37</v>
      </c>
      <c r="D3" s="4">
        <f>_xlfn.XLOOKUP($A3, HDFC!A:A, HDFC!B:B, "")</f>
        <v>641.78</v>
      </c>
      <c r="E3" s="4">
        <f>_xlfn.XLOOKUP($A3, ITC!A:A, ITC!B:B, "")</f>
        <v>239.85</v>
      </c>
      <c r="F3" s="4">
        <f>_xlfn.XLOOKUP($A3, TCS!A:A, TCS!B:B, "")</f>
        <v>2157.65</v>
      </c>
      <c r="G3" s="4">
        <f>_xlfn.XLOOKUP($A3, Infosys!A:A, Infosys!B:B,"")</f>
        <v>734.7</v>
      </c>
      <c r="H3" s="4">
        <f>_xlfn.XLOOKUP($A3, 'L &amp; T'!A:A, 'L &amp; T'!B:B, "")</f>
        <v>1345.3</v>
      </c>
    </row>
    <row r="4" spans="1:8" x14ac:dyDescent="0.3">
      <c r="A4" s="1">
        <v>43833</v>
      </c>
      <c r="B4" s="4">
        <f>_xlfn.XLOOKUP($A4, 'Nifty 50'!A:A, 'Nifty 50'!B:B, "")</f>
        <v>12226.65</v>
      </c>
      <c r="C4" s="4">
        <f>_xlfn.XLOOKUP($A4, Reliance!A:A, Reliance!B:B, "")</f>
        <v>691.21</v>
      </c>
      <c r="D4" s="4">
        <f>_xlfn.XLOOKUP($A4, HDFC!A:A, HDFC!B:B, "")</f>
        <v>632.63</v>
      </c>
      <c r="E4" s="4">
        <f>_xlfn.XLOOKUP($A4, ITC!A:A, ITC!B:B, "")</f>
        <v>238.5</v>
      </c>
      <c r="F4" s="4">
        <f>_xlfn.XLOOKUP($A4, TCS!A:A, TCS!B:B, "")</f>
        <v>2200.65</v>
      </c>
      <c r="G4" s="4">
        <f>_xlfn.XLOOKUP($A4, Infosys!A:A, Infosys!B:B,"")</f>
        <v>746</v>
      </c>
      <c r="H4" s="4">
        <f>_xlfn.XLOOKUP($A4, 'L &amp; T'!A:A, 'L &amp; T'!B:B, "")</f>
        <v>1335.05</v>
      </c>
    </row>
    <row r="5" spans="1:8" x14ac:dyDescent="0.3">
      <c r="A5" s="1">
        <v>43836</v>
      </c>
      <c r="B5" s="4">
        <f>_xlfn.XLOOKUP($A5, 'Nifty 50'!A:A, 'Nifty 50'!B:B, "")</f>
        <v>11993.05</v>
      </c>
      <c r="C5" s="4">
        <f>_xlfn.XLOOKUP($A5, Reliance!A:A, Reliance!B:B, "")</f>
        <v>675.18</v>
      </c>
      <c r="D5" s="4">
        <f>_xlfn.XLOOKUP($A5, HDFC!A:A, HDFC!B:B, "")</f>
        <v>618.92999999999995</v>
      </c>
      <c r="E5" s="4">
        <f>_xlfn.XLOOKUP($A5, ITC!A:A, ITC!B:B, "")</f>
        <v>235.1</v>
      </c>
      <c r="F5" s="4">
        <f>_xlfn.XLOOKUP($A5, TCS!A:A, TCS!B:B, "")</f>
        <v>2200.4499999999998</v>
      </c>
      <c r="G5" s="4">
        <f>_xlfn.XLOOKUP($A5, Infosys!A:A, Infosys!B:B,"")</f>
        <v>738.85</v>
      </c>
      <c r="H5" s="4">
        <f>_xlfn.XLOOKUP($A5, 'L &amp; T'!A:A, 'L &amp; T'!B:B, "")</f>
        <v>1316.75</v>
      </c>
    </row>
    <row r="6" spans="1:8" x14ac:dyDescent="0.3">
      <c r="A6" s="1">
        <v>43837</v>
      </c>
      <c r="B6" s="4">
        <f>_xlfn.XLOOKUP($A6, 'Nifty 50'!A:A, 'Nifty 50'!B:B, "")</f>
        <v>12052.95</v>
      </c>
      <c r="C6" s="4">
        <f>_xlfn.XLOOKUP($A6, Reliance!A:A, Reliance!B:B, "")</f>
        <v>685.56</v>
      </c>
      <c r="D6" s="4">
        <f>_xlfn.XLOOKUP($A6, HDFC!A:A, HDFC!B:B, "")</f>
        <v>628.74</v>
      </c>
      <c r="E6" s="4">
        <f>_xlfn.XLOOKUP($A6, ITC!A:A, ITC!B:B, "")</f>
        <v>235.35</v>
      </c>
      <c r="F6" s="4">
        <f>_xlfn.XLOOKUP($A6, TCS!A:A, TCS!B:B, "")</f>
        <v>2205.85</v>
      </c>
      <c r="G6" s="4">
        <f>_xlfn.XLOOKUP($A6, Infosys!A:A, Infosys!B:B,"")</f>
        <v>727.9</v>
      </c>
      <c r="H6" s="4">
        <f>_xlfn.XLOOKUP($A6, 'L &amp; T'!A:A, 'L &amp; T'!B:B, "")</f>
        <v>1320.5</v>
      </c>
    </row>
    <row r="7" spans="1:8" x14ac:dyDescent="0.3">
      <c r="A7" s="1">
        <v>43838</v>
      </c>
      <c r="B7" s="4">
        <f>_xlfn.XLOOKUP($A7, 'Nifty 50'!A:A, 'Nifty 50'!B:B, "")</f>
        <v>12025.35</v>
      </c>
      <c r="C7" s="4">
        <f>_xlfn.XLOOKUP($A7, Reliance!A:A, Reliance!B:B, "")</f>
        <v>680.41</v>
      </c>
      <c r="D7" s="4">
        <f>_xlfn.XLOOKUP($A7, HDFC!A:A, HDFC!B:B, "")</f>
        <v>627.09</v>
      </c>
      <c r="E7" s="4">
        <f>_xlfn.XLOOKUP($A7, ITC!A:A, ITC!B:B, "")</f>
        <v>234.2</v>
      </c>
      <c r="F7" s="4">
        <f>_xlfn.XLOOKUP($A7, TCS!A:A, TCS!B:B, "")</f>
        <v>2255.25</v>
      </c>
      <c r="G7" s="4">
        <f>_xlfn.XLOOKUP($A7, Infosys!A:A, Infosys!B:B,"")</f>
        <v>718.2</v>
      </c>
      <c r="H7" s="4">
        <f>_xlfn.XLOOKUP($A7, 'L &amp; T'!A:A, 'L &amp; T'!B:B, "")</f>
        <v>1291.55</v>
      </c>
    </row>
    <row r="8" spans="1:8" x14ac:dyDescent="0.3">
      <c r="A8" s="1">
        <v>43839</v>
      </c>
      <c r="B8" s="4">
        <f>_xlfn.XLOOKUP($A8, 'Nifty 50'!A:A, 'Nifty 50'!B:B, "")</f>
        <v>12215.9</v>
      </c>
      <c r="C8" s="4">
        <f>_xlfn.XLOOKUP($A8, Reliance!A:A, Reliance!B:B, "")</f>
        <v>696.08</v>
      </c>
      <c r="D8" s="4">
        <f>_xlfn.XLOOKUP($A8, HDFC!A:A, HDFC!B:B, "")</f>
        <v>634.12</v>
      </c>
      <c r="E8" s="4">
        <f>_xlfn.XLOOKUP($A8, ITC!A:A, ITC!B:B, "")</f>
        <v>235.8</v>
      </c>
      <c r="F8" s="4">
        <f>_xlfn.XLOOKUP($A8, TCS!A:A, TCS!B:B, "")</f>
        <v>2214.35</v>
      </c>
      <c r="G8" s="4">
        <f>_xlfn.XLOOKUP($A8, Infosys!A:A, Infosys!B:B,"")</f>
        <v>727.55</v>
      </c>
      <c r="H8" s="4">
        <f>_xlfn.XLOOKUP($A8, 'L &amp; T'!A:A, 'L &amp; T'!B:B, "")</f>
        <v>1316.15</v>
      </c>
    </row>
    <row r="9" spans="1:8" x14ac:dyDescent="0.3">
      <c r="A9" s="1">
        <v>43840</v>
      </c>
      <c r="B9" s="4">
        <f>_xlfn.XLOOKUP($A9, 'Nifty 50'!A:A, 'Nifty 50'!B:B, "")</f>
        <v>12256.8</v>
      </c>
      <c r="C9" s="4">
        <f>_xlfn.XLOOKUP($A9, Reliance!A:A, Reliance!B:B, "")</f>
        <v>695.93</v>
      </c>
      <c r="D9" s="4">
        <f>_xlfn.XLOOKUP($A9, HDFC!A:A, HDFC!B:B, "")</f>
        <v>639.76</v>
      </c>
      <c r="E9" s="4">
        <f>_xlfn.XLOOKUP($A9, ITC!A:A, ITC!B:B, "")</f>
        <v>238</v>
      </c>
      <c r="F9" s="4">
        <f>_xlfn.XLOOKUP($A9, TCS!A:A, TCS!B:B, "")</f>
        <v>2213.5500000000002</v>
      </c>
      <c r="G9" s="4">
        <f>_xlfn.XLOOKUP($A9, Infosys!A:A, Infosys!B:B,"")</f>
        <v>738.15</v>
      </c>
      <c r="H9" s="4">
        <f>_xlfn.XLOOKUP($A9, 'L &amp; T'!A:A, 'L &amp; T'!B:B, "")</f>
        <v>1324.6</v>
      </c>
    </row>
    <row r="10" spans="1:8" x14ac:dyDescent="0.3">
      <c r="A10" s="1">
        <v>43843</v>
      </c>
      <c r="B10" s="4">
        <f>_xlfn.XLOOKUP($A10, 'Nifty 50'!A:A, 'Nifty 50'!B:B, "")</f>
        <v>12329.55</v>
      </c>
      <c r="C10" s="4">
        <f>_xlfn.XLOOKUP($A10, Reliance!A:A, Reliance!B:B, "")</f>
        <v>694.15</v>
      </c>
      <c r="D10" s="4">
        <f>_xlfn.XLOOKUP($A10, HDFC!A:A, HDFC!B:B, "")</f>
        <v>641.4</v>
      </c>
      <c r="E10" s="4">
        <f>_xlfn.XLOOKUP($A10, ITC!A:A, ITC!B:B, "")</f>
        <v>239.25</v>
      </c>
      <c r="F10" s="4">
        <f>_xlfn.XLOOKUP($A10, TCS!A:A, TCS!B:B, "")</f>
        <v>2190.35</v>
      </c>
      <c r="G10" s="4">
        <f>_xlfn.XLOOKUP($A10, Infosys!A:A, Infosys!B:B,"")</f>
        <v>773.55</v>
      </c>
      <c r="H10" s="4">
        <f>_xlfn.XLOOKUP($A10, 'L &amp; T'!A:A, 'L &amp; T'!B:B, "")</f>
        <v>1334.7</v>
      </c>
    </row>
    <row r="11" spans="1:8" x14ac:dyDescent="0.3">
      <c r="A11" s="1">
        <v>43844</v>
      </c>
      <c r="B11" s="4">
        <f>_xlfn.XLOOKUP($A11, 'Nifty 50'!A:A, 'Nifty 50'!B:B, "")</f>
        <v>12362.3</v>
      </c>
      <c r="C11" s="4">
        <f>_xlfn.XLOOKUP($A11, Reliance!A:A, Reliance!B:B, "")</f>
        <v>687.72</v>
      </c>
      <c r="D11" s="4">
        <f>_xlfn.XLOOKUP($A11, HDFC!A:A, HDFC!B:B, "")</f>
        <v>643.15</v>
      </c>
      <c r="E11" s="4">
        <f>_xlfn.XLOOKUP($A11, ITC!A:A, ITC!B:B, "")</f>
        <v>243.25</v>
      </c>
      <c r="F11" s="4">
        <f>_xlfn.XLOOKUP($A11, TCS!A:A, TCS!B:B, "")</f>
        <v>2206.9</v>
      </c>
      <c r="G11" s="4">
        <f>_xlfn.XLOOKUP($A11, Infosys!A:A, Infosys!B:B,"")</f>
        <v>775.65</v>
      </c>
      <c r="H11" s="4">
        <f>_xlfn.XLOOKUP($A11, 'L &amp; T'!A:A, 'L &amp; T'!B:B, "")</f>
        <v>1326.1</v>
      </c>
    </row>
    <row r="12" spans="1:8" x14ac:dyDescent="0.3">
      <c r="A12" s="1">
        <v>43845</v>
      </c>
      <c r="B12" s="4">
        <f>_xlfn.XLOOKUP($A12, 'Nifty 50'!A:A, 'Nifty 50'!B:B, "")</f>
        <v>12343.3</v>
      </c>
      <c r="C12" s="4">
        <f>_xlfn.XLOOKUP($A12, Reliance!A:A, Reliance!B:B, "")</f>
        <v>685.23</v>
      </c>
      <c r="D12" s="4">
        <f>_xlfn.XLOOKUP($A12, HDFC!A:A, HDFC!B:B, "")</f>
        <v>640.53</v>
      </c>
      <c r="E12" s="4">
        <f>_xlfn.XLOOKUP($A12, ITC!A:A, ITC!B:B, "")</f>
        <v>242.4</v>
      </c>
      <c r="F12" s="4">
        <f>_xlfn.XLOOKUP($A12, TCS!A:A, TCS!B:B, "")</f>
        <v>2226.9</v>
      </c>
      <c r="G12" s="4">
        <f>_xlfn.XLOOKUP($A12, Infosys!A:A, Infosys!B:B,"")</f>
        <v>767.55</v>
      </c>
      <c r="H12" s="4">
        <f>_xlfn.XLOOKUP($A12, 'L &amp; T'!A:A, 'L &amp; T'!B:B, "")</f>
        <v>1323.6</v>
      </c>
    </row>
    <row r="13" spans="1:8" x14ac:dyDescent="0.3">
      <c r="A13" s="1">
        <v>43846</v>
      </c>
      <c r="B13" s="4">
        <f>_xlfn.XLOOKUP($A13, 'Nifty 50'!A:A, 'Nifty 50'!B:B, "")</f>
        <v>12355.5</v>
      </c>
      <c r="C13" s="4">
        <f>_xlfn.XLOOKUP($A13, Reliance!A:A, Reliance!B:B, "")</f>
        <v>691.54</v>
      </c>
      <c r="D13" s="4">
        <f>_xlfn.XLOOKUP($A13, HDFC!A:A, HDFC!B:B, "")</f>
        <v>642.23</v>
      </c>
      <c r="E13" s="4">
        <f>_xlfn.XLOOKUP($A13, ITC!A:A, ITC!B:B, "")</f>
        <v>240.75</v>
      </c>
      <c r="F13" s="4">
        <f>_xlfn.XLOOKUP($A13, TCS!A:A, TCS!B:B, "")</f>
        <v>2238.8000000000002</v>
      </c>
      <c r="G13" s="4">
        <f>_xlfn.XLOOKUP($A13, Infosys!A:A, Infosys!B:B,"")</f>
        <v>767</v>
      </c>
      <c r="H13" s="4">
        <f>_xlfn.XLOOKUP($A13, 'L &amp; T'!A:A, 'L &amp; T'!B:B, "")</f>
        <v>1319.3</v>
      </c>
    </row>
    <row r="14" spans="1:8" x14ac:dyDescent="0.3">
      <c r="A14" s="1">
        <v>43847</v>
      </c>
      <c r="B14" s="4">
        <f>_xlfn.XLOOKUP($A14, 'Nifty 50'!A:A, 'Nifty 50'!B:B, "")</f>
        <v>12352.35</v>
      </c>
      <c r="C14" s="4">
        <f>_xlfn.XLOOKUP($A14, Reliance!A:A, Reliance!B:B, "")</f>
        <v>710.92</v>
      </c>
      <c r="D14" s="4">
        <f>_xlfn.XLOOKUP($A14, HDFC!A:A, HDFC!B:B, "")</f>
        <v>637.49</v>
      </c>
      <c r="E14" s="4">
        <f>_xlfn.XLOOKUP($A14, ITC!A:A, ITC!B:B, "")</f>
        <v>239.95</v>
      </c>
      <c r="F14" s="4">
        <f>_xlfn.XLOOKUP($A14, TCS!A:A, TCS!B:B, "")</f>
        <v>2219.1</v>
      </c>
      <c r="G14" s="4">
        <f>_xlfn.XLOOKUP($A14, Infosys!A:A, Infosys!B:B,"")</f>
        <v>767.85</v>
      </c>
      <c r="H14" s="4">
        <f>_xlfn.XLOOKUP($A14, 'L &amp; T'!A:A, 'L &amp; T'!B:B, "")</f>
        <v>1304.2</v>
      </c>
    </row>
    <row r="15" spans="1:8" x14ac:dyDescent="0.3">
      <c r="A15" s="1">
        <v>43850</v>
      </c>
      <c r="B15" s="4">
        <f>_xlfn.XLOOKUP($A15, 'Nifty 50'!A:A, 'Nifty 50'!B:B, "")</f>
        <v>12224.55</v>
      </c>
      <c r="C15" s="4">
        <f>_xlfn.XLOOKUP($A15, Reliance!A:A, Reliance!B:B, "")</f>
        <v>689.05</v>
      </c>
      <c r="D15" s="4">
        <f>_xlfn.XLOOKUP($A15, HDFC!A:A, HDFC!B:B, "")</f>
        <v>625.89</v>
      </c>
      <c r="E15" s="4">
        <f>_xlfn.XLOOKUP($A15, ITC!A:A, ITC!B:B, "")</f>
        <v>241.9</v>
      </c>
      <c r="F15" s="4">
        <f>_xlfn.XLOOKUP($A15, TCS!A:A, TCS!B:B, "")</f>
        <v>2170.35</v>
      </c>
      <c r="G15" s="4">
        <f>_xlfn.XLOOKUP($A15, Infosys!A:A, Infosys!B:B,"")</f>
        <v>768.45</v>
      </c>
      <c r="H15" s="4">
        <f>_xlfn.XLOOKUP($A15, 'L &amp; T'!A:A, 'L &amp; T'!B:B, "")</f>
        <v>1309.5999999999999</v>
      </c>
    </row>
    <row r="16" spans="1:8" x14ac:dyDescent="0.3">
      <c r="A16" s="1">
        <v>43851</v>
      </c>
      <c r="B16" s="4">
        <f>_xlfn.XLOOKUP($A16, 'Nifty 50'!A:A, 'Nifty 50'!B:B, "")</f>
        <v>12169.85</v>
      </c>
      <c r="C16" s="4">
        <f>_xlfn.XLOOKUP($A16, Reliance!A:A, Reliance!B:B, "")</f>
        <v>689.74</v>
      </c>
      <c r="D16" s="4">
        <f>_xlfn.XLOOKUP($A16, HDFC!A:A, HDFC!B:B, "")</f>
        <v>620.63</v>
      </c>
      <c r="E16" s="4">
        <f>_xlfn.XLOOKUP($A16, ITC!A:A, ITC!B:B, "")</f>
        <v>238.45</v>
      </c>
      <c r="F16" s="4">
        <f>_xlfn.XLOOKUP($A16, TCS!A:A, TCS!B:B, "")</f>
        <v>2171.0500000000002</v>
      </c>
      <c r="G16" s="4">
        <f>_xlfn.XLOOKUP($A16, Infosys!A:A, Infosys!B:B,"")</f>
        <v>762.5</v>
      </c>
      <c r="H16" s="4">
        <f>_xlfn.XLOOKUP($A16, 'L &amp; T'!A:A, 'L &amp; T'!B:B, "")</f>
        <v>1302.3499999999999</v>
      </c>
    </row>
    <row r="17" spans="1:8" x14ac:dyDescent="0.3">
      <c r="A17" s="1">
        <v>43852</v>
      </c>
      <c r="B17" s="4">
        <f>_xlfn.XLOOKUP($A17, 'Nifty 50'!A:A, 'Nifty 50'!B:B, "")</f>
        <v>12106.9</v>
      </c>
      <c r="C17" s="4">
        <f>_xlfn.XLOOKUP($A17, Reliance!A:A, Reliance!B:B, "")</f>
        <v>689.5</v>
      </c>
      <c r="D17" s="4">
        <f>_xlfn.XLOOKUP($A17, HDFC!A:A, HDFC!B:B, "")</f>
        <v>618.89</v>
      </c>
      <c r="E17" s="4">
        <f>_xlfn.XLOOKUP($A17, ITC!A:A, ITC!B:B, "")</f>
        <v>238.05</v>
      </c>
      <c r="F17" s="4">
        <f>_xlfn.XLOOKUP($A17, TCS!A:A, TCS!B:B, "")</f>
        <v>2206.9</v>
      </c>
      <c r="G17" s="4">
        <f>_xlfn.XLOOKUP($A17, Infosys!A:A, Infosys!B:B,"")</f>
        <v>770.2</v>
      </c>
      <c r="H17" s="4">
        <f>_xlfn.XLOOKUP($A17, 'L &amp; T'!A:A, 'L &amp; T'!B:B, "")</f>
        <v>1294.2</v>
      </c>
    </row>
    <row r="18" spans="1:8" x14ac:dyDescent="0.3">
      <c r="A18" s="1">
        <v>43853</v>
      </c>
      <c r="B18" s="4">
        <f>_xlfn.XLOOKUP($A18, 'Nifty 50'!A:A, 'Nifty 50'!B:B, "")</f>
        <v>12180.35</v>
      </c>
      <c r="C18" s="4">
        <f>_xlfn.XLOOKUP($A18, Reliance!A:A, Reliance!B:B, "")</f>
        <v>686.57</v>
      </c>
      <c r="D18" s="4">
        <f>_xlfn.XLOOKUP($A18, HDFC!A:A, HDFC!B:B, "")</f>
        <v>620.88</v>
      </c>
      <c r="E18" s="4">
        <f>_xlfn.XLOOKUP($A18, ITC!A:A, ITC!B:B, "")</f>
        <v>237.9</v>
      </c>
      <c r="F18" s="4">
        <f>_xlfn.XLOOKUP($A18, TCS!A:A, TCS!B:B, "")</f>
        <v>2190.9499999999998</v>
      </c>
      <c r="G18" s="4">
        <f>_xlfn.XLOOKUP($A18, Infosys!A:A, Infosys!B:B,"")</f>
        <v>784.35</v>
      </c>
      <c r="H18" s="4">
        <f>_xlfn.XLOOKUP($A18, 'L &amp; T'!A:A, 'L &amp; T'!B:B, "")</f>
        <v>1332.3</v>
      </c>
    </row>
    <row r="19" spans="1:8" x14ac:dyDescent="0.3">
      <c r="A19" s="1">
        <v>43854</v>
      </c>
      <c r="B19" s="4">
        <f>_xlfn.XLOOKUP($A19, 'Nifty 50'!A:A, 'Nifty 50'!B:B, "")</f>
        <v>12248.25</v>
      </c>
      <c r="C19" s="4">
        <f>_xlfn.XLOOKUP($A19, Reliance!A:A, Reliance!B:B, "")</f>
        <v>684.19</v>
      </c>
      <c r="D19" s="4">
        <f>_xlfn.XLOOKUP($A19, HDFC!A:A, HDFC!B:B, "")</f>
        <v>620.73</v>
      </c>
      <c r="E19" s="4">
        <f>_xlfn.XLOOKUP($A19, ITC!A:A, ITC!B:B, "")</f>
        <v>238.15</v>
      </c>
      <c r="F19" s="4">
        <f>_xlfn.XLOOKUP($A19, TCS!A:A, TCS!B:B, "")</f>
        <v>2183.4</v>
      </c>
      <c r="G19" s="4">
        <f>_xlfn.XLOOKUP($A19, Infosys!A:A, Infosys!B:B,"")</f>
        <v>782.75</v>
      </c>
      <c r="H19" s="4">
        <f>_xlfn.XLOOKUP($A19, 'L &amp; T'!A:A, 'L &amp; T'!B:B, "")</f>
        <v>1359.2</v>
      </c>
    </row>
    <row r="20" spans="1:8" x14ac:dyDescent="0.3">
      <c r="A20" s="1">
        <v>43857</v>
      </c>
      <c r="B20" s="4">
        <f>_xlfn.XLOOKUP($A20, 'Nifty 50'!A:A, 'Nifty 50'!B:B, "")</f>
        <v>12119</v>
      </c>
      <c r="C20" s="4">
        <f>_xlfn.XLOOKUP($A20, Reliance!A:A, Reliance!B:B, "")</f>
        <v>677.45</v>
      </c>
      <c r="D20" s="4">
        <f>_xlfn.XLOOKUP($A20, HDFC!A:A, HDFC!B:B, "")</f>
        <v>605.09</v>
      </c>
      <c r="E20" s="4">
        <f>_xlfn.XLOOKUP($A20, ITC!A:A, ITC!B:B, "")</f>
        <v>234.6</v>
      </c>
      <c r="F20" s="4">
        <f>_xlfn.XLOOKUP($A20, TCS!A:A, TCS!B:B, "")</f>
        <v>2169.25</v>
      </c>
      <c r="G20" s="4">
        <f>_xlfn.XLOOKUP($A20, Infosys!A:A, Infosys!B:B,"")</f>
        <v>778.1</v>
      </c>
      <c r="H20" s="4">
        <f>_xlfn.XLOOKUP($A20, 'L &amp; T'!A:A, 'L &amp; T'!B:B, "")</f>
        <v>1348.6</v>
      </c>
    </row>
    <row r="21" spans="1:8" x14ac:dyDescent="0.3">
      <c r="A21" s="1">
        <v>43858</v>
      </c>
      <c r="B21" s="4">
        <f>_xlfn.XLOOKUP($A21, 'Nifty 50'!A:A, 'Nifty 50'!B:B, "")</f>
        <v>12055.8</v>
      </c>
      <c r="C21" s="4">
        <f>_xlfn.XLOOKUP($A21, Reliance!A:A, Reliance!B:B, "")</f>
        <v>661.8</v>
      </c>
      <c r="D21" s="4">
        <f>_xlfn.XLOOKUP($A21, HDFC!A:A, HDFC!B:B, "")</f>
        <v>610.08000000000004</v>
      </c>
      <c r="E21" s="4">
        <f>_xlfn.XLOOKUP($A21, ITC!A:A, ITC!B:B, "")</f>
        <v>230.75</v>
      </c>
      <c r="F21" s="4">
        <f>_xlfn.XLOOKUP($A21, TCS!A:A, TCS!B:B, "")</f>
        <v>2183.75</v>
      </c>
      <c r="G21" s="4">
        <f>_xlfn.XLOOKUP($A21, Infosys!A:A, Infosys!B:B,"")</f>
        <v>778</v>
      </c>
      <c r="H21" s="4">
        <f>_xlfn.XLOOKUP($A21, 'L &amp; T'!A:A, 'L &amp; T'!B:B, "")</f>
        <v>1346.65</v>
      </c>
    </row>
    <row r="22" spans="1:8" x14ac:dyDescent="0.3">
      <c r="A22" s="1">
        <v>43859</v>
      </c>
      <c r="B22" s="4">
        <f>_xlfn.XLOOKUP($A22, 'Nifty 50'!A:A, 'Nifty 50'!B:B, "")</f>
        <v>12129.5</v>
      </c>
      <c r="C22" s="4">
        <f>_xlfn.XLOOKUP($A22, Reliance!A:A, Reliance!B:B, "")</f>
        <v>665.44</v>
      </c>
      <c r="D22" s="4">
        <f>_xlfn.XLOOKUP($A22, HDFC!A:A, HDFC!B:B, "")</f>
        <v>616.39</v>
      </c>
      <c r="E22" s="4">
        <f>_xlfn.XLOOKUP($A22, ITC!A:A, ITC!B:B, "")</f>
        <v>236.65</v>
      </c>
      <c r="F22" s="4">
        <f>_xlfn.XLOOKUP($A22, TCS!A:A, TCS!B:B, "")</f>
        <v>2154.6</v>
      </c>
      <c r="G22" s="4">
        <f>_xlfn.XLOOKUP($A22, Infosys!A:A, Infosys!B:B,"")</f>
        <v>789.7</v>
      </c>
      <c r="H22" s="4">
        <f>_xlfn.XLOOKUP($A22, 'L &amp; T'!A:A, 'L &amp; T'!B:B, "")</f>
        <v>1365.7</v>
      </c>
    </row>
    <row r="23" spans="1:8" x14ac:dyDescent="0.3">
      <c r="A23" s="1">
        <v>43860</v>
      </c>
      <c r="B23" s="4">
        <f>_xlfn.XLOOKUP($A23, 'Nifty 50'!A:A, 'Nifty 50'!B:B, "")</f>
        <v>12035.8</v>
      </c>
      <c r="C23" s="4">
        <f>_xlfn.XLOOKUP($A23, Reliance!A:A, Reliance!B:B, "")</f>
        <v>649.21</v>
      </c>
      <c r="D23" s="4">
        <f>_xlfn.XLOOKUP($A23, HDFC!A:A, HDFC!B:B, "")</f>
        <v>611.5</v>
      </c>
      <c r="E23" s="4">
        <f>_xlfn.XLOOKUP($A23, ITC!A:A, ITC!B:B, "")</f>
        <v>234.05</v>
      </c>
      <c r="F23" s="4">
        <f>_xlfn.XLOOKUP($A23, TCS!A:A, TCS!B:B, "")</f>
        <v>2137.85</v>
      </c>
      <c r="G23" s="4">
        <f>_xlfn.XLOOKUP($A23, Infosys!A:A, Infosys!B:B,"")</f>
        <v>780.7</v>
      </c>
      <c r="H23" s="4">
        <f>_xlfn.XLOOKUP($A23, 'L &amp; T'!A:A, 'L &amp; T'!B:B, "")</f>
        <v>1370.2</v>
      </c>
    </row>
    <row r="24" spans="1:8" x14ac:dyDescent="0.3">
      <c r="A24" s="1">
        <v>43861</v>
      </c>
      <c r="B24" s="4">
        <f>_xlfn.XLOOKUP($A24, 'Nifty 50'!A:A, 'Nifty 50'!B:B, "")</f>
        <v>11962.1</v>
      </c>
      <c r="C24" s="4">
        <f>_xlfn.XLOOKUP($A24, Reliance!A:A, Reliance!B:B, "")</f>
        <v>634.77</v>
      </c>
      <c r="D24" s="4">
        <f>_xlfn.XLOOKUP($A24, HDFC!A:A, HDFC!B:B, "")</f>
        <v>611.63</v>
      </c>
      <c r="E24" s="4">
        <f>_xlfn.XLOOKUP($A24, ITC!A:A, ITC!B:B, "")</f>
        <v>235.15</v>
      </c>
      <c r="F24" s="4">
        <f>_xlfn.XLOOKUP($A24, TCS!A:A, TCS!B:B, "")</f>
        <v>2079.0500000000002</v>
      </c>
      <c r="G24" s="4">
        <f>_xlfn.XLOOKUP($A24, Infosys!A:A, Infosys!B:B,"")</f>
        <v>775.95</v>
      </c>
      <c r="H24" s="4">
        <f>_xlfn.XLOOKUP($A24, 'L &amp; T'!A:A, 'L &amp; T'!B:B, "")</f>
        <v>1369.3</v>
      </c>
    </row>
    <row r="25" spans="1:8" x14ac:dyDescent="0.3">
      <c r="A25" s="1">
        <v>43862</v>
      </c>
      <c r="B25" s="4">
        <f>_xlfn.XLOOKUP($A25, 'Nifty 50'!A:A, 'Nifty 50'!B:B, "")</f>
        <v>11661.85</v>
      </c>
      <c r="C25" s="4">
        <f>_xlfn.XLOOKUP($A25, Reliance!A:A, Reliance!B:B, "")</f>
        <v>622.04999999999995</v>
      </c>
      <c r="D25" s="4">
        <f>_xlfn.XLOOKUP($A25, HDFC!A:A, HDFC!B:B, "")</f>
        <v>597.86</v>
      </c>
      <c r="E25" s="4">
        <f>_xlfn.XLOOKUP($A25, ITC!A:A, ITC!B:B, "")</f>
        <v>219</v>
      </c>
      <c r="F25" s="4">
        <f>_xlfn.XLOOKUP($A25, TCS!A:A, TCS!B:B, "")</f>
        <v>2164.85</v>
      </c>
      <c r="G25" s="4">
        <f>_xlfn.XLOOKUP($A25, Infosys!A:A, Infosys!B:B,"")</f>
        <v>779.5</v>
      </c>
      <c r="H25" s="4">
        <f>_xlfn.XLOOKUP($A25, 'L &amp; T'!A:A, 'L &amp; T'!B:B, "")</f>
        <v>1287.4000000000001</v>
      </c>
    </row>
    <row r="26" spans="1:8" x14ac:dyDescent="0.3">
      <c r="A26" s="1">
        <v>43864</v>
      </c>
      <c r="B26" s="4">
        <f>_xlfn.XLOOKUP($A26, 'Nifty 50'!A:A, 'Nifty 50'!B:B, "")</f>
        <v>11707.9</v>
      </c>
      <c r="C26" s="4">
        <f>_xlfn.XLOOKUP($A26, Reliance!A:A, Reliance!B:B, "")</f>
        <v>623.01</v>
      </c>
      <c r="D26" s="4">
        <f>_xlfn.XLOOKUP($A26, HDFC!A:A, HDFC!B:B, "")</f>
        <v>594.91999999999996</v>
      </c>
      <c r="E26" s="4">
        <f>_xlfn.XLOOKUP($A26, ITC!A:A, ITC!B:B, "")</f>
        <v>207.6</v>
      </c>
      <c r="F26" s="4">
        <f>_xlfn.XLOOKUP($A26, TCS!A:A, TCS!B:B, "")</f>
        <v>2102.5</v>
      </c>
      <c r="G26" s="4">
        <f>_xlfn.XLOOKUP($A26, Infosys!A:A, Infosys!B:B,"")</f>
        <v>767.4</v>
      </c>
      <c r="H26" s="4">
        <f>_xlfn.XLOOKUP($A26, 'L &amp; T'!A:A, 'L &amp; T'!B:B, "")</f>
        <v>1286.6500000000001</v>
      </c>
    </row>
    <row r="27" spans="1:8" x14ac:dyDescent="0.3">
      <c r="A27" s="1">
        <v>43865</v>
      </c>
      <c r="B27" s="4">
        <f>_xlfn.XLOOKUP($A27, 'Nifty 50'!A:A, 'Nifty 50'!B:B, "")</f>
        <v>11979.65</v>
      </c>
      <c r="C27" s="4">
        <f>_xlfn.XLOOKUP($A27, Reliance!A:A, Reliance!B:B, "")</f>
        <v>641.41</v>
      </c>
      <c r="D27" s="4">
        <f>_xlfn.XLOOKUP($A27, HDFC!A:A, HDFC!B:B, "")</f>
        <v>613.37</v>
      </c>
      <c r="E27" s="4">
        <f>_xlfn.XLOOKUP($A27, ITC!A:A, ITC!B:B, "")</f>
        <v>215.65</v>
      </c>
      <c r="F27" s="4">
        <f>_xlfn.XLOOKUP($A27, TCS!A:A, TCS!B:B, "")</f>
        <v>2107.75</v>
      </c>
      <c r="G27" s="4">
        <f>_xlfn.XLOOKUP($A27, Infosys!A:A, Infosys!B:B,"")</f>
        <v>787.85</v>
      </c>
      <c r="H27" s="4">
        <f>_xlfn.XLOOKUP($A27, 'L &amp; T'!A:A, 'L &amp; T'!B:B, "")</f>
        <v>1291.75</v>
      </c>
    </row>
    <row r="28" spans="1:8" x14ac:dyDescent="0.3">
      <c r="A28" s="1">
        <v>43866</v>
      </c>
      <c r="B28" s="4">
        <f>_xlfn.XLOOKUP($A28, 'Nifty 50'!A:A, 'Nifty 50'!B:B, "")</f>
        <v>12089.15</v>
      </c>
      <c r="C28" s="4">
        <f>_xlfn.XLOOKUP($A28, Reliance!A:A, Reliance!B:B, "")</f>
        <v>651.34</v>
      </c>
      <c r="D28" s="4">
        <f>_xlfn.XLOOKUP($A28, HDFC!A:A, HDFC!B:B, "")</f>
        <v>620.78</v>
      </c>
      <c r="E28" s="4">
        <f>_xlfn.XLOOKUP($A28, ITC!A:A, ITC!B:B, "")</f>
        <v>216.45</v>
      </c>
      <c r="F28" s="4">
        <f>_xlfn.XLOOKUP($A28, TCS!A:A, TCS!B:B, "")</f>
        <v>2146.5500000000002</v>
      </c>
      <c r="G28" s="4">
        <f>_xlfn.XLOOKUP($A28, Infosys!A:A, Infosys!B:B,"")</f>
        <v>784.55</v>
      </c>
      <c r="H28" s="4">
        <f>_xlfn.XLOOKUP($A28, 'L &amp; T'!A:A, 'L &amp; T'!B:B, "")</f>
        <v>1310.05</v>
      </c>
    </row>
    <row r="29" spans="1:8" x14ac:dyDescent="0.3">
      <c r="A29" s="1">
        <v>43867</v>
      </c>
      <c r="B29" s="4">
        <f>_xlfn.XLOOKUP($A29, 'Nifty 50'!A:A, 'Nifty 50'!B:B, "")</f>
        <v>12137.95</v>
      </c>
      <c r="C29" s="4">
        <f>_xlfn.XLOOKUP($A29, Reliance!A:A, Reliance!B:B, "")</f>
        <v>655.52</v>
      </c>
      <c r="D29" s="4">
        <f>_xlfn.XLOOKUP($A29, HDFC!A:A, HDFC!B:B, "")</f>
        <v>618.36</v>
      </c>
      <c r="E29" s="4">
        <f>_xlfn.XLOOKUP($A29, ITC!A:A, ITC!B:B, "")</f>
        <v>213.55</v>
      </c>
      <c r="F29" s="4">
        <f>_xlfn.XLOOKUP($A29, TCS!A:A, TCS!B:B, "")</f>
        <v>2128.35</v>
      </c>
      <c r="G29" s="4">
        <f>_xlfn.XLOOKUP($A29, Infosys!A:A, Infosys!B:B,"")</f>
        <v>771.35</v>
      </c>
      <c r="H29" s="4">
        <f>_xlfn.XLOOKUP($A29, 'L &amp; T'!A:A, 'L &amp; T'!B:B, "")</f>
        <v>1317.6</v>
      </c>
    </row>
    <row r="30" spans="1:8" x14ac:dyDescent="0.3">
      <c r="A30" s="1">
        <v>43868</v>
      </c>
      <c r="B30" s="4">
        <f>_xlfn.XLOOKUP($A30, 'Nifty 50'!A:A, 'Nifty 50'!B:B, "")</f>
        <v>12098.35</v>
      </c>
      <c r="C30" s="4">
        <f>_xlfn.XLOOKUP($A30, Reliance!A:A, Reliance!B:B, "")</f>
        <v>644.66999999999996</v>
      </c>
      <c r="D30" s="4">
        <f>_xlfn.XLOOKUP($A30, HDFC!A:A, HDFC!B:B, "")</f>
        <v>619.55999999999995</v>
      </c>
      <c r="E30" s="4">
        <f>_xlfn.XLOOKUP($A30, ITC!A:A, ITC!B:B, "")</f>
        <v>213.4</v>
      </c>
      <c r="F30" s="4">
        <f>_xlfn.XLOOKUP($A30, TCS!A:A, TCS!B:B, "")</f>
        <v>2136.5500000000002</v>
      </c>
      <c r="G30" s="4">
        <f>_xlfn.XLOOKUP($A30, Infosys!A:A, Infosys!B:B,"")</f>
        <v>777.3</v>
      </c>
      <c r="H30" s="4">
        <f>_xlfn.XLOOKUP($A30, 'L &amp; T'!A:A, 'L &amp; T'!B:B, "")</f>
        <v>1299</v>
      </c>
    </row>
    <row r="31" spans="1:8" x14ac:dyDescent="0.3">
      <c r="A31" s="1">
        <v>43871</v>
      </c>
      <c r="B31" s="4">
        <f>_xlfn.XLOOKUP($A31, 'Nifty 50'!A:A, 'Nifty 50'!B:B, "")</f>
        <v>12031.5</v>
      </c>
      <c r="C31" s="4">
        <f>_xlfn.XLOOKUP($A31, Reliance!A:A, Reliance!B:B, "")</f>
        <v>645.54</v>
      </c>
      <c r="D31" s="4">
        <f>_xlfn.XLOOKUP($A31, HDFC!A:A, HDFC!B:B, "")</f>
        <v>618.61</v>
      </c>
      <c r="E31" s="4">
        <f>_xlfn.XLOOKUP($A31, ITC!A:A, ITC!B:B, "")</f>
        <v>210.55</v>
      </c>
      <c r="F31" s="4">
        <f>_xlfn.XLOOKUP($A31, TCS!A:A, TCS!B:B, "")</f>
        <v>2161.9499999999998</v>
      </c>
      <c r="G31" s="4">
        <f>_xlfn.XLOOKUP($A31, Infosys!A:A, Infosys!B:B,"")</f>
        <v>773.2</v>
      </c>
      <c r="H31" s="4">
        <f>_xlfn.XLOOKUP($A31, 'L &amp; T'!A:A, 'L &amp; T'!B:B, "")</f>
        <v>1285.3</v>
      </c>
    </row>
    <row r="32" spans="1:8" x14ac:dyDescent="0.3">
      <c r="A32" s="1">
        <v>43872</v>
      </c>
      <c r="B32" s="4">
        <f>_xlfn.XLOOKUP($A32, 'Nifty 50'!A:A, 'Nifty 50'!B:B, "")</f>
        <v>12107.9</v>
      </c>
      <c r="C32" s="4">
        <f>_xlfn.XLOOKUP($A32, Reliance!A:A, Reliance!B:B, "")</f>
        <v>653.25</v>
      </c>
      <c r="D32" s="4">
        <f>_xlfn.XLOOKUP($A32, HDFC!A:A, HDFC!B:B, "")</f>
        <v>618.76</v>
      </c>
      <c r="E32" s="4">
        <f>_xlfn.XLOOKUP($A32, ITC!A:A, ITC!B:B, "")</f>
        <v>212.6</v>
      </c>
      <c r="F32" s="4">
        <f>_xlfn.XLOOKUP($A32, TCS!A:A, TCS!B:B, "")</f>
        <v>2153.4</v>
      </c>
      <c r="G32" s="4">
        <f>_xlfn.XLOOKUP($A32, Infosys!A:A, Infosys!B:B,"")</f>
        <v>773.55</v>
      </c>
      <c r="H32" s="4">
        <f>_xlfn.XLOOKUP($A32, 'L &amp; T'!A:A, 'L &amp; T'!B:B, "")</f>
        <v>1286.9000000000001</v>
      </c>
    </row>
    <row r="33" spans="1:8" x14ac:dyDescent="0.3">
      <c r="A33" s="1">
        <v>43873</v>
      </c>
      <c r="B33" s="4">
        <f>_xlfn.XLOOKUP($A33, 'Nifty 50'!A:A, 'Nifty 50'!B:B, "")</f>
        <v>12201.2</v>
      </c>
      <c r="C33" s="4">
        <f>_xlfn.XLOOKUP($A33, Reliance!A:A, Reliance!B:B, "")</f>
        <v>661.15</v>
      </c>
      <c r="D33" s="4">
        <f>_xlfn.XLOOKUP($A33, HDFC!A:A, HDFC!B:B, "")</f>
        <v>622.95000000000005</v>
      </c>
      <c r="E33" s="4">
        <f>_xlfn.XLOOKUP($A33, ITC!A:A, ITC!B:B, "")</f>
        <v>213.05</v>
      </c>
      <c r="F33" s="4">
        <f>_xlfn.XLOOKUP($A33, TCS!A:A, TCS!B:B, "")</f>
        <v>2170.75</v>
      </c>
      <c r="G33" s="4">
        <f>_xlfn.XLOOKUP($A33, Infosys!A:A, Infosys!B:B,"")</f>
        <v>781.05</v>
      </c>
      <c r="H33" s="4">
        <f>_xlfn.XLOOKUP($A33, 'L &amp; T'!A:A, 'L &amp; T'!B:B, "")</f>
        <v>1297.3</v>
      </c>
    </row>
    <row r="34" spans="1:8" x14ac:dyDescent="0.3">
      <c r="A34" s="1">
        <v>43874</v>
      </c>
      <c r="B34" s="4">
        <f>_xlfn.XLOOKUP($A34, 'Nifty 50'!A:A, 'Nifty 50'!B:B, "")</f>
        <v>12174.65</v>
      </c>
      <c r="C34" s="4">
        <f>_xlfn.XLOOKUP($A34, Reliance!A:A, Reliance!B:B, "")</f>
        <v>662.88</v>
      </c>
      <c r="D34" s="4">
        <f>_xlfn.XLOOKUP($A34, HDFC!A:A, HDFC!B:B, "")</f>
        <v>619.16</v>
      </c>
      <c r="E34" s="4">
        <f>_xlfn.XLOOKUP($A34, ITC!A:A, ITC!B:B, "")</f>
        <v>211.9</v>
      </c>
      <c r="F34" s="4">
        <f>_xlfn.XLOOKUP($A34, TCS!A:A, TCS!B:B, "")</f>
        <v>2191.9499999999998</v>
      </c>
      <c r="G34" s="4">
        <f>_xlfn.XLOOKUP($A34, Infosys!A:A, Infosys!B:B,"")</f>
        <v>792.25</v>
      </c>
      <c r="H34" s="4">
        <f>_xlfn.XLOOKUP($A34, 'L &amp; T'!A:A, 'L &amp; T'!B:B, "")</f>
        <v>1292.25</v>
      </c>
    </row>
    <row r="35" spans="1:8" x14ac:dyDescent="0.3">
      <c r="A35" s="1">
        <v>43875</v>
      </c>
      <c r="B35" s="4">
        <f>_xlfn.XLOOKUP($A35, 'Nifty 50'!A:A, 'Nifty 50'!B:B, "")</f>
        <v>12113.45</v>
      </c>
      <c r="C35" s="4">
        <f>_xlfn.XLOOKUP($A35, Reliance!A:A, Reliance!B:B, "")</f>
        <v>668.92</v>
      </c>
      <c r="D35" s="4">
        <f>_xlfn.XLOOKUP($A35, HDFC!A:A, HDFC!B:B, "")</f>
        <v>608.16</v>
      </c>
      <c r="E35" s="4">
        <f>_xlfn.XLOOKUP($A35, ITC!A:A, ITC!B:B, "")</f>
        <v>207.7</v>
      </c>
      <c r="F35" s="4">
        <f>_xlfn.XLOOKUP($A35, TCS!A:A, TCS!B:B, "")</f>
        <v>2184.1999999999998</v>
      </c>
      <c r="G35" s="4">
        <f>_xlfn.XLOOKUP($A35, Infosys!A:A, Infosys!B:B,"")</f>
        <v>786.45</v>
      </c>
      <c r="H35" s="4">
        <f>_xlfn.XLOOKUP($A35, 'L &amp; T'!A:A, 'L &amp; T'!B:B, "")</f>
        <v>1295.1500000000001</v>
      </c>
    </row>
    <row r="36" spans="1:8" x14ac:dyDescent="0.3">
      <c r="A36" s="1">
        <v>43878</v>
      </c>
      <c r="B36" s="4">
        <f>_xlfn.XLOOKUP($A36, 'Nifty 50'!A:A, 'Nifty 50'!B:B, "")</f>
        <v>12045.8</v>
      </c>
      <c r="C36" s="4">
        <f>_xlfn.XLOOKUP($A36, Reliance!A:A, Reliance!B:B, "")</f>
        <v>664.72</v>
      </c>
      <c r="D36" s="4">
        <f>_xlfn.XLOOKUP($A36, HDFC!A:A, HDFC!B:B, "")</f>
        <v>607.05999999999995</v>
      </c>
      <c r="E36" s="4">
        <f>_xlfn.XLOOKUP($A36, ITC!A:A, ITC!B:B, "")</f>
        <v>204.8</v>
      </c>
      <c r="F36" s="4">
        <f>_xlfn.XLOOKUP($A36, TCS!A:A, TCS!B:B, "")</f>
        <v>2203.25</v>
      </c>
      <c r="G36" s="4">
        <f>_xlfn.XLOOKUP($A36, Infosys!A:A, Infosys!B:B,"")</f>
        <v>789.45</v>
      </c>
      <c r="H36" s="4">
        <f>_xlfn.XLOOKUP($A36, 'L &amp; T'!A:A, 'L &amp; T'!B:B, "")</f>
        <v>1280.2</v>
      </c>
    </row>
    <row r="37" spans="1:8" x14ac:dyDescent="0.3">
      <c r="A37" s="1">
        <v>43879</v>
      </c>
      <c r="B37" s="4">
        <f>_xlfn.XLOOKUP($A37, 'Nifty 50'!A:A, 'Nifty 50'!B:B, "")</f>
        <v>11992.5</v>
      </c>
      <c r="C37" s="4">
        <f>_xlfn.XLOOKUP($A37, Reliance!A:A, Reliance!B:B, "")</f>
        <v>659.84</v>
      </c>
      <c r="D37" s="4">
        <f>_xlfn.XLOOKUP($A37, HDFC!A:A, HDFC!B:B, "")</f>
        <v>605.12</v>
      </c>
      <c r="E37" s="4">
        <f>_xlfn.XLOOKUP($A37, ITC!A:A, ITC!B:B, "")</f>
        <v>203.85</v>
      </c>
      <c r="F37" s="4">
        <f>_xlfn.XLOOKUP($A37, TCS!A:A, TCS!B:B, "")</f>
        <v>2215.75</v>
      </c>
      <c r="G37" s="4">
        <f>_xlfn.XLOOKUP($A37, Infosys!A:A, Infosys!B:B,"")</f>
        <v>797.65</v>
      </c>
      <c r="H37" s="4">
        <f>_xlfn.XLOOKUP($A37, 'L &amp; T'!A:A, 'L &amp; T'!B:B, "")</f>
        <v>1286.3499999999999</v>
      </c>
    </row>
    <row r="38" spans="1:8" x14ac:dyDescent="0.3">
      <c r="A38" s="1">
        <v>43880</v>
      </c>
      <c r="B38" s="4">
        <f>_xlfn.XLOOKUP($A38, 'Nifty 50'!A:A, 'Nifty 50'!B:B, "")</f>
        <v>12125.9</v>
      </c>
      <c r="C38" s="4">
        <f>_xlfn.XLOOKUP($A38, Reliance!A:A, Reliance!B:B, "")</f>
        <v>676.21</v>
      </c>
      <c r="D38" s="4">
        <f>_xlfn.XLOOKUP($A38, HDFC!A:A, HDFC!B:B, "")</f>
        <v>612.08000000000004</v>
      </c>
      <c r="E38" s="4">
        <f>_xlfn.XLOOKUP($A38, ITC!A:A, ITC!B:B, "")</f>
        <v>206.7</v>
      </c>
      <c r="F38" s="4">
        <f>_xlfn.XLOOKUP($A38, TCS!A:A, TCS!B:B, "")</f>
        <v>2196.35</v>
      </c>
      <c r="G38" s="4">
        <f>_xlfn.XLOOKUP($A38, Infosys!A:A, Infosys!B:B,"")</f>
        <v>800.45</v>
      </c>
      <c r="H38" s="4">
        <f>_xlfn.XLOOKUP($A38, 'L &amp; T'!A:A, 'L &amp; T'!B:B, "")</f>
        <v>1281.4000000000001</v>
      </c>
    </row>
    <row r="39" spans="1:8" x14ac:dyDescent="0.3">
      <c r="A39" s="1">
        <v>43881</v>
      </c>
      <c r="B39" s="4">
        <f>_xlfn.XLOOKUP($A39, 'Nifty 50'!A:A, 'Nifty 50'!B:B, "")</f>
        <v>12080.85</v>
      </c>
      <c r="C39" s="4">
        <f>_xlfn.XLOOKUP($A39, Reliance!A:A, Reliance!B:B, "")</f>
        <v>668.18</v>
      </c>
      <c r="D39" s="4">
        <f>_xlfn.XLOOKUP($A39, HDFC!A:A, HDFC!B:B, "")</f>
        <v>607.04</v>
      </c>
      <c r="E39" s="4">
        <f>_xlfn.XLOOKUP($A39, ITC!A:A, ITC!B:B, "")</f>
        <v>207.45</v>
      </c>
      <c r="F39" s="4">
        <f>_xlfn.XLOOKUP($A39, TCS!A:A, TCS!B:B, "")</f>
        <v>2156.8000000000002</v>
      </c>
      <c r="G39" s="4">
        <f>_xlfn.XLOOKUP($A39, Infosys!A:A, Infosys!B:B,"")</f>
        <v>797</v>
      </c>
      <c r="H39" s="4">
        <f>_xlfn.XLOOKUP($A39, 'L &amp; T'!A:A, 'L &amp; T'!B:B, "")</f>
        <v>1280.5999999999999</v>
      </c>
    </row>
    <row r="40" spans="1:8" x14ac:dyDescent="0.3">
      <c r="A40" s="1">
        <v>43885</v>
      </c>
      <c r="B40" s="4">
        <f>_xlfn.XLOOKUP($A40, 'Nifty 50'!A:A, 'Nifty 50'!B:B, "")</f>
        <v>11829.4</v>
      </c>
      <c r="C40" s="4">
        <f>_xlfn.XLOOKUP($A40, Reliance!A:A, Reliance!B:B, "")</f>
        <v>649.75</v>
      </c>
      <c r="D40" s="4">
        <f>_xlfn.XLOOKUP($A40, HDFC!A:A, HDFC!B:B, "")</f>
        <v>603.47</v>
      </c>
      <c r="E40" s="4">
        <f>_xlfn.XLOOKUP($A40, ITC!A:A, ITC!B:B, "")</f>
        <v>203</v>
      </c>
      <c r="F40" s="4">
        <f>_xlfn.XLOOKUP($A40, TCS!A:A, TCS!B:B, "")</f>
        <v>2115.35</v>
      </c>
      <c r="G40" s="4">
        <f>_xlfn.XLOOKUP($A40, Infosys!A:A, Infosys!B:B,"")</f>
        <v>795.85</v>
      </c>
      <c r="H40" s="4">
        <f>_xlfn.XLOOKUP($A40, 'L &amp; T'!A:A, 'L &amp; T'!B:B, "")</f>
        <v>1259.7</v>
      </c>
    </row>
    <row r="41" spans="1:8" x14ac:dyDescent="0.3">
      <c r="A41" s="1">
        <v>43886</v>
      </c>
      <c r="B41" s="4">
        <f>_xlfn.XLOOKUP($A41, 'Nifty 50'!A:A, 'Nifty 50'!B:B, "")</f>
        <v>11797.9</v>
      </c>
      <c r="C41" s="4">
        <f>_xlfn.XLOOKUP($A41, Reliance!A:A, Reliance!B:B, "")</f>
        <v>636.91</v>
      </c>
      <c r="D41" s="4">
        <f>_xlfn.XLOOKUP($A41, HDFC!A:A, HDFC!B:B, "")</f>
        <v>598.66</v>
      </c>
      <c r="E41" s="4">
        <f>_xlfn.XLOOKUP($A41, ITC!A:A, ITC!B:B, "")</f>
        <v>201.8</v>
      </c>
      <c r="F41" s="4">
        <f>_xlfn.XLOOKUP($A41, TCS!A:A, TCS!B:B, "")</f>
        <v>2156.15</v>
      </c>
      <c r="G41" s="4">
        <f>_xlfn.XLOOKUP($A41, Infosys!A:A, Infosys!B:B,"")</f>
        <v>798.4</v>
      </c>
      <c r="H41" s="4">
        <f>_xlfn.XLOOKUP($A41, 'L &amp; T'!A:A, 'L &amp; T'!B:B, "")</f>
        <v>1242.05</v>
      </c>
    </row>
    <row r="42" spans="1:8" x14ac:dyDescent="0.3">
      <c r="A42" s="1">
        <v>43887</v>
      </c>
      <c r="B42" s="4">
        <f>_xlfn.XLOOKUP($A42, 'Nifty 50'!A:A, 'Nifty 50'!B:B, "")</f>
        <v>11678.5</v>
      </c>
      <c r="C42" s="4">
        <f>_xlfn.XLOOKUP($A42, Reliance!A:A, Reliance!B:B, "")</f>
        <v>625.94000000000005</v>
      </c>
      <c r="D42" s="4">
        <f>_xlfn.XLOOKUP($A42, HDFC!A:A, HDFC!B:B, "")</f>
        <v>598.14</v>
      </c>
      <c r="E42" s="4">
        <f>_xlfn.XLOOKUP($A42, ITC!A:A, ITC!B:B, "")</f>
        <v>198.6</v>
      </c>
      <c r="F42" s="4">
        <f>_xlfn.XLOOKUP($A42, TCS!A:A, TCS!B:B, "")</f>
        <v>2123.6</v>
      </c>
      <c r="G42" s="4">
        <f>_xlfn.XLOOKUP($A42, Infosys!A:A, Infosys!B:B,"")</f>
        <v>782.75</v>
      </c>
      <c r="H42" s="4">
        <f>_xlfn.XLOOKUP($A42, 'L &amp; T'!A:A, 'L &amp; T'!B:B, "")</f>
        <v>1211.1500000000001</v>
      </c>
    </row>
    <row r="43" spans="1:8" x14ac:dyDescent="0.3">
      <c r="A43" s="1">
        <v>43888</v>
      </c>
      <c r="B43" s="4">
        <f>_xlfn.XLOOKUP($A43, 'Nifty 50'!A:A, 'Nifty 50'!B:B, "")</f>
        <v>11633.3</v>
      </c>
      <c r="C43" s="4">
        <f>_xlfn.XLOOKUP($A43, Reliance!A:A, Reliance!B:B, "")</f>
        <v>623.35</v>
      </c>
      <c r="D43" s="4">
        <f>_xlfn.XLOOKUP($A43, HDFC!A:A, HDFC!B:B, "")</f>
        <v>598.24</v>
      </c>
      <c r="E43" s="4">
        <f>_xlfn.XLOOKUP($A43, ITC!A:A, ITC!B:B, "")</f>
        <v>197.55</v>
      </c>
      <c r="F43" s="4">
        <f>_xlfn.XLOOKUP($A43, TCS!A:A, TCS!B:B, "")</f>
        <v>2105.5</v>
      </c>
      <c r="G43" s="4">
        <f>_xlfn.XLOOKUP($A43, Infosys!A:A, Infosys!B:B,"")</f>
        <v>777.85</v>
      </c>
      <c r="H43" s="4">
        <f>_xlfn.XLOOKUP($A43, 'L &amp; T'!A:A, 'L &amp; T'!B:B, "")</f>
        <v>1210.3499999999999</v>
      </c>
    </row>
    <row r="44" spans="1:8" x14ac:dyDescent="0.3">
      <c r="A44" s="1">
        <v>43889</v>
      </c>
      <c r="B44" s="4">
        <f>_xlfn.XLOOKUP($A44, 'Nifty 50'!A:A, 'Nifty 50'!B:B, "")</f>
        <v>11201.75</v>
      </c>
      <c r="C44" s="4">
        <f>_xlfn.XLOOKUP($A44, Reliance!A:A, Reliance!B:B, "")</f>
        <v>597.45000000000005</v>
      </c>
      <c r="D44" s="4">
        <f>_xlfn.XLOOKUP($A44, HDFC!A:A, HDFC!B:B, "")</f>
        <v>587.36</v>
      </c>
      <c r="E44" s="4">
        <f>_xlfn.XLOOKUP($A44, ITC!A:A, ITC!B:B, "")</f>
        <v>197.55</v>
      </c>
      <c r="F44" s="4">
        <f>_xlfn.XLOOKUP($A44, TCS!A:A, TCS!B:B, "")</f>
        <v>2000.15</v>
      </c>
      <c r="G44" s="4">
        <f>_xlfn.XLOOKUP($A44, Infosys!A:A, Infosys!B:B,"")</f>
        <v>731.7</v>
      </c>
      <c r="H44" s="4">
        <f>_xlfn.XLOOKUP($A44, 'L &amp; T'!A:A, 'L &amp; T'!B:B, "")</f>
        <v>1187.55</v>
      </c>
    </row>
    <row r="45" spans="1:8" x14ac:dyDescent="0.3">
      <c r="A45" s="1">
        <v>43892</v>
      </c>
      <c r="B45" s="4">
        <f>_xlfn.XLOOKUP($A45, 'Nifty 50'!A:A, 'Nifty 50'!B:B, "")</f>
        <v>11132.75</v>
      </c>
      <c r="C45" s="4">
        <f>_xlfn.XLOOKUP($A45, Reliance!A:A, Reliance!B:B, "")</f>
        <v>591.83000000000004</v>
      </c>
      <c r="D45" s="4">
        <f>_xlfn.XLOOKUP($A45, HDFC!A:A, HDFC!B:B, "")</f>
        <v>588.34</v>
      </c>
      <c r="E45" s="4">
        <f>_xlfn.XLOOKUP($A45, ITC!A:A, ITC!B:B, "")</f>
        <v>195.3</v>
      </c>
      <c r="F45" s="4">
        <f>_xlfn.XLOOKUP($A45, TCS!A:A, TCS!B:B, "")</f>
        <v>2001.3</v>
      </c>
      <c r="G45" s="4">
        <f>_xlfn.XLOOKUP($A45, Infosys!A:A, Infosys!B:B,"")</f>
        <v>741.05</v>
      </c>
      <c r="H45" s="4">
        <f>_xlfn.XLOOKUP($A45, 'L &amp; T'!A:A, 'L &amp; T'!B:B, "")</f>
        <v>1160.9000000000001</v>
      </c>
    </row>
    <row r="46" spans="1:8" x14ac:dyDescent="0.3">
      <c r="A46" s="1">
        <v>43893</v>
      </c>
      <c r="B46" s="4">
        <f>_xlfn.XLOOKUP($A46, 'Nifty 50'!A:A, 'Nifty 50'!B:B, "")</f>
        <v>11303.3</v>
      </c>
      <c r="C46" s="4">
        <f>_xlfn.XLOOKUP($A46, Reliance!A:A, Reliance!B:B, "")</f>
        <v>603.84</v>
      </c>
      <c r="D46" s="4">
        <f>_xlfn.XLOOKUP($A46, HDFC!A:A, HDFC!B:B, "")</f>
        <v>589.42999999999995</v>
      </c>
      <c r="E46" s="4">
        <f>_xlfn.XLOOKUP($A46, ITC!A:A, ITC!B:B, "")</f>
        <v>193.85</v>
      </c>
      <c r="F46" s="4">
        <f>_xlfn.XLOOKUP($A46, TCS!A:A, TCS!B:B, "")</f>
        <v>2036.2</v>
      </c>
      <c r="G46" s="4">
        <f>_xlfn.XLOOKUP($A46, Infosys!A:A, Infosys!B:B,"")</f>
        <v>747</v>
      </c>
      <c r="H46" s="4">
        <f>_xlfn.XLOOKUP($A46, 'L &amp; T'!A:A, 'L &amp; T'!B:B, "")</f>
        <v>1181.3</v>
      </c>
    </row>
    <row r="47" spans="1:8" x14ac:dyDescent="0.3">
      <c r="A47" s="1">
        <v>43894</v>
      </c>
      <c r="B47" s="4">
        <f>_xlfn.XLOOKUP($A47, 'Nifty 50'!A:A, 'Nifty 50'!B:B, "")</f>
        <v>11251</v>
      </c>
      <c r="C47" s="4">
        <f>_xlfn.XLOOKUP($A47, Reliance!A:A, Reliance!B:B, "")</f>
        <v>602.41999999999996</v>
      </c>
      <c r="D47" s="4">
        <f>_xlfn.XLOOKUP($A47, HDFC!A:A, HDFC!B:B, "")</f>
        <v>573</v>
      </c>
      <c r="E47" s="4">
        <f>_xlfn.XLOOKUP($A47, ITC!A:A, ITC!B:B, "")</f>
        <v>187.5</v>
      </c>
      <c r="F47" s="4">
        <f>_xlfn.XLOOKUP($A47, TCS!A:A, TCS!B:B, "")</f>
        <v>2083.1999999999998</v>
      </c>
      <c r="G47" s="4">
        <f>_xlfn.XLOOKUP($A47, Infosys!A:A, Infosys!B:B,"")</f>
        <v>758.75</v>
      </c>
      <c r="H47" s="4">
        <f>_xlfn.XLOOKUP($A47, 'L &amp; T'!A:A, 'L &amp; T'!B:B, "")</f>
        <v>1176.6500000000001</v>
      </c>
    </row>
    <row r="48" spans="1:8" x14ac:dyDescent="0.3">
      <c r="A48" s="1">
        <v>43895</v>
      </c>
      <c r="B48" s="4">
        <f>_xlfn.XLOOKUP($A48, 'Nifty 50'!A:A, 'Nifty 50'!B:B, "")</f>
        <v>11269</v>
      </c>
      <c r="C48" s="4">
        <f>_xlfn.XLOOKUP($A48, Reliance!A:A, Reliance!B:B, "")</f>
        <v>589.58000000000004</v>
      </c>
      <c r="D48" s="4">
        <f>_xlfn.XLOOKUP($A48, HDFC!A:A, HDFC!B:B, "")</f>
        <v>574.25</v>
      </c>
      <c r="E48" s="4">
        <f>_xlfn.XLOOKUP($A48, ITC!A:A, ITC!B:B, "")</f>
        <v>188.05</v>
      </c>
      <c r="F48" s="4">
        <f>_xlfn.XLOOKUP($A48, TCS!A:A, TCS!B:B, "")</f>
        <v>2125.0500000000002</v>
      </c>
      <c r="G48" s="4">
        <f>_xlfn.XLOOKUP($A48, Infosys!A:A, Infosys!B:B,"")</f>
        <v>754.6</v>
      </c>
      <c r="H48" s="4">
        <f>_xlfn.XLOOKUP($A48, 'L &amp; T'!A:A, 'L &amp; T'!B:B, "")</f>
        <v>1182.45</v>
      </c>
    </row>
    <row r="49" spans="1:8" x14ac:dyDescent="0.3">
      <c r="A49" s="1">
        <v>43896</v>
      </c>
      <c r="B49" s="4">
        <f>_xlfn.XLOOKUP($A49, 'Nifty 50'!A:A, 'Nifty 50'!B:B, "")</f>
        <v>10989.45</v>
      </c>
      <c r="C49" s="4">
        <f>_xlfn.XLOOKUP($A49, Reliance!A:A, Reliance!B:B, "")</f>
        <v>571.53</v>
      </c>
      <c r="D49" s="4">
        <f>_xlfn.XLOOKUP($A49, HDFC!A:A, HDFC!B:B, "")</f>
        <v>566.04</v>
      </c>
      <c r="E49" s="4">
        <f>_xlfn.XLOOKUP($A49, ITC!A:A, ITC!B:B, "")</f>
        <v>181.75</v>
      </c>
      <c r="F49" s="4">
        <f>_xlfn.XLOOKUP($A49, TCS!A:A, TCS!B:B, "")</f>
        <v>2116.4499999999998</v>
      </c>
      <c r="G49" s="4">
        <f>_xlfn.XLOOKUP($A49, Infosys!A:A, Infosys!B:B,"")</f>
        <v>738.95</v>
      </c>
      <c r="H49" s="4">
        <f>_xlfn.XLOOKUP($A49, 'L &amp; T'!A:A, 'L &amp; T'!B:B, "")</f>
        <v>1158.9000000000001</v>
      </c>
    </row>
    <row r="50" spans="1:8" x14ac:dyDescent="0.3">
      <c r="A50" s="1">
        <v>43899</v>
      </c>
      <c r="B50" s="4">
        <f>_xlfn.XLOOKUP($A50, 'Nifty 50'!A:A, 'Nifty 50'!B:B, "")</f>
        <v>10451.450000000001</v>
      </c>
      <c r="C50" s="4">
        <f>_xlfn.XLOOKUP($A50, Reliance!A:A, Reliance!B:B, "")</f>
        <v>501</v>
      </c>
      <c r="D50" s="4">
        <f>_xlfn.XLOOKUP($A50, HDFC!A:A, HDFC!B:B, "")</f>
        <v>552.28</v>
      </c>
      <c r="E50" s="4">
        <f>_xlfn.XLOOKUP($A50, ITC!A:A, ITC!B:B, "")</f>
        <v>177.2</v>
      </c>
      <c r="F50" s="4">
        <f>_xlfn.XLOOKUP($A50, TCS!A:A, TCS!B:B, "")</f>
        <v>1972.35</v>
      </c>
      <c r="G50" s="4">
        <f>_xlfn.XLOOKUP($A50, Infosys!A:A, Infosys!B:B,"")</f>
        <v>704.45</v>
      </c>
      <c r="H50" s="4">
        <f>_xlfn.XLOOKUP($A50, 'L &amp; T'!A:A, 'L &amp; T'!B:B, "")</f>
        <v>1101.95</v>
      </c>
    </row>
    <row r="51" spans="1:8" x14ac:dyDescent="0.3">
      <c r="A51" s="1">
        <v>43901</v>
      </c>
      <c r="B51" s="4">
        <f>_xlfn.XLOOKUP($A51, 'Nifty 50'!A:A, 'Nifty 50'!B:B, "")</f>
        <v>10458.4</v>
      </c>
      <c r="C51" s="4">
        <f>_xlfn.XLOOKUP($A51, Reliance!A:A, Reliance!B:B, "")</f>
        <v>518.71</v>
      </c>
      <c r="D51" s="4">
        <f>_xlfn.XLOOKUP($A51, HDFC!A:A, HDFC!B:B, "")</f>
        <v>555.52</v>
      </c>
      <c r="E51" s="4">
        <f>_xlfn.XLOOKUP($A51, ITC!A:A, ITC!B:B, "")</f>
        <v>175.65</v>
      </c>
      <c r="F51" s="4">
        <f>_xlfn.XLOOKUP($A51, TCS!A:A, TCS!B:B, "")</f>
        <v>1953.7</v>
      </c>
      <c r="G51" s="4">
        <f>_xlfn.XLOOKUP($A51, Infosys!A:A, Infosys!B:B,"")</f>
        <v>686</v>
      </c>
      <c r="H51" s="4">
        <f>_xlfn.XLOOKUP($A51, 'L &amp; T'!A:A, 'L &amp; T'!B:B, "")</f>
        <v>1116.95</v>
      </c>
    </row>
    <row r="52" spans="1:8" x14ac:dyDescent="0.3">
      <c r="A52" s="1">
        <v>43902</v>
      </c>
      <c r="B52" s="4">
        <f>_xlfn.XLOOKUP($A52, 'Nifty 50'!A:A, 'Nifty 50'!B:B, "")</f>
        <v>9590.15</v>
      </c>
      <c r="C52" s="4">
        <f>_xlfn.XLOOKUP($A52, Reliance!A:A, Reliance!B:B, "")</f>
        <v>478</v>
      </c>
      <c r="D52" s="4">
        <f>_xlfn.XLOOKUP($A52, HDFC!A:A, HDFC!B:B, "")</f>
        <v>509.38</v>
      </c>
      <c r="E52" s="4">
        <f>_xlfn.XLOOKUP($A52, ITC!A:A, ITC!B:B, "")</f>
        <v>155.80000000000001</v>
      </c>
      <c r="F52" s="4">
        <f>_xlfn.XLOOKUP($A52, TCS!A:A, TCS!B:B, "")</f>
        <v>1769.85</v>
      </c>
      <c r="G52" s="4">
        <f>_xlfn.XLOOKUP($A52, Infosys!A:A, Infosys!B:B,"")</f>
        <v>631.20000000000005</v>
      </c>
      <c r="H52" s="4">
        <f>_xlfn.XLOOKUP($A52, 'L &amp; T'!A:A, 'L &amp; T'!B:B, "")</f>
        <v>1016.55</v>
      </c>
    </row>
    <row r="53" spans="1:8" x14ac:dyDescent="0.3">
      <c r="A53" s="1">
        <v>43903</v>
      </c>
      <c r="B53" s="4">
        <f>_xlfn.XLOOKUP($A53, 'Nifty 50'!A:A, 'Nifty 50'!B:B, "")</f>
        <v>9955.2000000000007</v>
      </c>
      <c r="C53" s="4">
        <f>_xlfn.XLOOKUP($A53, Reliance!A:A, Reliance!B:B, "")</f>
        <v>497.02</v>
      </c>
      <c r="D53" s="4">
        <f>_xlfn.XLOOKUP($A53, HDFC!A:A, HDFC!B:B, "")</f>
        <v>533.57000000000005</v>
      </c>
      <c r="E53" s="4">
        <f>_xlfn.XLOOKUP($A53, ITC!A:A, ITC!B:B, "")</f>
        <v>162.25</v>
      </c>
      <c r="F53" s="4">
        <f>_xlfn.XLOOKUP($A53, TCS!A:A, TCS!B:B, "")</f>
        <v>1806.3</v>
      </c>
      <c r="G53" s="4">
        <f>_xlfn.XLOOKUP($A53, Infosys!A:A, Infosys!B:B,"")</f>
        <v>642.35</v>
      </c>
      <c r="H53" s="4">
        <f>_xlfn.XLOOKUP($A53, 'L &amp; T'!A:A, 'L &amp; T'!B:B, "")</f>
        <v>1051.45</v>
      </c>
    </row>
    <row r="54" spans="1:8" x14ac:dyDescent="0.3">
      <c r="A54" s="1">
        <v>43906</v>
      </c>
      <c r="B54" s="4">
        <f>_xlfn.XLOOKUP($A54, 'Nifty 50'!A:A, 'Nifty 50'!B:B, "")</f>
        <v>9197.4</v>
      </c>
      <c r="C54" s="4">
        <f>_xlfn.XLOOKUP($A54, Reliance!A:A, Reliance!B:B, "")</f>
        <v>456.73</v>
      </c>
      <c r="D54" s="4">
        <f>_xlfn.XLOOKUP($A54, HDFC!A:A, HDFC!B:B, "")</f>
        <v>498.51</v>
      </c>
      <c r="E54" s="4">
        <f>_xlfn.XLOOKUP($A54, ITC!A:A, ITC!B:B, "")</f>
        <v>147.25</v>
      </c>
      <c r="F54" s="4">
        <f>_xlfn.XLOOKUP($A54, TCS!A:A, TCS!B:B, "")</f>
        <v>1696.4</v>
      </c>
      <c r="G54" s="4">
        <f>_xlfn.XLOOKUP($A54, Infosys!A:A, Infosys!B:B,"")</f>
        <v>583.15</v>
      </c>
      <c r="H54" s="4">
        <f>_xlfn.XLOOKUP($A54, 'L &amp; T'!A:A, 'L &amp; T'!B:B, "")</f>
        <v>968.7</v>
      </c>
    </row>
    <row r="55" spans="1:8" x14ac:dyDescent="0.3">
      <c r="A55" s="1">
        <v>43907</v>
      </c>
      <c r="B55" s="4">
        <f>_xlfn.XLOOKUP($A55, 'Nifty 50'!A:A, 'Nifty 50'!B:B, "")</f>
        <v>8967.0499999999993</v>
      </c>
      <c r="C55" s="4">
        <f>_xlfn.XLOOKUP($A55, Reliance!A:A, Reliance!B:B, "")</f>
        <v>453.26</v>
      </c>
      <c r="D55" s="4">
        <f>_xlfn.XLOOKUP($A55, HDFC!A:A, HDFC!B:B, "")</f>
        <v>486.34</v>
      </c>
      <c r="E55" s="4">
        <f>_xlfn.XLOOKUP($A55, ITC!A:A, ITC!B:B, "")</f>
        <v>149.15</v>
      </c>
      <c r="F55" s="4">
        <f>_xlfn.XLOOKUP($A55, TCS!A:A, TCS!B:B, "")</f>
        <v>1658</v>
      </c>
      <c r="G55" s="4">
        <f>_xlfn.XLOOKUP($A55, Infosys!A:A, Infosys!B:B,"")</f>
        <v>554.95000000000005</v>
      </c>
      <c r="H55" s="4">
        <f>_xlfn.XLOOKUP($A55, 'L &amp; T'!A:A, 'L &amp; T'!B:B, "")</f>
        <v>956.75</v>
      </c>
    </row>
    <row r="56" spans="1:8" x14ac:dyDescent="0.3">
      <c r="A56" s="1">
        <v>43908</v>
      </c>
      <c r="B56" s="4">
        <f>_xlfn.XLOOKUP($A56, 'Nifty 50'!A:A, 'Nifty 50'!B:B, "")</f>
        <v>8468.7999999999993</v>
      </c>
      <c r="C56" s="4">
        <f>_xlfn.XLOOKUP($A56, Reliance!A:A, Reliance!B:B, "")</f>
        <v>435.5</v>
      </c>
      <c r="D56" s="4">
        <f>_xlfn.XLOOKUP($A56, HDFC!A:A, HDFC!B:B, "")</f>
        <v>437.36</v>
      </c>
      <c r="E56" s="4">
        <f>_xlfn.XLOOKUP($A56, ITC!A:A, ITC!B:B, "")</f>
        <v>150.69999999999999</v>
      </c>
      <c r="F56" s="4">
        <f>_xlfn.XLOOKUP($A56, TCS!A:A, TCS!B:B, "")</f>
        <v>1654.4</v>
      </c>
      <c r="G56" s="4">
        <f>_xlfn.XLOOKUP($A56, Infosys!A:A, Infosys!B:B,"")</f>
        <v>534.29999999999995</v>
      </c>
      <c r="H56" s="4">
        <f>_xlfn.XLOOKUP($A56, 'L &amp; T'!A:A, 'L &amp; T'!B:B, "")</f>
        <v>904.55</v>
      </c>
    </row>
    <row r="57" spans="1:8" x14ac:dyDescent="0.3">
      <c r="A57" s="1">
        <v>43909</v>
      </c>
      <c r="B57" s="4">
        <f>_xlfn.XLOOKUP($A57, 'Nifty 50'!A:A, 'Nifty 50'!B:B, "")</f>
        <v>8263.4500000000007</v>
      </c>
      <c r="C57" s="4">
        <f>_xlfn.XLOOKUP($A57, Reliance!A:A, Reliance!B:B, "")</f>
        <v>412.66</v>
      </c>
      <c r="D57" s="4">
        <f>_xlfn.XLOOKUP($A57, HDFC!A:A, HDFC!B:B, "")</f>
        <v>446.66</v>
      </c>
      <c r="E57" s="4">
        <f>_xlfn.XLOOKUP($A57, ITC!A:A, ITC!B:B, "")</f>
        <v>161.85</v>
      </c>
      <c r="F57" s="4">
        <f>_xlfn.XLOOKUP($A57, TCS!A:A, TCS!B:B, "")</f>
        <v>1636.35</v>
      </c>
      <c r="G57" s="4">
        <f>_xlfn.XLOOKUP($A57, Infosys!A:A, Infosys!B:B,"")</f>
        <v>545.54999999999995</v>
      </c>
      <c r="H57" s="4">
        <f>_xlfn.XLOOKUP($A57, 'L &amp; T'!A:A, 'L &amp; T'!B:B, "")</f>
        <v>843.1</v>
      </c>
    </row>
    <row r="58" spans="1:8" x14ac:dyDescent="0.3">
      <c r="A58" s="1">
        <v>43910</v>
      </c>
      <c r="B58" s="4">
        <f>_xlfn.XLOOKUP($A58, 'Nifty 50'!A:A, 'Nifty 50'!B:B, "")</f>
        <v>8745.4500000000007</v>
      </c>
      <c r="C58" s="4">
        <f>_xlfn.XLOOKUP($A58, Reliance!A:A, Reliance!B:B, "")</f>
        <v>457.74</v>
      </c>
      <c r="D58" s="4">
        <f>_xlfn.XLOOKUP($A58, HDFC!A:A, HDFC!B:B, "")</f>
        <v>440.33</v>
      </c>
      <c r="E58" s="4">
        <f>_xlfn.XLOOKUP($A58, ITC!A:A, ITC!B:B, "")</f>
        <v>175.5</v>
      </c>
      <c r="F58" s="4">
        <f>_xlfn.XLOOKUP($A58, TCS!A:A, TCS!B:B, "")</f>
        <v>1797.45</v>
      </c>
      <c r="G58" s="4">
        <f>_xlfn.XLOOKUP($A58, Infosys!A:A, Infosys!B:B,"")</f>
        <v>585.20000000000005</v>
      </c>
      <c r="H58" s="4">
        <f>_xlfn.XLOOKUP($A58, 'L &amp; T'!A:A, 'L &amp; T'!B:B, "")</f>
        <v>864.7</v>
      </c>
    </row>
    <row r="59" spans="1:8" x14ac:dyDescent="0.3">
      <c r="A59" s="1">
        <v>43913</v>
      </c>
      <c r="B59" s="4">
        <f>_xlfn.XLOOKUP($A59, 'Nifty 50'!A:A, 'Nifty 50'!B:B, "")</f>
        <v>7610.25</v>
      </c>
      <c r="C59" s="4">
        <f>_xlfn.XLOOKUP($A59, Reliance!A:A, Reliance!B:B, "")</f>
        <v>397.53</v>
      </c>
      <c r="D59" s="4">
        <f>_xlfn.XLOOKUP($A59, HDFC!A:A, HDFC!B:B, "")</f>
        <v>384.82</v>
      </c>
      <c r="E59" s="4">
        <f>_xlfn.XLOOKUP($A59, ITC!A:A, ITC!B:B, "")</f>
        <v>154.30000000000001</v>
      </c>
      <c r="F59" s="4">
        <f>_xlfn.XLOOKUP($A59, TCS!A:A, TCS!B:B, "")</f>
        <v>1669.7</v>
      </c>
      <c r="G59" s="4">
        <f>_xlfn.XLOOKUP($A59, Infosys!A:A, Infosys!B:B,"")</f>
        <v>526.45000000000005</v>
      </c>
      <c r="H59" s="4">
        <f>_xlfn.XLOOKUP($A59, 'L &amp; T'!A:A, 'L &amp; T'!B:B, "")</f>
        <v>724.05</v>
      </c>
    </row>
    <row r="60" spans="1:8" x14ac:dyDescent="0.3">
      <c r="A60" s="1">
        <v>43914</v>
      </c>
      <c r="B60" s="4">
        <f>_xlfn.XLOOKUP($A60, 'Nifty 50'!A:A, 'Nifty 50'!B:B, "")</f>
        <v>7801.05</v>
      </c>
      <c r="C60" s="4">
        <f>_xlfn.XLOOKUP($A60, Reliance!A:A, Reliance!B:B, "")</f>
        <v>424.22</v>
      </c>
      <c r="D60" s="4">
        <f>_xlfn.XLOOKUP($A60, HDFC!A:A, HDFC!B:B, "")</f>
        <v>382.9</v>
      </c>
      <c r="E60" s="4">
        <f>_xlfn.XLOOKUP($A60, ITC!A:A, ITC!B:B, "")</f>
        <v>149.69999999999999</v>
      </c>
      <c r="F60" s="4">
        <f>_xlfn.XLOOKUP($A60, TCS!A:A, TCS!B:B, "")</f>
        <v>1703.15</v>
      </c>
      <c r="G60" s="4">
        <f>_xlfn.XLOOKUP($A60, Infosys!A:A, Infosys!B:B,"")</f>
        <v>589.79999999999995</v>
      </c>
      <c r="H60" s="4">
        <f>_xlfn.XLOOKUP($A60, 'L &amp; T'!A:A, 'L &amp; T'!B:B, "")</f>
        <v>707.9</v>
      </c>
    </row>
    <row r="61" spans="1:8" x14ac:dyDescent="0.3">
      <c r="A61" s="1">
        <v>43915</v>
      </c>
      <c r="B61" s="4">
        <f>_xlfn.XLOOKUP($A61, 'Nifty 50'!A:A, 'Nifty 50'!B:B, "")</f>
        <v>8317.85</v>
      </c>
      <c r="C61" s="4">
        <f>_xlfn.XLOOKUP($A61, Reliance!A:A, Reliance!B:B, "")</f>
        <v>486.65</v>
      </c>
      <c r="D61" s="4">
        <f>_xlfn.XLOOKUP($A61, HDFC!A:A, HDFC!B:B, "")</f>
        <v>427.31</v>
      </c>
      <c r="E61" s="4">
        <f>_xlfn.XLOOKUP($A61, ITC!A:A, ITC!B:B, "")</f>
        <v>147.35</v>
      </c>
      <c r="F61" s="4">
        <f>_xlfn.XLOOKUP($A61, TCS!A:A, TCS!B:B, "")</f>
        <v>1750.3</v>
      </c>
      <c r="G61" s="4">
        <f>_xlfn.XLOOKUP($A61, Infosys!A:A, Infosys!B:B,"")</f>
        <v>606.20000000000005</v>
      </c>
      <c r="H61" s="4">
        <f>_xlfn.XLOOKUP($A61, 'L &amp; T'!A:A, 'L &amp; T'!B:B, "")</f>
        <v>765.75</v>
      </c>
    </row>
    <row r="62" spans="1:8" x14ac:dyDescent="0.3">
      <c r="A62" s="1">
        <v>43916</v>
      </c>
      <c r="B62" s="4">
        <f>_xlfn.XLOOKUP($A62, 'Nifty 50'!A:A, 'Nifty 50'!B:B, "")</f>
        <v>8641.4500000000007</v>
      </c>
      <c r="C62" s="4">
        <f>_xlfn.XLOOKUP($A62, Reliance!A:A, Reliance!B:B, "")</f>
        <v>479.44</v>
      </c>
      <c r="D62" s="4">
        <f>_xlfn.XLOOKUP($A62, HDFC!A:A, HDFC!B:B, "")</f>
        <v>449.43</v>
      </c>
      <c r="E62" s="4">
        <f>_xlfn.XLOOKUP($A62, ITC!A:A, ITC!B:B, "")</f>
        <v>156.4</v>
      </c>
      <c r="F62" s="4">
        <f>_xlfn.XLOOKUP($A62, TCS!A:A, TCS!B:B, "")</f>
        <v>1790.95</v>
      </c>
      <c r="G62" s="4">
        <f>_xlfn.XLOOKUP($A62, Infosys!A:A, Infosys!B:B,"")</f>
        <v>643</v>
      </c>
      <c r="H62" s="4">
        <f>_xlfn.XLOOKUP($A62, 'L &amp; T'!A:A, 'L &amp; T'!B:B, "")</f>
        <v>838</v>
      </c>
    </row>
    <row r="63" spans="1:8" x14ac:dyDescent="0.3">
      <c r="A63" s="1">
        <v>43917</v>
      </c>
      <c r="B63" s="4">
        <f>_xlfn.XLOOKUP($A63, 'Nifty 50'!A:A, 'Nifty 50'!B:B, "")</f>
        <v>8660.25</v>
      </c>
      <c r="C63" s="4">
        <f>_xlfn.XLOOKUP($A63, Reliance!A:A, Reliance!B:B, "")</f>
        <v>479.17</v>
      </c>
      <c r="D63" s="4">
        <f>_xlfn.XLOOKUP($A63, HDFC!A:A, HDFC!B:B, "")</f>
        <v>451.1</v>
      </c>
      <c r="E63" s="4">
        <f>_xlfn.XLOOKUP($A63, ITC!A:A, ITC!B:B, "")</f>
        <v>163.19999999999999</v>
      </c>
      <c r="F63" s="4">
        <f>_xlfn.XLOOKUP($A63, TCS!A:A, TCS!B:B, "")</f>
        <v>1824.5</v>
      </c>
      <c r="G63" s="4">
        <f>_xlfn.XLOOKUP($A63, Infosys!A:A, Infosys!B:B,"")</f>
        <v>652.70000000000005</v>
      </c>
      <c r="H63" s="4">
        <f>_xlfn.XLOOKUP($A63, 'L &amp; T'!A:A, 'L &amp; T'!B:B, "")</f>
        <v>837.05</v>
      </c>
    </row>
    <row r="64" spans="1:8" x14ac:dyDescent="0.3">
      <c r="A64" s="1">
        <v>43920</v>
      </c>
      <c r="B64" s="4">
        <f>_xlfn.XLOOKUP($A64, 'Nifty 50'!A:A, 'Nifty 50'!B:B, "")</f>
        <v>8281.1</v>
      </c>
      <c r="C64" s="4">
        <f>_xlfn.XLOOKUP($A64, Reliance!A:A, Reliance!B:B, "")</f>
        <v>463.36</v>
      </c>
      <c r="D64" s="4">
        <f>_xlfn.XLOOKUP($A64, HDFC!A:A, HDFC!B:B, "")</f>
        <v>414.79</v>
      </c>
      <c r="E64" s="4">
        <f>_xlfn.XLOOKUP($A64, ITC!A:A, ITC!B:B, "")</f>
        <v>159.19999999999999</v>
      </c>
      <c r="F64" s="4">
        <f>_xlfn.XLOOKUP($A64, TCS!A:A, TCS!B:B, "")</f>
        <v>1778.5</v>
      </c>
      <c r="G64" s="4">
        <f>_xlfn.XLOOKUP($A64, Infosys!A:A, Infosys!B:B,"")</f>
        <v>626.70000000000005</v>
      </c>
      <c r="H64" s="4">
        <f>_xlfn.XLOOKUP($A64, 'L &amp; T'!A:A, 'L &amp; T'!B:B, "")</f>
        <v>798.65</v>
      </c>
    </row>
    <row r="65" spans="1:8" x14ac:dyDescent="0.3">
      <c r="A65" s="1">
        <v>43921</v>
      </c>
      <c r="B65" s="4">
        <f>_xlfn.XLOOKUP($A65, 'Nifty 50'!A:A, 'Nifty 50'!B:B, "")</f>
        <v>8597.75</v>
      </c>
      <c r="C65" s="4">
        <f>_xlfn.XLOOKUP($A65, Reliance!A:A, Reliance!B:B, "")</f>
        <v>500.82</v>
      </c>
      <c r="D65" s="4">
        <f>_xlfn.XLOOKUP($A65, HDFC!A:A, HDFC!B:B, "")</f>
        <v>429.88</v>
      </c>
      <c r="E65" s="4">
        <f>_xlfn.XLOOKUP($A65, ITC!A:A, ITC!B:B, "")</f>
        <v>171.7</v>
      </c>
      <c r="F65" s="4">
        <f>_xlfn.XLOOKUP($A65, TCS!A:A, TCS!B:B, "")</f>
        <v>1826.1</v>
      </c>
      <c r="G65" s="4">
        <f>_xlfn.XLOOKUP($A65, Infosys!A:A, Infosys!B:B,"")</f>
        <v>641.5</v>
      </c>
      <c r="H65" s="4">
        <f>_xlfn.XLOOKUP($A65, 'L &amp; T'!A:A, 'L &amp; T'!B:B, "")</f>
        <v>808.5</v>
      </c>
    </row>
    <row r="66" spans="1:8" x14ac:dyDescent="0.3">
      <c r="A66" s="1">
        <v>43922</v>
      </c>
      <c r="B66" s="4">
        <f>_xlfn.XLOOKUP($A66, 'Nifty 50'!A:A, 'Nifty 50'!B:B, "")</f>
        <v>8253.7999999999993</v>
      </c>
      <c r="C66" s="4">
        <f>_xlfn.XLOOKUP($A66, Reliance!A:A, Reliance!B:B, "")</f>
        <v>485.84</v>
      </c>
      <c r="D66" s="4">
        <f>_xlfn.XLOOKUP($A66, HDFC!A:A, HDFC!B:B, "")</f>
        <v>413.8</v>
      </c>
      <c r="E66" s="4">
        <f>_xlfn.XLOOKUP($A66, ITC!A:A, ITC!B:B, "")</f>
        <v>166.4</v>
      </c>
      <c r="F66" s="4">
        <f>_xlfn.XLOOKUP($A66, TCS!A:A, TCS!B:B, "")</f>
        <v>1708.75</v>
      </c>
      <c r="G66" s="4">
        <f>_xlfn.XLOOKUP($A66, Infosys!A:A, Infosys!B:B,"")</f>
        <v>602.79999999999995</v>
      </c>
      <c r="H66" s="4">
        <f>_xlfn.XLOOKUP($A66, 'L &amp; T'!A:A, 'L &amp; T'!B:B, "")</f>
        <v>774.35</v>
      </c>
    </row>
    <row r="67" spans="1:8" x14ac:dyDescent="0.3">
      <c r="A67" s="1">
        <v>43924</v>
      </c>
      <c r="B67" s="4">
        <f>_xlfn.XLOOKUP($A67, 'Nifty 50'!A:A, 'Nifty 50'!B:B, "")</f>
        <v>8083.8</v>
      </c>
      <c r="C67" s="4">
        <f>_xlfn.XLOOKUP($A67, Reliance!A:A, Reliance!B:B, "")</f>
        <v>484.49</v>
      </c>
      <c r="D67" s="4">
        <f>_xlfn.XLOOKUP($A67, HDFC!A:A, HDFC!B:B, "")</f>
        <v>405.92</v>
      </c>
      <c r="E67" s="4">
        <f>_xlfn.XLOOKUP($A67, ITC!A:A, ITC!B:B, "")</f>
        <v>177.9</v>
      </c>
      <c r="F67" s="4">
        <f>_xlfn.XLOOKUP($A67, TCS!A:A, TCS!B:B, "")</f>
        <v>1654.2</v>
      </c>
      <c r="G67" s="4">
        <f>_xlfn.XLOOKUP($A67, Infosys!A:A, Infosys!B:B,"")</f>
        <v>585.70000000000005</v>
      </c>
      <c r="H67" s="4">
        <f>_xlfn.XLOOKUP($A67, 'L &amp; T'!A:A, 'L &amp; T'!B:B, "")</f>
        <v>774.65</v>
      </c>
    </row>
    <row r="68" spans="1:8" x14ac:dyDescent="0.3">
      <c r="A68" s="1">
        <v>43928</v>
      </c>
      <c r="B68" s="4">
        <f>_xlfn.XLOOKUP($A68, 'Nifty 50'!A:A, 'Nifty 50'!B:B, "")</f>
        <v>8792.2000000000007</v>
      </c>
      <c r="C68" s="4">
        <f>_xlfn.XLOOKUP($A68, Reliance!A:A, Reliance!B:B, "")</f>
        <v>542.34</v>
      </c>
      <c r="D68" s="4">
        <f>_xlfn.XLOOKUP($A68, HDFC!A:A, HDFC!B:B, "")</f>
        <v>446.94</v>
      </c>
      <c r="E68" s="4">
        <f>_xlfn.XLOOKUP($A68, ITC!A:A, ITC!B:B, "")</f>
        <v>181.55</v>
      </c>
      <c r="F68" s="4">
        <f>_xlfn.XLOOKUP($A68, TCS!A:A, TCS!B:B, "")</f>
        <v>1775.2</v>
      </c>
      <c r="G68" s="4">
        <f>_xlfn.XLOOKUP($A68, Infosys!A:A, Infosys!B:B,"")</f>
        <v>639</v>
      </c>
      <c r="H68" s="4">
        <f>_xlfn.XLOOKUP($A68, 'L &amp; T'!A:A, 'L &amp; T'!B:B, "")</f>
        <v>801.65</v>
      </c>
    </row>
    <row r="69" spans="1:8" x14ac:dyDescent="0.3">
      <c r="A69" s="1">
        <v>43929</v>
      </c>
      <c r="B69" s="4">
        <f>_xlfn.XLOOKUP($A69, 'Nifty 50'!A:A, 'Nifty 50'!B:B, "")</f>
        <v>8748.75</v>
      </c>
      <c r="C69" s="4">
        <f>_xlfn.XLOOKUP($A69, Reliance!A:A, Reliance!B:B, "")</f>
        <v>536.07000000000005</v>
      </c>
      <c r="D69" s="4">
        <f>_xlfn.XLOOKUP($A69, HDFC!A:A, HDFC!B:B, "")</f>
        <v>443.35</v>
      </c>
      <c r="E69" s="4">
        <f>_xlfn.XLOOKUP($A69, ITC!A:A, ITC!B:B, "")</f>
        <v>178.65</v>
      </c>
      <c r="F69" s="4">
        <f>_xlfn.XLOOKUP($A69, TCS!A:A, TCS!B:B, "")</f>
        <v>1705.45</v>
      </c>
      <c r="G69" s="4">
        <f>_xlfn.XLOOKUP($A69, Infosys!A:A, Infosys!B:B,"")</f>
        <v>631.6</v>
      </c>
      <c r="H69" s="4">
        <f>_xlfn.XLOOKUP($A69, 'L &amp; T'!A:A, 'L &amp; T'!B:B, "")</f>
        <v>807.1</v>
      </c>
    </row>
    <row r="70" spans="1:8" x14ac:dyDescent="0.3">
      <c r="A70" s="1">
        <v>43930</v>
      </c>
      <c r="B70" s="4">
        <f>_xlfn.XLOOKUP($A70, 'Nifty 50'!A:A, 'Nifty 50'!B:B, "")</f>
        <v>9111.9</v>
      </c>
      <c r="C70" s="4">
        <f>_xlfn.XLOOKUP($A70, Reliance!A:A, Reliance!B:B, "")</f>
        <v>548.57000000000005</v>
      </c>
      <c r="D70" s="4">
        <f>_xlfn.XLOOKUP($A70, HDFC!A:A, HDFC!B:B, "")</f>
        <v>461.38</v>
      </c>
      <c r="E70" s="4">
        <f>_xlfn.XLOOKUP($A70, ITC!A:A, ITC!B:B, "")</f>
        <v>185.25</v>
      </c>
      <c r="F70" s="4">
        <f>_xlfn.XLOOKUP($A70, TCS!A:A, TCS!B:B, "")</f>
        <v>1766.15</v>
      </c>
      <c r="G70" s="4">
        <f>_xlfn.XLOOKUP($A70, Infosys!A:A, Infosys!B:B,"")</f>
        <v>636.25</v>
      </c>
      <c r="H70" s="4">
        <f>_xlfn.XLOOKUP($A70, 'L &amp; T'!A:A, 'L &amp; T'!B:B, "")</f>
        <v>812.8</v>
      </c>
    </row>
    <row r="71" spans="1:8" x14ac:dyDescent="0.3">
      <c r="A71" s="1">
        <v>43934</v>
      </c>
      <c r="B71" s="4">
        <f>_xlfn.XLOOKUP($A71, 'Nifty 50'!A:A, 'Nifty 50'!B:B, "")</f>
        <v>8993.85</v>
      </c>
      <c r="C71" s="4">
        <f>_xlfn.XLOOKUP($A71, Reliance!A:A, Reliance!B:B, "")</f>
        <v>534.72</v>
      </c>
      <c r="D71" s="4">
        <f>_xlfn.XLOOKUP($A71, HDFC!A:A, HDFC!B:B, "")</f>
        <v>446.56</v>
      </c>
      <c r="E71" s="4">
        <f>_xlfn.XLOOKUP($A71, ITC!A:A, ITC!B:B, "")</f>
        <v>181.6</v>
      </c>
      <c r="F71" s="4">
        <f>_xlfn.XLOOKUP($A71, TCS!A:A, TCS!B:B, "")</f>
        <v>1759.25</v>
      </c>
      <c r="G71" s="4">
        <f>_xlfn.XLOOKUP($A71, Infosys!A:A, Infosys!B:B,"")</f>
        <v>637.4</v>
      </c>
      <c r="H71" s="4">
        <f>_xlfn.XLOOKUP($A71, 'L &amp; T'!A:A, 'L &amp; T'!B:B, "")</f>
        <v>865.45</v>
      </c>
    </row>
    <row r="72" spans="1:8" x14ac:dyDescent="0.3">
      <c r="A72" s="1">
        <v>43936</v>
      </c>
      <c r="B72" s="4">
        <f>_xlfn.XLOOKUP($A72, 'Nifty 50'!A:A, 'Nifty 50'!B:B, "")</f>
        <v>8925.2999999999993</v>
      </c>
      <c r="C72" s="4">
        <f>_xlfn.XLOOKUP($A72, Reliance!A:A, Reliance!B:B, "")</f>
        <v>517.04999999999995</v>
      </c>
      <c r="D72" s="4">
        <f>_xlfn.XLOOKUP($A72, HDFC!A:A, HDFC!B:B, "")</f>
        <v>430.58</v>
      </c>
      <c r="E72" s="4">
        <f>_xlfn.XLOOKUP($A72, ITC!A:A, ITC!B:B, "")</f>
        <v>189.35</v>
      </c>
      <c r="F72" s="4">
        <f>_xlfn.XLOOKUP($A72, TCS!A:A, TCS!B:B, "")</f>
        <v>1735.15</v>
      </c>
      <c r="G72" s="4">
        <f>_xlfn.XLOOKUP($A72, Infosys!A:A, Infosys!B:B,"")</f>
        <v>639.04999999999995</v>
      </c>
      <c r="H72" s="4">
        <f>_xlfn.XLOOKUP($A72, 'L &amp; T'!A:A, 'L &amp; T'!B:B, "")</f>
        <v>880.15</v>
      </c>
    </row>
    <row r="73" spans="1:8" x14ac:dyDescent="0.3">
      <c r="A73" s="1">
        <v>43937</v>
      </c>
      <c r="B73" s="4">
        <f>_xlfn.XLOOKUP($A73, 'Nifty 50'!A:A, 'Nifty 50'!B:B, "")</f>
        <v>8992.7999999999993</v>
      </c>
      <c r="C73" s="4">
        <f>_xlfn.XLOOKUP($A73, Reliance!A:A, Reliance!B:B, "")</f>
        <v>525.23</v>
      </c>
      <c r="D73" s="4">
        <f>_xlfn.XLOOKUP($A73, HDFC!A:A, HDFC!B:B, "")</f>
        <v>438.78</v>
      </c>
      <c r="E73" s="4">
        <f>_xlfn.XLOOKUP($A73, ITC!A:A, ITC!B:B, "")</f>
        <v>186.35</v>
      </c>
      <c r="F73" s="4">
        <f>_xlfn.XLOOKUP($A73, TCS!A:A, TCS!B:B, "")</f>
        <v>1716.05</v>
      </c>
      <c r="G73" s="4">
        <f>_xlfn.XLOOKUP($A73, Infosys!A:A, Infosys!B:B,"")</f>
        <v>623.85</v>
      </c>
      <c r="H73" s="4">
        <f>_xlfn.XLOOKUP($A73, 'L &amp; T'!A:A, 'L &amp; T'!B:B, "")</f>
        <v>911.65</v>
      </c>
    </row>
    <row r="74" spans="1:8" x14ac:dyDescent="0.3">
      <c r="A74" s="1">
        <v>43938</v>
      </c>
      <c r="B74" s="4">
        <f>_xlfn.XLOOKUP($A74, 'Nifty 50'!A:A, 'Nifty 50'!B:B, "")</f>
        <v>9266.75</v>
      </c>
      <c r="C74" s="4">
        <f>_xlfn.XLOOKUP($A74, Reliance!A:A, Reliance!B:B, "")</f>
        <v>550.39</v>
      </c>
      <c r="D74" s="4">
        <f>_xlfn.XLOOKUP($A74, HDFC!A:A, HDFC!B:B, "")</f>
        <v>454.02</v>
      </c>
      <c r="E74" s="4">
        <f>_xlfn.XLOOKUP($A74, ITC!A:A, ITC!B:B, "")</f>
        <v>188.1</v>
      </c>
      <c r="F74" s="4">
        <f>_xlfn.XLOOKUP($A74, TCS!A:A, TCS!B:B, "")</f>
        <v>1806.2</v>
      </c>
      <c r="G74" s="4">
        <f>_xlfn.XLOOKUP($A74, Infosys!A:A, Infosys!B:B,"")</f>
        <v>628.75</v>
      </c>
      <c r="H74" s="4">
        <f>_xlfn.XLOOKUP($A74, 'L &amp; T'!A:A, 'L &amp; T'!B:B, "")</f>
        <v>932.9</v>
      </c>
    </row>
    <row r="75" spans="1:8" x14ac:dyDescent="0.3">
      <c r="A75" s="1">
        <v>43941</v>
      </c>
      <c r="B75" s="4">
        <f>_xlfn.XLOOKUP($A75, 'Nifty 50'!A:A, 'Nifty 50'!B:B, "")</f>
        <v>9261.85</v>
      </c>
      <c r="C75" s="4">
        <f>_xlfn.XLOOKUP($A75, Reliance!A:A, Reliance!B:B, "")</f>
        <v>559.29999999999995</v>
      </c>
      <c r="D75" s="4">
        <f>_xlfn.XLOOKUP($A75, HDFC!A:A, HDFC!B:B, "")</f>
        <v>471.25</v>
      </c>
      <c r="E75" s="4">
        <f>_xlfn.XLOOKUP($A75, ITC!A:A, ITC!B:B, "")</f>
        <v>180.7</v>
      </c>
      <c r="F75" s="4">
        <f>_xlfn.XLOOKUP($A75, TCS!A:A, TCS!B:B, "")</f>
        <v>1818.65</v>
      </c>
      <c r="G75" s="4">
        <f>_xlfn.XLOOKUP($A75, Infosys!A:A, Infosys!B:B,"")</f>
        <v>653.29999999999995</v>
      </c>
      <c r="H75" s="4">
        <f>_xlfn.XLOOKUP($A75, 'L &amp; T'!A:A, 'L &amp; T'!B:B, "")</f>
        <v>915.6</v>
      </c>
    </row>
    <row r="76" spans="1:8" x14ac:dyDescent="0.3">
      <c r="A76" s="1">
        <v>43942</v>
      </c>
      <c r="B76" s="4">
        <f>_xlfn.XLOOKUP($A76, 'Nifty 50'!A:A, 'Nifty 50'!B:B, "")</f>
        <v>8981.4500000000007</v>
      </c>
      <c r="C76" s="4">
        <f>_xlfn.XLOOKUP($A76, Reliance!A:A, Reliance!B:B, "")</f>
        <v>556.4</v>
      </c>
      <c r="D76" s="4">
        <f>_xlfn.XLOOKUP($A76, HDFC!A:A, HDFC!B:B, "")</f>
        <v>459.68</v>
      </c>
      <c r="E76" s="4">
        <f>_xlfn.XLOOKUP($A76, ITC!A:A, ITC!B:B, "")</f>
        <v>179.6</v>
      </c>
      <c r="F76" s="4">
        <f>_xlfn.XLOOKUP($A76, TCS!A:A, TCS!B:B, "")</f>
        <v>1737.65</v>
      </c>
      <c r="G76" s="4">
        <f>_xlfn.XLOOKUP($A76, Infosys!A:A, Infosys!B:B,"")</f>
        <v>633.20000000000005</v>
      </c>
      <c r="H76" s="4">
        <f>_xlfn.XLOOKUP($A76, 'L &amp; T'!A:A, 'L &amp; T'!B:B, "")</f>
        <v>870.35</v>
      </c>
    </row>
    <row r="77" spans="1:8" x14ac:dyDescent="0.3">
      <c r="A77" s="1">
        <v>43943</v>
      </c>
      <c r="B77" s="4">
        <f>_xlfn.XLOOKUP($A77, 'Nifty 50'!A:A, 'Nifty 50'!B:B, "")</f>
        <v>9187.2999999999993</v>
      </c>
      <c r="C77" s="4">
        <f>_xlfn.XLOOKUP($A77, Reliance!A:A, Reliance!B:B, "")</f>
        <v>613.16999999999996</v>
      </c>
      <c r="D77" s="4">
        <f>_xlfn.XLOOKUP($A77, HDFC!A:A, HDFC!B:B, "")</f>
        <v>463.15</v>
      </c>
      <c r="E77" s="4">
        <f>_xlfn.XLOOKUP($A77, ITC!A:A, ITC!B:B, "")</f>
        <v>182.25</v>
      </c>
      <c r="F77" s="4">
        <f>_xlfn.XLOOKUP($A77, TCS!A:A, TCS!B:B, "")</f>
        <v>1769.5</v>
      </c>
      <c r="G77" s="4">
        <f>_xlfn.XLOOKUP($A77, Infosys!A:A, Infosys!B:B,"")</f>
        <v>641.85</v>
      </c>
      <c r="H77" s="4">
        <f>_xlfn.XLOOKUP($A77, 'L &amp; T'!A:A, 'L &amp; T'!B:B, "")</f>
        <v>852.6</v>
      </c>
    </row>
    <row r="78" spans="1:8" x14ac:dyDescent="0.3">
      <c r="A78" s="1">
        <v>43944</v>
      </c>
      <c r="B78" s="4">
        <f>_xlfn.XLOOKUP($A78, 'Nifty 50'!A:A, 'Nifty 50'!B:B, "")</f>
        <v>9313.9</v>
      </c>
      <c r="C78" s="4">
        <f>_xlfn.XLOOKUP($A78, Reliance!A:A, Reliance!B:B, "")</f>
        <v>616.45000000000005</v>
      </c>
      <c r="D78" s="4">
        <f>_xlfn.XLOOKUP($A78, HDFC!A:A, HDFC!B:B, "")</f>
        <v>476.29</v>
      </c>
      <c r="E78" s="4">
        <f>_xlfn.XLOOKUP($A78, ITC!A:A, ITC!B:B, "")</f>
        <v>180.55</v>
      </c>
      <c r="F78" s="4">
        <f>_xlfn.XLOOKUP($A78, TCS!A:A, TCS!B:B, "")</f>
        <v>1878.25</v>
      </c>
      <c r="G78" s="4">
        <f>_xlfn.XLOOKUP($A78, Infosys!A:A, Infosys!B:B,"")</f>
        <v>679.3</v>
      </c>
      <c r="H78" s="4">
        <f>_xlfn.XLOOKUP($A78, 'L &amp; T'!A:A, 'L &amp; T'!B:B, "")</f>
        <v>840.6</v>
      </c>
    </row>
    <row r="79" spans="1:8" x14ac:dyDescent="0.3">
      <c r="A79" s="1">
        <v>43945</v>
      </c>
      <c r="B79" s="4">
        <f>_xlfn.XLOOKUP($A79, 'Nifty 50'!A:A, 'Nifty 50'!B:B, "")</f>
        <v>9154.4</v>
      </c>
      <c r="C79" s="4">
        <f>_xlfn.XLOOKUP($A79, Reliance!A:A, Reliance!B:B, "")</f>
        <v>637.17999999999995</v>
      </c>
      <c r="D79" s="4">
        <f>_xlfn.XLOOKUP($A79, HDFC!A:A, HDFC!B:B, "")</f>
        <v>467.86</v>
      </c>
      <c r="E79" s="4">
        <f>_xlfn.XLOOKUP($A79, ITC!A:A, ITC!B:B, "")</f>
        <v>180.05</v>
      </c>
      <c r="F79" s="4">
        <f>_xlfn.XLOOKUP($A79, TCS!A:A, TCS!B:B, "")</f>
        <v>1818.55</v>
      </c>
      <c r="G79" s="4">
        <f>_xlfn.XLOOKUP($A79, Infosys!A:A, Infosys!B:B,"")</f>
        <v>658</v>
      </c>
      <c r="H79" s="4">
        <f>_xlfn.XLOOKUP($A79, 'L &amp; T'!A:A, 'L &amp; T'!B:B, "")</f>
        <v>851.2</v>
      </c>
    </row>
    <row r="80" spans="1:8" x14ac:dyDescent="0.3">
      <c r="A80" s="1">
        <v>43948</v>
      </c>
      <c r="B80" s="4">
        <f>_xlfn.XLOOKUP($A80, 'Nifty 50'!A:A, 'Nifty 50'!B:B, "")</f>
        <v>9282.2999999999993</v>
      </c>
      <c r="C80" s="4">
        <f>_xlfn.XLOOKUP($A80, Reliance!A:A, Reliance!B:B, "")</f>
        <v>642.91</v>
      </c>
      <c r="D80" s="4">
        <f>_xlfn.XLOOKUP($A80, HDFC!A:A, HDFC!B:B, "")</f>
        <v>463.7</v>
      </c>
      <c r="E80" s="4">
        <f>_xlfn.XLOOKUP($A80, ITC!A:A, ITC!B:B, "")</f>
        <v>179.85</v>
      </c>
      <c r="F80" s="4">
        <f>_xlfn.XLOOKUP($A80, TCS!A:A, TCS!B:B, "")</f>
        <v>1836.6</v>
      </c>
      <c r="G80" s="4">
        <f>_xlfn.XLOOKUP($A80, Infosys!A:A, Infosys!B:B,"")</f>
        <v>664.6</v>
      </c>
      <c r="H80" s="4">
        <f>_xlfn.XLOOKUP($A80, 'L &amp; T'!A:A, 'L &amp; T'!B:B, "")</f>
        <v>855.25</v>
      </c>
    </row>
    <row r="81" spans="1:8" x14ac:dyDescent="0.3">
      <c r="A81" s="1">
        <v>43949</v>
      </c>
      <c r="B81" s="4">
        <f>_xlfn.XLOOKUP($A81, 'Nifty 50'!A:A, 'Nifty 50'!B:B, "")</f>
        <v>9380.9</v>
      </c>
      <c r="C81" s="4">
        <f>_xlfn.XLOOKUP($A81, Reliance!A:A, Reliance!B:B, "")</f>
        <v>642.19000000000005</v>
      </c>
      <c r="D81" s="4">
        <f>_xlfn.XLOOKUP($A81, HDFC!A:A, HDFC!B:B, "")</f>
        <v>464.54</v>
      </c>
      <c r="E81" s="4">
        <f>_xlfn.XLOOKUP($A81, ITC!A:A, ITC!B:B, "")</f>
        <v>179.45</v>
      </c>
      <c r="F81" s="4">
        <f>_xlfn.XLOOKUP($A81, TCS!A:A, TCS!B:B, "")</f>
        <v>1859.05</v>
      </c>
      <c r="G81" s="4">
        <f>_xlfn.XLOOKUP($A81, Infosys!A:A, Infosys!B:B,"")</f>
        <v>660.7</v>
      </c>
      <c r="H81" s="4">
        <f>_xlfn.XLOOKUP($A81, 'L &amp; T'!A:A, 'L &amp; T'!B:B, "")</f>
        <v>857.15</v>
      </c>
    </row>
    <row r="82" spans="1:8" x14ac:dyDescent="0.3">
      <c r="A82" s="1">
        <v>43950</v>
      </c>
      <c r="B82" s="4">
        <f>_xlfn.XLOOKUP($A82, 'Nifty 50'!A:A, 'Nifty 50'!B:B, "")</f>
        <v>9553.35</v>
      </c>
      <c r="C82" s="4">
        <f>_xlfn.XLOOKUP($A82, Reliance!A:A, Reliance!B:B, "")</f>
        <v>641.65</v>
      </c>
      <c r="D82" s="4">
        <f>_xlfn.XLOOKUP($A82, HDFC!A:A, HDFC!B:B, "")</f>
        <v>487.34</v>
      </c>
      <c r="E82" s="4">
        <f>_xlfn.XLOOKUP($A82, ITC!A:A, ITC!B:B, "")</f>
        <v>182.15</v>
      </c>
      <c r="F82" s="4">
        <f>_xlfn.XLOOKUP($A82, TCS!A:A, TCS!B:B, "")</f>
        <v>1905.65</v>
      </c>
      <c r="G82" s="4">
        <f>_xlfn.XLOOKUP($A82, Infosys!A:A, Infosys!B:B,"")</f>
        <v>676.55</v>
      </c>
      <c r="H82" s="4">
        <f>_xlfn.XLOOKUP($A82, 'L &amp; T'!A:A, 'L &amp; T'!B:B, "")</f>
        <v>875.35</v>
      </c>
    </row>
    <row r="83" spans="1:8" x14ac:dyDescent="0.3">
      <c r="A83" s="1">
        <v>43951</v>
      </c>
      <c r="B83" s="4">
        <f>_xlfn.XLOOKUP($A83, 'Nifty 50'!A:A, 'Nifty 50'!B:B, "")</f>
        <v>9859.9</v>
      </c>
      <c r="C83" s="4">
        <f>_xlfn.XLOOKUP($A83, Reliance!A:A, Reliance!B:B, "")</f>
        <v>659.21</v>
      </c>
      <c r="D83" s="4">
        <f>_xlfn.XLOOKUP($A83, HDFC!A:A, HDFC!B:B, "")</f>
        <v>499.66</v>
      </c>
      <c r="E83" s="4">
        <f>_xlfn.XLOOKUP($A83, ITC!A:A, ITC!B:B, "")</f>
        <v>182.05</v>
      </c>
      <c r="F83" s="4">
        <f>_xlfn.XLOOKUP($A83, TCS!A:A, TCS!B:B, "")</f>
        <v>2014.45</v>
      </c>
      <c r="G83" s="4">
        <f>_xlfn.XLOOKUP($A83, Infosys!A:A, Infosys!B:B,"")</f>
        <v>715.5</v>
      </c>
      <c r="H83" s="4">
        <f>_xlfn.XLOOKUP($A83, 'L &amp; T'!A:A, 'L &amp; T'!B:B, "")</f>
        <v>897.55</v>
      </c>
    </row>
    <row r="84" spans="1:8" x14ac:dyDescent="0.3">
      <c r="A84" s="1">
        <v>43955</v>
      </c>
      <c r="B84" s="4">
        <f>_xlfn.XLOOKUP($A84, 'Nifty 50'!A:A, 'Nifty 50'!B:B, "")</f>
        <v>9293.5</v>
      </c>
      <c r="C84" s="4">
        <f>_xlfn.XLOOKUP($A84, Reliance!A:A, Reliance!B:B, "")</f>
        <v>645.36</v>
      </c>
      <c r="D84" s="4">
        <f>_xlfn.XLOOKUP($A84, HDFC!A:A, HDFC!B:B, "")</f>
        <v>460.35</v>
      </c>
      <c r="E84" s="4">
        <f>_xlfn.XLOOKUP($A84, ITC!A:A, ITC!B:B, "")</f>
        <v>174.05</v>
      </c>
      <c r="F84" s="4">
        <f>_xlfn.XLOOKUP($A84, TCS!A:A, TCS!B:B, "")</f>
        <v>1930.45</v>
      </c>
      <c r="G84" s="4">
        <f>_xlfn.XLOOKUP($A84, Infosys!A:A, Infosys!B:B,"")</f>
        <v>673.7</v>
      </c>
      <c r="H84" s="4">
        <f>_xlfn.XLOOKUP($A84, 'L &amp; T'!A:A, 'L &amp; T'!B:B, "")</f>
        <v>850.65</v>
      </c>
    </row>
    <row r="85" spans="1:8" x14ac:dyDescent="0.3">
      <c r="A85" s="1">
        <v>43956</v>
      </c>
      <c r="B85" s="4">
        <f>_xlfn.XLOOKUP($A85, 'Nifty 50'!A:A, 'Nifty 50'!B:B, "")</f>
        <v>9205.6</v>
      </c>
      <c r="C85" s="4">
        <f>_xlfn.XLOOKUP($A85, Reliance!A:A, Reliance!B:B, "")</f>
        <v>656.81</v>
      </c>
      <c r="D85" s="4">
        <f>_xlfn.XLOOKUP($A85, HDFC!A:A, HDFC!B:B, "")</f>
        <v>454.59</v>
      </c>
      <c r="E85" s="4">
        <f>_xlfn.XLOOKUP($A85, ITC!A:A, ITC!B:B, "")</f>
        <v>173.9</v>
      </c>
      <c r="F85" s="4">
        <f>_xlfn.XLOOKUP($A85, TCS!A:A, TCS!B:B, "")</f>
        <v>1932.75</v>
      </c>
      <c r="G85" s="4">
        <f>_xlfn.XLOOKUP($A85, Infosys!A:A, Infosys!B:B,"")</f>
        <v>673.7</v>
      </c>
      <c r="H85" s="4">
        <f>_xlfn.XLOOKUP($A85, 'L &amp; T'!A:A, 'L &amp; T'!B:B, "")</f>
        <v>836.9</v>
      </c>
    </row>
    <row r="86" spans="1:8" x14ac:dyDescent="0.3">
      <c r="A86" s="1">
        <v>43957</v>
      </c>
      <c r="B86" s="4">
        <f>_xlfn.XLOOKUP($A86, 'Nifty 50'!A:A, 'Nifty 50'!B:B, "")</f>
        <v>9270.9</v>
      </c>
      <c r="C86" s="4">
        <f>_xlfn.XLOOKUP($A86, Reliance!A:A, Reliance!B:B, "")</f>
        <v>656.85</v>
      </c>
      <c r="D86" s="4">
        <f>_xlfn.XLOOKUP($A86, HDFC!A:A, HDFC!B:B, "")</f>
        <v>472.03</v>
      </c>
      <c r="E86" s="4">
        <f>_xlfn.XLOOKUP($A86, ITC!A:A, ITC!B:B, "")</f>
        <v>163.9</v>
      </c>
      <c r="F86" s="4">
        <f>_xlfn.XLOOKUP($A86, TCS!A:A, TCS!B:B, "")</f>
        <v>1903.6</v>
      </c>
      <c r="G86" s="4">
        <f>_xlfn.XLOOKUP($A86, Infosys!A:A, Infosys!B:B,"")</f>
        <v>665.9</v>
      </c>
      <c r="H86" s="4">
        <f>_xlfn.XLOOKUP($A86, 'L &amp; T'!A:A, 'L &amp; T'!B:B, "")</f>
        <v>837.3</v>
      </c>
    </row>
    <row r="87" spans="1:8" x14ac:dyDescent="0.3">
      <c r="A87" s="1">
        <v>43958</v>
      </c>
      <c r="B87" s="4">
        <f>_xlfn.XLOOKUP($A87, 'Nifty 50'!A:A, 'Nifty 50'!B:B, "")</f>
        <v>9199.0499999999993</v>
      </c>
      <c r="C87" s="4">
        <f>_xlfn.XLOOKUP($A87, Reliance!A:A, Reliance!B:B, "")</f>
        <v>677.63</v>
      </c>
      <c r="D87" s="4">
        <f>_xlfn.XLOOKUP($A87, HDFC!A:A, HDFC!B:B, "")</f>
        <v>461.35</v>
      </c>
      <c r="E87" s="4">
        <f>_xlfn.XLOOKUP($A87, ITC!A:A, ITC!B:B, "")</f>
        <v>161</v>
      </c>
      <c r="F87" s="4">
        <f>_xlfn.XLOOKUP($A87, TCS!A:A, TCS!B:B, "")</f>
        <v>1891.65</v>
      </c>
      <c r="G87" s="4">
        <f>_xlfn.XLOOKUP($A87, Infosys!A:A, Infosys!B:B,"")</f>
        <v>664.95</v>
      </c>
      <c r="H87" s="4">
        <f>_xlfn.XLOOKUP($A87, 'L &amp; T'!A:A, 'L &amp; T'!B:B, "")</f>
        <v>822.85</v>
      </c>
    </row>
    <row r="88" spans="1:8" x14ac:dyDescent="0.3">
      <c r="A88" s="1">
        <v>43959</v>
      </c>
      <c r="B88" s="4">
        <f>_xlfn.XLOOKUP($A88, 'Nifty 50'!A:A, 'Nifty 50'!B:B, "")</f>
        <v>9251.5</v>
      </c>
      <c r="C88" s="4">
        <f>_xlfn.XLOOKUP($A88, Reliance!A:A, Reliance!B:B, "")</f>
        <v>702.29</v>
      </c>
      <c r="D88" s="4">
        <f>_xlfn.XLOOKUP($A88, HDFC!A:A, HDFC!B:B, "")</f>
        <v>463.37</v>
      </c>
      <c r="E88" s="4">
        <f>_xlfn.XLOOKUP($A88, ITC!A:A, ITC!B:B, "")</f>
        <v>158.25</v>
      </c>
      <c r="F88" s="4">
        <f>_xlfn.XLOOKUP($A88, TCS!A:A, TCS!B:B, "")</f>
        <v>1893.4</v>
      </c>
      <c r="G88" s="4">
        <f>_xlfn.XLOOKUP($A88, Infosys!A:A, Infosys!B:B,"")</f>
        <v>674.2</v>
      </c>
      <c r="H88" s="4">
        <f>_xlfn.XLOOKUP($A88, 'L &amp; T'!A:A, 'L &amp; T'!B:B, "")</f>
        <v>815.95</v>
      </c>
    </row>
    <row r="89" spans="1:8" x14ac:dyDescent="0.3">
      <c r="A89" s="1">
        <v>43962</v>
      </c>
      <c r="B89" s="4">
        <f>_xlfn.XLOOKUP($A89, 'Nifty 50'!A:A, 'Nifty 50'!B:B, "")</f>
        <v>9239.2000000000007</v>
      </c>
      <c r="C89" s="4">
        <f>_xlfn.XLOOKUP($A89, Reliance!A:A, Reliance!B:B, "")</f>
        <v>709.04</v>
      </c>
      <c r="D89" s="4">
        <f>_xlfn.XLOOKUP($A89, HDFC!A:A, HDFC!B:B, "")</f>
        <v>456.76</v>
      </c>
      <c r="E89" s="4">
        <f>_xlfn.XLOOKUP($A89, ITC!A:A, ITC!B:B, "")</f>
        <v>158.44999999999999</v>
      </c>
      <c r="F89" s="4">
        <f>_xlfn.XLOOKUP($A89, TCS!A:A, TCS!B:B, "")</f>
        <v>1935.3</v>
      </c>
      <c r="G89" s="4">
        <f>_xlfn.XLOOKUP($A89, Infosys!A:A, Infosys!B:B,"")</f>
        <v>682.9</v>
      </c>
      <c r="H89" s="4">
        <f>_xlfn.XLOOKUP($A89, 'L &amp; T'!A:A, 'L &amp; T'!B:B, "")</f>
        <v>821.6</v>
      </c>
    </row>
    <row r="90" spans="1:8" x14ac:dyDescent="0.3">
      <c r="A90" s="1">
        <v>43963</v>
      </c>
      <c r="B90" s="4">
        <f>_xlfn.XLOOKUP($A90, 'Nifty 50'!A:A, 'Nifty 50'!B:B, "")</f>
        <v>9196.5499999999993</v>
      </c>
      <c r="C90" s="4">
        <f>_xlfn.XLOOKUP($A90, Reliance!A:A, Reliance!B:B, "")</f>
        <v>665.17</v>
      </c>
      <c r="D90" s="4">
        <f>_xlfn.XLOOKUP($A90, HDFC!A:A, HDFC!B:B, "")</f>
        <v>449.66</v>
      </c>
      <c r="E90" s="4">
        <f>_xlfn.XLOOKUP($A90, ITC!A:A, ITC!B:B, "")</f>
        <v>165.05</v>
      </c>
      <c r="F90" s="4">
        <f>_xlfn.XLOOKUP($A90, TCS!A:A, TCS!B:B, "")</f>
        <v>1949.5</v>
      </c>
      <c r="G90" s="4">
        <f>_xlfn.XLOOKUP($A90, Infosys!A:A, Infosys!B:B,"")</f>
        <v>687.65</v>
      </c>
      <c r="H90" s="4">
        <f>_xlfn.XLOOKUP($A90, 'L &amp; T'!A:A, 'L &amp; T'!B:B, "")</f>
        <v>814.8</v>
      </c>
    </row>
    <row r="91" spans="1:8" x14ac:dyDescent="0.3">
      <c r="A91" s="1">
        <v>43964</v>
      </c>
      <c r="B91" s="4">
        <f>_xlfn.XLOOKUP($A91, 'Nifty 50'!A:A, 'Nifty 50'!B:B, "")</f>
        <v>9383.5499999999993</v>
      </c>
      <c r="C91" s="4">
        <f>_xlfn.XLOOKUP($A91, Reliance!A:A, Reliance!B:B, "")</f>
        <v>679.28</v>
      </c>
      <c r="D91" s="4">
        <f>_xlfn.XLOOKUP($A91, HDFC!A:A, HDFC!B:B, "")</f>
        <v>462.67</v>
      </c>
      <c r="E91" s="4">
        <f>_xlfn.XLOOKUP($A91, ITC!A:A, ITC!B:B, "")</f>
        <v>165.4</v>
      </c>
      <c r="F91" s="4">
        <f>_xlfn.XLOOKUP($A91, TCS!A:A, TCS!B:B, "")</f>
        <v>1949.65</v>
      </c>
      <c r="G91" s="4">
        <f>_xlfn.XLOOKUP($A91, Infosys!A:A, Infosys!B:B,"")</f>
        <v>694.15</v>
      </c>
      <c r="H91" s="4">
        <f>_xlfn.XLOOKUP($A91, 'L &amp; T'!A:A, 'L &amp; T'!B:B, "")</f>
        <v>862.9</v>
      </c>
    </row>
    <row r="92" spans="1:8" x14ac:dyDescent="0.3">
      <c r="A92" s="1">
        <v>43965</v>
      </c>
      <c r="B92" s="4">
        <f>_xlfn.XLOOKUP($A92, 'Nifty 50'!A:A, 'Nifty 50'!B:B, "")</f>
        <v>9142.75</v>
      </c>
      <c r="C92" s="4">
        <f>_xlfn.XLOOKUP($A92, Reliance!A:A, Reliance!B:B, "")</f>
        <v>651.82000000000005</v>
      </c>
      <c r="D92" s="4">
        <f>_xlfn.XLOOKUP($A92, HDFC!A:A, HDFC!B:B, "")</f>
        <v>445.74</v>
      </c>
      <c r="E92" s="4">
        <f>_xlfn.XLOOKUP($A92, ITC!A:A, ITC!B:B, "")</f>
        <v>163.80000000000001</v>
      </c>
      <c r="F92" s="4">
        <f>_xlfn.XLOOKUP($A92, TCS!A:A, TCS!B:B, "")</f>
        <v>1902.35</v>
      </c>
      <c r="G92" s="4">
        <f>_xlfn.XLOOKUP($A92, Infosys!A:A, Infosys!B:B,"")</f>
        <v>658.15</v>
      </c>
      <c r="H92" s="4">
        <f>_xlfn.XLOOKUP($A92, 'L &amp; T'!A:A, 'L &amp; T'!B:B, "")</f>
        <v>871.65</v>
      </c>
    </row>
    <row r="93" spans="1:8" x14ac:dyDescent="0.3">
      <c r="A93" s="1">
        <v>43966</v>
      </c>
      <c r="B93" s="4">
        <f>_xlfn.XLOOKUP($A93, 'Nifty 50'!A:A, 'Nifty 50'!B:B, "")</f>
        <v>9136.85</v>
      </c>
      <c r="C93" s="4">
        <f>_xlfn.XLOOKUP($A93, Reliance!A:A, Reliance!B:B, "")</f>
        <v>662.46</v>
      </c>
      <c r="D93" s="4">
        <f>_xlfn.XLOOKUP($A93, HDFC!A:A, HDFC!B:B, "")</f>
        <v>442.97</v>
      </c>
      <c r="E93" s="4">
        <f>_xlfn.XLOOKUP($A93, ITC!A:A, ITC!B:B, "")</f>
        <v>164.65</v>
      </c>
      <c r="F93" s="4">
        <f>_xlfn.XLOOKUP($A93, TCS!A:A, TCS!B:B, "")</f>
        <v>1892.9</v>
      </c>
      <c r="G93" s="4">
        <f>_xlfn.XLOOKUP($A93, Infosys!A:A, Infosys!B:B,"")</f>
        <v>652.29999999999995</v>
      </c>
      <c r="H93" s="4">
        <f>_xlfn.XLOOKUP($A93, 'L &amp; T'!A:A, 'L &amp; T'!B:B, "")</f>
        <v>864.4</v>
      </c>
    </row>
    <row r="94" spans="1:8" x14ac:dyDescent="0.3">
      <c r="A94" s="1">
        <v>43969</v>
      </c>
      <c r="B94" s="4">
        <f>_xlfn.XLOOKUP($A94, 'Nifty 50'!A:A, 'Nifty 50'!B:B, "")</f>
        <v>8823.25</v>
      </c>
      <c r="C94" s="4">
        <f>_xlfn.XLOOKUP($A94, Reliance!A:A, Reliance!B:B, "")</f>
        <v>654</v>
      </c>
      <c r="D94" s="4">
        <f>_xlfn.XLOOKUP($A94, HDFC!A:A, HDFC!B:B, "")</f>
        <v>417.29</v>
      </c>
      <c r="E94" s="4">
        <f>_xlfn.XLOOKUP($A94, ITC!A:A, ITC!B:B, "")</f>
        <v>164.75</v>
      </c>
      <c r="F94" s="4">
        <f>_xlfn.XLOOKUP($A94, TCS!A:A, TCS!B:B, "")</f>
        <v>1945.6</v>
      </c>
      <c r="G94" s="4">
        <f>_xlfn.XLOOKUP($A94, Infosys!A:A, Infosys!B:B,"")</f>
        <v>663.9</v>
      </c>
      <c r="H94" s="4">
        <f>_xlfn.XLOOKUP($A94, 'L &amp; T'!A:A, 'L &amp; T'!B:B, "")</f>
        <v>813.35</v>
      </c>
    </row>
    <row r="95" spans="1:8" x14ac:dyDescent="0.3">
      <c r="A95" s="1">
        <v>43970</v>
      </c>
      <c r="B95" s="4">
        <f>_xlfn.XLOOKUP($A95, 'Nifty 50'!A:A, 'Nifty 50'!B:B, "")</f>
        <v>8879.1</v>
      </c>
      <c r="C95" s="4">
        <f>_xlfn.XLOOKUP($A95, Reliance!A:A, Reliance!B:B, "")</f>
        <v>639.54</v>
      </c>
      <c r="D95" s="4">
        <f>_xlfn.XLOOKUP($A95, HDFC!A:A, HDFC!B:B, "")</f>
        <v>414.29</v>
      </c>
      <c r="E95" s="4">
        <f>_xlfn.XLOOKUP($A95, ITC!A:A, ITC!B:B, "")</f>
        <v>170.75</v>
      </c>
      <c r="F95" s="4">
        <f>_xlfn.XLOOKUP($A95, TCS!A:A, TCS!B:B, "")</f>
        <v>1948.65</v>
      </c>
      <c r="G95" s="4">
        <f>_xlfn.XLOOKUP($A95, Infosys!A:A, Infosys!B:B,"")</f>
        <v>668.6</v>
      </c>
      <c r="H95" s="4">
        <f>_xlfn.XLOOKUP($A95, 'L &amp; T'!A:A, 'L &amp; T'!B:B, "")</f>
        <v>796.35</v>
      </c>
    </row>
    <row r="96" spans="1:8" x14ac:dyDescent="0.3">
      <c r="A96" s="1">
        <v>43971</v>
      </c>
      <c r="B96" s="4">
        <f>_xlfn.XLOOKUP($A96, 'Nifty 50'!A:A, 'Nifty 50'!B:B, "")</f>
        <v>9066.5499999999993</v>
      </c>
      <c r="C96" s="4">
        <f>_xlfn.XLOOKUP($A96, Reliance!A:A, Reliance!B:B, "")</f>
        <v>650.79999999999995</v>
      </c>
      <c r="D96" s="4">
        <f>_xlfn.XLOOKUP($A96, HDFC!A:A, HDFC!B:B, "")</f>
        <v>427.49</v>
      </c>
      <c r="E96" s="4">
        <f>_xlfn.XLOOKUP($A96, ITC!A:A, ITC!B:B, "")</f>
        <v>175.75</v>
      </c>
      <c r="F96" s="4">
        <f>_xlfn.XLOOKUP($A96, TCS!A:A, TCS!B:B, "")</f>
        <v>1953.6</v>
      </c>
      <c r="G96" s="4">
        <f>_xlfn.XLOOKUP($A96, Infosys!A:A, Infosys!B:B,"")</f>
        <v>669.55</v>
      </c>
      <c r="H96" s="4">
        <f>_xlfn.XLOOKUP($A96, 'L &amp; T'!A:A, 'L &amp; T'!B:B, "")</f>
        <v>835</v>
      </c>
    </row>
    <row r="97" spans="1:8" x14ac:dyDescent="0.3">
      <c r="A97" s="1">
        <v>43972</v>
      </c>
      <c r="B97" s="4">
        <f>_xlfn.XLOOKUP($A97, 'Nifty 50'!A:A, 'Nifty 50'!B:B, "")</f>
        <v>9106.25</v>
      </c>
      <c r="C97" s="4">
        <f>_xlfn.XLOOKUP($A97, Reliance!A:A, Reliance!B:B, "")</f>
        <v>654.23</v>
      </c>
      <c r="D97" s="4">
        <f>_xlfn.XLOOKUP($A97, HDFC!A:A, HDFC!B:B, "")</f>
        <v>428.71</v>
      </c>
      <c r="E97" s="4">
        <f>_xlfn.XLOOKUP($A97, ITC!A:A, ITC!B:B, "")</f>
        <v>188.95</v>
      </c>
      <c r="F97" s="4">
        <f>_xlfn.XLOOKUP($A97, TCS!A:A, TCS!B:B, "")</f>
        <v>1991.2</v>
      </c>
      <c r="G97" s="4">
        <f>_xlfn.XLOOKUP($A97, Infosys!A:A, Infosys!B:B,"")</f>
        <v>672.2</v>
      </c>
      <c r="H97" s="4">
        <f>_xlfn.XLOOKUP($A97, 'L &amp; T'!A:A, 'L &amp; T'!B:B, "")</f>
        <v>820.5</v>
      </c>
    </row>
    <row r="98" spans="1:8" x14ac:dyDescent="0.3">
      <c r="A98" s="1">
        <v>43973</v>
      </c>
      <c r="B98" s="4">
        <f>_xlfn.XLOOKUP($A98, 'Nifty 50'!A:A, 'Nifty 50'!B:B, "")</f>
        <v>9039.25</v>
      </c>
      <c r="C98" s="4">
        <f>_xlfn.XLOOKUP($A98, Reliance!A:A, Reliance!B:B, "")</f>
        <v>649.82000000000005</v>
      </c>
      <c r="D98" s="4">
        <f>_xlfn.XLOOKUP($A98, HDFC!A:A, HDFC!B:B, "")</f>
        <v>418.38</v>
      </c>
      <c r="E98" s="4">
        <f>_xlfn.XLOOKUP($A98, ITC!A:A, ITC!B:B, "")</f>
        <v>186.35</v>
      </c>
      <c r="F98" s="4">
        <f>_xlfn.XLOOKUP($A98, TCS!A:A, TCS!B:B, "")</f>
        <v>2020.35</v>
      </c>
      <c r="G98" s="4">
        <f>_xlfn.XLOOKUP($A98, Infosys!A:A, Infosys!B:B,"")</f>
        <v>692.35</v>
      </c>
      <c r="H98" s="4">
        <f>_xlfn.XLOOKUP($A98, 'L &amp; T'!A:A, 'L &amp; T'!B:B, "")</f>
        <v>815.7</v>
      </c>
    </row>
    <row r="99" spans="1:8" x14ac:dyDescent="0.3">
      <c r="A99" s="1">
        <v>43977</v>
      </c>
      <c r="B99" s="4">
        <f>_xlfn.XLOOKUP($A99, 'Nifty 50'!A:A, 'Nifty 50'!B:B, "")</f>
        <v>9029.0499999999993</v>
      </c>
      <c r="C99" s="4">
        <f>_xlfn.XLOOKUP($A99, Reliance!A:A, Reliance!B:B, "")</f>
        <v>646.41999999999996</v>
      </c>
      <c r="D99" s="4">
        <f>_xlfn.XLOOKUP($A99, HDFC!A:A, HDFC!B:B, "")</f>
        <v>425.14</v>
      </c>
      <c r="E99" s="4">
        <f>_xlfn.XLOOKUP($A99, ITC!A:A, ITC!B:B, "")</f>
        <v>191.7</v>
      </c>
      <c r="F99" s="4">
        <f>_xlfn.XLOOKUP($A99, TCS!A:A, TCS!B:B, "")</f>
        <v>1943</v>
      </c>
      <c r="G99" s="4">
        <f>_xlfn.XLOOKUP($A99, Infosys!A:A, Infosys!B:B,"")</f>
        <v>680.55</v>
      </c>
      <c r="H99" s="4">
        <f>_xlfn.XLOOKUP($A99, 'L &amp; T'!A:A, 'L &amp; T'!B:B, "")</f>
        <v>825.55</v>
      </c>
    </row>
    <row r="100" spans="1:8" x14ac:dyDescent="0.3">
      <c r="A100" s="1">
        <v>43978</v>
      </c>
      <c r="B100" s="4">
        <f>_xlfn.XLOOKUP($A100, 'Nifty 50'!A:A, 'Nifty 50'!B:B, "")</f>
        <v>9314.9500000000007</v>
      </c>
      <c r="C100" s="4">
        <f>_xlfn.XLOOKUP($A100, Reliance!A:A, Reliance!B:B, "")</f>
        <v>656.18</v>
      </c>
      <c r="D100" s="4">
        <f>_xlfn.XLOOKUP($A100, HDFC!A:A, HDFC!B:B, "")</f>
        <v>450.7</v>
      </c>
      <c r="E100" s="4">
        <f>_xlfn.XLOOKUP($A100, ITC!A:A, ITC!B:B, "")</f>
        <v>192.15</v>
      </c>
      <c r="F100" s="4">
        <f>_xlfn.XLOOKUP($A100, TCS!A:A, TCS!B:B, "")</f>
        <v>2005.3</v>
      </c>
      <c r="G100" s="4">
        <f>_xlfn.XLOOKUP($A100, Infosys!A:A, Infosys!B:B,"")</f>
        <v>705.45</v>
      </c>
      <c r="H100" s="4">
        <f>_xlfn.XLOOKUP($A100, 'L &amp; T'!A:A, 'L &amp; T'!B:B, "")</f>
        <v>850.85</v>
      </c>
    </row>
    <row r="101" spans="1:8" x14ac:dyDescent="0.3">
      <c r="A101" s="1">
        <v>43979</v>
      </c>
      <c r="B101" s="4">
        <f>_xlfn.XLOOKUP($A101, 'Nifty 50'!A:A, 'Nifty 50'!B:B, "")</f>
        <v>9490.1</v>
      </c>
      <c r="C101" s="4">
        <f>_xlfn.XLOOKUP($A101, Reliance!A:A, Reliance!B:B, "")</f>
        <v>668.3</v>
      </c>
      <c r="D101" s="4">
        <f>_xlfn.XLOOKUP($A101, HDFC!A:A, HDFC!B:B, "")</f>
        <v>471.45</v>
      </c>
      <c r="E101" s="4">
        <f>_xlfn.XLOOKUP($A101, ITC!A:A, ITC!B:B, "")</f>
        <v>190.65</v>
      </c>
      <c r="F101" s="4">
        <f>_xlfn.XLOOKUP($A101, TCS!A:A, TCS!B:B, "")</f>
        <v>2004.3</v>
      </c>
      <c r="G101" s="4">
        <f>_xlfn.XLOOKUP($A101, Infosys!A:A, Infosys!B:B,"")</f>
        <v>707.4</v>
      </c>
      <c r="H101" s="4">
        <f>_xlfn.XLOOKUP($A101, 'L &amp; T'!A:A, 'L &amp; T'!B:B, "")</f>
        <v>905.5</v>
      </c>
    </row>
    <row r="102" spans="1:8" x14ac:dyDescent="0.3">
      <c r="A102" s="1">
        <v>43980</v>
      </c>
      <c r="B102" s="4">
        <f>_xlfn.XLOOKUP($A102, 'Nifty 50'!A:A, 'Nifty 50'!B:B, "")</f>
        <v>9580.2999999999993</v>
      </c>
      <c r="C102" s="4">
        <f>_xlfn.XLOOKUP($A102, Reliance!A:A, Reliance!B:B, "")</f>
        <v>664.73</v>
      </c>
      <c r="D102" s="4">
        <f>_xlfn.XLOOKUP($A102, HDFC!A:A, HDFC!B:B, "")</f>
        <v>474.64</v>
      </c>
      <c r="E102" s="4">
        <f>_xlfn.XLOOKUP($A102, ITC!A:A, ITC!B:B, "")</f>
        <v>197.35</v>
      </c>
      <c r="F102" s="4">
        <f>_xlfn.XLOOKUP($A102, TCS!A:A, TCS!B:B, "")</f>
        <v>1972.35</v>
      </c>
      <c r="G102" s="4">
        <f>_xlfn.XLOOKUP($A102, Infosys!A:A, Infosys!B:B,"")</f>
        <v>691</v>
      </c>
      <c r="H102" s="4">
        <f>_xlfn.XLOOKUP($A102, 'L &amp; T'!A:A, 'L &amp; T'!B:B, "")</f>
        <v>932.25</v>
      </c>
    </row>
    <row r="103" spans="1:8" x14ac:dyDescent="0.3">
      <c r="A103" s="1">
        <v>43983</v>
      </c>
      <c r="B103" s="4">
        <f>_xlfn.XLOOKUP($A103, 'Nifty 50'!A:A, 'Nifty 50'!B:B, "")</f>
        <v>9826.15</v>
      </c>
      <c r="C103" s="4">
        <f>_xlfn.XLOOKUP($A103, Reliance!A:A, Reliance!B:B, "")</f>
        <v>690.13</v>
      </c>
      <c r="D103" s="4">
        <f>_xlfn.XLOOKUP($A103, HDFC!A:A, HDFC!B:B, "")</f>
        <v>492.6</v>
      </c>
      <c r="E103" s="4">
        <f>_xlfn.XLOOKUP($A103, ITC!A:A, ITC!B:B, "")</f>
        <v>200.55</v>
      </c>
      <c r="F103" s="4">
        <f>_xlfn.XLOOKUP($A103, TCS!A:A, TCS!B:B, "")</f>
        <v>2045.25</v>
      </c>
      <c r="G103" s="4">
        <f>_xlfn.XLOOKUP($A103, Infosys!A:A, Infosys!B:B,"")</f>
        <v>699.55</v>
      </c>
      <c r="H103" s="4">
        <f>_xlfn.XLOOKUP($A103, 'L &amp; T'!A:A, 'L &amp; T'!B:B, "")</f>
        <v>928.15</v>
      </c>
    </row>
    <row r="104" spans="1:8" x14ac:dyDescent="0.3">
      <c r="A104" s="1">
        <v>43984</v>
      </c>
      <c r="B104" s="4">
        <f>_xlfn.XLOOKUP($A104, 'Nifty 50'!A:A, 'Nifty 50'!B:B, "")</f>
        <v>9979.1</v>
      </c>
      <c r="C104" s="4">
        <f>_xlfn.XLOOKUP($A104, Reliance!A:A, Reliance!B:B, "")</f>
        <v>697.1</v>
      </c>
      <c r="D104" s="4">
        <f>_xlfn.XLOOKUP($A104, HDFC!A:A, HDFC!B:B, "")</f>
        <v>499.26</v>
      </c>
      <c r="E104" s="4">
        <f>_xlfn.XLOOKUP($A104, ITC!A:A, ITC!B:B, "")</f>
        <v>197.25</v>
      </c>
      <c r="F104" s="4">
        <f>_xlfn.XLOOKUP($A104, TCS!A:A, TCS!B:B, "")</f>
        <v>2047.15</v>
      </c>
      <c r="G104" s="4">
        <f>_xlfn.XLOOKUP($A104, Infosys!A:A, Infosys!B:B,"")</f>
        <v>708.1</v>
      </c>
      <c r="H104" s="4">
        <f>_xlfn.XLOOKUP($A104, 'L &amp; T'!A:A, 'L &amp; T'!B:B, "")</f>
        <v>945.45</v>
      </c>
    </row>
    <row r="105" spans="1:8" x14ac:dyDescent="0.3">
      <c r="A105" s="1">
        <v>43985</v>
      </c>
      <c r="B105" s="4">
        <f>_xlfn.XLOOKUP($A105, 'Nifty 50'!A:A, 'Nifty 50'!B:B, "")</f>
        <v>10061.549999999999</v>
      </c>
      <c r="C105" s="4">
        <f>_xlfn.XLOOKUP($A105, Reliance!A:A, Reliance!B:B, "")</f>
        <v>699.8</v>
      </c>
      <c r="D105" s="4">
        <f>_xlfn.XLOOKUP($A105, HDFC!A:A, HDFC!B:B, "")</f>
        <v>509.86</v>
      </c>
      <c r="E105" s="4">
        <f>_xlfn.XLOOKUP($A105, ITC!A:A, ITC!B:B, "")</f>
        <v>196.7</v>
      </c>
      <c r="F105" s="4">
        <f>_xlfn.XLOOKUP($A105, TCS!A:A, TCS!B:B, "")</f>
        <v>2046.15</v>
      </c>
      <c r="G105" s="4">
        <f>_xlfn.XLOOKUP($A105, Infosys!A:A, Infosys!B:B,"")</f>
        <v>701.55</v>
      </c>
      <c r="H105" s="4">
        <f>_xlfn.XLOOKUP($A105, 'L &amp; T'!A:A, 'L &amp; T'!B:B, "")</f>
        <v>961.3</v>
      </c>
    </row>
    <row r="106" spans="1:8" x14ac:dyDescent="0.3">
      <c r="A106" s="1">
        <v>43986</v>
      </c>
      <c r="B106" s="4">
        <f>_xlfn.XLOOKUP($A106, 'Nifty 50'!A:A, 'Nifty 50'!B:B, "")</f>
        <v>10029.1</v>
      </c>
      <c r="C106" s="4">
        <f>_xlfn.XLOOKUP($A106, Reliance!A:A, Reliance!B:B, "")</f>
        <v>717.12</v>
      </c>
      <c r="D106" s="4">
        <f>_xlfn.XLOOKUP($A106, HDFC!A:A, HDFC!B:B, "")</f>
        <v>499.61</v>
      </c>
      <c r="E106" s="4">
        <f>_xlfn.XLOOKUP($A106, ITC!A:A, ITC!B:B, "")</f>
        <v>200.15</v>
      </c>
      <c r="F106" s="4">
        <f>_xlfn.XLOOKUP($A106, TCS!A:A, TCS!B:B, "")</f>
        <v>2091.5500000000002</v>
      </c>
      <c r="G106" s="4">
        <f>_xlfn.XLOOKUP($A106, Infosys!A:A, Infosys!B:B,"")</f>
        <v>707.75</v>
      </c>
      <c r="H106" s="4">
        <f>_xlfn.XLOOKUP($A106, 'L &amp; T'!A:A, 'L &amp; T'!B:B, "")</f>
        <v>930.7</v>
      </c>
    </row>
    <row r="107" spans="1:8" x14ac:dyDescent="0.3">
      <c r="A107" s="1">
        <v>43987</v>
      </c>
      <c r="B107" s="4">
        <f>_xlfn.XLOOKUP($A107, 'Nifty 50'!A:A, 'Nifty 50'!B:B, "")</f>
        <v>10142.15</v>
      </c>
      <c r="C107" s="4">
        <f>_xlfn.XLOOKUP($A107, Reliance!A:A, Reliance!B:B, "")</f>
        <v>717.98</v>
      </c>
      <c r="D107" s="4">
        <f>_xlfn.XLOOKUP($A107, HDFC!A:A, HDFC!B:B, "")</f>
        <v>515.39</v>
      </c>
      <c r="E107" s="4">
        <f>_xlfn.XLOOKUP($A107, ITC!A:A, ITC!B:B, "")</f>
        <v>200</v>
      </c>
      <c r="F107" s="4">
        <f>_xlfn.XLOOKUP($A107, TCS!A:A, TCS!B:B, "")</f>
        <v>2048.25</v>
      </c>
      <c r="G107" s="4">
        <f>_xlfn.XLOOKUP($A107, Infosys!A:A, Infosys!B:B,"")</f>
        <v>703.55</v>
      </c>
      <c r="H107" s="4">
        <f>_xlfn.XLOOKUP($A107, 'L &amp; T'!A:A, 'L &amp; T'!B:B, "")</f>
        <v>955.25</v>
      </c>
    </row>
    <row r="108" spans="1:8" x14ac:dyDescent="0.3">
      <c r="A108" s="1">
        <v>43990</v>
      </c>
      <c r="B108" s="4">
        <f>_xlfn.XLOOKUP($A108, 'Nifty 50'!A:A, 'Nifty 50'!B:B, "")</f>
        <v>10167.450000000001</v>
      </c>
      <c r="C108" s="4">
        <f>_xlfn.XLOOKUP($A108, Reliance!A:A, Reliance!B:B, "")</f>
        <v>712.44</v>
      </c>
      <c r="D108" s="4">
        <f>_xlfn.XLOOKUP($A108, HDFC!A:A, HDFC!B:B, "")</f>
        <v>506.69</v>
      </c>
      <c r="E108" s="4">
        <f>_xlfn.XLOOKUP($A108, ITC!A:A, ITC!B:B, "")</f>
        <v>197.65</v>
      </c>
      <c r="F108" s="4">
        <f>_xlfn.XLOOKUP($A108, TCS!A:A, TCS!B:B, "")</f>
        <v>2071.75</v>
      </c>
      <c r="G108" s="4">
        <f>_xlfn.XLOOKUP($A108, Infosys!A:A, Infosys!B:B,"")</f>
        <v>720.85</v>
      </c>
      <c r="H108" s="4">
        <f>_xlfn.XLOOKUP($A108, 'L &amp; T'!A:A, 'L &amp; T'!B:B, "")</f>
        <v>961.35</v>
      </c>
    </row>
    <row r="109" spans="1:8" x14ac:dyDescent="0.3">
      <c r="A109" s="1">
        <v>43991</v>
      </c>
      <c r="B109" s="4">
        <f>_xlfn.XLOOKUP($A109, 'Nifty 50'!A:A, 'Nifty 50'!B:B, "")</f>
        <v>10046.65</v>
      </c>
      <c r="C109" s="4">
        <f>_xlfn.XLOOKUP($A109, Reliance!A:A, Reliance!B:B, "")</f>
        <v>697.76</v>
      </c>
      <c r="D109" s="4">
        <f>_xlfn.XLOOKUP($A109, HDFC!A:A, HDFC!B:B, "")</f>
        <v>492.42</v>
      </c>
      <c r="E109" s="4">
        <f>_xlfn.XLOOKUP($A109, ITC!A:A, ITC!B:B, "")</f>
        <v>198.5</v>
      </c>
      <c r="F109" s="4">
        <f>_xlfn.XLOOKUP($A109, TCS!A:A, TCS!B:B, "")</f>
        <v>2072.0500000000002</v>
      </c>
      <c r="G109" s="4">
        <f>_xlfn.XLOOKUP($A109, Infosys!A:A, Infosys!B:B,"")</f>
        <v>717.6</v>
      </c>
      <c r="H109" s="4">
        <f>_xlfn.XLOOKUP($A109, 'L &amp; T'!A:A, 'L &amp; T'!B:B, "")</f>
        <v>953.3</v>
      </c>
    </row>
    <row r="110" spans="1:8" x14ac:dyDescent="0.3">
      <c r="A110" s="1">
        <v>43992</v>
      </c>
      <c r="B110" s="4">
        <f>_xlfn.XLOOKUP($A110, 'Nifty 50'!A:A, 'Nifty 50'!B:B, "")</f>
        <v>10116.15</v>
      </c>
      <c r="C110" s="4">
        <f>_xlfn.XLOOKUP($A110, Reliance!A:A, Reliance!B:B, "")</f>
        <v>713.65</v>
      </c>
      <c r="D110" s="4">
        <f>_xlfn.XLOOKUP($A110, HDFC!A:A, HDFC!B:B, "")</f>
        <v>494.69</v>
      </c>
      <c r="E110" s="4">
        <f>_xlfn.XLOOKUP($A110, ITC!A:A, ITC!B:B, "")</f>
        <v>199.05</v>
      </c>
      <c r="F110" s="4">
        <f>_xlfn.XLOOKUP($A110, TCS!A:A, TCS!B:B, "")</f>
        <v>2108.75</v>
      </c>
      <c r="G110" s="4">
        <f>_xlfn.XLOOKUP($A110, Infosys!A:A, Infosys!B:B,"")</f>
        <v>715.85</v>
      </c>
      <c r="H110" s="4">
        <f>_xlfn.XLOOKUP($A110, 'L &amp; T'!A:A, 'L &amp; T'!B:B, "")</f>
        <v>946.55</v>
      </c>
    </row>
    <row r="111" spans="1:8" x14ac:dyDescent="0.3">
      <c r="A111" s="1">
        <v>43993</v>
      </c>
      <c r="B111" s="4">
        <f>_xlfn.XLOOKUP($A111, 'Nifty 50'!A:A, 'Nifty 50'!B:B, "")</f>
        <v>9902</v>
      </c>
      <c r="C111" s="4">
        <f>_xlfn.XLOOKUP($A111, Reliance!A:A, Reliance!B:B, "")</f>
        <v>698.01</v>
      </c>
      <c r="D111" s="4">
        <f>_xlfn.XLOOKUP($A111, HDFC!A:A, HDFC!B:B, "")</f>
        <v>483.1</v>
      </c>
      <c r="E111" s="4">
        <f>_xlfn.XLOOKUP($A111, ITC!A:A, ITC!B:B, "")</f>
        <v>194.25</v>
      </c>
      <c r="F111" s="4">
        <f>_xlfn.XLOOKUP($A111, TCS!A:A, TCS!B:B, "")</f>
        <v>2067.65</v>
      </c>
      <c r="G111" s="4">
        <f>_xlfn.XLOOKUP($A111, Infosys!A:A, Infosys!B:B,"")</f>
        <v>703.95</v>
      </c>
      <c r="H111" s="4">
        <f>_xlfn.XLOOKUP($A111, 'L &amp; T'!A:A, 'L &amp; T'!B:B, "")</f>
        <v>930.45</v>
      </c>
    </row>
    <row r="112" spans="1:8" x14ac:dyDescent="0.3">
      <c r="A112" s="1">
        <v>43994</v>
      </c>
      <c r="B112" s="4">
        <f>_xlfn.XLOOKUP($A112, 'Nifty 50'!A:A, 'Nifty 50'!B:B, "")</f>
        <v>9972.9</v>
      </c>
      <c r="C112" s="4">
        <f>_xlfn.XLOOKUP($A112, Reliance!A:A, Reliance!B:B, "")</f>
        <v>721.2</v>
      </c>
      <c r="D112" s="4">
        <f>_xlfn.XLOOKUP($A112, HDFC!A:A, HDFC!B:B, "")</f>
        <v>490.16</v>
      </c>
      <c r="E112" s="4">
        <f>_xlfn.XLOOKUP($A112, ITC!A:A, ITC!B:B, "")</f>
        <v>193.9</v>
      </c>
      <c r="F112" s="4">
        <f>_xlfn.XLOOKUP($A112, TCS!A:A, TCS!B:B, "")</f>
        <v>2039.5</v>
      </c>
      <c r="G112" s="4">
        <f>_xlfn.XLOOKUP($A112, Infosys!A:A, Infosys!B:B,"")</f>
        <v>692.05</v>
      </c>
      <c r="H112" s="4">
        <f>_xlfn.XLOOKUP($A112, 'L &amp; T'!A:A, 'L &amp; T'!B:B, "")</f>
        <v>926.4</v>
      </c>
    </row>
    <row r="113" spans="1:8" x14ac:dyDescent="0.3">
      <c r="A113" s="1">
        <v>43997</v>
      </c>
      <c r="B113" s="4">
        <f>_xlfn.XLOOKUP($A113, 'Nifty 50'!A:A, 'Nifty 50'!B:B, "")</f>
        <v>9813.7000000000007</v>
      </c>
      <c r="C113" s="4">
        <f>_xlfn.XLOOKUP($A113, Reliance!A:A, Reliance!B:B, "")</f>
        <v>732.89</v>
      </c>
      <c r="D113" s="4">
        <f>_xlfn.XLOOKUP($A113, HDFC!A:A, HDFC!B:B, "")</f>
        <v>473.75</v>
      </c>
      <c r="E113" s="4">
        <f>_xlfn.XLOOKUP($A113, ITC!A:A, ITC!B:B, "")</f>
        <v>187.2</v>
      </c>
      <c r="F113" s="4">
        <f>_xlfn.XLOOKUP($A113, TCS!A:A, TCS!B:B, "")</f>
        <v>2029.9</v>
      </c>
      <c r="G113" s="4">
        <f>_xlfn.XLOOKUP($A113, Infosys!A:A, Infosys!B:B,"")</f>
        <v>687.55</v>
      </c>
      <c r="H113" s="4">
        <f>_xlfn.XLOOKUP($A113, 'L &amp; T'!A:A, 'L &amp; T'!B:B, "")</f>
        <v>899.9</v>
      </c>
    </row>
    <row r="114" spans="1:8" x14ac:dyDescent="0.3">
      <c r="A114" s="1">
        <v>43998</v>
      </c>
      <c r="B114" s="4">
        <f>_xlfn.XLOOKUP($A114, 'Nifty 50'!A:A, 'Nifty 50'!B:B, "")</f>
        <v>9914</v>
      </c>
      <c r="C114" s="4">
        <f>_xlfn.XLOOKUP($A114, Reliance!A:A, Reliance!B:B, "")</f>
        <v>734.32</v>
      </c>
      <c r="D114" s="4">
        <f>_xlfn.XLOOKUP($A114, HDFC!A:A, HDFC!B:B, "")</f>
        <v>493.97</v>
      </c>
      <c r="E114" s="4">
        <f>_xlfn.XLOOKUP($A114, ITC!A:A, ITC!B:B, "")</f>
        <v>185</v>
      </c>
      <c r="F114" s="4">
        <f>_xlfn.XLOOKUP($A114, TCS!A:A, TCS!B:B, "")</f>
        <v>2045.8</v>
      </c>
      <c r="G114" s="4">
        <f>_xlfn.XLOOKUP($A114, Infosys!A:A, Infosys!B:B,"")</f>
        <v>701.2</v>
      </c>
      <c r="H114" s="4">
        <f>_xlfn.XLOOKUP($A114, 'L &amp; T'!A:A, 'L &amp; T'!B:B, "")</f>
        <v>895.05</v>
      </c>
    </row>
    <row r="115" spans="1:8" x14ac:dyDescent="0.3">
      <c r="A115" s="1">
        <v>43999</v>
      </c>
      <c r="B115" s="4">
        <f>_xlfn.XLOOKUP($A115, 'Nifty 50'!A:A, 'Nifty 50'!B:B, "")</f>
        <v>9881.15</v>
      </c>
      <c r="C115" s="4">
        <f>_xlfn.XLOOKUP($A115, Reliance!A:A, Reliance!B:B, "")</f>
        <v>733.26</v>
      </c>
      <c r="D115" s="4">
        <f>_xlfn.XLOOKUP($A115, HDFC!A:A, HDFC!B:B, "")</f>
        <v>488.41</v>
      </c>
      <c r="E115" s="4">
        <f>_xlfn.XLOOKUP($A115, ITC!A:A, ITC!B:B, "")</f>
        <v>181.2</v>
      </c>
      <c r="F115" s="4">
        <f>_xlfn.XLOOKUP($A115, TCS!A:A, TCS!B:B, "")</f>
        <v>2047.8</v>
      </c>
      <c r="G115" s="4">
        <f>_xlfn.XLOOKUP($A115, Infosys!A:A, Infosys!B:B,"")</f>
        <v>703.65</v>
      </c>
      <c r="H115" s="4">
        <f>_xlfn.XLOOKUP($A115, 'L &amp; T'!A:A, 'L &amp; T'!B:B, "")</f>
        <v>884.8</v>
      </c>
    </row>
    <row r="116" spans="1:8" x14ac:dyDescent="0.3">
      <c r="A116" s="1">
        <v>44000</v>
      </c>
      <c r="B116" s="4">
        <f>_xlfn.XLOOKUP($A116, 'Nifty 50'!A:A, 'Nifty 50'!B:B, "")</f>
        <v>10091.65</v>
      </c>
      <c r="C116" s="4">
        <f>_xlfn.XLOOKUP($A116, Reliance!A:A, Reliance!B:B, "")</f>
        <v>751.66</v>
      </c>
      <c r="D116" s="4">
        <f>_xlfn.XLOOKUP($A116, HDFC!A:A, HDFC!B:B, "")</f>
        <v>508.71</v>
      </c>
      <c r="E116" s="4">
        <f>_xlfn.XLOOKUP($A116, ITC!A:A, ITC!B:B, "")</f>
        <v>186.6</v>
      </c>
      <c r="F116" s="4">
        <f>_xlfn.XLOOKUP($A116, TCS!A:A, TCS!B:B, "")</f>
        <v>2038.1</v>
      </c>
      <c r="G116" s="4">
        <f>_xlfn.XLOOKUP($A116, Infosys!A:A, Infosys!B:B,"")</f>
        <v>713.9</v>
      </c>
      <c r="H116" s="4">
        <f>_xlfn.XLOOKUP($A116, 'L &amp; T'!A:A, 'L &amp; T'!B:B, "")</f>
        <v>896.65</v>
      </c>
    </row>
    <row r="117" spans="1:8" x14ac:dyDescent="0.3">
      <c r="A117" s="1">
        <v>44001</v>
      </c>
      <c r="B117" s="4">
        <f>_xlfn.XLOOKUP($A117, 'Nifty 50'!A:A, 'Nifty 50'!B:B, "")</f>
        <v>10244.4</v>
      </c>
      <c r="C117" s="4">
        <f>_xlfn.XLOOKUP($A117, Reliance!A:A, Reliance!B:B, "")</f>
        <v>798.64</v>
      </c>
      <c r="D117" s="4">
        <f>_xlfn.XLOOKUP($A117, HDFC!A:A, HDFC!B:B, "")</f>
        <v>515.39</v>
      </c>
      <c r="E117" s="4">
        <f>_xlfn.XLOOKUP($A117, ITC!A:A, ITC!B:B, "")</f>
        <v>184.05</v>
      </c>
      <c r="F117" s="4">
        <f>_xlfn.XLOOKUP($A117, TCS!A:A, TCS!B:B, "")</f>
        <v>2044.6</v>
      </c>
      <c r="G117" s="4">
        <f>_xlfn.XLOOKUP($A117, Infosys!A:A, Infosys!B:B,"")</f>
        <v>705.55</v>
      </c>
      <c r="H117" s="4">
        <f>_xlfn.XLOOKUP($A117, 'L &amp; T'!A:A, 'L &amp; T'!B:B, "")</f>
        <v>898.2</v>
      </c>
    </row>
    <row r="118" spans="1:8" x14ac:dyDescent="0.3">
      <c r="A118" s="1">
        <v>44004</v>
      </c>
      <c r="B118" s="4">
        <f>_xlfn.XLOOKUP($A118, 'Nifty 50'!A:A, 'Nifty 50'!B:B, "")</f>
        <v>10311.200000000001</v>
      </c>
      <c r="C118" s="4">
        <f>_xlfn.XLOOKUP($A118, Reliance!A:A, Reliance!B:B, "")</f>
        <v>792.63</v>
      </c>
      <c r="D118" s="4">
        <f>_xlfn.XLOOKUP($A118, HDFC!A:A, HDFC!B:B, "")</f>
        <v>513.1</v>
      </c>
      <c r="E118" s="4">
        <f>_xlfn.XLOOKUP($A118, ITC!A:A, ITC!B:B, "")</f>
        <v>185</v>
      </c>
      <c r="F118" s="4">
        <f>_xlfn.XLOOKUP($A118, TCS!A:A, TCS!B:B, "")</f>
        <v>2027.95</v>
      </c>
      <c r="G118" s="4">
        <f>_xlfn.XLOOKUP($A118, Infosys!A:A, Infosys!B:B,"")</f>
        <v>703.7</v>
      </c>
      <c r="H118" s="4">
        <f>_xlfn.XLOOKUP($A118, 'L &amp; T'!A:A, 'L &amp; T'!B:B, "")</f>
        <v>907.45</v>
      </c>
    </row>
    <row r="119" spans="1:8" x14ac:dyDescent="0.3">
      <c r="A119" s="1">
        <v>44005</v>
      </c>
      <c r="B119" s="4">
        <f>_xlfn.XLOOKUP($A119, 'Nifty 50'!A:A, 'Nifty 50'!B:B, "")</f>
        <v>10471</v>
      </c>
      <c r="C119" s="4">
        <f>_xlfn.XLOOKUP($A119, Reliance!A:A, Reliance!B:B, "")</f>
        <v>781.17</v>
      </c>
      <c r="D119" s="4">
        <f>_xlfn.XLOOKUP($A119, HDFC!A:A, HDFC!B:B, "")</f>
        <v>519.86</v>
      </c>
      <c r="E119" s="4">
        <f>_xlfn.XLOOKUP($A119, ITC!A:A, ITC!B:B, "")</f>
        <v>185.85</v>
      </c>
      <c r="F119" s="4">
        <f>_xlfn.XLOOKUP($A119, TCS!A:A, TCS!B:B, "")</f>
        <v>2035.3</v>
      </c>
      <c r="G119" s="4">
        <f>_xlfn.XLOOKUP($A119, Infosys!A:A, Infosys!B:B,"")</f>
        <v>720.65</v>
      </c>
      <c r="H119" s="4">
        <f>_xlfn.XLOOKUP($A119, 'L &amp; T'!A:A, 'L &amp; T'!B:B, "")</f>
        <v>967.6</v>
      </c>
    </row>
    <row r="120" spans="1:8" x14ac:dyDescent="0.3">
      <c r="A120" s="1">
        <v>44006</v>
      </c>
      <c r="B120" s="4">
        <f>_xlfn.XLOOKUP($A120, 'Nifty 50'!A:A, 'Nifty 50'!B:B, "")</f>
        <v>10305.299999999999</v>
      </c>
      <c r="C120" s="4">
        <f>_xlfn.XLOOKUP($A120, Reliance!A:A, Reliance!B:B, "")</f>
        <v>784.32</v>
      </c>
      <c r="D120" s="4">
        <f>_xlfn.XLOOKUP($A120, HDFC!A:A, HDFC!B:B, "")</f>
        <v>514.97</v>
      </c>
      <c r="E120" s="4">
        <f>_xlfn.XLOOKUP($A120, ITC!A:A, ITC!B:B, "")</f>
        <v>191.85</v>
      </c>
      <c r="F120" s="4">
        <f>_xlfn.XLOOKUP($A120, TCS!A:A, TCS!B:B, "")</f>
        <v>2042.2</v>
      </c>
      <c r="G120" s="4">
        <f>_xlfn.XLOOKUP($A120, Infosys!A:A, Infosys!B:B,"")</f>
        <v>714.15</v>
      </c>
      <c r="H120" s="4">
        <f>_xlfn.XLOOKUP($A120, 'L &amp; T'!A:A, 'L &amp; T'!B:B, "")</f>
        <v>955.55</v>
      </c>
    </row>
    <row r="121" spans="1:8" x14ac:dyDescent="0.3">
      <c r="A121" s="1">
        <v>44007</v>
      </c>
      <c r="B121" s="4">
        <f>_xlfn.XLOOKUP($A121, 'Nifty 50'!A:A, 'Nifty 50'!B:B, "")</f>
        <v>10288.9</v>
      </c>
      <c r="C121" s="4">
        <f>_xlfn.XLOOKUP($A121, Reliance!A:A, Reliance!B:B, "")</f>
        <v>779.81</v>
      </c>
      <c r="D121" s="4">
        <f>_xlfn.XLOOKUP($A121, HDFC!A:A, HDFC!B:B, "")</f>
        <v>513.1</v>
      </c>
      <c r="E121" s="4">
        <f>_xlfn.XLOOKUP($A121, ITC!A:A, ITC!B:B, "")</f>
        <v>202.1</v>
      </c>
      <c r="F121" s="4">
        <f>_xlfn.XLOOKUP($A121, TCS!A:A, TCS!B:B, "")</f>
        <v>2016.1</v>
      </c>
      <c r="G121" s="4">
        <f>_xlfn.XLOOKUP($A121, Infosys!A:A, Infosys!B:B,"")</f>
        <v>700.5</v>
      </c>
      <c r="H121" s="4">
        <f>_xlfn.XLOOKUP($A121, 'L &amp; T'!A:A, 'L &amp; T'!B:B, "")</f>
        <v>943.1</v>
      </c>
    </row>
    <row r="122" spans="1:8" x14ac:dyDescent="0.3">
      <c r="A122" s="1">
        <v>44008</v>
      </c>
      <c r="B122" s="4">
        <f>_xlfn.XLOOKUP($A122, 'Nifty 50'!A:A, 'Nifty 50'!B:B, "")</f>
        <v>10383</v>
      </c>
      <c r="C122" s="4">
        <f>_xlfn.XLOOKUP($A122, Reliance!A:A, Reliance!B:B, "")</f>
        <v>790.59</v>
      </c>
      <c r="D122" s="4">
        <f>_xlfn.XLOOKUP($A122, HDFC!A:A, HDFC!B:B, "")</f>
        <v>526.91</v>
      </c>
      <c r="E122" s="4">
        <f>_xlfn.XLOOKUP($A122, ITC!A:A, ITC!B:B, "")</f>
        <v>195.2</v>
      </c>
      <c r="F122" s="4">
        <f>_xlfn.XLOOKUP($A122, TCS!A:A, TCS!B:B, "")</f>
        <v>2118.85</v>
      </c>
      <c r="G122" s="4">
        <f>_xlfn.XLOOKUP($A122, Infosys!A:A, Infosys!B:B,"")</f>
        <v>748.2</v>
      </c>
      <c r="H122" s="4">
        <f>_xlfn.XLOOKUP($A122, 'L &amp; T'!A:A, 'L &amp; T'!B:B, "")</f>
        <v>962.2</v>
      </c>
    </row>
    <row r="123" spans="1:8" x14ac:dyDescent="0.3">
      <c r="A123" s="1">
        <v>44011</v>
      </c>
      <c r="B123" s="4">
        <f>_xlfn.XLOOKUP($A123, 'Nifty 50'!A:A, 'Nifty 50'!B:B, "")</f>
        <v>10312.4</v>
      </c>
      <c r="C123" s="4">
        <f>_xlfn.XLOOKUP($A123, Reliance!A:A, Reliance!B:B, "")</f>
        <v>782.19</v>
      </c>
      <c r="D123" s="4">
        <f>_xlfn.XLOOKUP($A123, HDFC!A:A, HDFC!B:B, "")</f>
        <v>536.69000000000005</v>
      </c>
      <c r="E123" s="4">
        <f>_xlfn.XLOOKUP($A123, ITC!A:A, ITC!B:B, "")</f>
        <v>197.25</v>
      </c>
      <c r="F123" s="4">
        <f>_xlfn.XLOOKUP($A123, TCS!A:A, TCS!B:B, "")</f>
        <v>2101.65</v>
      </c>
      <c r="G123" s="4">
        <f>_xlfn.XLOOKUP($A123, Infosys!A:A, Infosys!B:B,"")</f>
        <v>731.75</v>
      </c>
      <c r="H123" s="4">
        <f>_xlfn.XLOOKUP($A123, 'L &amp; T'!A:A, 'L &amp; T'!B:B, "")</f>
        <v>936.6</v>
      </c>
    </row>
    <row r="124" spans="1:8" x14ac:dyDescent="0.3">
      <c r="A124" s="1">
        <v>44012</v>
      </c>
      <c r="B124" s="4">
        <f>_xlfn.XLOOKUP($A124, 'Nifty 50'!A:A, 'Nifty 50'!B:B, "")</f>
        <v>10302.1</v>
      </c>
      <c r="C124" s="4">
        <f>_xlfn.XLOOKUP($A124, Reliance!A:A, Reliance!B:B, "")</f>
        <v>773.54</v>
      </c>
      <c r="D124" s="4">
        <f>_xlfn.XLOOKUP($A124, HDFC!A:A, HDFC!B:B, "")</f>
        <v>531.6</v>
      </c>
      <c r="E124" s="4">
        <f>_xlfn.XLOOKUP($A124, ITC!A:A, ITC!B:B, "")</f>
        <v>194.65</v>
      </c>
      <c r="F124" s="4">
        <f>_xlfn.XLOOKUP($A124, TCS!A:A, TCS!B:B, "")</f>
        <v>2082.15</v>
      </c>
      <c r="G124" s="4">
        <f>_xlfn.XLOOKUP($A124, Infosys!A:A, Infosys!B:B,"")</f>
        <v>735.95</v>
      </c>
      <c r="H124" s="4">
        <f>_xlfn.XLOOKUP($A124, 'L &amp; T'!A:A, 'L &amp; T'!B:B, "")</f>
        <v>943.65</v>
      </c>
    </row>
    <row r="125" spans="1:8" x14ac:dyDescent="0.3">
      <c r="A125" s="1">
        <v>44013</v>
      </c>
      <c r="B125" s="4">
        <f>_xlfn.XLOOKUP($A125, 'Nifty 50'!A:A, 'Nifty 50'!B:B, "")</f>
        <v>10430.049999999999</v>
      </c>
      <c r="C125" s="4">
        <f>_xlfn.XLOOKUP($A125, Reliance!A:A, Reliance!B:B, "")</f>
        <v>788.75</v>
      </c>
      <c r="D125" s="4">
        <f>_xlfn.XLOOKUP($A125, HDFC!A:A, HDFC!B:B, "")</f>
        <v>540.95000000000005</v>
      </c>
      <c r="E125" s="4">
        <f>_xlfn.XLOOKUP($A125, ITC!A:A, ITC!B:B, "")</f>
        <v>202.9</v>
      </c>
      <c r="F125" s="4">
        <f>_xlfn.XLOOKUP($A125, TCS!A:A, TCS!B:B, "")</f>
        <v>2092.0500000000002</v>
      </c>
      <c r="G125" s="4">
        <f>_xlfn.XLOOKUP($A125, Infosys!A:A, Infosys!B:B,"")</f>
        <v>731.9</v>
      </c>
      <c r="H125" s="4">
        <f>_xlfn.XLOOKUP($A125, 'L &amp; T'!A:A, 'L &amp; T'!B:B, "")</f>
        <v>924.3</v>
      </c>
    </row>
    <row r="126" spans="1:8" x14ac:dyDescent="0.3">
      <c r="A126" s="1">
        <v>44014</v>
      </c>
      <c r="B126" s="4">
        <f>_xlfn.XLOOKUP($A126, 'Nifty 50'!A:A, 'Nifty 50'!B:B, "")</f>
        <v>10551.7</v>
      </c>
      <c r="C126" s="4">
        <f>_xlfn.XLOOKUP($A126, Reliance!A:A, Reliance!B:B, "")</f>
        <v>799.07</v>
      </c>
      <c r="D126" s="4">
        <f>_xlfn.XLOOKUP($A126, HDFC!A:A, HDFC!B:B, "")</f>
        <v>543.35</v>
      </c>
      <c r="E126" s="4">
        <f>_xlfn.XLOOKUP($A126, ITC!A:A, ITC!B:B, "")</f>
        <v>205.85</v>
      </c>
      <c r="F126" s="4">
        <f>_xlfn.XLOOKUP($A126, TCS!A:A, TCS!B:B, "")</f>
        <v>2157.15</v>
      </c>
      <c r="G126" s="4">
        <f>_xlfn.XLOOKUP($A126, Infosys!A:A, Infosys!B:B,"")</f>
        <v>756.6</v>
      </c>
      <c r="H126" s="4">
        <f>_xlfn.XLOOKUP($A126, 'L &amp; T'!A:A, 'L &amp; T'!B:B, "")</f>
        <v>941.3</v>
      </c>
    </row>
    <row r="127" spans="1:8" x14ac:dyDescent="0.3">
      <c r="A127" s="1">
        <v>44015</v>
      </c>
      <c r="B127" s="4">
        <f>_xlfn.XLOOKUP($A127, 'Nifty 50'!A:A, 'Nifty 50'!B:B, "")</f>
        <v>10607.35</v>
      </c>
      <c r="C127" s="4">
        <f>_xlfn.XLOOKUP($A127, Reliance!A:A, Reliance!B:B, "")</f>
        <v>811.58</v>
      </c>
      <c r="D127" s="4">
        <f>_xlfn.XLOOKUP($A127, HDFC!A:A, HDFC!B:B, "")</f>
        <v>535.64</v>
      </c>
      <c r="E127" s="4">
        <f>_xlfn.XLOOKUP($A127, ITC!A:A, ITC!B:B, "")</f>
        <v>207.55</v>
      </c>
      <c r="F127" s="4">
        <f>_xlfn.XLOOKUP($A127, TCS!A:A, TCS!B:B, "")</f>
        <v>2199.65</v>
      </c>
      <c r="G127" s="4">
        <f>_xlfn.XLOOKUP($A127, Infosys!A:A, Infosys!B:B,"")</f>
        <v>762.7</v>
      </c>
      <c r="H127" s="4">
        <f>_xlfn.XLOOKUP($A127, 'L &amp; T'!A:A, 'L &amp; T'!B:B, "")</f>
        <v>944.25</v>
      </c>
    </row>
    <row r="128" spans="1:8" x14ac:dyDescent="0.3">
      <c r="A128" s="1">
        <v>44018</v>
      </c>
      <c r="B128" s="4">
        <f>_xlfn.XLOOKUP($A128, 'Nifty 50'!A:A, 'Nifty 50'!B:B, "")</f>
        <v>10763.65</v>
      </c>
      <c r="C128" s="4">
        <f>_xlfn.XLOOKUP($A128, Reliance!A:A, Reliance!B:B, "")</f>
        <v>840.59</v>
      </c>
      <c r="D128" s="4">
        <f>_xlfn.XLOOKUP($A128, HDFC!A:A, HDFC!B:B, "")</f>
        <v>550.13</v>
      </c>
      <c r="E128" s="4">
        <f>_xlfn.XLOOKUP($A128, ITC!A:A, ITC!B:B, "")</f>
        <v>199.8</v>
      </c>
      <c r="F128" s="4">
        <f>_xlfn.XLOOKUP($A128, TCS!A:A, TCS!B:B, "")</f>
        <v>2263.1999999999998</v>
      </c>
      <c r="G128" s="4">
        <f>_xlfn.XLOOKUP($A128, Infosys!A:A, Infosys!B:B,"")</f>
        <v>764</v>
      </c>
      <c r="H128" s="4">
        <f>_xlfn.XLOOKUP($A128, 'L &amp; T'!A:A, 'L &amp; T'!B:B, "")</f>
        <v>951.2</v>
      </c>
    </row>
    <row r="129" spans="1:8" x14ac:dyDescent="0.3">
      <c r="A129" s="1">
        <v>44019</v>
      </c>
      <c r="B129" s="4">
        <f>_xlfn.XLOOKUP($A129, 'Nifty 50'!A:A, 'Nifty 50'!B:B, "")</f>
        <v>10799.65</v>
      </c>
      <c r="C129" s="4">
        <f>_xlfn.XLOOKUP($A129, Reliance!A:A, Reliance!B:B, "")</f>
        <v>827.72</v>
      </c>
      <c r="D129" s="4">
        <f>_xlfn.XLOOKUP($A129, HDFC!A:A, HDFC!B:B, "")</f>
        <v>551.20000000000005</v>
      </c>
      <c r="E129" s="4">
        <f>_xlfn.XLOOKUP($A129, ITC!A:A, ITC!B:B, "")</f>
        <v>194.25</v>
      </c>
      <c r="F129" s="4">
        <f>_xlfn.XLOOKUP($A129, TCS!A:A, TCS!B:B, "")</f>
        <v>2269.9</v>
      </c>
      <c r="G129" s="4">
        <f>_xlfn.XLOOKUP($A129, Infosys!A:A, Infosys!B:B,"")</f>
        <v>794.15</v>
      </c>
      <c r="H129" s="4">
        <f>_xlfn.XLOOKUP($A129, 'L &amp; T'!A:A, 'L &amp; T'!B:B, "")</f>
        <v>943.6</v>
      </c>
    </row>
    <row r="130" spans="1:8" x14ac:dyDescent="0.3">
      <c r="A130" s="1">
        <v>44020</v>
      </c>
      <c r="B130" s="4">
        <f>_xlfn.XLOOKUP($A130, 'Nifty 50'!A:A, 'Nifty 50'!B:B, "")</f>
        <v>10705.75</v>
      </c>
      <c r="C130" s="4">
        <f>_xlfn.XLOOKUP($A130, Reliance!A:A, Reliance!B:B, "")</f>
        <v>816.17</v>
      </c>
      <c r="D130" s="4">
        <f>_xlfn.XLOOKUP($A130, HDFC!A:A, HDFC!B:B, "")</f>
        <v>553.79999999999995</v>
      </c>
      <c r="E130" s="4">
        <f>_xlfn.XLOOKUP($A130, ITC!A:A, ITC!B:B, "")</f>
        <v>196.3</v>
      </c>
      <c r="F130" s="4">
        <f>_xlfn.XLOOKUP($A130, TCS!A:A, TCS!B:B, "")</f>
        <v>2218.9</v>
      </c>
      <c r="G130" s="4">
        <f>_xlfn.XLOOKUP($A130, Infosys!A:A, Infosys!B:B,"")</f>
        <v>774.7</v>
      </c>
      <c r="H130" s="4">
        <f>_xlfn.XLOOKUP($A130, 'L &amp; T'!A:A, 'L &amp; T'!B:B, "")</f>
        <v>941.25</v>
      </c>
    </row>
    <row r="131" spans="1:8" x14ac:dyDescent="0.3">
      <c r="A131" s="1">
        <v>44021</v>
      </c>
      <c r="B131" s="4">
        <f>_xlfn.XLOOKUP($A131, 'Nifty 50'!A:A, 'Nifty 50'!B:B, "")</f>
        <v>10813.45</v>
      </c>
      <c r="C131" s="4">
        <f>_xlfn.XLOOKUP($A131, Reliance!A:A, Reliance!B:B, "")</f>
        <v>828.08</v>
      </c>
      <c r="D131" s="4">
        <f>_xlfn.XLOOKUP($A131, HDFC!A:A, HDFC!B:B, "")</f>
        <v>561.08000000000004</v>
      </c>
      <c r="E131" s="4">
        <f>_xlfn.XLOOKUP($A131, ITC!A:A, ITC!B:B, "")</f>
        <v>195.45</v>
      </c>
      <c r="F131" s="4">
        <f>_xlfn.XLOOKUP($A131, TCS!A:A, TCS!B:B, "")</f>
        <v>2204.35</v>
      </c>
      <c r="G131" s="4">
        <f>_xlfn.XLOOKUP($A131, Infosys!A:A, Infosys!B:B,"")</f>
        <v>781.7</v>
      </c>
      <c r="H131" s="4">
        <f>_xlfn.XLOOKUP($A131, 'L &amp; T'!A:A, 'L &amp; T'!B:B, "")</f>
        <v>944.95</v>
      </c>
    </row>
    <row r="132" spans="1:8" x14ac:dyDescent="0.3">
      <c r="A132" s="1">
        <v>44022</v>
      </c>
      <c r="B132" s="4">
        <f>_xlfn.XLOOKUP($A132, 'Nifty 50'!A:A, 'Nifty 50'!B:B, "")</f>
        <v>10768.05</v>
      </c>
      <c r="C132" s="4">
        <f>_xlfn.XLOOKUP($A132, Reliance!A:A, Reliance!B:B, "")</f>
        <v>852.5</v>
      </c>
      <c r="D132" s="4">
        <f>_xlfn.XLOOKUP($A132, HDFC!A:A, HDFC!B:B, "")</f>
        <v>551.17999999999995</v>
      </c>
      <c r="E132" s="4">
        <f>_xlfn.XLOOKUP($A132, ITC!A:A, ITC!B:B, "")</f>
        <v>194.35</v>
      </c>
      <c r="F132" s="4">
        <f>_xlfn.XLOOKUP($A132, TCS!A:A, TCS!B:B, "")</f>
        <v>2222.35</v>
      </c>
      <c r="G132" s="4">
        <f>_xlfn.XLOOKUP($A132, Infosys!A:A, Infosys!B:B,"")</f>
        <v>781.85</v>
      </c>
      <c r="H132" s="4">
        <f>_xlfn.XLOOKUP($A132, 'L &amp; T'!A:A, 'L &amp; T'!B:B, "")</f>
        <v>932.15</v>
      </c>
    </row>
    <row r="133" spans="1:8" x14ac:dyDescent="0.3">
      <c r="A133" s="1">
        <v>44025</v>
      </c>
      <c r="B133" s="4">
        <f>_xlfn.XLOOKUP($A133, 'Nifty 50'!A:A, 'Nifty 50'!B:B, "")</f>
        <v>10802.7</v>
      </c>
      <c r="C133" s="4">
        <f>_xlfn.XLOOKUP($A133, Reliance!A:A, Reliance!B:B, "")</f>
        <v>878.35</v>
      </c>
      <c r="D133" s="4">
        <f>_xlfn.XLOOKUP($A133, HDFC!A:A, HDFC!B:B, "")</f>
        <v>538.78</v>
      </c>
      <c r="E133" s="4">
        <f>_xlfn.XLOOKUP($A133, ITC!A:A, ITC!B:B, "")</f>
        <v>197.55</v>
      </c>
      <c r="F133" s="4">
        <f>_xlfn.XLOOKUP($A133, TCS!A:A, TCS!B:B, "")</f>
        <v>2220</v>
      </c>
      <c r="G133" s="4">
        <f>_xlfn.XLOOKUP($A133, Infosys!A:A, Infosys!B:B,"")</f>
        <v>797.05</v>
      </c>
      <c r="H133" s="4">
        <f>_xlfn.XLOOKUP($A133, 'L &amp; T'!A:A, 'L &amp; T'!B:B, "")</f>
        <v>928.15</v>
      </c>
    </row>
    <row r="134" spans="1:8" x14ac:dyDescent="0.3">
      <c r="A134" s="1">
        <v>44026</v>
      </c>
      <c r="B134" s="4">
        <f>_xlfn.XLOOKUP($A134, 'Nifty 50'!A:A, 'Nifty 50'!B:B, "")</f>
        <v>10607.35</v>
      </c>
      <c r="C134" s="4">
        <f>_xlfn.XLOOKUP($A134, Reliance!A:A, Reliance!B:B, "")</f>
        <v>870.18</v>
      </c>
      <c r="D134" s="4">
        <f>_xlfn.XLOOKUP($A134, HDFC!A:A, HDFC!B:B, "")</f>
        <v>528.11</v>
      </c>
      <c r="E134" s="4">
        <f>_xlfn.XLOOKUP($A134, ITC!A:A, ITC!B:B, "")</f>
        <v>195.9</v>
      </c>
      <c r="F134" s="4">
        <f>_xlfn.XLOOKUP($A134, TCS!A:A, TCS!B:B, "")</f>
        <v>2171.9499999999998</v>
      </c>
      <c r="G134" s="4">
        <f>_xlfn.XLOOKUP($A134, Infosys!A:A, Infosys!B:B,"")</f>
        <v>783.25</v>
      </c>
      <c r="H134" s="4">
        <f>_xlfn.XLOOKUP($A134, 'L &amp; T'!A:A, 'L &amp; T'!B:B, "")</f>
        <v>912.9</v>
      </c>
    </row>
    <row r="135" spans="1:8" x14ac:dyDescent="0.3">
      <c r="A135" s="1">
        <v>44027</v>
      </c>
      <c r="B135" s="4">
        <f>_xlfn.XLOOKUP($A135, 'Nifty 50'!A:A, 'Nifty 50'!B:B, "")</f>
        <v>10618.2</v>
      </c>
      <c r="C135" s="4">
        <f>_xlfn.XLOOKUP($A135, Reliance!A:A, Reliance!B:B, "")</f>
        <v>837.05</v>
      </c>
      <c r="D135" s="4">
        <f>_xlfn.XLOOKUP($A135, HDFC!A:A, HDFC!B:B, "")</f>
        <v>525.27</v>
      </c>
      <c r="E135" s="4">
        <f>_xlfn.XLOOKUP($A135, ITC!A:A, ITC!B:B, "")</f>
        <v>198.7</v>
      </c>
      <c r="F135" s="4">
        <f>_xlfn.XLOOKUP($A135, TCS!A:A, TCS!B:B, "")</f>
        <v>2233.9</v>
      </c>
      <c r="G135" s="4">
        <f>_xlfn.XLOOKUP($A135, Infosys!A:A, Infosys!B:B,"")</f>
        <v>830.95</v>
      </c>
      <c r="H135" s="4">
        <f>_xlfn.XLOOKUP($A135, 'L &amp; T'!A:A, 'L &amp; T'!B:B, "")</f>
        <v>912.2</v>
      </c>
    </row>
    <row r="136" spans="1:8" x14ac:dyDescent="0.3">
      <c r="A136" s="1">
        <v>44028</v>
      </c>
      <c r="B136" s="4">
        <f>_xlfn.XLOOKUP($A136, 'Nifty 50'!A:A, 'Nifty 50'!B:B, "")</f>
        <v>10739.95</v>
      </c>
      <c r="C136" s="4">
        <f>_xlfn.XLOOKUP($A136, Reliance!A:A, Reliance!B:B, "")</f>
        <v>836.77</v>
      </c>
      <c r="D136" s="4">
        <f>_xlfn.XLOOKUP($A136, HDFC!A:A, HDFC!B:B, "")</f>
        <v>529.96</v>
      </c>
      <c r="E136" s="4">
        <f>_xlfn.XLOOKUP($A136, ITC!A:A, ITC!B:B, "")</f>
        <v>193.85</v>
      </c>
      <c r="F136" s="4">
        <f>_xlfn.XLOOKUP($A136, TCS!A:A, TCS!B:B, "")</f>
        <v>2234.75</v>
      </c>
      <c r="G136" s="4">
        <f>_xlfn.XLOOKUP($A136, Infosys!A:A, Infosys!B:B,"")</f>
        <v>911</v>
      </c>
      <c r="H136" s="4">
        <f>_xlfn.XLOOKUP($A136, 'L &amp; T'!A:A, 'L &amp; T'!B:B, "")</f>
        <v>921.15</v>
      </c>
    </row>
    <row r="137" spans="1:8" x14ac:dyDescent="0.3">
      <c r="A137" s="1">
        <v>44029</v>
      </c>
      <c r="B137" s="4">
        <f>_xlfn.XLOOKUP($A137, 'Nifty 50'!A:A, 'Nifty 50'!B:B, "")</f>
        <v>10901.7</v>
      </c>
      <c r="C137" s="4">
        <f>_xlfn.XLOOKUP($A137, Reliance!A:A, Reliance!B:B, "")</f>
        <v>867.78</v>
      </c>
      <c r="D137" s="4">
        <f>_xlfn.XLOOKUP($A137, HDFC!A:A, HDFC!B:B, "")</f>
        <v>547.86</v>
      </c>
      <c r="E137" s="4">
        <f>_xlfn.XLOOKUP($A137, ITC!A:A, ITC!B:B, "")</f>
        <v>194.05</v>
      </c>
      <c r="F137" s="4">
        <f>_xlfn.XLOOKUP($A137, TCS!A:A, TCS!B:B, "")</f>
        <v>2200.75</v>
      </c>
      <c r="G137" s="4">
        <f>_xlfn.XLOOKUP($A137, Infosys!A:A, Infosys!B:B,"")</f>
        <v>903.15</v>
      </c>
      <c r="H137" s="4">
        <f>_xlfn.XLOOKUP($A137, 'L &amp; T'!A:A, 'L &amp; T'!B:B, "")</f>
        <v>925.55</v>
      </c>
    </row>
    <row r="138" spans="1:8" x14ac:dyDescent="0.3">
      <c r="A138" s="1">
        <v>44032</v>
      </c>
      <c r="B138" s="4">
        <f>_xlfn.XLOOKUP($A138, 'Nifty 50'!A:A, 'Nifty 50'!B:B, "")</f>
        <v>11022.2</v>
      </c>
      <c r="C138" s="4">
        <f>_xlfn.XLOOKUP($A138, Reliance!A:A, Reliance!B:B, "")</f>
        <v>871.5</v>
      </c>
      <c r="D138" s="4">
        <f>_xlfn.XLOOKUP($A138, HDFC!A:A, HDFC!B:B, "")</f>
        <v>565.12</v>
      </c>
      <c r="E138" s="4">
        <f>_xlfn.XLOOKUP($A138, ITC!A:A, ITC!B:B, "")</f>
        <v>192.7</v>
      </c>
      <c r="F138" s="4">
        <f>_xlfn.XLOOKUP($A138, TCS!A:A, TCS!B:B, "")</f>
        <v>2207.9</v>
      </c>
      <c r="G138" s="4">
        <f>_xlfn.XLOOKUP($A138, Infosys!A:A, Infosys!B:B,"")</f>
        <v>934.3</v>
      </c>
      <c r="H138" s="4">
        <f>_xlfn.XLOOKUP($A138, 'L &amp; T'!A:A, 'L &amp; T'!B:B, "")</f>
        <v>919.6</v>
      </c>
    </row>
    <row r="139" spans="1:8" x14ac:dyDescent="0.3">
      <c r="A139" s="1">
        <v>44033</v>
      </c>
      <c r="B139" s="4">
        <f>_xlfn.XLOOKUP($A139, 'Nifty 50'!A:A, 'Nifty 50'!B:B, "")</f>
        <v>11162.25</v>
      </c>
      <c r="C139" s="4">
        <f>_xlfn.XLOOKUP($A139, Reliance!A:A, Reliance!B:B, "")</f>
        <v>894.94</v>
      </c>
      <c r="D139" s="4">
        <f>_xlfn.XLOOKUP($A139, HDFC!A:A, HDFC!B:B, "")</f>
        <v>567.86</v>
      </c>
      <c r="E139" s="4">
        <f>_xlfn.XLOOKUP($A139, ITC!A:A, ITC!B:B, "")</f>
        <v>192.25</v>
      </c>
      <c r="F139" s="4">
        <f>_xlfn.XLOOKUP($A139, TCS!A:A, TCS!B:B, "")</f>
        <v>2225.0500000000002</v>
      </c>
      <c r="G139" s="4">
        <f>_xlfn.XLOOKUP($A139, Infosys!A:A, Infosys!B:B,"")</f>
        <v>936.75</v>
      </c>
      <c r="H139" s="4">
        <f>_xlfn.XLOOKUP($A139, 'L &amp; T'!A:A, 'L &amp; T'!B:B, "")</f>
        <v>938.05</v>
      </c>
    </row>
    <row r="140" spans="1:8" x14ac:dyDescent="0.3">
      <c r="A140" s="1">
        <v>44034</v>
      </c>
      <c r="B140" s="4">
        <f>_xlfn.XLOOKUP($A140, 'Nifty 50'!A:A, 'Nifty 50'!B:B, "")</f>
        <v>11132.6</v>
      </c>
      <c r="C140" s="4">
        <f>_xlfn.XLOOKUP($A140, Reliance!A:A, Reliance!B:B, "")</f>
        <v>909.67</v>
      </c>
      <c r="D140" s="4">
        <f>_xlfn.XLOOKUP($A140, HDFC!A:A, HDFC!B:B, "")</f>
        <v>561.78</v>
      </c>
      <c r="E140" s="4">
        <f>_xlfn.XLOOKUP($A140, ITC!A:A, ITC!B:B, "")</f>
        <v>196.55</v>
      </c>
      <c r="F140" s="4">
        <f>_xlfn.XLOOKUP($A140, TCS!A:A, TCS!B:B, "")</f>
        <v>2190.9499999999998</v>
      </c>
      <c r="G140" s="4">
        <f>_xlfn.XLOOKUP($A140, Infosys!A:A, Infosys!B:B,"")</f>
        <v>917.9</v>
      </c>
      <c r="H140" s="4">
        <f>_xlfn.XLOOKUP($A140, 'L &amp; T'!A:A, 'L &amp; T'!B:B, "")</f>
        <v>920.9</v>
      </c>
    </row>
    <row r="141" spans="1:8" x14ac:dyDescent="0.3">
      <c r="A141" s="1">
        <v>44035</v>
      </c>
      <c r="B141" s="4">
        <f>_xlfn.XLOOKUP($A141, 'Nifty 50'!A:A, 'Nifty 50'!B:B, "")</f>
        <v>11215.45</v>
      </c>
      <c r="C141" s="4">
        <f>_xlfn.XLOOKUP($A141, Reliance!A:A, Reliance!B:B, "")</f>
        <v>934.1</v>
      </c>
      <c r="D141" s="4">
        <f>_xlfn.XLOOKUP($A141, HDFC!A:A, HDFC!B:B, "")</f>
        <v>563.79999999999995</v>
      </c>
      <c r="E141" s="4">
        <f>_xlfn.XLOOKUP($A141, ITC!A:A, ITC!B:B, "")</f>
        <v>200.7</v>
      </c>
      <c r="F141" s="4">
        <f>_xlfn.XLOOKUP($A141, TCS!A:A, TCS!B:B, "")</f>
        <v>2171.1999999999998</v>
      </c>
      <c r="G141" s="4">
        <f>_xlfn.XLOOKUP($A141, Infosys!A:A, Infosys!B:B,"")</f>
        <v>907.95</v>
      </c>
      <c r="H141" s="4">
        <f>_xlfn.XLOOKUP($A141, 'L &amp; T'!A:A, 'L &amp; T'!B:B, "")</f>
        <v>916.55</v>
      </c>
    </row>
    <row r="142" spans="1:8" x14ac:dyDescent="0.3">
      <c r="A142" s="1">
        <v>44036</v>
      </c>
      <c r="B142" s="4">
        <f>_xlfn.XLOOKUP($A142, 'Nifty 50'!A:A, 'Nifty 50'!B:B, "")</f>
        <v>11194.15</v>
      </c>
      <c r="C142" s="4">
        <f>_xlfn.XLOOKUP($A142, Reliance!A:A, Reliance!B:B, "")</f>
        <v>974.2</v>
      </c>
      <c r="D142" s="4">
        <f>_xlfn.XLOOKUP($A142, HDFC!A:A, HDFC!B:B, "")</f>
        <v>558.16</v>
      </c>
      <c r="E142" s="4">
        <f>_xlfn.XLOOKUP($A142, ITC!A:A, ITC!B:B, "")</f>
        <v>199.6</v>
      </c>
      <c r="F142" s="4">
        <f>_xlfn.XLOOKUP($A142, TCS!A:A, TCS!B:B, "")</f>
        <v>2157.4</v>
      </c>
      <c r="G142" s="4">
        <f>_xlfn.XLOOKUP($A142, Infosys!A:A, Infosys!B:B,"")</f>
        <v>922.85</v>
      </c>
      <c r="H142" s="4">
        <f>_xlfn.XLOOKUP($A142, 'L &amp; T'!A:A, 'L &amp; T'!B:B, "")</f>
        <v>904.4</v>
      </c>
    </row>
    <row r="143" spans="1:8" x14ac:dyDescent="0.3">
      <c r="A143" s="1">
        <v>44039</v>
      </c>
      <c r="B143" s="4">
        <f>_xlfn.XLOOKUP($A143, 'Nifty 50'!A:A, 'Nifty 50'!B:B, "")</f>
        <v>11131.8</v>
      </c>
      <c r="C143" s="4">
        <f>_xlfn.XLOOKUP($A143, Reliance!A:A, Reliance!B:B, "")</f>
        <v>978.76</v>
      </c>
      <c r="D143" s="4">
        <f>_xlfn.XLOOKUP($A143, HDFC!A:A, HDFC!B:B, "")</f>
        <v>538.41</v>
      </c>
      <c r="E143" s="4">
        <f>_xlfn.XLOOKUP($A143, ITC!A:A, ITC!B:B, "")</f>
        <v>196.4</v>
      </c>
      <c r="F143" s="4">
        <f>_xlfn.XLOOKUP($A143, TCS!A:A, TCS!B:B, "")</f>
        <v>2206.8000000000002</v>
      </c>
      <c r="G143" s="4">
        <f>_xlfn.XLOOKUP($A143, Infosys!A:A, Infosys!B:B,"")</f>
        <v>948.45</v>
      </c>
      <c r="H143" s="4">
        <f>_xlfn.XLOOKUP($A143, 'L &amp; T'!A:A, 'L &amp; T'!B:B, "")</f>
        <v>903.8</v>
      </c>
    </row>
    <row r="144" spans="1:8" x14ac:dyDescent="0.3">
      <c r="A144" s="1">
        <v>44040</v>
      </c>
      <c r="B144" s="4">
        <f>_xlfn.XLOOKUP($A144, 'Nifty 50'!A:A, 'Nifty 50'!B:B, "")</f>
        <v>11300.55</v>
      </c>
      <c r="C144" s="4">
        <f>_xlfn.XLOOKUP($A144, Reliance!A:A, Reliance!B:B, "")</f>
        <v>988.52</v>
      </c>
      <c r="D144" s="4">
        <f>_xlfn.XLOOKUP($A144, HDFC!A:A, HDFC!B:B, "")</f>
        <v>541.98</v>
      </c>
      <c r="E144" s="4">
        <f>_xlfn.XLOOKUP($A144, ITC!A:A, ITC!B:B, "")</f>
        <v>195.4</v>
      </c>
      <c r="F144" s="4">
        <f>_xlfn.XLOOKUP($A144, TCS!A:A, TCS!B:B, "")</f>
        <v>2309.75</v>
      </c>
      <c r="G144" s="4">
        <f>_xlfn.XLOOKUP($A144, Infosys!A:A, Infosys!B:B,"")</f>
        <v>962.85</v>
      </c>
      <c r="H144" s="4">
        <f>_xlfn.XLOOKUP($A144, 'L &amp; T'!A:A, 'L &amp; T'!B:B, "")</f>
        <v>913.5</v>
      </c>
    </row>
    <row r="145" spans="1:8" x14ac:dyDescent="0.3">
      <c r="A145" s="1">
        <v>44041</v>
      </c>
      <c r="B145" s="4">
        <f>_xlfn.XLOOKUP($A145, 'Nifty 50'!A:A, 'Nifty 50'!B:B, "")</f>
        <v>11202.85</v>
      </c>
      <c r="C145" s="4">
        <f>_xlfn.XLOOKUP($A145, Reliance!A:A, Reliance!B:B, "")</f>
        <v>951.73</v>
      </c>
      <c r="D145" s="4">
        <f>_xlfn.XLOOKUP($A145, HDFC!A:A, HDFC!B:B, "")</f>
        <v>530.98</v>
      </c>
      <c r="E145" s="4">
        <f>_xlfn.XLOOKUP($A145, ITC!A:A, ITC!B:B, "")</f>
        <v>196.7</v>
      </c>
      <c r="F145" s="4">
        <f>_xlfn.XLOOKUP($A145, TCS!A:A, TCS!B:B, "")</f>
        <v>2276.0500000000002</v>
      </c>
      <c r="G145" s="4">
        <f>_xlfn.XLOOKUP($A145, Infosys!A:A, Infosys!B:B,"")</f>
        <v>954.15</v>
      </c>
      <c r="H145" s="4">
        <f>_xlfn.XLOOKUP($A145, 'L &amp; T'!A:A, 'L &amp; T'!B:B, "")</f>
        <v>921.95</v>
      </c>
    </row>
    <row r="146" spans="1:8" x14ac:dyDescent="0.3">
      <c r="A146" s="1">
        <v>44042</v>
      </c>
      <c r="B146" s="4">
        <f>_xlfn.XLOOKUP($A146, 'Nifty 50'!A:A, 'Nifty 50'!B:B, "")</f>
        <v>11102.15</v>
      </c>
      <c r="C146" s="4">
        <f>_xlfn.XLOOKUP($A146, Reliance!A:A, Reliance!B:B, "")</f>
        <v>957.27</v>
      </c>
      <c r="D146" s="4">
        <f>_xlfn.XLOOKUP($A146, HDFC!A:A, HDFC!B:B, "")</f>
        <v>524.02</v>
      </c>
      <c r="E146" s="4">
        <f>_xlfn.XLOOKUP($A146, ITC!A:A, ITC!B:B, "")</f>
        <v>193.35</v>
      </c>
      <c r="F146" s="4">
        <f>_xlfn.XLOOKUP($A146, TCS!A:A, TCS!B:B, "")</f>
        <v>2279.5</v>
      </c>
      <c r="G146" s="4">
        <f>_xlfn.XLOOKUP($A146, Infosys!A:A, Infosys!B:B,"")</f>
        <v>961.45</v>
      </c>
      <c r="H146" s="4">
        <f>_xlfn.XLOOKUP($A146, 'L &amp; T'!A:A, 'L &amp; T'!B:B, "")</f>
        <v>908.25</v>
      </c>
    </row>
    <row r="147" spans="1:8" x14ac:dyDescent="0.3">
      <c r="A147" s="1">
        <v>44043</v>
      </c>
      <c r="B147" s="4">
        <f>_xlfn.XLOOKUP($A147, 'Nifty 50'!A:A, 'Nifty 50'!B:B, "")</f>
        <v>11073.45</v>
      </c>
      <c r="C147" s="4">
        <f>_xlfn.XLOOKUP($A147, Reliance!A:A, Reliance!B:B, "")</f>
        <v>938.32</v>
      </c>
      <c r="D147" s="4">
        <f>_xlfn.XLOOKUP($A147, HDFC!A:A, HDFC!B:B, "")</f>
        <v>515.12</v>
      </c>
      <c r="E147" s="4">
        <f>_xlfn.XLOOKUP($A147, ITC!A:A, ITC!B:B, "")</f>
        <v>194.15</v>
      </c>
      <c r="F147" s="4">
        <f>_xlfn.XLOOKUP($A147, TCS!A:A, TCS!B:B, "")</f>
        <v>2281.4</v>
      </c>
      <c r="G147" s="4">
        <f>_xlfn.XLOOKUP($A147, Infosys!A:A, Infosys!B:B,"")</f>
        <v>966</v>
      </c>
      <c r="H147" s="4">
        <f>_xlfn.XLOOKUP($A147, 'L &amp; T'!A:A, 'L &amp; T'!B:B, "")</f>
        <v>913.45</v>
      </c>
    </row>
    <row r="148" spans="1:8" x14ac:dyDescent="0.3">
      <c r="A148" s="1">
        <v>44046</v>
      </c>
      <c r="B148" s="4">
        <f>_xlfn.XLOOKUP($A148, 'Nifty 50'!A:A, 'Nifty 50'!B:B, "")</f>
        <v>10891.6</v>
      </c>
      <c r="C148" s="4">
        <f>_xlfn.XLOOKUP($A148, Reliance!A:A, Reliance!B:B, "")</f>
        <v>911.94</v>
      </c>
      <c r="D148" s="4">
        <f>_xlfn.XLOOKUP($A148, HDFC!A:A, HDFC!B:B, "")</f>
        <v>499.76</v>
      </c>
      <c r="E148" s="4">
        <f>_xlfn.XLOOKUP($A148, ITC!A:A, ITC!B:B, "")</f>
        <v>192.6</v>
      </c>
      <c r="F148" s="4">
        <f>_xlfn.XLOOKUP($A148, TCS!A:A, TCS!B:B, "")</f>
        <v>2254.15</v>
      </c>
      <c r="G148" s="4">
        <f>_xlfn.XLOOKUP($A148, Infosys!A:A, Infosys!B:B,"")</f>
        <v>956.9</v>
      </c>
      <c r="H148" s="4">
        <f>_xlfn.XLOOKUP($A148, 'L &amp; T'!A:A, 'L &amp; T'!B:B, "")</f>
        <v>915.9</v>
      </c>
    </row>
    <row r="149" spans="1:8" x14ac:dyDescent="0.3">
      <c r="A149" s="1">
        <v>44047</v>
      </c>
      <c r="B149" s="4">
        <f>_xlfn.XLOOKUP($A149, 'Nifty 50'!A:A, 'Nifty 50'!B:B, "")</f>
        <v>11095.25</v>
      </c>
      <c r="C149" s="4">
        <f>_xlfn.XLOOKUP($A149, Reliance!A:A, Reliance!B:B, "")</f>
        <v>976.22</v>
      </c>
      <c r="D149" s="4">
        <f>_xlfn.XLOOKUP($A149, HDFC!A:A, HDFC!B:B, "")</f>
        <v>519.53</v>
      </c>
      <c r="E149" s="4">
        <f>_xlfn.XLOOKUP($A149, ITC!A:A, ITC!B:B, "")</f>
        <v>193.65</v>
      </c>
      <c r="F149" s="4">
        <f>_xlfn.XLOOKUP($A149, TCS!A:A, TCS!B:B, "")</f>
        <v>2249.6999999999998</v>
      </c>
      <c r="G149" s="4">
        <f>_xlfn.XLOOKUP($A149, Infosys!A:A, Infosys!B:B,"")</f>
        <v>949.85</v>
      </c>
      <c r="H149" s="4">
        <f>_xlfn.XLOOKUP($A149, 'L &amp; T'!A:A, 'L &amp; T'!B:B, "")</f>
        <v>924.25</v>
      </c>
    </row>
    <row r="150" spans="1:8" x14ac:dyDescent="0.3">
      <c r="A150" s="1">
        <v>44048</v>
      </c>
      <c r="B150" s="4">
        <f>_xlfn.XLOOKUP($A150, 'Nifty 50'!A:A, 'Nifty 50'!B:B, "")</f>
        <v>11101.65</v>
      </c>
      <c r="C150" s="4">
        <f>_xlfn.XLOOKUP($A150, Reliance!A:A, Reliance!B:B, "")</f>
        <v>965.26</v>
      </c>
      <c r="D150" s="4">
        <f>_xlfn.XLOOKUP($A150, HDFC!A:A, HDFC!B:B, "")</f>
        <v>512.5</v>
      </c>
      <c r="E150" s="4">
        <f>_xlfn.XLOOKUP($A150, ITC!A:A, ITC!B:B, "")</f>
        <v>192.8</v>
      </c>
      <c r="F150" s="4">
        <f>_xlfn.XLOOKUP($A150, TCS!A:A, TCS!B:B, "")</f>
        <v>2259.5</v>
      </c>
      <c r="G150" s="4">
        <f>_xlfn.XLOOKUP($A150, Infosys!A:A, Infosys!B:B,"")</f>
        <v>944.7</v>
      </c>
      <c r="H150" s="4">
        <f>_xlfn.XLOOKUP($A150, 'L &amp; T'!A:A, 'L &amp; T'!B:B, "")</f>
        <v>925.75</v>
      </c>
    </row>
    <row r="151" spans="1:8" x14ac:dyDescent="0.3">
      <c r="A151" s="1">
        <v>44049</v>
      </c>
      <c r="B151" s="4">
        <f>_xlfn.XLOOKUP($A151, 'Nifty 50'!A:A, 'Nifty 50'!B:B, "")</f>
        <v>11200.15</v>
      </c>
      <c r="C151" s="4">
        <f>_xlfn.XLOOKUP($A151, Reliance!A:A, Reliance!B:B, "")</f>
        <v>968.73</v>
      </c>
      <c r="D151" s="4">
        <f>_xlfn.XLOOKUP($A151, HDFC!A:A, HDFC!B:B, "")</f>
        <v>519.05999999999995</v>
      </c>
      <c r="E151" s="4">
        <f>_xlfn.XLOOKUP($A151, ITC!A:A, ITC!B:B, "")</f>
        <v>195.35</v>
      </c>
      <c r="F151" s="4">
        <f>_xlfn.XLOOKUP($A151, TCS!A:A, TCS!B:B, "")</f>
        <v>2308.1</v>
      </c>
      <c r="G151" s="4">
        <f>_xlfn.XLOOKUP($A151, Infosys!A:A, Infosys!B:B,"")</f>
        <v>970.85</v>
      </c>
      <c r="H151" s="4">
        <f>_xlfn.XLOOKUP($A151, 'L &amp; T'!A:A, 'L &amp; T'!B:B, "")</f>
        <v>922.15</v>
      </c>
    </row>
    <row r="152" spans="1:8" x14ac:dyDescent="0.3">
      <c r="A152" s="1">
        <v>44050</v>
      </c>
      <c r="B152" s="4">
        <f>_xlfn.XLOOKUP($A152, 'Nifty 50'!A:A, 'Nifty 50'!B:B, "")</f>
        <v>11214.05</v>
      </c>
      <c r="C152" s="4">
        <f>_xlfn.XLOOKUP($A152, Reliance!A:A, Reliance!B:B, "")</f>
        <v>974.34</v>
      </c>
      <c r="D152" s="4">
        <f>_xlfn.XLOOKUP($A152, HDFC!A:A, HDFC!B:B, "")</f>
        <v>520.63</v>
      </c>
      <c r="E152" s="4">
        <f>_xlfn.XLOOKUP($A152, ITC!A:A, ITC!B:B, "")</f>
        <v>196.05</v>
      </c>
      <c r="F152" s="4">
        <f>_xlfn.XLOOKUP($A152, TCS!A:A, TCS!B:B, "")</f>
        <v>2295.35</v>
      </c>
      <c r="G152" s="4">
        <f>_xlfn.XLOOKUP($A152, Infosys!A:A, Infosys!B:B,"")</f>
        <v>950.9</v>
      </c>
      <c r="H152" s="4">
        <f>_xlfn.XLOOKUP($A152, 'L &amp; T'!A:A, 'L &amp; T'!B:B, "")</f>
        <v>915.65</v>
      </c>
    </row>
    <row r="153" spans="1:8" x14ac:dyDescent="0.3">
      <c r="A153" s="1">
        <v>44053</v>
      </c>
      <c r="B153" s="4">
        <f>_xlfn.XLOOKUP($A153, 'Nifty 50'!A:A, 'Nifty 50'!B:B, "")</f>
        <v>11270.15</v>
      </c>
      <c r="C153" s="4">
        <f>_xlfn.XLOOKUP($A153, Reliance!A:A, Reliance!B:B, "")</f>
        <v>962.26</v>
      </c>
      <c r="D153" s="4">
        <f>_xlfn.XLOOKUP($A153, HDFC!A:A, HDFC!B:B, "")</f>
        <v>524.02</v>
      </c>
      <c r="E153" s="4">
        <f>_xlfn.XLOOKUP($A153, ITC!A:A, ITC!B:B, "")</f>
        <v>198.85</v>
      </c>
      <c r="F153" s="4">
        <f>_xlfn.XLOOKUP($A153, TCS!A:A, TCS!B:B, "")</f>
        <v>2282.8000000000002</v>
      </c>
      <c r="G153" s="4">
        <f>_xlfn.XLOOKUP($A153, Infosys!A:A, Infosys!B:B,"")</f>
        <v>951.35</v>
      </c>
      <c r="H153" s="4">
        <f>_xlfn.XLOOKUP($A153, 'L &amp; T'!A:A, 'L &amp; T'!B:B, "")</f>
        <v>960.05</v>
      </c>
    </row>
    <row r="154" spans="1:8" x14ac:dyDescent="0.3">
      <c r="A154" s="1">
        <v>44054</v>
      </c>
      <c r="B154" s="4">
        <f>_xlfn.XLOOKUP($A154, 'Nifty 50'!A:A, 'Nifty 50'!B:B, "")</f>
        <v>11322.5</v>
      </c>
      <c r="C154" s="4">
        <f>_xlfn.XLOOKUP($A154, Reliance!A:A, Reliance!B:B, "")</f>
        <v>968.59</v>
      </c>
      <c r="D154" s="4">
        <f>_xlfn.XLOOKUP($A154, HDFC!A:A, HDFC!B:B, "")</f>
        <v>532</v>
      </c>
      <c r="E154" s="4">
        <f>_xlfn.XLOOKUP($A154, ITC!A:A, ITC!B:B, "")</f>
        <v>203.05</v>
      </c>
      <c r="F154" s="4">
        <f>_xlfn.XLOOKUP($A154, TCS!A:A, TCS!B:B, "")</f>
        <v>2279.9</v>
      </c>
      <c r="G154" s="4">
        <f>_xlfn.XLOOKUP($A154, Infosys!A:A, Infosys!B:B,"")</f>
        <v>948.45</v>
      </c>
      <c r="H154" s="4">
        <f>_xlfn.XLOOKUP($A154, 'L &amp; T'!A:A, 'L &amp; T'!B:B, "")</f>
        <v>961.9</v>
      </c>
    </row>
    <row r="155" spans="1:8" x14ac:dyDescent="0.3">
      <c r="A155" s="1">
        <v>44055</v>
      </c>
      <c r="B155" s="4">
        <f>_xlfn.XLOOKUP($A155, 'Nifty 50'!A:A, 'Nifty 50'!B:B, "")</f>
        <v>11308.4</v>
      </c>
      <c r="C155" s="4">
        <f>_xlfn.XLOOKUP($A155, Reliance!A:A, Reliance!B:B, "")</f>
        <v>965.78</v>
      </c>
      <c r="D155" s="4">
        <f>_xlfn.XLOOKUP($A155, HDFC!A:A, HDFC!B:B, "")</f>
        <v>530.53</v>
      </c>
      <c r="E155" s="4">
        <f>_xlfn.XLOOKUP($A155, ITC!A:A, ITC!B:B, "")</f>
        <v>204.2</v>
      </c>
      <c r="F155" s="4">
        <f>_xlfn.XLOOKUP($A155, TCS!A:A, TCS!B:B, "")</f>
        <v>2257.35</v>
      </c>
      <c r="G155" s="4">
        <f>_xlfn.XLOOKUP($A155, Infosys!A:A, Infosys!B:B,"")</f>
        <v>954.95</v>
      </c>
      <c r="H155" s="4">
        <f>_xlfn.XLOOKUP($A155, 'L &amp; T'!A:A, 'L &amp; T'!B:B, "")</f>
        <v>949.75</v>
      </c>
    </row>
    <row r="156" spans="1:8" x14ac:dyDescent="0.3">
      <c r="A156" s="1">
        <v>44056</v>
      </c>
      <c r="B156" s="4">
        <f>_xlfn.XLOOKUP($A156, 'Nifty 50'!A:A, 'Nifty 50'!B:B, "")</f>
        <v>11300.45</v>
      </c>
      <c r="C156" s="4">
        <f>_xlfn.XLOOKUP($A156, Reliance!A:A, Reliance!B:B, "")</f>
        <v>963.26</v>
      </c>
      <c r="D156" s="4">
        <f>_xlfn.XLOOKUP($A156, HDFC!A:A, HDFC!B:B, "")</f>
        <v>528.21</v>
      </c>
      <c r="E156" s="4">
        <f>_xlfn.XLOOKUP($A156, ITC!A:A, ITC!B:B, "")</f>
        <v>201.45</v>
      </c>
      <c r="F156" s="4">
        <f>_xlfn.XLOOKUP($A156, TCS!A:A, TCS!B:B, "")</f>
        <v>2254.4499999999998</v>
      </c>
      <c r="G156" s="4">
        <f>_xlfn.XLOOKUP($A156, Infosys!A:A, Infosys!B:B,"")</f>
        <v>951.2</v>
      </c>
      <c r="H156" s="4">
        <f>_xlfn.XLOOKUP($A156, 'L &amp; T'!A:A, 'L &amp; T'!B:B, "")</f>
        <v>990.7</v>
      </c>
    </row>
    <row r="157" spans="1:8" x14ac:dyDescent="0.3">
      <c r="A157" s="1">
        <v>44057</v>
      </c>
      <c r="B157" s="4">
        <f>_xlfn.XLOOKUP($A157, 'Nifty 50'!A:A, 'Nifty 50'!B:B, "")</f>
        <v>11178.4</v>
      </c>
      <c r="C157" s="4">
        <f>_xlfn.XLOOKUP($A157, Reliance!A:A, Reliance!B:B, "")</f>
        <v>959.52</v>
      </c>
      <c r="D157" s="4">
        <f>_xlfn.XLOOKUP($A157, HDFC!A:A, HDFC!B:B, "")</f>
        <v>515.94000000000005</v>
      </c>
      <c r="E157" s="4">
        <f>_xlfn.XLOOKUP($A157, ITC!A:A, ITC!B:B, "")</f>
        <v>196.4</v>
      </c>
      <c r="F157" s="4">
        <f>_xlfn.XLOOKUP($A157, TCS!A:A, TCS!B:B, "")</f>
        <v>2242.15</v>
      </c>
      <c r="G157" s="4">
        <f>_xlfn.XLOOKUP($A157, Infosys!A:A, Infosys!B:B,"")</f>
        <v>953.6</v>
      </c>
      <c r="H157" s="4">
        <f>_xlfn.XLOOKUP($A157, 'L &amp; T'!A:A, 'L &amp; T'!B:B, "")</f>
        <v>982.8</v>
      </c>
    </row>
    <row r="158" spans="1:8" x14ac:dyDescent="0.3">
      <c r="A158" s="1">
        <v>44060</v>
      </c>
      <c r="B158" s="4">
        <f>_xlfn.XLOOKUP($A158, 'Nifty 50'!A:A, 'Nifty 50'!B:B, "")</f>
        <v>11247.1</v>
      </c>
      <c r="C158" s="4">
        <f>_xlfn.XLOOKUP($A158, Reliance!A:A, Reliance!B:B, "")</f>
        <v>949.33</v>
      </c>
      <c r="D158" s="4">
        <f>_xlfn.XLOOKUP($A158, HDFC!A:A, HDFC!B:B, "")</f>
        <v>515.09</v>
      </c>
      <c r="E158" s="4">
        <f>_xlfn.XLOOKUP($A158, ITC!A:A, ITC!B:B, "")</f>
        <v>198.75</v>
      </c>
      <c r="F158" s="4">
        <f>_xlfn.XLOOKUP($A158, TCS!A:A, TCS!B:B, "")</f>
        <v>2253.4</v>
      </c>
      <c r="G158" s="4">
        <f>_xlfn.XLOOKUP($A158, Infosys!A:A, Infosys!B:B,"")</f>
        <v>957.5</v>
      </c>
      <c r="H158" s="4">
        <f>_xlfn.XLOOKUP($A158, 'L &amp; T'!A:A, 'L &amp; T'!B:B, "")</f>
        <v>1000.8</v>
      </c>
    </row>
    <row r="159" spans="1:8" x14ac:dyDescent="0.3">
      <c r="A159" s="1">
        <v>44061</v>
      </c>
      <c r="B159" s="4">
        <f>_xlfn.XLOOKUP($A159, 'Nifty 50'!A:A, 'Nifty 50'!B:B, "")</f>
        <v>11385.35</v>
      </c>
      <c r="C159" s="4">
        <f>_xlfn.XLOOKUP($A159, Reliance!A:A, Reliance!B:B, "")</f>
        <v>961.67</v>
      </c>
      <c r="D159" s="4">
        <f>_xlfn.XLOOKUP($A159, HDFC!A:A, HDFC!B:B, "")</f>
        <v>526.94000000000005</v>
      </c>
      <c r="E159" s="4">
        <f>_xlfn.XLOOKUP($A159, ITC!A:A, ITC!B:B, "")</f>
        <v>198.55</v>
      </c>
      <c r="F159" s="4">
        <f>_xlfn.XLOOKUP($A159, TCS!A:A, TCS!B:B, "")</f>
        <v>2269.75</v>
      </c>
      <c r="G159" s="4">
        <f>_xlfn.XLOOKUP($A159, Infosys!A:A, Infosys!B:B,"")</f>
        <v>967.55</v>
      </c>
      <c r="H159" s="4">
        <f>_xlfn.XLOOKUP($A159, 'L &amp; T'!A:A, 'L &amp; T'!B:B, "")</f>
        <v>1004.55</v>
      </c>
    </row>
    <row r="160" spans="1:8" x14ac:dyDescent="0.3">
      <c r="A160" s="1">
        <v>44062</v>
      </c>
      <c r="B160" s="4">
        <f>_xlfn.XLOOKUP($A160, 'Nifty 50'!A:A, 'Nifty 50'!B:B, "")</f>
        <v>11408.4</v>
      </c>
      <c r="C160" s="4">
        <f>_xlfn.XLOOKUP($A160, Reliance!A:A, Reliance!B:B, "")</f>
        <v>967.57</v>
      </c>
      <c r="D160" s="4">
        <f>_xlfn.XLOOKUP($A160, HDFC!A:A, HDFC!B:B, "")</f>
        <v>531.98</v>
      </c>
      <c r="E160" s="4">
        <f>_xlfn.XLOOKUP($A160, ITC!A:A, ITC!B:B, "")</f>
        <v>198.45</v>
      </c>
      <c r="F160" s="4">
        <f>_xlfn.XLOOKUP($A160, TCS!A:A, TCS!B:B, "")</f>
        <v>2256.6</v>
      </c>
      <c r="G160" s="4">
        <f>_xlfn.XLOOKUP($A160, Infosys!A:A, Infosys!B:B,"")</f>
        <v>959.3</v>
      </c>
      <c r="H160" s="4">
        <f>_xlfn.XLOOKUP($A160, 'L &amp; T'!A:A, 'L &amp; T'!B:B, "")</f>
        <v>1009.1</v>
      </c>
    </row>
    <row r="161" spans="1:8" x14ac:dyDescent="0.3">
      <c r="A161" s="1">
        <v>44063</v>
      </c>
      <c r="B161" s="4">
        <f>_xlfn.XLOOKUP($A161, 'Nifty 50'!A:A, 'Nifty 50'!B:B, "")</f>
        <v>11312.2</v>
      </c>
      <c r="C161" s="4">
        <f>_xlfn.XLOOKUP($A161, Reliance!A:A, Reliance!B:B, "")</f>
        <v>951.91</v>
      </c>
      <c r="D161" s="4">
        <f>_xlfn.XLOOKUP($A161, HDFC!A:A, HDFC!B:B, "")</f>
        <v>528.19000000000005</v>
      </c>
      <c r="E161" s="4">
        <f>_xlfn.XLOOKUP($A161, ITC!A:A, ITC!B:B, "")</f>
        <v>195.8</v>
      </c>
      <c r="F161" s="4">
        <f>_xlfn.XLOOKUP($A161, TCS!A:A, TCS!B:B, "")</f>
        <v>2252.85</v>
      </c>
      <c r="G161" s="4">
        <f>_xlfn.XLOOKUP($A161, Infosys!A:A, Infosys!B:B,"")</f>
        <v>955.15</v>
      </c>
      <c r="H161" s="4">
        <f>_xlfn.XLOOKUP($A161, 'L &amp; T'!A:A, 'L &amp; T'!B:B, "")</f>
        <v>995.75</v>
      </c>
    </row>
    <row r="162" spans="1:8" x14ac:dyDescent="0.3">
      <c r="A162" s="1">
        <v>44064</v>
      </c>
      <c r="B162" s="4">
        <f>_xlfn.XLOOKUP($A162, 'Nifty 50'!A:A, 'Nifty 50'!B:B, "")</f>
        <v>11371.6</v>
      </c>
      <c r="C162" s="4">
        <f>_xlfn.XLOOKUP($A162, Reliance!A:A, Reliance!B:B, "")</f>
        <v>945.01</v>
      </c>
      <c r="D162" s="4">
        <f>_xlfn.XLOOKUP($A162, HDFC!A:A, HDFC!B:B, "")</f>
        <v>541.48</v>
      </c>
      <c r="E162" s="4">
        <f>_xlfn.XLOOKUP($A162, ITC!A:A, ITC!B:B, "")</f>
        <v>196.8</v>
      </c>
      <c r="F162" s="4">
        <f>_xlfn.XLOOKUP($A162, TCS!A:A, TCS!B:B, "")</f>
        <v>2248.6</v>
      </c>
      <c r="G162" s="4">
        <f>_xlfn.XLOOKUP($A162, Infosys!A:A, Infosys!B:B,"")</f>
        <v>948.8</v>
      </c>
      <c r="H162" s="4">
        <f>_xlfn.XLOOKUP($A162, 'L &amp; T'!A:A, 'L &amp; T'!B:B, "")</f>
        <v>994.15</v>
      </c>
    </row>
    <row r="163" spans="1:8" x14ac:dyDescent="0.3">
      <c r="A163" s="1">
        <v>44067</v>
      </c>
      <c r="B163" s="4">
        <f>_xlfn.XLOOKUP($A163, 'Nifty 50'!A:A, 'Nifty 50'!B:B, "")</f>
        <v>11466.45</v>
      </c>
      <c r="C163" s="4">
        <f>_xlfn.XLOOKUP($A163, Reliance!A:A, Reliance!B:B, "")</f>
        <v>951.32</v>
      </c>
      <c r="D163" s="4">
        <f>_xlfn.XLOOKUP($A163, HDFC!A:A, HDFC!B:B, "")</f>
        <v>557.14</v>
      </c>
      <c r="E163" s="4">
        <f>_xlfn.XLOOKUP($A163, ITC!A:A, ITC!B:B, "")</f>
        <v>196.7</v>
      </c>
      <c r="F163" s="4">
        <f>_xlfn.XLOOKUP($A163, TCS!A:A, TCS!B:B, "")</f>
        <v>2248.1</v>
      </c>
      <c r="G163" s="4">
        <f>_xlfn.XLOOKUP($A163, Infosys!A:A, Infosys!B:B,"")</f>
        <v>947.4</v>
      </c>
      <c r="H163" s="4">
        <f>_xlfn.XLOOKUP($A163, 'L &amp; T'!A:A, 'L &amp; T'!B:B, "")</f>
        <v>991.35</v>
      </c>
    </row>
    <row r="164" spans="1:8" x14ac:dyDescent="0.3">
      <c r="A164" s="1">
        <v>44068</v>
      </c>
      <c r="B164" s="4">
        <f>_xlfn.XLOOKUP($A164, 'Nifty 50'!A:A, 'Nifty 50'!B:B, "")</f>
        <v>11472.25</v>
      </c>
      <c r="C164" s="4">
        <f>_xlfn.XLOOKUP($A164, Reliance!A:A, Reliance!B:B, "")</f>
        <v>945.13</v>
      </c>
      <c r="D164" s="4">
        <f>_xlfn.XLOOKUP($A164, HDFC!A:A, HDFC!B:B, "")</f>
        <v>558.46</v>
      </c>
      <c r="E164" s="4">
        <f>_xlfn.XLOOKUP($A164, ITC!A:A, ITC!B:B, "")</f>
        <v>195.4</v>
      </c>
      <c r="F164" s="4">
        <f>_xlfn.XLOOKUP($A164, TCS!A:A, TCS!B:B, "")</f>
        <v>2242.65</v>
      </c>
      <c r="G164" s="4">
        <f>_xlfn.XLOOKUP($A164, Infosys!A:A, Infosys!B:B,"")</f>
        <v>938.1</v>
      </c>
      <c r="H164" s="4">
        <f>_xlfn.XLOOKUP($A164, 'L &amp; T'!A:A, 'L &amp; T'!B:B, "")</f>
        <v>980.4</v>
      </c>
    </row>
    <row r="165" spans="1:8" x14ac:dyDescent="0.3">
      <c r="A165" s="1">
        <v>44069</v>
      </c>
      <c r="B165" s="4">
        <f>_xlfn.XLOOKUP($A165, 'Nifty 50'!A:A, 'Nifty 50'!B:B, "")</f>
        <v>11549.6</v>
      </c>
      <c r="C165" s="4">
        <f>_xlfn.XLOOKUP($A165, Reliance!A:A, Reliance!B:B, "")</f>
        <v>970.18</v>
      </c>
      <c r="D165" s="4">
        <f>_xlfn.XLOOKUP($A165, HDFC!A:A, HDFC!B:B, "")</f>
        <v>557.84</v>
      </c>
      <c r="E165" s="4">
        <f>_xlfn.XLOOKUP($A165, ITC!A:A, ITC!B:B, "")</f>
        <v>194.95</v>
      </c>
      <c r="F165" s="4">
        <f>_xlfn.XLOOKUP($A165, TCS!A:A, TCS!B:B, "")</f>
        <v>2253.5</v>
      </c>
      <c r="G165" s="4">
        <f>_xlfn.XLOOKUP($A165, Infosys!A:A, Infosys!B:B,"")</f>
        <v>950.8</v>
      </c>
      <c r="H165" s="4">
        <f>_xlfn.XLOOKUP($A165, 'L &amp; T'!A:A, 'L &amp; T'!B:B, "")</f>
        <v>968.95</v>
      </c>
    </row>
    <row r="166" spans="1:8" x14ac:dyDescent="0.3">
      <c r="A166" s="1">
        <v>44070</v>
      </c>
      <c r="B166" s="4">
        <f>_xlfn.XLOOKUP($A166, 'Nifty 50'!A:A, 'Nifty 50'!B:B, "")</f>
        <v>11559.25</v>
      </c>
      <c r="C166" s="4">
        <f>_xlfn.XLOOKUP($A166, Reliance!A:A, Reliance!B:B, "")</f>
        <v>958.06</v>
      </c>
      <c r="D166" s="4">
        <f>_xlfn.XLOOKUP($A166, HDFC!A:A, HDFC!B:B, "")</f>
        <v>554.66999999999996</v>
      </c>
      <c r="E166" s="4">
        <f>_xlfn.XLOOKUP($A166, ITC!A:A, ITC!B:B, "")</f>
        <v>194.25</v>
      </c>
      <c r="F166" s="4">
        <f>_xlfn.XLOOKUP($A166, TCS!A:A, TCS!B:B, "")</f>
        <v>2248.4</v>
      </c>
      <c r="G166" s="4">
        <f>_xlfn.XLOOKUP($A166, Infosys!A:A, Infosys!B:B,"")</f>
        <v>947.05</v>
      </c>
      <c r="H166" s="4">
        <f>_xlfn.XLOOKUP($A166, 'L &amp; T'!A:A, 'L &amp; T'!B:B, "")</f>
        <v>975.6</v>
      </c>
    </row>
    <row r="167" spans="1:8" x14ac:dyDescent="0.3">
      <c r="A167" s="1">
        <v>44071</v>
      </c>
      <c r="B167" s="4">
        <f>_xlfn.XLOOKUP($A167, 'Nifty 50'!A:A, 'Nifty 50'!B:B, "")</f>
        <v>11647.6</v>
      </c>
      <c r="C167" s="4">
        <f>_xlfn.XLOOKUP($A167, Reliance!A:A, Reliance!B:B, "")</f>
        <v>960.58</v>
      </c>
      <c r="D167" s="4">
        <f>_xlfn.XLOOKUP($A167, HDFC!A:A, HDFC!B:B, "")</f>
        <v>555.87</v>
      </c>
      <c r="E167" s="4">
        <f>_xlfn.XLOOKUP($A167, ITC!A:A, ITC!B:B, "")</f>
        <v>195.55</v>
      </c>
      <c r="F167" s="4">
        <f>_xlfn.XLOOKUP($A167, TCS!A:A, TCS!B:B, "")</f>
        <v>2238.5500000000002</v>
      </c>
      <c r="G167" s="4">
        <f>_xlfn.XLOOKUP($A167, Infosys!A:A, Infosys!B:B,"")</f>
        <v>935.25</v>
      </c>
      <c r="H167" s="4">
        <f>_xlfn.XLOOKUP($A167, 'L &amp; T'!A:A, 'L &amp; T'!B:B, "")</f>
        <v>981.85</v>
      </c>
    </row>
    <row r="168" spans="1:8" x14ac:dyDescent="0.3">
      <c r="A168" s="1">
        <v>44074</v>
      </c>
      <c r="B168" s="4">
        <f>_xlfn.XLOOKUP($A168, 'Nifty 50'!A:A, 'Nifty 50'!B:B, "")</f>
        <v>11387.5</v>
      </c>
      <c r="C168" s="4">
        <f>_xlfn.XLOOKUP($A168, Reliance!A:A, Reliance!B:B, "")</f>
        <v>944.49</v>
      </c>
      <c r="D168" s="4">
        <f>_xlfn.XLOOKUP($A168, HDFC!A:A, HDFC!B:B, "")</f>
        <v>556.54</v>
      </c>
      <c r="E168" s="4">
        <f>_xlfn.XLOOKUP($A168, ITC!A:A, ITC!B:B, "")</f>
        <v>191.1</v>
      </c>
      <c r="F168" s="4">
        <f>_xlfn.XLOOKUP($A168, TCS!A:A, TCS!B:B, "")</f>
        <v>2257.25</v>
      </c>
      <c r="G168" s="4">
        <f>_xlfn.XLOOKUP($A168, Infosys!A:A, Infosys!B:B,"")</f>
        <v>928.6</v>
      </c>
      <c r="H168" s="4">
        <f>_xlfn.XLOOKUP($A168, 'L &amp; T'!A:A, 'L &amp; T'!B:B, "")</f>
        <v>944.95</v>
      </c>
    </row>
    <row r="169" spans="1:8" x14ac:dyDescent="0.3">
      <c r="A169" s="1">
        <v>44075</v>
      </c>
      <c r="B169" s="4">
        <f>_xlfn.XLOOKUP($A169, 'Nifty 50'!A:A, 'Nifty 50'!B:B, "")</f>
        <v>11470.25</v>
      </c>
      <c r="C169" s="4">
        <f>_xlfn.XLOOKUP($A169, Reliance!A:A, Reliance!B:B, "")</f>
        <v>947.46</v>
      </c>
      <c r="D169" s="4">
        <f>_xlfn.XLOOKUP($A169, HDFC!A:A, HDFC!B:B, "")</f>
        <v>562.25</v>
      </c>
      <c r="E169" s="4">
        <f>_xlfn.XLOOKUP($A169, ITC!A:A, ITC!B:B, "")</f>
        <v>190.2</v>
      </c>
      <c r="F169" s="4">
        <f>_xlfn.XLOOKUP($A169, TCS!A:A, TCS!B:B, "")</f>
        <v>2246.35</v>
      </c>
      <c r="G169" s="4">
        <f>_xlfn.XLOOKUP($A169, Infosys!A:A, Infosys!B:B,"")</f>
        <v>914.15</v>
      </c>
      <c r="H169" s="4">
        <f>_xlfn.XLOOKUP($A169, 'L &amp; T'!A:A, 'L &amp; T'!B:B, "")</f>
        <v>955.2</v>
      </c>
    </row>
    <row r="170" spans="1:8" x14ac:dyDescent="0.3">
      <c r="A170" s="1">
        <v>44076</v>
      </c>
      <c r="B170" s="4">
        <f>_xlfn.XLOOKUP($A170, 'Nifty 50'!A:A, 'Nifty 50'!B:B, "")</f>
        <v>11535</v>
      </c>
      <c r="C170" s="4">
        <f>_xlfn.XLOOKUP($A170, Reliance!A:A, Reliance!B:B, "")</f>
        <v>966.05</v>
      </c>
      <c r="D170" s="4">
        <f>_xlfn.XLOOKUP($A170, HDFC!A:A, HDFC!B:B, "")</f>
        <v>565.66999999999996</v>
      </c>
      <c r="E170" s="4">
        <f>_xlfn.XLOOKUP($A170, ITC!A:A, ITC!B:B, "")</f>
        <v>191.35</v>
      </c>
      <c r="F170" s="4">
        <f>_xlfn.XLOOKUP($A170, TCS!A:A, TCS!B:B, "")</f>
        <v>2265.15</v>
      </c>
      <c r="G170" s="4">
        <f>_xlfn.XLOOKUP($A170, Infosys!A:A, Infosys!B:B,"")</f>
        <v>924</v>
      </c>
      <c r="H170" s="4">
        <f>_xlfn.XLOOKUP($A170, 'L &amp; T'!A:A, 'L &amp; T'!B:B, "")</f>
        <v>955.55</v>
      </c>
    </row>
    <row r="171" spans="1:8" x14ac:dyDescent="0.3">
      <c r="A171" s="1">
        <v>44077</v>
      </c>
      <c r="B171" s="4">
        <f>_xlfn.XLOOKUP($A171, 'Nifty 50'!A:A, 'Nifty 50'!B:B, "")</f>
        <v>11527.45</v>
      </c>
      <c r="C171" s="4">
        <f>_xlfn.XLOOKUP($A171, Reliance!A:A, Reliance!B:B, "")</f>
        <v>958.74</v>
      </c>
      <c r="D171" s="4">
        <f>_xlfn.XLOOKUP($A171, HDFC!A:A, HDFC!B:B, "")</f>
        <v>564.04999999999995</v>
      </c>
      <c r="E171" s="4">
        <f>_xlfn.XLOOKUP($A171, ITC!A:A, ITC!B:B, "")</f>
        <v>191.6</v>
      </c>
      <c r="F171" s="4">
        <f>_xlfn.XLOOKUP($A171, TCS!A:A, TCS!B:B, "")</f>
        <v>2299.5</v>
      </c>
      <c r="G171" s="4">
        <f>_xlfn.XLOOKUP($A171, Infosys!A:A, Infosys!B:B,"")</f>
        <v>935.55</v>
      </c>
      <c r="H171" s="4">
        <f>_xlfn.XLOOKUP($A171, 'L &amp; T'!A:A, 'L &amp; T'!B:B, "")</f>
        <v>961.15</v>
      </c>
    </row>
    <row r="172" spans="1:8" x14ac:dyDescent="0.3">
      <c r="A172" s="1">
        <v>44078</v>
      </c>
      <c r="B172" s="4">
        <f>_xlfn.XLOOKUP($A172, 'Nifty 50'!A:A, 'Nifty 50'!B:B, "")</f>
        <v>11333.85</v>
      </c>
      <c r="C172" s="4">
        <f>_xlfn.XLOOKUP($A172, Reliance!A:A, Reliance!B:B, "")</f>
        <v>942.93</v>
      </c>
      <c r="D172" s="4">
        <f>_xlfn.XLOOKUP($A172, HDFC!A:A, HDFC!B:B, "")</f>
        <v>558.26</v>
      </c>
      <c r="E172" s="4">
        <f>_xlfn.XLOOKUP($A172, ITC!A:A, ITC!B:B, "")</f>
        <v>186.7</v>
      </c>
      <c r="F172" s="4">
        <f>_xlfn.XLOOKUP($A172, TCS!A:A, TCS!B:B, "")</f>
        <v>2288.8000000000002</v>
      </c>
      <c r="G172" s="4">
        <f>_xlfn.XLOOKUP($A172, Infosys!A:A, Infosys!B:B,"")</f>
        <v>919.15</v>
      </c>
      <c r="H172" s="4">
        <f>_xlfn.XLOOKUP($A172, 'L &amp; T'!A:A, 'L &amp; T'!B:B, "")</f>
        <v>942.5</v>
      </c>
    </row>
    <row r="173" spans="1:8" x14ac:dyDescent="0.3">
      <c r="A173" s="1">
        <v>44081</v>
      </c>
      <c r="B173" s="4">
        <f>_xlfn.XLOOKUP($A173, 'Nifty 50'!A:A, 'Nifty 50'!B:B, "")</f>
        <v>11355.05</v>
      </c>
      <c r="C173" s="4">
        <f>_xlfn.XLOOKUP($A173, Reliance!A:A, Reliance!B:B, "")</f>
        <v>945.38</v>
      </c>
      <c r="D173" s="4">
        <f>_xlfn.XLOOKUP($A173, HDFC!A:A, HDFC!B:B, "")</f>
        <v>553.87</v>
      </c>
      <c r="E173" s="4">
        <f>_xlfn.XLOOKUP($A173, ITC!A:A, ITC!B:B, "")</f>
        <v>189.1</v>
      </c>
      <c r="F173" s="4">
        <f>_xlfn.XLOOKUP($A173, TCS!A:A, TCS!B:B, "")</f>
        <v>2327.0500000000002</v>
      </c>
      <c r="G173" s="4">
        <f>_xlfn.XLOOKUP($A173, Infosys!A:A, Infosys!B:B,"")</f>
        <v>925.05</v>
      </c>
      <c r="H173" s="4">
        <f>_xlfn.XLOOKUP($A173, 'L &amp; T'!A:A, 'L &amp; T'!B:B, "")</f>
        <v>932.15</v>
      </c>
    </row>
    <row r="174" spans="1:8" x14ac:dyDescent="0.3">
      <c r="A174" s="1">
        <v>44082</v>
      </c>
      <c r="B174" s="4">
        <f>_xlfn.XLOOKUP($A174, 'Nifty 50'!A:A, 'Nifty 50'!B:B, "")</f>
        <v>11317.35</v>
      </c>
      <c r="C174" s="4">
        <f>_xlfn.XLOOKUP($A174, Reliance!A:A, Reliance!B:B, "")</f>
        <v>956.47</v>
      </c>
      <c r="D174" s="4">
        <f>_xlfn.XLOOKUP($A174, HDFC!A:A, HDFC!B:B, "")</f>
        <v>554.84</v>
      </c>
      <c r="E174" s="4">
        <f>_xlfn.XLOOKUP($A174, ITC!A:A, ITC!B:B, "")</f>
        <v>188.15</v>
      </c>
      <c r="F174" s="4">
        <f>_xlfn.XLOOKUP($A174, TCS!A:A, TCS!B:B, "")</f>
        <v>2348.1999999999998</v>
      </c>
      <c r="G174" s="4">
        <f>_xlfn.XLOOKUP($A174, Infosys!A:A, Infosys!B:B,"")</f>
        <v>939.3</v>
      </c>
      <c r="H174" s="4">
        <f>_xlfn.XLOOKUP($A174, 'L &amp; T'!A:A, 'L &amp; T'!B:B, "")</f>
        <v>916.7</v>
      </c>
    </row>
    <row r="175" spans="1:8" x14ac:dyDescent="0.3">
      <c r="A175" s="1">
        <v>44083</v>
      </c>
      <c r="B175" s="4">
        <f>_xlfn.XLOOKUP($A175, 'Nifty 50'!A:A, 'Nifty 50'!B:B, "")</f>
        <v>11278</v>
      </c>
      <c r="C175" s="4">
        <f>_xlfn.XLOOKUP($A175, Reliance!A:A, Reliance!B:B, "")</f>
        <v>981.1</v>
      </c>
      <c r="D175" s="4">
        <f>_xlfn.XLOOKUP($A175, HDFC!A:A, HDFC!B:B, "")</f>
        <v>546.89</v>
      </c>
      <c r="E175" s="4">
        <f>_xlfn.XLOOKUP($A175, ITC!A:A, ITC!B:B, "")</f>
        <v>183.8</v>
      </c>
      <c r="F175" s="4">
        <f>_xlfn.XLOOKUP($A175, TCS!A:A, TCS!B:B, "")</f>
        <v>2327.65</v>
      </c>
      <c r="G175" s="4">
        <f>_xlfn.XLOOKUP($A175, Infosys!A:A, Infosys!B:B,"")</f>
        <v>927.75</v>
      </c>
      <c r="H175" s="4">
        <f>_xlfn.XLOOKUP($A175, 'L &amp; T'!A:A, 'L &amp; T'!B:B, "")</f>
        <v>909.5</v>
      </c>
    </row>
    <row r="176" spans="1:8" x14ac:dyDescent="0.3">
      <c r="A176" s="1">
        <v>44084</v>
      </c>
      <c r="B176" s="4">
        <f>_xlfn.XLOOKUP($A176, 'Nifty 50'!A:A, 'Nifty 50'!B:B, "")</f>
        <v>11449.25</v>
      </c>
      <c r="C176" s="4">
        <f>_xlfn.XLOOKUP($A176, Reliance!A:A, Reliance!B:B, "")</f>
        <v>1050.3900000000001</v>
      </c>
      <c r="D176" s="4">
        <f>_xlfn.XLOOKUP($A176, HDFC!A:A, HDFC!B:B, "")</f>
        <v>543.91999999999996</v>
      </c>
      <c r="E176" s="4">
        <f>_xlfn.XLOOKUP($A176, ITC!A:A, ITC!B:B, "")</f>
        <v>184.9</v>
      </c>
      <c r="F176" s="4">
        <f>_xlfn.XLOOKUP($A176, TCS!A:A, TCS!B:B, "")</f>
        <v>2331.15</v>
      </c>
      <c r="G176" s="4">
        <f>_xlfn.XLOOKUP($A176, Infosys!A:A, Infosys!B:B,"")</f>
        <v>940.05</v>
      </c>
      <c r="H176" s="4">
        <f>_xlfn.XLOOKUP($A176, 'L &amp; T'!A:A, 'L &amp; T'!B:B, "")</f>
        <v>920.95</v>
      </c>
    </row>
    <row r="177" spans="1:8" x14ac:dyDescent="0.3">
      <c r="A177" s="1">
        <v>44085</v>
      </c>
      <c r="B177" s="4">
        <f>_xlfn.XLOOKUP($A177, 'Nifty 50'!A:A, 'Nifty 50'!B:B, "")</f>
        <v>11464.45</v>
      </c>
      <c r="C177" s="4">
        <f>_xlfn.XLOOKUP($A177, Reliance!A:A, Reliance!B:B, "")</f>
        <v>1053</v>
      </c>
      <c r="D177" s="4">
        <f>_xlfn.XLOOKUP($A177, HDFC!A:A, HDFC!B:B, "")</f>
        <v>537.99</v>
      </c>
      <c r="E177" s="4">
        <f>_xlfn.XLOOKUP($A177, ITC!A:A, ITC!B:B, "")</f>
        <v>183.95</v>
      </c>
      <c r="F177" s="4">
        <f>_xlfn.XLOOKUP($A177, TCS!A:A, TCS!B:B, "")</f>
        <v>2374.1</v>
      </c>
      <c r="G177" s="4">
        <f>_xlfn.XLOOKUP($A177, Infosys!A:A, Infosys!B:B,"")</f>
        <v>945.7</v>
      </c>
      <c r="H177" s="4">
        <f>_xlfn.XLOOKUP($A177, 'L &amp; T'!A:A, 'L &amp; T'!B:B, "")</f>
        <v>917.4</v>
      </c>
    </row>
    <row r="178" spans="1:8" x14ac:dyDescent="0.3">
      <c r="A178" s="1">
        <v>44088</v>
      </c>
      <c r="B178" s="4">
        <f>_xlfn.XLOOKUP($A178, 'Nifty 50'!A:A, 'Nifty 50'!B:B, "")</f>
        <v>11440.05</v>
      </c>
      <c r="C178" s="4">
        <f>_xlfn.XLOOKUP($A178, Reliance!A:A, Reliance!B:B, "")</f>
        <v>1045.2</v>
      </c>
      <c r="D178" s="4">
        <f>_xlfn.XLOOKUP($A178, HDFC!A:A, HDFC!B:B, "")</f>
        <v>527.66</v>
      </c>
      <c r="E178" s="4">
        <f>_xlfn.XLOOKUP($A178, ITC!A:A, ITC!B:B, "")</f>
        <v>183.35</v>
      </c>
      <c r="F178" s="4">
        <f>_xlfn.XLOOKUP($A178, TCS!A:A, TCS!B:B, "")</f>
        <v>2491.4</v>
      </c>
      <c r="G178" s="4">
        <f>_xlfn.XLOOKUP($A178, Infosys!A:A, Infosys!B:B,"")</f>
        <v>978.4</v>
      </c>
      <c r="H178" s="4">
        <f>_xlfn.XLOOKUP($A178, 'L &amp; T'!A:A, 'L &amp; T'!B:B, "")</f>
        <v>902.1</v>
      </c>
    </row>
    <row r="179" spans="1:8" x14ac:dyDescent="0.3">
      <c r="A179" s="1">
        <v>44089</v>
      </c>
      <c r="B179" s="4">
        <f>_xlfn.XLOOKUP($A179, 'Nifty 50'!A:A, 'Nifty 50'!B:B, "")</f>
        <v>11521.8</v>
      </c>
      <c r="C179" s="4">
        <f>_xlfn.XLOOKUP($A179, Reliance!A:A, Reliance!B:B, "")</f>
        <v>1052.5899999999999</v>
      </c>
      <c r="D179" s="4">
        <f>_xlfn.XLOOKUP($A179, HDFC!A:A, HDFC!B:B, "")</f>
        <v>533.91999999999996</v>
      </c>
      <c r="E179" s="4">
        <f>_xlfn.XLOOKUP($A179, ITC!A:A, ITC!B:B, "")</f>
        <v>181.8</v>
      </c>
      <c r="F179" s="4">
        <f>_xlfn.XLOOKUP($A179, TCS!A:A, TCS!B:B, "")</f>
        <v>2491.4</v>
      </c>
      <c r="G179" s="4">
        <f>_xlfn.XLOOKUP($A179, Infosys!A:A, Infosys!B:B,"")</f>
        <v>982.45</v>
      </c>
      <c r="H179" s="4">
        <f>_xlfn.XLOOKUP($A179, 'L &amp; T'!A:A, 'L &amp; T'!B:B, "")</f>
        <v>909.95</v>
      </c>
    </row>
    <row r="180" spans="1:8" x14ac:dyDescent="0.3">
      <c r="A180" s="1">
        <v>44090</v>
      </c>
      <c r="B180" s="4">
        <f>_xlfn.XLOOKUP($A180, 'Nifty 50'!A:A, 'Nifty 50'!B:B, "")</f>
        <v>11604.55</v>
      </c>
      <c r="C180" s="4">
        <f>_xlfn.XLOOKUP($A180, Reliance!A:A, Reliance!B:B, "")</f>
        <v>1055.18</v>
      </c>
      <c r="D180" s="4">
        <f>_xlfn.XLOOKUP($A180, HDFC!A:A, HDFC!B:B, "")</f>
        <v>545.47</v>
      </c>
      <c r="E180" s="4">
        <f>_xlfn.XLOOKUP($A180, ITC!A:A, ITC!B:B, "")</f>
        <v>180.65</v>
      </c>
      <c r="F180" s="4">
        <f>_xlfn.XLOOKUP($A180, TCS!A:A, TCS!B:B, "")</f>
        <v>2503</v>
      </c>
      <c r="G180" s="4">
        <f>_xlfn.XLOOKUP($A180, Infosys!A:A, Infosys!B:B,"")</f>
        <v>1001.75</v>
      </c>
      <c r="H180" s="4">
        <f>_xlfn.XLOOKUP($A180, 'L &amp; T'!A:A, 'L &amp; T'!B:B, "")</f>
        <v>921.8</v>
      </c>
    </row>
    <row r="181" spans="1:8" x14ac:dyDescent="0.3">
      <c r="A181" s="1">
        <v>44091</v>
      </c>
      <c r="B181" s="4">
        <f>_xlfn.XLOOKUP($A181, 'Nifty 50'!A:A, 'Nifty 50'!B:B, "")</f>
        <v>11516.1</v>
      </c>
      <c r="C181" s="4">
        <f>_xlfn.XLOOKUP($A181, Reliance!A:A, Reliance!B:B, "")</f>
        <v>1043.47</v>
      </c>
      <c r="D181" s="4">
        <f>_xlfn.XLOOKUP($A181, HDFC!A:A, HDFC!B:B, "")</f>
        <v>540.46</v>
      </c>
      <c r="E181" s="4">
        <f>_xlfn.XLOOKUP($A181, ITC!A:A, ITC!B:B, "")</f>
        <v>178.6</v>
      </c>
      <c r="F181" s="4">
        <f>_xlfn.XLOOKUP($A181, TCS!A:A, TCS!B:B, "")</f>
        <v>2460.9499999999998</v>
      </c>
      <c r="G181" s="4">
        <f>_xlfn.XLOOKUP($A181, Infosys!A:A, Infosys!B:B,"")</f>
        <v>1011</v>
      </c>
      <c r="H181" s="4">
        <f>_xlfn.XLOOKUP($A181, 'L &amp; T'!A:A, 'L &amp; T'!B:B, "")</f>
        <v>906.3</v>
      </c>
    </row>
    <row r="182" spans="1:8" x14ac:dyDescent="0.3">
      <c r="A182" s="1">
        <v>44092</v>
      </c>
      <c r="B182" s="4">
        <f>_xlfn.XLOOKUP($A182, 'Nifty 50'!A:A, 'Nifty 50'!B:B, "")</f>
        <v>11504.95</v>
      </c>
      <c r="C182" s="4">
        <f>_xlfn.XLOOKUP($A182, Reliance!A:A, Reliance!B:B, "")</f>
        <v>1046.6300000000001</v>
      </c>
      <c r="D182" s="4">
        <f>_xlfn.XLOOKUP($A182, HDFC!A:A, HDFC!B:B, "")</f>
        <v>527.34</v>
      </c>
      <c r="E182" s="4">
        <f>_xlfn.XLOOKUP($A182, ITC!A:A, ITC!B:B, "")</f>
        <v>179.1</v>
      </c>
      <c r="F182" s="4">
        <f>_xlfn.XLOOKUP($A182, TCS!A:A, TCS!B:B, "")</f>
        <v>2449.9</v>
      </c>
      <c r="G182" s="4">
        <f>_xlfn.XLOOKUP($A182, Infosys!A:A, Infosys!B:B,"")</f>
        <v>1002.15</v>
      </c>
      <c r="H182" s="4">
        <f>_xlfn.XLOOKUP($A182, 'L &amp; T'!A:A, 'L &amp; T'!B:B, "")</f>
        <v>900.7</v>
      </c>
    </row>
    <row r="183" spans="1:8" x14ac:dyDescent="0.3">
      <c r="A183" s="1">
        <v>44095</v>
      </c>
      <c r="B183" s="4">
        <f>_xlfn.XLOOKUP($A183, 'Nifty 50'!A:A, 'Nifty 50'!B:B, "")</f>
        <v>11250.55</v>
      </c>
      <c r="C183" s="4">
        <f>_xlfn.XLOOKUP($A183, Reliance!A:A, Reliance!B:B, "")</f>
        <v>1024</v>
      </c>
      <c r="D183" s="4">
        <f>_xlfn.XLOOKUP($A183, HDFC!A:A, HDFC!B:B, "")</f>
        <v>523.35</v>
      </c>
      <c r="E183" s="4">
        <f>_xlfn.XLOOKUP($A183, ITC!A:A, ITC!B:B, "")</f>
        <v>175.75</v>
      </c>
      <c r="F183" s="4">
        <f>_xlfn.XLOOKUP($A183, TCS!A:A, TCS!B:B, "")</f>
        <v>2465.3000000000002</v>
      </c>
      <c r="G183" s="4">
        <f>_xlfn.XLOOKUP($A183, Infosys!A:A, Infosys!B:B,"")</f>
        <v>1009.9</v>
      </c>
      <c r="H183" s="4">
        <f>_xlfn.XLOOKUP($A183, 'L &amp; T'!A:A, 'L &amp; T'!B:B, "")</f>
        <v>881.85</v>
      </c>
    </row>
    <row r="184" spans="1:8" x14ac:dyDescent="0.3">
      <c r="A184" s="1">
        <v>44096</v>
      </c>
      <c r="B184" s="4">
        <f>_xlfn.XLOOKUP($A184, 'Nifty 50'!A:A, 'Nifty 50'!B:B, "")</f>
        <v>11153.65</v>
      </c>
      <c r="C184" s="4">
        <f>_xlfn.XLOOKUP($A184, Reliance!A:A, Reliance!B:B, "")</f>
        <v>1003.71</v>
      </c>
      <c r="D184" s="4">
        <f>_xlfn.XLOOKUP($A184, HDFC!A:A, HDFC!B:B, "")</f>
        <v>516.41999999999996</v>
      </c>
      <c r="E184" s="4">
        <f>_xlfn.XLOOKUP($A184, ITC!A:A, ITC!B:B, "")</f>
        <v>174.2</v>
      </c>
      <c r="F184" s="4">
        <f>_xlfn.XLOOKUP($A184, TCS!A:A, TCS!B:B, "")</f>
        <v>2522.9499999999998</v>
      </c>
      <c r="G184" s="4">
        <f>_xlfn.XLOOKUP($A184, Infosys!A:A, Infosys!B:B,"")</f>
        <v>1007.5</v>
      </c>
      <c r="H184" s="4">
        <f>_xlfn.XLOOKUP($A184, 'L &amp; T'!A:A, 'L &amp; T'!B:B, "")</f>
        <v>856.5</v>
      </c>
    </row>
    <row r="185" spans="1:8" x14ac:dyDescent="0.3">
      <c r="A185" s="1">
        <v>44097</v>
      </c>
      <c r="B185" s="4">
        <f>_xlfn.XLOOKUP($A185, 'Nifty 50'!A:A, 'Nifty 50'!B:B, "")</f>
        <v>11131.85</v>
      </c>
      <c r="C185" s="4">
        <f>_xlfn.XLOOKUP($A185, Reliance!A:A, Reliance!B:B, "")</f>
        <v>1012.63</v>
      </c>
      <c r="D185" s="4">
        <f>_xlfn.XLOOKUP($A185, HDFC!A:A, HDFC!B:B, "")</f>
        <v>522.33000000000004</v>
      </c>
      <c r="E185" s="4">
        <f>_xlfn.XLOOKUP($A185, ITC!A:A, ITC!B:B, "")</f>
        <v>172.5</v>
      </c>
      <c r="F185" s="4">
        <f>_xlfn.XLOOKUP($A185, TCS!A:A, TCS!B:B, "")</f>
        <v>2467.4499999999998</v>
      </c>
      <c r="G185" s="4">
        <f>_xlfn.XLOOKUP($A185, Infosys!A:A, Infosys!B:B,"")</f>
        <v>1019.75</v>
      </c>
      <c r="H185" s="4">
        <f>_xlfn.XLOOKUP($A185, 'L &amp; T'!A:A, 'L &amp; T'!B:B, "")</f>
        <v>860.6</v>
      </c>
    </row>
    <row r="186" spans="1:8" x14ac:dyDescent="0.3">
      <c r="A186" s="1">
        <v>44098</v>
      </c>
      <c r="B186" s="4">
        <f>_xlfn.XLOOKUP($A186, 'Nifty 50'!A:A, 'Nifty 50'!B:B, "")</f>
        <v>10805.55</v>
      </c>
      <c r="C186" s="4">
        <f>_xlfn.XLOOKUP($A186, Reliance!A:A, Reliance!B:B, "")</f>
        <v>990.11</v>
      </c>
      <c r="D186" s="4">
        <f>_xlfn.XLOOKUP($A186, HDFC!A:A, HDFC!B:B, "")</f>
        <v>513.91999999999996</v>
      </c>
      <c r="E186" s="4">
        <f>_xlfn.XLOOKUP($A186, ITC!A:A, ITC!B:B, "")</f>
        <v>166.55</v>
      </c>
      <c r="F186" s="4">
        <f>_xlfn.XLOOKUP($A186, TCS!A:A, TCS!B:B, "")</f>
        <v>2332.25</v>
      </c>
      <c r="G186" s="4">
        <f>_xlfn.XLOOKUP($A186, Infosys!A:A, Infosys!B:B,"")</f>
        <v>975.4</v>
      </c>
      <c r="H186" s="4">
        <f>_xlfn.XLOOKUP($A186, 'L &amp; T'!A:A, 'L &amp; T'!B:B, "")</f>
        <v>850.7</v>
      </c>
    </row>
    <row r="187" spans="1:8" x14ac:dyDescent="0.3">
      <c r="A187" s="1">
        <v>44099</v>
      </c>
      <c r="B187" s="4">
        <f>_xlfn.XLOOKUP($A187, 'Nifty 50'!A:A, 'Nifty 50'!B:B, "")</f>
        <v>11050.25</v>
      </c>
      <c r="C187" s="4">
        <f>_xlfn.XLOOKUP($A187, Reliance!A:A, Reliance!B:B, "")</f>
        <v>999.42</v>
      </c>
      <c r="D187" s="4">
        <f>_xlfn.XLOOKUP($A187, HDFC!A:A, HDFC!B:B, "")</f>
        <v>520.70000000000005</v>
      </c>
      <c r="E187" s="4">
        <f>_xlfn.XLOOKUP($A187, ITC!A:A, ITC!B:B, "")</f>
        <v>170.75</v>
      </c>
      <c r="F187" s="4">
        <f>_xlfn.XLOOKUP($A187, TCS!A:A, TCS!B:B, "")</f>
        <v>2422.3000000000002</v>
      </c>
      <c r="G187" s="4">
        <f>_xlfn.XLOOKUP($A187, Infosys!A:A, Infosys!B:B,"")</f>
        <v>1011.45</v>
      </c>
      <c r="H187" s="4">
        <f>_xlfn.XLOOKUP($A187, 'L &amp; T'!A:A, 'L &amp; T'!B:B, "")</f>
        <v>889.25</v>
      </c>
    </row>
    <row r="188" spans="1:8" x14ac:dyDescent="0.3">
      <c r="A188" s="1">
        <v>44102</v>
      </c>
      <c r="B188" s="4">
        <f>_xlfn.XLOOKUP($A188, 'Nifty 50'!A:A, 'Nifty 50'!B:B, "")</f>
        <v>11227.55</v>
      </c>
      <c r="C188" s="4">
        <f>_xlfn.XLOOKUP($A188, Reliance!A:A, Reliance!B:B, "")</f>
        <v>1006.02</v>
      </c>
      <c r="D188" s="4">
        <f>_xlfn.XLOOKUP($A188, HDFC!A:A, HDFC!B:B, "")</f>
        <v>525.79</v>
      </c>
      <c r="E188" s="4">
        <f>_xlfn.XLOOKUP($A188, ITC!A:A, ITC!B:B, "")</f>
        <v>173.3</v>
      </c>
      <c r="F188" s="4">
        <f>_xlfn.XLOOKUP($A188, TCS!A:A, TCS!B:B, "")</f>
        <v>2426.3000000000002</v>
      </c>
      <c r="G188" s="4">
        <f>_xlfn.XLOOKUP($A188, Infosys!A:A, Infosys!B:B,"")</f>
        <v>1010.4</v>
      </c>
      <c r="H188" s="4">
        <f>_xlfn.XLOOKUP($A188, 'L &amp; T'!A:A, 'L &amp; T'!B:B, "")</f>
        <v>902.85</v>
      </c>
    </row>
    <row r="189" spans="1:8" x14ac:dyDescent="0.3">
      <c r="A189" s="1">
        <v>44103</v>
      </c>
      <c r="B189" s="4">
        <f>_xlfn.XLOOKUP($A189, 'Nifty 50'!A:A, 'Nifty 50'!B:B, "")</f>
        <v>11222.4</v>
      </c>
      <c r="C189" s="4">
        <f>_xlfn.XLOOKUP($A189, Reliance!A:A, Reliance!B:B, "")</f>
        <v>1019.09</v>
      </c>
      <c r="D189" s="4">
        <f>_xlfn.XLOOKUP($A189, HDFC!A:A, HDFC!B:B, "")</f>
        <v>529.96</v>
      </c>
      <c r="E189" s="4">
        <f>_xlfn.XLOOKUP($A189, ITC!A:A, ITC!B:B, "")</f>
        <v>169.4</v>
      </c>
      <c r="F189" s="4">
        <f>_xlfn.XLOOKUP($A189, TCS!A:A, TCS!B:B, "")</f>
        <v>2488.4</v>
      </c>
      <c r="G189" s="4">
        <f>_xlfn.XLOOKUP($A189, Infosys!A:A, Infosys!B:B,"")</f>
        <v>1009</v>
      </c>
      <c r="H189" s="4">
        <f>_xlfn.XLOOKUP($A189, 'L &amp; T'!A:A, 'L &amp; T'!B:B, "")</f>
        <v>895.45</v>
      </c>
    </row>
    <row r="190" spans="1:8" x14ac:dyDescent="0.3">
      <c r="A190" s="1">
        <v>44104</v>
      </c>
      <c r="B190" s="4">
        <f>_xlfn.XLOOKUP($A190, 'Nifty 50'!A:A, 'Nifty 50'!B:B, "")</f>
        <v>11247.55</v>
      </c>
      <c r="C190" s="4">
        <f>_xlfn.XLOOKUP($A190, Reliance!A:A, Reliance!B:B, "")</f>
        <v>1014.24</v>
      </c>
      <c r="D190" s="4">
        <f>_xlfn.XLOOKUP($A190, HDFC!A:A, HDFC!B:B, "")</f>
        <v>537.96</v>
      </c>
      <c r="E190" s="4">
        <f>_xlfn.XLOOKUP($A190, ITC!A:A, ITC!B:B, "")</f>
        <v>171.7</v>
      </c>
      <c r="F190" s="4">
        <f>_xlfn.XLOOKUP($A190, TCS!A:A, TCS!B:B, "")</f>
        <v>2492.3000000000002</v>
      </c>
      <c r="G190" s="4">
        <f>_xlfn.XLOOKUP($A190, Infosys!A:A, Infosys!B:B,"")</f>
        <v>1008.25</v>
      </c>
      <c r="H190" s="4">
        <f>_xlfn.XLOOKUP($A190, 'L &amp; T'!A:A, 'L &amp; T'!B:B, "")</f>
        <v>901.6</v>
      </c>
    </row>
    <row r="191" spans="1:8" x14ac:dyDescent="0.3">
      <c r="A191" s="1">
        <v>44105</v>
      </c>
      <c r="B191" s="4">
        <f>_xlfn.XLOOKUP($A191, 'Nifty 50'!A:A, 'Nifty 50'!B:B, "")</f>
        <v>11416.95</v>
      </c>
      <c r="C191" s="4">
        <f>_xlfn.XLOOKUP($A191, Reliance!A:A, Reliance!B:B, "")</f>
        <v>1010.11</v>
      </c>
      <c r="D191" s="4">
        <f>_xlfn.XLOOKUP($A191, HDFC!A:A, HDFC!B:B, "")</f>
        <v>552.1</v>
      </c>
      <c r="E191" s="4">
        <f>_xlfn.XLOOKUP($A191, ITC!A:A, ITC!B:B, "")</f>
        <v>170.85</v>
      </c>
      <c r="F191" s="4">
        <f>_xlfn.XLOOKUP($A191, TCS!A:A, TCS!B:B, "")</f>
        <v>2523.4499999999998</v>
      </c>
      <c r="G191" s="4">
        <f>_xlfn.XLOOKUP($A191, Infosys!A:A, Infosys!B:B,"")</f>
        <v>1017.65</v>
      </c>
      <c r="H191" s="4">
        <f>_xlfn.XLOOKUP($A191, 'L &amp; T'!A:A, 'L &amp; T'!B:B, "")</f>
        <v>902.8</v>
      </c>
    </row>
    <row r="192" spans="1:8" x14ac:dyDescent="0.3">
      <c r="A192" s="1">
        <v>44109</v>
      </c>
      <c r="B192" s="4">
        <f>_xlfn.XLOOKUP($A192, 'Nifty 50'!A:A, 'Nifty 50'!B:B, "")</f>
        <v>11503.35</v>
      </c>
      <c r="C192" s="4">
        <f>_xlfn.XLOOKUP($A192, Reliance!A:A, Reliance!B:B, "")</f>
        <v>1004.18</v>
      </c>
      <c r="D192" s="4">
        <f>_xlfn.XLOOKUP($A192, HDFC!A:A, HDFC!B:B, "")</f>
        <v>555.79</v>
      </c>
      <c r="E192" s="4">
        <f>_xlfn.XLOOKUP($A192, ITC!A:A, ITC!B:B, "")</f>
        <v>169.25</v>
      </c>
      <c r="F192" s="4">
        <f>_xlfn.XLOOKUP($A192, TCS!A:A, TCS!B:B, "")</f>
        <v>2705.8</v>
      </c>
      <c r="G192" s="4">
        <f>_xlfn.XLOOKUP($A192, Infosys!A:A, Infosys!B:B,"")</f>
        <v>1048.7</v>
      </c>
      <c r="H192" s="4">
        <f>_xlfn.XLOOKUP($A192, 'L &amp; T'!A:A, 'L &amp; T'!B:B, "")</f>
        <v>896.95</v>
      </c>
    </row>
    <row r="193" spans="1:8" x14ac:dyDescent="0.3">
      <c r="A193" s="1">
        <v>44110</v>
      </c>
      <c r="B193" s="4">
        <f>_xlfn.XLOOKUP($A193, 'Nifty 50'!A:A, 'Nifty 50'!B:B, "")</f>
        <v>11662.4</v>
      </c>
      <c r="C193" s="4">
        <f>_xlfn.XLOOKUP($A193, Reliance!A:A, Reliance!B:B, "")</f>
        <v>1003.34</v>
      </c>
      <c r="D193" s="4">
        <f>_xlfn.XLOOKUP($A193, HDFC!A:A, HDFC!B:B, "")</f>
        <v>570.63</v>
      </c>
      <c r="E193" s="4">
        <f>_xlfn.XLOOKUP($A193, ITC!A:A, ITC!B:B, "")</f>
        <v>169.9</v>
      </c>
      <c r="F193" s="4">
        <f>_xlfn.XLOOKUP($A193, TCS!A:A, TCS!B:B, "")</f>
        <v>2714.3</v>
      </c>
      <c r="G193" s="4">
        <f>_xlfn.XLOOKUP($A193, Infosys!A:A, Infosys!B:B,"")</f>
        <v>1055.75</v>
      </c>
      <c r="H193" s="4">
        <f>_xlfn.XLOOKUP($A193, 'L &amp; T'!A:A, 'L &amp; T'!B:B, "")</f>
        <v>892.6</v>
      </c>
    </row>
    <row r="194" spans="1:8" x14ac:dyDescent="0.3">
      <c r="A194" s="1">
        <v>44111</v>
      </c>
      <c r="B194" s="4">
        <f>_xlfn.XLOOKUP($A194, 'Nifty 50'!A:A, 'Nifty 50'!B:B, "")</f>
        <v>11738.85</v>
      </c>
      <c r="C194" s="4">
        <f>_xlfn.XLOOKUP($A194, Reliance!A:A, Reliance!B:B, "")</f>
        <v>1024.75</v>
      </c>
      <c r="D194" s="4">
        <f>_xlfn.XLOOKUP($A194, HDFC!A:A, HDFC!B:B, "")</f>
        <v>579.67999999999995</v>
      </c>
      <c r="E194" s="4">
        <f>_xlfn.XLOOKUP($A194, ITC!A:A, ITC!B:B, "")</f>
        <v>169.5</v>
      </c>
      <c r="F194" s="4">
        <f>_xlfn.XLOOKUP($A194, TCS!A:A, TCS!B:B, "")</f>
        <v>2735.95</v>
      </c>
      <c r="G194" s="4">
        <f>_xlfn.XLOOKUP($A194, Infosys!A:A, Infosys!B:B,"")</f>
        <v>1066.55</v>
      </c>
      <c r="H194" s="4">
        <f>_xlfn.XLOOKUP($A194, 'L &amp; T'!A:A, 'L &amp; T'!B:B, "")</f>
        <v>887.9</v>
      </c>
    </row>
    <row r="195" spans="1:8" x14ac:dyDescent="0.3">
      <c r="A195" s="1">
        <v>44112</v>
      </c>
      <c r="B195" s="4">
        <f>_xlfn.XLOOKUP($A195, 'Nifty 50'!A:A, 'Nifty 50'!B:B, "")</f>
        <v>11834.6</v>
      </c>
      <c r="C195" s="4">
        <f>_xlfn.XLOOKUP($A195, Reliance!A:A, Reliance!B:B, "")</f>
        <v>1016.46</v>
      </c>
      <c r="D195" s="4">
        <f>_xlfn.XLOOKUP($A195, HDFC!A:A, HDFC!B:B, "")</f>
        <v>594.41999999999996</v>
      </c>
      <c r="E195" s="4">
        <f>_xlfn.XLOOKUP($A195, ITC!A:A, ITC!B:B, "")</f>
        <v>167.15</v>
      </c>
      <c r="F195" s="4">
        <f>_xlfn.XLOOKUP($A195, TCS!A:A, TCS!B:B, "")</f>
        <v>2825.7</v>
      </c>
      <c r="G195" s="4">
        <f>_xlfn.XLOOKUP($A195, Infosys!A:A, Infosys!B:B,"")</f>
        <v>1093.7</v>
      </c>
      <c r="H195" s="4">
        <f>_xlfn.XLOOKUP($A195, 'L &amp; T'!A:A, 'L &amp; T'!B:B, "")</f>
        <v>881.05</v>
      </c>
    </row>
    <row r="196" spans="1:8" x14ac:dyDescent="0.3">
      <c r="A196" s="1">
        <v>44113</v>
      </c>
      <c r="B196" s="4">
        <f>_xlfn.XLOOKUP($A196, 'Nifty 50'!A:A, 'Nifty 50'!B:B, "")</f>
        <v>11914.2</v>
      </c>
      <c r="C196" s="4">
        <f>_xlfn.XLOOKUP($A196, Reliance!A:A, Reliance!B:B, "")</f>
        <v>1013.83</v>
      </c>
      <c r="D196" s="4">
        <f>_xlfn.XLOOKUP($A196, HDFC!A:A, HDFC!B:B, "")</f>
        <v>615.24</v>
      </c>
      <c r="E196" s="4">
        <f>_xlfn.XLOOKUP($A196, ITC!A:A, ITC!B:B, "")</f>
        <v>167.85</v>
      </c>
      <c r="F196" s="4">
        <f>_xlfn.XLOOKUP($A196, TCS!A:A, TCS!B:B, "")</f>
        <v>2812.95</v>
      </c>
      <c r="G196" s="4">
        <f>_xlfn.XLOOKUP($A196, Infosys!A:A, Infosys!B:B,"")</f>
        <v>1106.8</v>
      </c>
      <c r="H196" s="4">
        <f>_xlfn.XLOOKUP($A196, 'L &amp; T'!A:A, 'L &amp; T'!B:B, "")</f>
        <v>908.45</v>
      </c>
    </row>
    <row r="197" spans="1:8" x14ac:dyDescent="0.3">
      <c r="A197" s="1">
        <v>44116</v>
      </c>
      <c r="B197" s="4">
        <f>_xlfn.XLOOKUP($A197, 'Nifty 50'!A:A, 'Nifty 50'!B:B, "")</f>
        <v>11930.95</v>
      </c>
      <c r="C197" s="4">
        <f>_xlfn.XLOOKUP($A197, Reliance!A:A, Reliance!B:B, "")</f>
        <v>1015.46</v>
      </c>
      <c r="D197" s="4">
        <f>_xlfn.XLOOKUP($A197, HDFC!A:A, HDFC!B:B, "")</f>
        <v>605.32000000000005</v>
      </c>
      <c r="E197" s="4">
        <f>_xlfn.XLOOKUP($A197, ITC!A:A, ITC!B:B, "")</f>
        <v>172.2</v>
      </c>
      <c r="F197" s="4">
        <f>_xlfn.XLOOKUP($A197, TCS!A:A, TCS!B:B, "")</f>
        <v>2830</v>
      </c>
      <c r="G197" s="4">
        <f>_xlfn.XLOOKUP($A197, Infosys!A:A, Infosys!B:B,"")</f>
        <v>1132.0999999999999</v>
      </c>
      <c r="H197" s="4">
        <f>_xlfn.XLOOKUP($A197, 'L &amp; T'!A:A, 'L &amp; T'!B:B, "")</f>
        <v>905.75</v>
      </c>
    </row>
    <row r="198" spans="1:8" x14ac:dyDescent="0.3">
      <c r="A198" s="1">
        <v>44117</v>
      </c>
      <c r="B198" s="4">
        <f>_xlfn.XLOOKUP($A198, 'Nifty 50'!A:A, 'Nifty 50'!B:B, "")</f>
        <v>11934.5</v>
      </c>
      <c r="C198" s="4">
        <f>_xlfn.XLOOKUP($A198, Reliance!A:A, Reliance!B:B, "")</f>
        <v>1035.28</v>
      </c>
      <c r="D198" s="4">
        <f>_xlfn.XLOOKUP($A198, HDFC!A:A, HDFC!B:B, "")</f>
        <v>597.74</v>
      </c>
      <c r="E198" s="4">
        <f>_xlfn.XLOOKUP($A198, ITC!A:A, ITC!B:B, "")</f>
        <v>170.15</v>
      </c>
      <c r="F198" s="4">
        <f>_xlfn.XLOOKUP($A198, TCS!A:A, TCS!B:B, "")</f>
        <v>2826.55</v>
      </c>
      <c r="G198" s="4">
        <f>_xlfn.XLOOKUP($A198, Infosys!A:A, Infosys!B:B,"")</f>
        <v>1157.8</v>
      </c>
      <c r="H198" s="4">
        <f>_xlfn.XLOOKUP($A198, 'L &amp; T'!A:A, 'L &amp; T'!B:B, "")</f>
        <v>896.45</v>
      </c>
    </row>
    <row r="199" spans="1:8" x14ac:dyDescent="0.3">
      <c r="A199" s="1">
        <v>44118</v>
      </c>
      <c r="B199" s="4">
        <f>_xlfn.XLOOKUP($A199, 'Nifty 50'!A:A, 'Nifty 50'!B:B, "")</f>
        <v>11971.05</v>
      </c>
      <c r="C199" s="4">
        <f>_xlfn.XLOOKUP($A199, Reliance!A:A, Reliance!B:B, "")</f>
        <v>1038.3599999999999</v>
      </c>
      <c r="D199" s="4">
        <f>_xlfn.XLOOKUP($A199, HDFC!A:A, HDFC!B:B, "")</f>
        <v>604.25</v>
      </c>
      <c r="E199" s="4">
        <f>_xlfn.XLOOKUP($A199, ITC!A:A, ITC!B:B, "")</f>
        <v>167.8</v>
      </c>
      <c r="F199" s="4">
        <f>_xlfn.XLOOKUP($A199, TCS!A:A, TCS!B:B, "")</f>
        <v>2809.6</v>
      </c>
      <c r="G199" s="4">
        <f>_xlfn.XLOOKUP($A199, Infosys!A:A, Infosys!B:B,"")</f>
        <v>1137</v>
      </c>
      <c r="H199" s="4">
        <f>_xlfn.XLOOKUP($A199, 'L &amp; T'!A:A, 'L &amp; T'!B:B, "")</f>
        <v>915.2</v>
      </c>
    </row>
    <row r="200" spans="1:8" x14ac:dyDescent="0.3">
      <c r="A200" s="1">
        <v>44119</v>
      </c>
      <c r="B200" s="4">
        <f>_xlfn.XLOOKUP($A200, 'Nifty 50'!A:A, 'Nifty 50'!B:B, "")</f>
        <v>11680.35</v>
      </c>
      <c r="C200" s="4">
        <f>_xlfn.XLOOKUP($A200, Reliance!A:A, Reliance!B:B, "")</f>
        <v>1001.6</v>
      </c>
      <c r="D200" s="4">
        <f>_xlfn.XLOOKUP($A200, HDFC!A:A, HDFC!B:B, "")</f>
        <v>583.16999999999996</v>
      </c>
      <c r="E200" s="4">
        <f>_xlfn.XLOOKUP($A200, ITC!A:A, ITC!B:B, "")</f>
        <v>165.05</v>
      </c>
      <c r="F200" s="4">
        <f>_xlfn.XLOOKUP($A200, TCS!A:A, TCS!B:B, "")</f>
        <v>2740.6</v>
      </c>
      <c r="G200" s="4">
        <f>_xlfn.XLOOKUP($A200, Infosys!A:A, Infosys!B:B,"")</f>
        <v>1108.25</v>
      </c>
      <c r="H200" s="4">
        <f>_xlfn.XLOOKUP($A200, 'L &amp; T'!A:A, 'L &amp; T'!B:B, "")</f>
        <v>888.8</v>
      </c>
    </row>
    <row r="201" spans="1:8" x14ac:dyDescent="0.3">
      <c r="A201" s="1">
        <v>44120</v>
      </c>
      <c r="B201" s="4">
        <f>_xlfn.XLOOKUP($A201, 'Nifty 50'!A:A, 'Nifty 50'!B:B, "")</f>
        <v>11762.45</v>
      </c>
      <c r="C201" s="4">
        <f>_xlfn.XLOOKUP($A201, Reliance!A:A, Reliance!B:B, "")</f>
        <v>987.66</v>
      </c>
      <c r="D201" s="4">
        <f>_xlfn.XLOOKUP($A201, HDFC!A:A, HDFC!B:B, "")</f>
        <v>598.19000000000005</v>
      </c>
      <c r="E201" s="4">
        <f>_xlfn.XLOOKUP($A201, ITC!A:A, ITC!B:B, "")</f>
        <v>165.7</v>
      </c>
      <c r="F201" s="4">
        <f>_xlfn.XLOOKUP($A201, TCS!A:A, TCS!B:B, "")</f>
        <v>2763.3</v>
      </c>
      <c r="G201" s="4">
        <f>_xlfn.XLOOKUP($A201, Infosys!A:A, Infosys!B:B,"")</f>
        <v>1127.5</v>
      </c>
      <c r="H201" s="4">
        <f>_xlfn.XLOOKUP($A201, 'L &amp; T'!A:A, 'L &amp; T'!B:B, "")</f>
        <v>894.1</v>
      </c>
    </row>
    <row r="202" spans="1:8" x14ac:dyDescent="0.3">
      <c r="A202" s="1">
        <v>44123</v>
      </c>
      <c r="B202" s="4">
        <f>_xlfn.XLOOKUP($A202, 'Nifty 50'!A:A, 'Nifty 50'!B:B, "")</f>
        <v>11873.05</v>
      </c>
      <c r="C202" s="4">
        <f>_xlfn.XLOOKUP($A202, Reliance!A:A, Reliance!B:B, "")</f>
        <v>987.84</v>
      </c>
      <c r="D202" s="4">
        <f>_xlfn.XLOOKUP($A202, HDFC!A:A, HDFC!B:B, "")</f>
        <v>600.28</v>
      </c>
      <c r="E202" s="4">
        <f>_xlfn.XLOOKUP($A202, ITC!A:A, ITC!B:B, "")</f>
        <v>168.25</v>
      </c>
      <c r="F202" s="4">
        <f>_xlfn.XLOOKUP($A202, TCS!A:A, TCS!B:B, "")</f>
        <v>2711.55</v>
      </c>
      <c r="G202" s="4">
        <f>_xlfn.XLOOKUP($A202, Infosys!A:A, Infosys!B:B,"")</f>
        <v>1125.9000000000001</v>
      </c>
      <c r="H202" s="4">
        <f>_xlfn.XLOOKUP($A202, 'L &amp; T'!A:A, 'L &amp; T'!B:B, "")</f>
        <v>902.9</v>
      </c>
    </row>
    <row r="203" spans="1:8" x14ac:dyDescent="0.3">
      <c r="A203" s="1">
        <v>44124</v>
      </c>
      <c r="B203" s="4">
        <f>_xlfn.XLOOKUP($A203, 'Nifty 50'!A:A, 'Nifty 50'!B:B, "")</f>
        <v>11896.8</v>
      </c>
      <c r="C203" s="4">
        <f>_xlfn.XLOOKUP($A203, Reliance!A:A, Reliance!B:B, "")</f>
        <v>978.63</v>
      </c>
      <c r="D203" s="4">
        <f>_xlfn.XLOOKUP($A203, HDFC!A:A, HDFC!B:B, "")</f>
        <v>610.46</v>
      </c>
      <c r="E203" s="4">
        <f>_xlfn.XLOOKUP($A203, ITC!A:A, ITC!B:B, "")</f>
        <v>167.45</v>
      </c>
      <c r="F203" s="4">
        <f>_xlfn.XLOOKUP($A203, TCS!A:A, TCS!B:B, "")</f>
        <v>2739</v>
      </c>
      <c r="G203" s="4">
        <f>_xlfn.XLOOKUP($A203, Infosys!A:A, Infosys!B:B,"")</f>
        <v>1137.5</v>
      </c>
      <c r="H203" s="4">
        <f>_xlfn.XLOOKUP($A203, 'L &amp; T'!A:A, 'L &amp; T'!B:B, "")</f>
        <v>917.3</v>
      </c>
    </row>
    <row r="204" spans="1:8" x14ac:dyDescent="0.3">
      <c r="A204" s="1">
        <v>44125</v>
      </c>
      <c r="B204" s="4">
        <f>_xlfn.XLOOKUP($A204, 'Nifty 50'!A:A, 'Nifty 50'!B:B, "")</f>
        <v>11937.65</v>
      </c>
      <c r="C204" s="4">
        <f>_xlfn.XLOOKUP($A204, Reliance!A:A, Reliance!B:B, "")</f>
        <v>964.42</v>
      </c>
      <c r="D204" s="4">
        <f>_xlfn.XLOOKUP($A204, HDFC!A:A, HDFC!B:B, "")</f>
        <v>621.79999999999995</v>
      </c>
      <c r="E204" s="4">
        <f>_xlfn.XLOOKUP($A204, ITC!A:A, ITC!B:B, "")</f>
        <v>167.65</v>
      </c>
      <c r="F204" s="4">
        <f>_xlfn.XLOOKUP($A204, TCS!A:A, TCS!B:B, "")</f>
        <v>2675.4</v>
      </c>
      <c r="G204" s="4">
        <f>_xlfn.XLOOKUP($A204, Infosys!A:A, Infosys!B:B,"")</f>
        <v>1148.3499999999999</v>
      </c>
      <c r="H204" s="4">
        <f>_xlfn.XLOOKUP($A204, 'L &amp; T'!A:A, 'L &amp; T'!B:B, "")</f>
        <v>924.45</v>
      </c>
    </row>
    <row r="205" spans="1:8" x14ac:dyDescent="0.3">
      <c r="A205" s="1">
        <v>44126</v>
      </c>
      <c r="B205" s="4">
        <f>_xlfn.XLOOKUP($A205, 'Nifty 50'!A:A, 'Nifty 50'!B:B, "")</f>
        <v>11896.45</v>
      </c>
      <c r="C205" s="4">
        <f>_xlfn.XLOOKUP($A205, Reliance!A:A, Reliance!B:B, "")</f>
        <v>956.41</v>
      </c>
      <c r="D205" s="4">
        <f>_xlfn.XLOOKUP($A205, HDFC!A:A, HDFC!B:B, "")</f>
        <v>615.12</v>
      </c>
      <c r="E205" s="4">
        <f>_xlfn.XLOOKUP($A205, ITC!A:A, ITC!B:B, "")</f>
        <v>168.55</v>
      </c>
      <c r="F205" s="4">
        <f>_xlfn.XLOOKUP($A205, TCS!A:A, TCS!B:B, "")</f>
        <v>2671.15</v>
      </c>
      <c r="G205" s="4">
        <f>_xlfn.XLOOKUP($A205, Infosys!A:A, Infosys!B:B,"")</f>
        <v>1129.05</v>
      </c>
      <c r="H205" s="4">
        <f>_xlfn.XLOOKUP($A205, 'L &amp; T'!A:A, 'L &amp; T'!B:B, "")</f>
        <v>936.3</v>
      </c>
    </row>
    <row r="206" spans="1:8" x14ac:dyDescent="0.3">
      <c r="A206" s="1">
        <v>44127</v>
      </c>
      <c r="B206" s="4">
        <f>_xlfn.XLOOKUP($A206, 'Nifty 50'!A:A, 'Nifty 50'!B:B, "")</f>
        <v>11930.35</v>
      </c>
      <c r="C206" s="4">
        <f>_xlfn.XLOOKUP($A206, Reliance!A:A, Reliance!B:B, "")</f>
        <v>959.18</v>
      </c>
      <c r="D206" s="4">
        <f>_xlfn.XLOOKUP($A206, HDFC!A:A, HDFC!B:B, "")</f>
        <v>616.37</v>
      </c>
      <c r="E206" s="4">
        <f>_xlfn.XLOOKUP($A206, ITC!A:A, ITC!B:B, "")</f>
        <v>170.75</v>
      </c>
      <c r="F206" s="4">
        <f>_xlfn.XLOOKUP($A206, TCS!A:A, TCS!B:B, "")</f>
        <v>2686.8</v>
      </c>
      <c r="G206" s="4">
        <f>_xlfn.XLOOKUP($A206, Infosys!A:A, Infosys!B:B,"")</f>
        <v>1122.5</v>
      </c>
      <c r="H206" s="4">
        <f>_xlfn.XLOOKUP($A206, 'L &amp; T'!A:A, 'L &amp; T'!B:B, "")</f>
        <v>923.37</v>
      </c>
    </row>
    <row r="207" spans="1:8" x14ac:dyDescent="0.3">
      <c r="A207" s="1">
        <v>44130</v>
      </c>
      <c r="B207" s="4">
        <f>_xlfn.XLOOKUP($A207, 'Nifty 50'!A:A, 'Nifty 50'!B:B, "")</f>
        <v>11767.75</v>
      </c>
      <c r="C207" s="4">
        <f>_xlfn.XLOOKUP($A207, Reliance!A:A, Reliance!B:B, "")</f>
        <v>921.07</v>
      </c>
      <c r="D207" s="4">
        <f>_xlfn.XLOOKUP($A207, HDFC!A:A, HDFC!B:B, "")</f>
        <v>603.95000000000005</v>
      </c>
      <c r="E207" s="4">
        <f>_xlfn.XLOOKUP($A207, ITC!A:A, ITC!B:B, "")</f>
        <v>168.55</v>
      </c>
      <c r="F207" s="4">
        <f>_xlfn.XLOOKUP($A207, TCS!A:A, TCS!B:B, "")</f>
        <v>2688.2</v>
      </c>
      <c r="G207" s="4">
        <f>_xlfn.XLOOKUP($A207, Infosys!A:A, Infosys!B:B,"")</f>
        <v>1112.45</v>
      </c>
      <c r="H207" s="4">
        <f>_xlfn.XLOOKUP($A207, 'L &amp; T'!A:A, 'L &amp; T'!B:B, "")</f>
        <v>933.67</v>
      </c>
    </row>
    <row r="208" spans="1:8" x14ac:dyDescent="0.3">
      <c r="A208" s="1">
        <v>44131</v>
      </c>
      <c r="B208" s="4">
        <f>_xlfn.XLOOKUP($A208, 'Nifty 50'!A:A, 'Nifty 50'!B:B, "")</f>
        <v>11889.4</v>
      </c>
      <c r="C208" s="4">
        <f>_xlfn.XLOOKUP($A208, Reliance!A:A, Reliance!B:B, "")</f>
        <v>923.52</v>
      </c>
      <c r="D208" s="4">
        <f>_xlfn.XLOOKUP($A208, HDFC!A:A, HDFC!B:B, "")</f>
        <v>615.02</v>
      </c>
      <c r="E208" s="4">
        <f>_xlfn.XLOOKUP($A208, ITC!A:A, ITC!B:B, "")</f>
        <v>167.2</v>
      </c>
      <c r="F208" s="4">
        <f>_xlfn.XLOOKUP($A208, TCS!A:A, TCS!B:B, "")</f>
        <v>2630.15</v>
      </c>
      <c r="G208" s="4">
        <f>_xlfn.XLOOKUP($A208, Infosys!A:A, Infosys!B:B,"")</f>
        <v>1090.8499999999999</v>
      </c>
      <c r="H208" s="4">
        <f>_xlfn.XLOOKUP($A208, 'L &amp; T'!A:A, 'L &amp; T'!B:B, "")</f>
        <v>963.3</v>
      </c>
    </row>
    <row r="209" spans="1:8" x14ac:dyDescent="0.3">
      <c r="A209" s="1">
        <v>44132</v>
      </c>
      <c r="B209" s="4">
        <f>_xlfn.XLOOKUP($A209, 'Nifty 50'!A:A, 'Nifty 50'!B:B, "")</f>
        <v>11729.6</v>
      </c>
      <c r="C209" s="4">
        <f>_xlfn.XLOOKUP($A209, Reliance!A:A, Reliance!B:B, "")</f>
        <v>913.06</v>
      </c>
      <c r="D209" s="4">
        <f>_xlfn.XLOOKUP($A209, HDFC!A:A, HDFC!B:B, "")</f>
        <v>603.29999999999995</v>
      </c>
      <c r="E209" s="4">
        <f>_xlfn.XLOOKUP($A209, ITC!A:A, ITC!B:B, "")</f>
        <v>165.5</v>
      </c>
      <c r="F209" s="4">
        <f>_xlfn.XLOOKUP($A209, TCS!A:A, TCS!B:B, "")</f>
        <v>2622.2</v>
      </c>
      <c r="G209" s="4">
        <f>_xlfn.XLOOKUP($A209, Infosys!A:A, Infosys!B:B,"")</f>
        <v>1076.55</v>
      </c>
      <c r="H209" s="4">
        <f>_xlfn.XLOOKUP($A209, 'L &amp; T'!A:A, 'L &amp; T'!B:B, "")</f>
        <v>964.18</v>
      </c>
    </row>
    <row r="210" spans="1:8" x14ac:dyDescent="0.3">
      <c r="A210" s="1">
        <v>44133</v>
      </c>
      <c r="B210" s="4">
        <f>_xlfn.XLOOKUP($A210, 'Nifty 50'!A:A, 'Nifty 50'!B:B, "")</f>
        <v>11670.8</v>
      </c>
      <c r="C210" s="4">
        <f>_xlfn.XLOOKUP($A210, Reliance!A:A, Reliance!B:B, "")</f>
        <v>920.07</v>
      </c>
      <c r="D210" s="4">
        <f>_xlfn.XLOOKUP($A210, HDFC!A:A, HDFC!B:B, "")</f>
        <v>592.13</v>
      </c>
      <c r="E210" s="4">
        <f>_xlfn.XLOOKUP($A210, ITC!A:A, ITC!B:B, "")</f>
        <v>163.85</v>
      </c>
      <c r="F210" s="4">
        <f>_xlfn.XLOOKUP($A210, TCS!A:A, TCS!B:B, "")</f>
        <v>2632.65</v>
      </c>
      <c r="G210" s="4">
        <f>_xlfn.XLOOKUP($A210, Infosys!A:A, Infosys!B:B,"")</f>
        <v>1074.8499999999999</v>
      </c>
      <c r="H210" s="4">
        <f>_xlfn.XLOOKUP($A210, 'L &amp; T'!A:A, 'L &amp; T'!B:B, "")</f>
        <v>916.75</v>
      </c>
    </row>
    <row r="211" spans="1:8" x14ac:dyDescent="0.3">
      <c r="A211" s="1">
        <v>44134</v>
      </c>
      <c r="B211" s="4">
        <f>_xlfn.XLOOKUP($A211, 'Nifty 50'!A:A, 'Nifty 50'!B:B, "")</f>
        <v>11642.4</v>
      </c>
      <c r="C211" s="4">
        <f>_xlfn.XLOOKUP($A211, Reliance!A:A, Reliance!B:B, "")</f>
        <v>932.6</v>
      </c>
      <c r="D211" s="4">
        <f>_xlfn.XLOOKUP($A211, HDFC!A:A, HDFC!B:B, "")</f>
        <v>590.30999999999995</v>
      </c>
      <c r="E211" s="4">
        <f>_xlfn.XLOOKUP($A211, ITC!A:A, ITC!B:B, "")</f>
        <v>165.25</v>
      </c>
      <c r="F211" s="4">
        <f>_xlfn.XLOOKUP($A211, TCS!A:A, TCS!B:B, "")</f>
        <v>2664.85</v>
      </c>
      <c r="G211" s="4">
        <f>_xlfn.XLOOKUP($A211, Infosys!A:A, Infosys!B:B,"")</f>
        <v>1060.5999999999999</v>
      </c>
      <c r="H211" s="4">
        <f>_xlfn.XLOOKUP($A211, 'L &amp; T'!A:A, 'L &amp; T'!B:B, "")</f>
        <v>911.85</v>
      </c>
    </row>
    <row r="212" spans="1:8" x14ac:dyDescent="0.3">
      <c r="A212" s="1">
        <v>44137</v>
      </c>
      <c r="B212" s="4">
        <f>_xlfn.XLOOKUP($A212, 'Nifty 50'!A:A, 'Nifty 50'!B:B, "")</f>
        <v>11669.15</v>
      </c>
      <c r="C212" s="4">
        <f>_xlfn.XLOOKUP($A212, Reliance!A:A, Reliance!B:B, "")</f>
        <v>852.23</v>
      </c>
      <c r="D212" s="4">
        <f>_xlfn.XLOOKUP($A212, HDFC!A:A, HDFC!B:B, "")</f>
        <v>606.12</v>
      </c>
      <c r="E212" s="4">
        <f>_xlfn.XLOOKUP($A212, ITC!A:A, ITC!B:B, "")</f>
        <v>166.75</v>
      </c>
      <c r="F212" s="4">
        <f>_xlfn.XLOOKUP($A212, TCS!A:A, TCS!B:B, "")</f>
        <v>2604.6</v>
      </c>
      <c r="G212" s="4">
        <f>_xlfn.XLOOKUP($A212, Infosys!A:A, Infosys!B:B,"")</f>
        <v>1072.3</v>
      </c>
      <c r="H212" s="4">
        <f>_xlfn.XLOOKUP($A212, 'L &amp; T'!A:A, 'L &amp; T'!B:B, "")</f>
        <v>911.65</v>
      </c>
    </row>
    <row r="213" spans="1:8" x14ac:dyDescent="0.3">
      <c r="A213" s="1">
        <v>44138</v>
      </c>
      <c r="B213" s="4">
        <f>_xlfn.XLOOKUP($A213, 'Nifty 50'!A:A, 'Nifty 50'!B:B, "")</f>
        <v>11813.5</v>
      </c>
      <c r="C213" s="4">
        <f>_xlfn.XLOOKUP($A213, Reliance!A:A, Reliance!B:B, "")</f>
        <v>839.95</v>
      </c>
      <c r="D213" s="4">
        <f>_xlfn.XLOOKUP($A213, HDFC!A:A, HDFC!B:B, "")</f>
        <v>622.42999999999995</v>
      </c>
      <c r="E213" s="4">
        <f>_xlfn.XLOOKUP($A213, ITC!A:A, ITC!B:B, "")</f>
        <v>170.1</v>
      </c>
      <c r="F213" s="4">
        <f>_xlfn.XLOOKUP($A213, TCS!A:A, TCS!B:B, "")</f>
        <v>2633.6</v>
      </c>
      <c r="G213" s="4">
        <f>_xlfn.XLOOKUP($A213, Infosys!A:A, Infosys!B:B,"")</f>
        <v>1062.55</v>
      </c>
      <c r="H213" s="4">
        <f>_xlfn.XLOOKUP($A213, 'L &amp; T'!A:A, 'L &amp; T'!B:B, "")</f>
        <v>929.75</v>
      </c>
    </row>
    <row r="214" spans="1:8" x14ac:dyDescent="0.3">
      <c r="A214" s="1">
        <v>44139</v>
      </c>
      <c r="B214" s="4">
        <f>_xlfn.XLOOKUP($A214, 'Nifty 50'!A:A, 'Nifty 50'!B:B, "")</f>
        <v>11908.5</v>
      </c>
      <c r="C214" s="4">
        <f>_xlfn.XLOOKUP($A214, Reliance!A:A, Reliance!B:B, "")</f>
        <v>868.46</v>
      </c>
      <c r="D214" s="4">
        <f>_xlfn.XLOOKUP($A214, HDFC!A:A, HDFC!B:B, "")</f>
        <v>627.14</v>
      </c>
      <c r="E214" s="4">
        <f>_xlfn.XLOOKUP($A214, ITC!A:A, ITC!B:B, "")</f>
        <v>169.8</v>
      </c>
      <c r="F214" s="4">
        <f>_xlfn.XLOOKUP($A214, TCS!A:A, TCS!B:B, "")</f>
        <v>2653.15</v>
      </c>
      <c r="G214" s="4">
        <f>_xlfn.XLOOKUP($A214, Infosys!A:A, Infosys!B:B,"")</f>
        <v>1093.95</v>
      </c>
      <c r="H214" s="4">
        <f>_xlfn.XLOOKUP($A214, 'L &amp; T'!A:A, 'L &amp; T'!B:B, "")</f>
        <v>939.85</v>
      </c>
    </row>
    <row r="215" spans="1:8" x14ac:dyDescent="0.3">
      <c r="A215" s="1">
        <v>44140</v>
      </c>
      <c r="B215" s="4">
        <f>_xlfn.XLOOKUP($A215, 'Nifty 50'!A:A, 'Nifty 50'!B:B, "")</f>
        <v>12120.3</v>
      </c>
      <c r="C215" s="4">
        <f>_xlfn.XLOOKUP($A215, Reliance!A:A, Reliance!B:B, "")</f>
        <v>887.43</v>
      </c>
      <c r="D215" s="4">
        <f>_xlfn.XLOOKUP($A215, HDFC!A:A, HDFC!B:B, "")</f>
        <v>633.02</v>
      </c>
      <c r="E215" s="4">
        <f>_xlfn.XLOOKUP($A215, ITC!A:A, ITC!B:B, "")</f>
        <v>174.75</v>
      </c>
      <c r="F215" s="4">
        <f>_xlfn.XLOOKUP($A215, TCS!A:A, TCS!B:B, "")</f>
        <v>2685.7</v>
      </c>
      <c r="G215" s="4">
        <f>_xlfn.XLOOKUP($A215, Infosys!A:A, Infosys!B:B,"")</f>
        <v>1104</v>
      </c>
      <c r="H215" s="4">
        <f>_xlfn.XLOOKUP($A215, 'L &amp; T'!A:A, 'L &amp; T'!B:B, "")</f>
        <v>958.1</v>
      </c>
    </row>
    <row r="216" spans="1:8" x14ac:dyDescent="0.3">
      <c r="A216" s="1">
        <v>44141</v>
      </c>
      <c r="B216" s="4">
        <f>_xlfn.XLOOKUP($A216, 'Nifty 50'!A:A, 'Nifty 50'!B:B, "")</f>
        <v>12263.55</v>
      </c>
      <c r="C216" s="4">
        <f>_xlfn.XLOOKUP($A216, Reliance!A:A, Reliance!B:B, "")</f>
        <v>921.09</v>
      </c>
      <c r="D216" s="4">
        <f>_xlfn.XLOOKUP($A216, HDFC!A:A, HDFC!B:B, "")</f>
        <v>652.20000000000005</v>
      </c>
      <c r="E216" s="4">
        <f>_xlfn.XLOOKUP($A216, ITC!A:A, ITC!B:B, "")</f>
        <v>173.95</v>
      </c>
      <c r="F216" s="4">
        <f>_xlfn.XLOOKUP($A216, TCS!A:A, TCS!B:B, "")</f>
        <v>2707.45</v>
      </c>
      <c r="G216" s="4">
        <f>_xlfn.XLOOKUP($A216, Infosys!A:A, Infosys!B:B,"")</f>
        <v>1112.75</v>
      </c>
      <c r="H216" s="4">
        <f>_xlfn.XLOOKUP($A216, 'L &amp; T'!A:A, 'L &amp; T'!B:B, "")</f>
        <v>960.75</v>
      </c>
    </row>
    <row r="217" spans="1:8" x14ac:dyDescent="0.3">
      <c r="A217" s="1">
        <v>44144</v>
      </c>
      <c r="B217" s="4">
        <f>_xlfn.XLOOKUP($A217, 'Nifty 50'!A:A, 'Nifty 50'!B:B, "")</f>
        <v>12461.05</v>
      </c>
      <c r="C217" s="4">
        <f>_xlfn.XLOOKUP($A217, Reliance!A:A, Reliance!B:B, "")</f>
        <v>930.87</v>
      </c>
      <c r="D217" s="4">
        <f>_xlfn.XLOOKUP($A217, HDFC!A:A, HDFC!B:B, "")</f>
        <v>668.61</v>
      </c>
      <c r="E217" s="4">
        <f>_xlfn.XLOOKUP($A217, ITC!A:A, ITC!B:B, "")</f>
        <v>172.8</v>
      </c>
      <c r="F217" s="4">
        <f>_xlfn.XLOOKUP($A217, TCS!A:A, TCS!B:B, "")</f>
        <v>2726.6</v>
      </c>
      <c r="G217" s="4">
        <f>_xlfn.XLOOKUP($A217, Infosys!A:A, Infosys!B:B,"")</f>
        <v>1136.55</v>
      </c>
      <c r="H217" s="4">
        <f>_xlfn.XLOOKUP($A217, 'L &amp; T'!A:A, 'L &amp; T'!B:B, "")</f>
        <v>965.85</v>
      </c>
    </row>
    <row r="218" spans="1:8" x14ac:dyDescent="0.3">
      <c r="A218" s="1">
        <v>44145</v>
      </c>
      <c r="B218" s="4">
        <f>_xlfn.XLOOKUP($A218, 'Nifty 50'!A:A, 'Nifty 50'!B:B, "")</f>
        <v>12631.1</v>
      </c>
      <c r="C218" s="4">
        <f>_xlfn.XLOOKUP($A218, Reliance!A:A, Reliance!B:B, "")</f>
        <v>946.24</v>
      </c>
      <c r="D218" s="4">
        <f>_xlfn.XLOOKUP($A218, HDFC!A:A, HDFC!B:B, "")</f>
        <v>695.1</v>
      </c>
      <c r="E218" s="4">
        <f>_xlfn.XLOOKUP($A218, ITC!A:A, ITC!B:B, "")</f>
        <v>178.35</v>
      </c>
      <c r="F218" s="4">
        <f>_xlfn.XLOOKUP($A218, TCS!A:A, TCS!B:B, "")</f>
        <v>2649.6</v>
      </c>
      <c r="G218" s="4">
        <f>_xlfn.XLOOKUP($A218, Infosys!A:A, Infosys!B:B,"")</f>
        <v>1091.05</v>
      </c>
      <c r="H218" s="4">
        <f>_xlfn.XLOOKUP($A218, 'L &amp; T'!A:A, 'L &amp; T'!B:B, "")</f>
        <v>1033.7</v>
      </c>
    </row>
    <row r="219" spans="1:8" x14ac:dyDescent="0.3">
      <c r="A219" s="1">
        <v>44146</v>
      </c>
      <c r="B219" s="4">
        <f>_xlfn.XLOOKUP($A219, 'Nifty 50'!A:A, 'Nifty 50'!B:B, "")</f>
        <v>12749.15</v>
      </c>
      <c r="C219" s="4">
        <f>_xlfn.XLOOKUP($A219, Reliance!A:A, Reliance!B:B, "")</f>
        <v>906.59</v>
      </c>
      <c r="D219" s="4">
        <f>_xlfn.XLOOKUP($A219, HDFC!A:A, HDFC!B:B, "")</f>
        <v>693.25</v>
      </c>
      <c r="E219" s="4">
        <f>_xlfn.XLOOKUP($A219, ITC!A:A, ITC!B:B, "")</f>
        <v>185.3</v>
      </c>
      <c r="F219" s="4">
        <f>_xlfn.XLOOKUP($A219, TCS!A:A, TCS!B:B, "")</f>
        <v>2687.8</v>
      </c>
      <c r="G219" s="4">
        <f>_xlfn.XLOOKUP($A219, Infosys!A:A, Infosys!B:B,"")</f>
        <v>1122.5</v>
      </c>
      <c r="H219" s="4">
        <f>_xlfn.XLOOKUP($A219, 'L &amp; T'!A:A, 'L &amp; T'!B:B, "")</f>
        <v>1059.45</v>
      </c>
    </row>
    <row r="220" spans="1:8" x14ac:dyDescent="0.3">
      <c r="A220" s="1">
        <v>44147</v>
      </c>
      <c r="B220" s="4">
        <f>_xlfn.XLOOKUP($A220, 'Nifty 50'!A:A, 'Nifty 50'!B:B, "")</f>
        <v>12690.8</v>
      </c>
      <c r="C220" s="4">
        <f>_xlfn.XLOOKUP($A220, Reliance!A:A, Reliance!B:B, "")</f>
        <v>898.78</v>
      </c>
      <c r="D220" s="4">
        <f>_xlfn.XLOOKUP($A220, HDFC!A:A, HDFC!B:B, "")</f>
        <v>684.15</v>
      </c>
      <c r="E220" s="4">
        <f>_xlfn.XLOOKUP($A220, ITC!A:A, ITC!B:B, "")</f>
        <v>188</v>
      </c>
      <c r="F220" s="4">
        <f>_xlfn.XLOOKUP($A220, TCS!A:A, TCS!B:B, "")</f>
        <v>2671.05</v>
      </c>
      <c r="G220" s="4">
        <f>_xlfn.XLOOKUP($A220, Infosys!A:A, Infosys!B:B,"")</f>
        <v>1117.75</v>
      </c>
      <c r="H220" s="4">
        <f>_xlfn.XLOOKUP($A220, 'L &amp; T'!A:A, 'L &amp; T'!B:B, "")</f>
        <v>1073.2</v>
      </c>
    </row>
    <row r="221" spans="1:8" x14ac:dyDescent="0.3">
      <c r="A221" s="1">
        <v>44148</v>
      </c>
      <c r="B221" s="4">
        <f>_xlfn.XLOOKUP($A221, 'Nifty 50'!A:A, 'Nifty 50'!B:B, "")</f>
        <v>12719.95</v>
      </c>
      <c r="C221" s="4">
        <f>_xlfn.XLOOKUP($A221, Reliance!A:A, Reliance!B:B, "")</f>
        <v>906.22</v>
      </c>
      <c r="D221" s="4">
        <f>_xlfn.XLOOKUP($A221, HDFC!A:A, HDFC!B:B, "")</f>
        <v>677.71</v>
      </c>
      <c r="E221" s="4">
        <f>_xlfn.XLOOKUP($A221, ITC!A:A, ITC!B:B, "")</f>
        <v>187.1</v>
      </c>
      <c r="F221" s="4">
        <f>_xlfn.XLOOKUP($A221, TCS!A:A, TCS!B:B, "")</f>
        <v>2656.85</v>
      </c>
      <c r="G221" s="4">
        <f>_xlfn.XLOOKUP($A221, Infosys!A:A, Infosys!B:B,"")</f>
        <v>1124.2</v>
      </c>
      <c r="H221" s="4">
        <f>_xlfn.XLOOKUP($A221, 'L &amp; T'!A:A, 'L &amp; T'!B:B, "")</f>
        <v>1051.5</v>
      </c>
    </row>
    <row r="222" spans="1:8" x14ac:dyDescent="0.3">
      <c r="A222" s="1">
        <v>44152</v>
      </c>
      <c r="B222" s="4">
        <f>_xlfn.XLOOKUP($A222, 'Nifty 50'!A:A, 'Nifty 50'!B:B, "")</f>
        <v>12874.2</v>
      </c>
      <c r="C222" s="4">
        <f>_xlfn.XLOOKUP($A222, Reliance!A:A, Reliance!B:B, "")</f>
        <v>904.79</v>
      </c>
      <c r="D222" s="4">
        <f>_xlfn.XLOOKUP($A222, HDFC!A:A, HDFC!B:B, "")</f>
        <v>702.48</v>
      </c>
      <c r="E222" s="4">
        <f>_xlfn.XLOOKUP($A222, ITC!A:A, ITC!B:B, "")</f>
        <v>187.35</v>
      </c>
      <c r="F222" s="4">
        <f>_xlfn.XLOOKUP($A222, TCS!A:A, TCS!B:B, "")</f>
        <v>2666.05</v>
      </c>
      <c r="G222" s="4">
        <f>_xlfn.XLOOKUP($A222, Infosys!A:A, Infosys!B:B,"")</f>
        <v>1123.7</v>
      </c>
      <c r="H222" s="4">
        <f>_xlfn.XLOOKUP($A222, 'L &amp; T'!A:A, 'L &amp; T'!B:B, "")</f>
        <v>1080.9000000000001</v>
      </c>
    </row>
    <row r="223" spans="1:8" x14ac:dyDescent="0.3">
      <c r="A223" s="1">
        <v>44153</v>
      </c>
      <c r="B223" s="4">
        <f>_xlfn.XLOOKUP($A223, 'Nifty 50'!A:A, 'Nifty 50'!B:B, "")</f>
        <v>12938.25</v>
      </c>
      <c r="C223" s="4">
        <f>_xlfn.XLOOKUP($A223, Reliance!A:A, Reliance!B:B, "")</f>
        <v>902.05</v>
      </c>
      <c r="D223" s="4">
        <f>_xlfn.XLOOKUP($A223, HDFC!A:A, HDFC!B:B, "")</f>
        <v>702.6</v>
      </c>
      <c r="E223" s="4">
        <f>_xlfn.XLOOKUP($A223, ITC!A:A, ITC!B:B, "")</f>
        <v>184.05</v>
      </c>
      <c r="F223" s="4">
        <f>_xlfn.XLOOKUP($A223, TCS!A:A, TCS!B:B, "")</f>
        <v>2626.65</v>
      </c>
      <c r="G223" s="4">
        <f>_xlfn.XLOOKUP($A223, Infosys!A:A, Infosys!B:B,"")</f>
        <v>1110.55</v>
      </c>
      <c r="H223" s="4">
        <f>_xlfn.XLOOKUP($A223, 'L &amp; T'!A:A, 'L &amp; T'!B:B, "")</f>
        <v>1148.1500000000001</v>
      </c>
    </row>
    <row r="224" spans="1:8" x14ac:dyDescent="0.3">
      <c r="A224" s="1">
        <v>44154</v>
      </c>
      <c r="B224" s="4">
        <f>_xlfn.XLOOKUP($A224, 'Nifty 50'!A:A, 'Nifty 50'!B:B, "")</f>
        <v>12771.7</v>
      </c>
      <c r="C224" s="4">
        <f>_xlfn.XLOOKUP($A224, Reliance!A:A, Reliance!B:B, "")</f>
        <v>895.67</v>
      </c>
      <c r="D224" s="4">
        <f>_xlfn.XLOOKUP($A224, HDFC!A:A, HDFC!B:B, "")</f>
        <v>685.47</v>
      </c>
      <c r="E224" s="4">
        <f>_xlfn.XLOOKUP($A224, ITC!A:A, ITC!B:B, "")</f>
        <v>187.9</v>
      </c>
      <c r="F224" s="4">
        <f>_xlfn.XLOOKUP($A224, TCS!A:A, TCS!B:B, "")</f>
        <v>2636.9</v>
      </c>
      <c r="G224" s="4">
        <f>_xlfn.XLOOKUP($A224, Infosys!A:A, Infosys!B:B,"")</f>
        <v>1096.75</v>
      </c>
      <c r="H224" s="4">
        <f>_xlfn.XLOOKUP($A224, 'L &amp; T'!A:A, 'L &amp; T'!B:B, "")</f>
        <v>1134.25</v>
      </c>
    </row>
    <row r="225" spans="1:8" x14ac:dyDescent="0.3">
      <c r="A225" s="1">
        <v>44155</v>
      </c>
      <c r="B225" s="4">
        <f>_xlfn.XLOOKUP($A225, 'Nifty 50'!A:A, 'Nifty 50'!B:B, "")</f>
        <v>12859.05</v>
      </c>
      <c r="C225" s="4">
        <f>_xlfn.XLOOKUP($A225, Reliance!A:A, Reliance!B:B, "")</f>
        <v>862.24</v>
      </c>
      <c r="D225" s="4">
        <f>_xlfn.XLOOKUP($A225, HDFC!A:A, HDFC!B:B, "")</f>
        <v>700.08</v>
      </c>
      <c r="E225" s="4">
        <f>_xlfn.XLOOKUP($A225, ITC!A:A, ITC!B:B, "")</f>
        <v>191.7</v>
      </c>
      <c r="F225" s="4">
        <f>_xlfn.XLOOKUP($A225, TCS!A:A, TCS!B:B, "")</f>
        <v>2660.25</v>
      </c>
      <c r="G225" s="4">
        <f>_xlfn.XLOOKUP($A225, Infosys!A:A, Infosys!B:B,"")</f>
        <v>1103.3499999999999</v>
      </c>
      <c r="H225" s="4">
        <f>_xlfn.XLOOKUP($A225, 'L &amp; T'!A:A, 'L &amp; T'!B:B, "")</f>
        <v>1132.3</v>
      </c>
    </row>
    <row r="226" spans="1:8" x14ac:dyDescent="0.3">
      <c r="A226" s="1">
        <v>44158</v>
      </c>
      <c r="B226" s="4">
        <f>_xlfn.XLOOKUP($A226, 'Nifty 50'!A:A, 'Nifty 50'!B:B, "")</f>
        <v>12926.45</v>
      </c>
      <c r="C226" s="4">
        <f>_xlfn.XLOOKUP($A226, Reliance!A:A, Reliance!B:B, "")</f>
        <v>885.48</v>
      </c>
      <c r="D226" s="4">
        <f>_xlfn.XLOOKUP($A226, HDFC!A:A, HDFC!B:B, "")</f>
        <v>695.57</v>
      </c>
      <c r="E226" s="4">
        <f>_xlfn.XLOOKUP($A226, ITC!A:A, ITC!B:B, "")</f>
        <v>190.85</v>
      </c>
      <c r="F226" s="4">
        <f>_xlfn.XLOOKUP($A226, TCS!A:A, TCS!B:B, "")</f>
        <v>2724.25</v>
      </c>
      <c r="G226" s="4">
        <f>_xlfn.XLOOKUP($A226, Infosys!A:A, Infosys!B:B,"")</f>
        <v>1139.8499999999999</v>
      </c>
      <c r="H226" s="4">
        <f>_xlfn.XLOOKUP($A226, 'L &amp; T'!A:A, 'L &amp; T'!B:B, "")</f>
        <v>1125.8499999999999</v>
      </c>
    </row>
    <row r="227" spans="1:8" x14ac:dyDescent="0.3">
      <c r="A227" s="1">
        <v>44159</v>
      </c>
      <c r="B227" s="4">
        <f>_xlfn.XLOOKUP($A227, 'Nifty 50'!A:A, 'Nifty 50'!B:B, "")</f>
        <v>13055.15</v>
      </c>
      <c r="C227" s="4">
        <f>_xlfn.XLOOKUP($A227, Reliance!A:A, Reliance!B:B, "")</f>
        <v>891.54</v>
      </c>
      <c r="D227" s="4">
        <f>_xlfn.XLOOKUP($A227, HDFC!A:A, HDFC!B:B, "")</f>
        <v>717.32</v>
      </c>
      <c r="E227" s="4">
        <f>_xlfn.XLOOKUP($A227, ITC!A:A, ITC!B:B, "")</f>
        <v>195.55</v>
      </c>
      <c r="F227" s="4">
        <f>_xlfn.XLOOKUP($A227, TCS!A:A, TCS!B:B, "")</f>
        <v>2722.05</v>
      </c>
      <c r="G227" s="4">
        <f>_xlfn.XLOOKUP($A227, Infosys!A:A, Infosys!B:B,"")</f>
        <v>1140.05</v>
      </c>
      <c r="H227" s="4">
        <f>_xlfn.XLOOKUP($A227, 'L &amp; T'!A:A, 'L &amp; T'!B:B, "")</f>
        <v>1135.5</v>
      </c>
    </row>
    <row r="228" spans="1:8" x14ac:dyDescent="0.3">
      <c r="A228" s="1">
        <v>44160</v>
      </c>
      <c r="B228" s="4">
        <f>_xlfn.XLOOKUP($A228, 'Nifty 50'!A:A, 'Nifty 50'!B:B, "")</f>
        <v>12858.4</v>
      </c>
      <c r="C228" s="4">
        <f>_xlfn.XLOOKUP($A228, Reliance!A:A, Reliance!B:B, "")</f>
        <v>884.16</v>
      </c>
      <c r="D228" s="4">
        <f>_xlfn.XLOOKUP($A228, HDFC!A:A, HDFC!B:B, "")</f>
        <v>699.66</v>
      </c>
      <c r="E228" s="4">
        <f>_xlfn.XLOOKUP($A228, ITC!A:A, ITC!B:B, "")</f>
        <v>193.85</v>
      </c>
      <c r="F228" s="4">
        <f>_xlfn.XLOOKUP($A228, TCS!A:A, TCS!B:B, "")</f>
        <v>2701.3</v>
      </c>
      <c r="G228" s="4">
        <f>_xlfn.XLOOKUP($A228, Infosys!A:A, Infosys!B:B,"")</f>
        <v>1115.6500000000001</v>
      </c>
      <c r="H228" s="4">
        <f>_xlfn.XLOOKUP($A228, 'L &amp; T'!A:A, 'L &amp; T'!B:B, "")</f>
        <v>1116</v>
      </c>
    </row>
    <row r="229" spans="1:8" x14ac:dyDescent="0.3">
      <c r="A229" s="1">
        <v>44161</v>
      </c>
      <c r="B229" s="4">
        <f>_xlfn.XLOOKUP($A229, 'Nifty 50'!A:A, 'Nifty 50'!B:B, "")</f>
        <v>12987</v>
      </c>
      <c r="C229" s="4">
        <f>_xlfn.XLOOKUP($A229, Reliance!A:A, Reliance!B:B, "")</f>
        <v>886.34</v>
      </c>
      <c r="D229" s="4">
        <f>_xlfn.XLOOKUP($A229, HDFC!A:A, HDFC!B:B, "")</f>
        <v>711.55</v>
      </c>
      <c r="E229" s="4">
        <f>_xlfn.XLOOKUP($A229, ITC!A:A, ITC!B:B, "")</f>
        <v>194.8</v>
      </c>
      <c r="F229" s="4">
        <f>_xlfn.XLOOKUP($A229, TCS!A:A, TCS!B:B, "")</f>
        <v>2720.6</v>
      </c>
      <c r="G229" s="4">
        <f>_xlfn.XLOOKUP($A229, Infosys!A:A, Infosys!B:B,"")</f>
        <v>1113.2</v>
      </c>
      <c r="H229" s="4">
        <f>_xlfn.XLOOKUP($A229, 'L &amp; T'!A:A, 'L &amp; T'!B:B, "")</f>
        <v>1118.8499999999999</v>
      </c>
    </row>
    <row r="230" spans="1:8" x14ac:dyDescent="0.3">
      <c r="A230" s="1">
        <v>44162</v>
      </c>
      <c r="B230" s="4">
        <f>_xlfn.XLOOKUP($A230, 'Nifty 50'!A:A, 'Nifty 50'!B:B, "")</f>
        <v>12968.95</v>
      </c>
      <c r="C230" s="4">
        <f>_xlfn.XLOOKUP($A230, Reliance!A:A, Reliance!B:B, "")</f>
        <v>875.99</v>
      </c>
      <c r="D230" s="4">
        <f>_xlfn.XLOOKUP($A230, HDFC!A:A, HDFC!B:B, "")</f>
        <v>718.64</v>
      </c>
      <c r="E230" s="4">
        <f>_xlfn.XLOOKUP($A230, ITC!A:A, ITC!B:B, "")</f>
        <v>193.65</v>
      </c>
      <c r="F230" s="4">
        <f>_xlfn.XLOOKUP($A230, TCS!A:A, TCS!B:B, "")</f>
        <v>2679.65</v>
      </c>
      <c r="G230" s="4">
        <f>_xlfn.XLOOKUP($A230, Infosys!A:A, Infosys!B:B,"")</f>
        <v>1100</v>
      </c>
      <c r="H230" s="4">
        <f>_xlfn.XLOOKUP($A230, 'L &amp; T'!A:A, 'L &amp; T'!B:B, "")</f>
        <v>1122.4000000000001</v>
      </c>
    </row>
    <row r="231" spans="1:8" x14ac:dyDescent="0.3">
      <c r="A231" s="1">
        <v>44166</v>
      </c>
      <c r="B231" s="4">
        <f>_xlfn.XLOOKUP($A231, 'Nifty 50'!A:A, 'Nifty 50'!B:B, "")</f>
        <v>13109.05</v>
      </c>
      <c r="C231" s="4">
        <f>_xlfn.XLOOKUP($A231, Reliance!A:A, Reliance!B:B, "")</f>
        <v>887.39</v>
      </c>
      <c r="D231" s="4">
        <f>_xlfn.XLOOKUP($A231, HDFC!A:A, HDFC!B:B, "")</f>
        <v>714.87</v>
      </c>
      <c r="E231" s="4">
        <f>_xlfn.XLOOKUP($A231, ITC!A:A, ITC!B:B, "")</f>
        <v>194.4</v>
      </c>
      <c r="F231" s="4">
        <f>_xlfn.XLOOKUP($A231, TCS!A:A, TCS!B:B, "")</f>
        <v>2726.8</v>
      </c>
      <c r="G231" s="4">
        <f>_xlfn.XLOOKUP($A231, Infosys!A:A, Infosys!B:B,"")</f>
        <v>1137.8499999999999</v>
      </c>
      <c r="H231" s="4">
        <f>_xlfn.XLOOKUP($A231, 'L &amp; T'!A:A, 'L &amp; T'!B:B, "")</f>
        <v>1115.95</v>
      </c>
    </row>
    <row r="232" spans="1:8" x14ac:dyDescent="0.3">
      <c r="A232" s="1">
        <v>44167</v>
      </c>
      <c r="B232" s="4">
        <f>_xlfn.XLOOKUP($A232, 'Nifty 50'!A:A, 'Nifty 50'!B:B, "")</f>
        <v>13113.75</v>
      </c>
      <c r="C232" s="4">
        <f>_xlfn.XLOOKUP($A232, Reliance!A:A, Reliance!B:B, "")</f>
        <v>888.86</v>
      </c>
      <c r="D232" s="4">
        <f>_xlfn.XLOOKUP($A232, HDFC!A:A, HDFC!B:B, "")</f>
        <v>701.73</v>
      </c>
      <c r="E232" s="4">
        <f>_xlfn.XLOOKUP($A232, ITC!A:A, ITC!B:B, "")</f>
        <v>195.95</v>
      </c>
      <c r="F232" s="4">
        <f>_xlfn.XLOOKUP($A232, TCS!A:A, TCS!B:B, "")</f>
        <v>2749.55</v>
      </c>
      <c r="G232" s="4">
        <f>_xlfn.XLOOKUP($A232, Infosys!A:A, Infosys!B:B,"")</f>
        <v>1140.9000000000001</v>
      </c>
      <c r="H232" s="4">
        <f>_xlfn.XLOOKUP($A232, 'L &amp; T'!A:A, 'L &amp; T'!B:B, "")</f>
        <v>1113.75</v>
      </c>
    </row>
    <row r="233" spans="1:8" x14ac:dyDescent="0.3">
      <c r="A233" s="1">
        <v>44168</v>
      </c>
      <c r="B233" s="4">
        <f>_xlfn.XLOOKUP($A233, 'Nifty 50'!A:A, 'Nifty 50'!B:B, "")</f>
        <v>13133.9</v>
      </c>
      <c r="C233" s="4">
        <f>_xlfn.XLOOKUP($A233, Reliance!A:A, Reliance!B:B, "")</f>
        <v>891.54</v>
      </c>
      <c r="D233" s="4">
        <f>_xlfn.XLOOKUP($A233, HDFC!A:A, HDFC!B:B, "")</f>
        <v>686.89</v>
      </c>
      <c r="E233" s="4">
        <f>_xlfn.XLOOKUP($A233, ITC!A:A, ITC!B:B, "")</f>
        <v>196.2</v>
      </c>
      <c r="F233" s="4">
        <f>_xlfn.XLOOKUP($A233, TCS!A:A, TCS!B:B, "")</f>
        <v>2709.45</v>
      </c>
      <c r="G233" s="4">
        <f>_xlfn.XLOOKUP($A233, Infosys!A:A, Infosys!B:B,"")</f>
        <v>1126.45</v>
      </c>
      <c r="H233" s="4">
        <f>_xlfn.XLOOKUP($A233, 'L &amp; T'!A:A, 'L &amp; T'!B:B, "")</f>
        <v>1125.1500000000001</v>
      </c>
    </row>
    <row r="234" spans="1:8" x14ac:dyDescent="0.3">
      <c r="A234" s="1">
        <v>44169</v>
      </c>
      <c r="B234" s="4">
        <f>_xlfn.XLOOKUP($A234, 'Nifty 50'!A:A, 'Nifty 50'!B:B, "")</f>
        <v>13258.55</v>
      </c>
      <c r="C234" s="4">
        <f>_xlfn.XLOOKUP($A234, Reliance!A:A, Reliance!B:B, "")</f>
        <v>883.69</v>
      </c>
      <c r="D234" s="4">
        <f>_xlfn.XLOOKUP($A234, HDFC!A:A, HDFC!B:B, "")</f>
        <v>691.08</v>
      </c>
      <c r="E234" s="4">
        <f>_xlfn.XLOOKUP($A234, ITC!A:A, ITC!B:B, "")</f>
        <v>198.2</v>
      </c>
      <c r="F234" s="4">
        <f>_xlfn.XLOOKUP($A234, TCS!A:A, TCS!B:B, "")</f>
        <v>2727.55</v>
      </c>
      <c r="G234" s="4">
        <f>_xlfn.XLOOKUP($A234, Infosys!A:A, Infosys!B:B,"")</f>
        <v>1134.6500000000001</v>
      </c>
      <c r="H234" s="4">
        <f>_xlfn.XLOOKUP($A234, 'L &amp; T'!A:A, 'L &amp; T'!B:B, "")</f>
        <v>1149.5</v>
      </c>
    </row>
    <row r="235" spans="1:8" x14ac:dyDescent="0.3">
      <c r="A235" s="1">
        <v>44172</v>
      </c>
      <c r="B235" s="4">
        <f>_xlfn.XLOOKUP($A235, 'Nifty 50'!A:A, 'Nifty 50'!B:B, "")</f>
        <v>13355.75</v>
      </c>
      <c r="C235" s="4">
        <f>_xlfn.XLOOKUP($A235, Reliance!A:A, Reliance!B:B, "")</f>
        <v>888.88</v>
      </c>
      <c r="D235" s="4">
        <f>_xlfn.XLOOKUP($A235, HDFC!A:A, HDFC!B:B, "")</f>
        <v>684.42</v>
      </c>
      <c r="E235" s="4">
        <f>_xlfn.XLOOKUP($A235, ITC!A:A, ITC!B:B, "")</f>
        <v>203.15</v>
      </c>
      <c r="F235" s="4">
        <f>_xlfn.XLOOKUP($A235, TCS!A:A, TCS!B:B, "")</f>
        <v>2737.7</v>
      </c>
      <c r="G235" s="4">
        <f>_xlfn.XLOOKUP($A235, Infosys!A:A, Infosys!B:B,"")</f>
        <v>1143.5</v>
      </c>
      <c r="H235" s="4">
        <f>_xlfn.XLOOKUP($A235, 'L &amp; T'!A:A, 'L &amp; T'!B:B, "")</f>
        <v>1169.7</v>
      </c>
    </row>
    <row r="236" spans="1:8" x14ac:dyDescent="0.3">
      <c r="A236" s="1">
        <v>44173</v>
      </c>
      <c r="B236" s="4">
        <f>_xlfn.XLOOKUP($A236, 'Nifty 50'!A:A, 'Nifty 50'!B:B, "")</f>
        <v>13392.95</v>
      </c>
      <c r="C236" s="4">
        <f>_xlfn.XLOOKUP($A236, Reliance!A:A, Reliance!B:B, "")</f>
        <v>905.02</v>
      </c>
      <c r="D236" s="4">
        <f>_xlfn.XLOOKUP($A236, HDFC!A:A, HDFC!B:B, "")</f>
        <v>686.44</v>
      </c>
      <c r="E236" s="4">
        <f>_xlfn.XLOOKUP($A236, ITC!A:A, ITC!B:B, "")</f>
        <v>202.45</v>
      </c>
      <c r="F236" s="4">
        <f>_xlfn.XLOOKUP($A236, TCS!A:A, TCS!B:B, "")</f>
        <v>2797.3</v>
      </c>
      <c r="G236" s="4">
        <f>_xlfn.XLOOKUP($A236, Infosys!A:A, Infosys!B:B,"")</f>
        <v>1153.3499999999999</v>
      </c>
      <c r="H236" s="4">
        <f>_xlfn.XLOOKUP($A236, 'L &amp; T'!A:A, 'L &amp; T'!B:B, "")</f>
        <v>1171.4000000000001</v>
      </c>
    </row>
    <row r="237" spans="1:8" x14ac:dyDescent="0.3">
      <c r="A237" s="1">
        <v>44174</v>
      </c>
      <c r="B237" s="4">
        <f>_xlfn.XLOOKUP($A237, 'Nifty 50'!A:A, 'Nifty 50'!B:B, "")</f>
        <v>13529.1</v>
      </c>
      <c r="C237" s="4">
        <f>_xlfn.XLOOKUP($A237, Reliance!A:A, Reliance!B:B, "")</f>
        <v>920.09</v>
      </c>
      <c r="D237" s="4">
        <f>_xlfn.XLOOKUP($A237, HDFC!A:A, HDFC!B:B, "")</f>
        <v>701.85</v>
      </c>
      <c r="E237" s="4">
        <f>_xlfn.XLOOKUP($A237, ITC!A:A, ITC!B:B, "")</f>
        <v>205.4</v>
      </c>
      <c r="F237" s="4">
        <f>_xlfn.XLOOKUP($A237, TCS!A:A, TCS!B:B, "")</f>
        <v>2810.8</v>
      </c>
      <c r="G237" s="4">
        <f>_xlfn.XLOOKUP($A237, Infosys!A:A, Infosys!B:B,"")</f>
        <v>1175.2</v>
      </c>
      <c r="H237" s="4">
        <f>_xlfn.XLOOKUP($A237, 'L &amp; T'!A:A, 'L &amp; T'!B:B, "")</f>
        <v>1181</v>
      </c>
    </row>
    <row r="238" spans="1:8" x14ac:dyDescent="0.3">
      <c r="A238" s="1">
        <v>44175</v>
      </c>
      <c r="B238" s="4">
        <f>_xlfn.XLOOKUP($A238, 'Nifty 50'!A:A, 'Nifty 50'!B:B, "")</f>
        <v>13478.3</v>
      </c>
      <c r="C238" s="4">
        <f>_xlfn.XLOOKUP($A238, Reliance!A:A, Reliance!B:B, "")</f>
        <v>911.04</v>
      </c>
      <c r="D238" s="4">
        <f>_xlfn.XLOOKUP($A238, HDFC!A:A, HDFC!B:B, "")</f>
        <v>691.21</v>
      </c>
      <c r="E238" s="4">
        <f>_xlfn.XLOOKUP($A238, ITC!A:A, ITC!B:B, "")</f>
        <v>212.7</v>
      </c>
      <c r="F238" s="4">
        <f>_xlfn.XLOOKUP($A238, TCS!A:A, TCS!B:B, "")</f>
        <v>2784.3</v>
      </c>
      <c r="G238" s="4">
        <f>_xlfn.XLOOKUP($A238, Infosys!A:A, Infosys!B:B,"")</f>
        <v>1167.75</v>
      </c>
      <c r="H238" s="4">
        <f>_xlfn.XLOOKUP($A238, 'L &amp; T'!A:A, 'L &amp; T'!B:B, "")</f>
        <v>1190.3499999999999</v>
      </c>
    </row>
    <row r="239" spans="1:8" x14ac:dyDescent="0.3">
      <c r="A239" s="1">
        <v>44176</v>
      </c>
      <c r="B239" s="4">
        <f>_xlfn.XLOOKUP($A239, 'Nifty 50'!A:A, 'Nifty 50'!B:B, "")</f>
        <v>13513.85</v>
      </c>
      <c r="C239" s="4">
        <f>_xlfn.XLOOKUP($A239, Reliance!A:A, Reliance!B:B, "")</f>
        <v>910.49</v>
      </c>
      <c r="D239" s="4">
        <f>_xlfn.XLOOKUP($A239, HDFC!A:A, HDFC!B:B, "")</f>
        <v>689.68</v>
      </c>
      <c r="E239" s="4">
        <f>_xlfn.XLOOKUP($A239, ITC!A:A, ITC!B:B, "")</f>
        <v>216.3</v>
      </c>
      <c r="F239" s="4">
        <f>_xlfn.XLOOKUP($A239, TCS!A:A, TCS!B:B, "")</f>
        <v>2783.6</v>
      </c>
      <c r="G239" s="4">
        <f>_xlfn.XLOOKUP($A239, Infosys!A:A, Infosys!B:B,"")</f>
        <v>1163.2</v>
      </c>
      <c r="H239" s="4">
        <f>_xlfn.XLOOKUP($A239, 'L &amp; T'!A:A, 'L &amp; T'!B:B, "")</f>
        <v>1194.3</v>
      </c>
    </row>
    <row r="240" spans="1:8" x14ac:dyDescent="0.3">
      <c r="A240" s="1">
        <v>44179</v>
      </c>
      <c r="B240" s="4">
        <f>_xlfn.XLOOKUP($A240, 'Nifty 50'!A:A, 'Nifty 50'!B:B, "")</f>
        <v>13558.15</v>
      </c>
      <c r="C240" s="4">
        <f>_xlfn.XLOOKUP($A240, Reliance!A:A, Reliance!B:B, "")</f>
        <v>903.91</v>
      </c>
      <c r="D240" s="4">
        <f>_xlfn.XLOOKUP($A240, HDFC!A:A, HDFC!B:B, "")</f>
        <v>684.37</v>
      </c>
      <c r="E240" s="4">
        <f>_xlfn.XLOOKUP($A240, ITC!A:A, ITC!B:B, "")</f>
        <v>215.9</v>
      </c>
      <c r="F240" s="4">
        <f>_xlfn.XLOOKUP($A240, TCS!A:A, TCS!B:B, "")</f>
        <v>2797.7</v>
      </c>
      <c r="G240" s="4">
        <f>_xlfn.XLOOKUP($A240, Infosys!A:A, Infosys!B:B,"")</f>
        <v>1164.55</v>
      </c>
      <c r="H240" s="4">
        <f>_xlfn.XLOOKUP($A240, 'L &amp; T'!A:A, 'L &amp; T'!B:B, "")</f>
        <v>1249.6500000000001</v>
      </c>
    </row>
    <row r="241" spans="1:8" x14ac:dyDescent="0.3">
      <c r="A241" s="1">
        <v>44180</v>
      </c>
      <c r="B241" s="4">
        <f>_xlfn.XLOOKUP($A241, 'Nifty 50'!A:A, 'Nifty 50'!B:B, "")</f>
        <v>13567.85</v>
      </c>
      <c r="C241" s="4">
        <f>_xlfn.XLOOKUP($A241, Reliance!A:A, Reliance!B:B, "")</f>
        <v>896.22</v>
      </c>
      <c r="D241" s="4">
        <f>_xlfn.XLOOKUP($A241, HDFC!A:A, HDFC!B:B, "")</f>
        <v>693.92</v>
      </c>
      <c r="E241" s="4">
        <f>_xlfn.XLOOKUP($A241, ITC!A:A, ITC!B:B, "")</f>
        <v>213.55</v>
      </c>
      <c r="F241" s="4">
        <f>_xlfn.XLOOKUP($A241, TCS!A:A, TCS!B:B, "")</f>
        <v>2761.55</v>
      </c>
      <c r="G241" s="4">
        <f>_xlfn.XLOOKUP($A241, Infosys!A:A, Infosys!B:B,"")</f>
        <v>1154.5999999999999</v>
      </c>
      <c r="H241" s="4">
        <f>_xlfn.XLOOKUP($A241, 'L &amp; T'!A:A, 'L &amp; T'!B:B, "")</f>
        <v>1246.25</v>
      </c>
    </row>
    <row r="242" spans="1:8" x14ac:dyDescent="0.3">
      <c r="A242" s="1">
        <v>44181</v>
      </c>
      <c r="B242" s="4">
        <f>_xlfn.XLOOKUP($A242, 'Nifty 50'!A:A, 'Nifty 50'!B:B, "")</f>
        <v>13682.7</v>
      </c>
      <c r="C242" s="4">
        <f>_xlfn.XLOOKUP($A242, Reliance!A:A, Reliance!B:B, "")</f>
        <v>897.21</v>
      </c>
      <c r="D242" s="4">
        <f>_xlfn.XLOOKUP($A242, HDFC!A:A, HDFC!B:B, "")</f>
        <v>703.6</v>
      </c>
      <c r="E242" s="4">
        <f>_xlfn.XLOOKUP($A242, ITC!A:A, ITC!B:B, "")</f>
        <v>214</v>
      </c>
      <c r="F242" s="4">
        <f>_xlfn.XLOOKUP($A242, TCS!A:A, TCS!B:B, "")</f>
        <v>2814.2</v>
      </c>
      <c r="G242" s="4">
        <f>_xlfn.XLOOKUP($A242, Infosys!A:A, Infosys!B:B,"")</f>
        <v>1165.7</v>
      </c>
      <c r="H242" s="4">
        <f>_xlfn.XLOOKUP($A242, 'L &amp; T'!A:A, 'L &amp; T'!B:B, "")</f>
        <v>1268.25</v>
      </c>
    </row>
    <row r="243" spans="1:8" x14ac:dyDescent="0.3">
      <c r="A243" s="1">
        <v>44182</v>
      </c>
      <c r="B243" s="4">
        <f>_xlfn.XLOOKUP($A243, 'Nifty 50'!A:A, 'Nifty 50'!B:B, "")</f>
        <v>13740.7</v>
      </c>
      <c r="C243" s="4">
        <f>_xlfn.XLOOKUP($A243, Reliance!A:A, Reliance!B:B, "")</f>
        <v>901.32</v>
      </c>
      <c r="D243" s="4">
        <f>_xlfn.XLOOKUP($A243, HDFC!A:A, HDFC!B:B, "")</f>
        <v>719.11</v>
      </c>
      <c r="E243" s="4">
        <f>_xlfn.XLOOKUP($A243, ITC!A:A, ITC!B:B, "")</f>
        <v>213.05</v>
      </c>
      <c r="F243" s="4">
        <f>_xlfn.XLOOKUP($A243, TCS!A:A, TCS!B:B, "")</f>
        <v>2838.2</v>
      </c>
      <c r="G243" s="4">
        <f>_xlfn.XLOOKUP($A243, Infosys!A:A, Infosys!B:B,"")</f>
        <v>1159.2</v>
      </c>
      <c r="H243" s="4">
        <f>_xlfn.XLOOKUP($A243, 'L &amp; T'!A:A, 'L &amp; T'!B:B, "")</f>
        <v>1278.8</v>
      </c>
    </row>
    <row r="244" spans="1:8" x14ac:dyDescent="0.3">
      <c r="A244" s="1">
        <v>44183</v>
      </c>
      <c r="B244" s="4">
        <f>_xlfn.XLOOKUP($A244, 'Nifty 50'!A:A, 'Nifty 50'!B:B, "")</f>
        <v>13760.55</v>
      </c>
      <c r="C244" s="4">
        <f>_xlfn.XLOOKUP($A244, Reliance!A:A, Reliance!B:B, "")</f>
        <v>904.02</v>
      </c>
      <c r="D244" s="4">
        <f>_xlfn.XLOOKUP($A244, HDFC!A:A, HDFC!B:B, "")</f>
        <v>703.92</v>
      </c>
      <c r="E244" s="4">
        <f>_xlfn.XLOOKUP($A244, ITC!A:A, ITC!B:B, "")</f>
        <v>214.5</v>
      </c>
      <c r="F244" s="4">
        <f>_xlfn.XLOOKUP($A244, TCS!A:A, TCS!B:B, "")</f>
        <v>2861</v>
      </c>
      <c r="G244" s="4">
        <f>_xlfn.XLOOKUP($A244, Infosys!A:A, Infosys!B:B,"")</f>
        <v>1189.8</v>
      </c>
      <c r="H244" s="4">
        <f>_xlfn.XLOOKUP($A244, 'L &amp; T'!A:A, 'L &amp; T'!B:B, "")</f>
        <v>1281.55</v>
      </c>
    </row>
    <row r="245" spans="1:8" x14ac:dyDescent="0.3">
      <c r="A245" s="1">
        <v>44186</v>
      </c>
      <c r="B245" s="4">
        <f>_xlfn.XLOOKUP($A245, 'Nifty 50'!A:A, 'Nifty 50'!B:B, "")</f>
        <v>13328.4</v>
      </c>
      <c r="C245" s="4">
        <f>_xlfn.XLOOKUP($A245, Reliance!A:A, Reliance!B:B, "")</f>
        <v>880.49</v>
      </c>
      <c r="D245" s="4">
        <f>_xlfn.XLOOKUP($A245, HDFC!A:A, HDFC!B:B, "")</f>
        <v>684.62</v>
      </c>
      <c r="E245" s="4">
        <f>_xlfn.XLOOKUP($A245, ITC!A:A, ITC!B:B, "")</f>
        <v>202.95</v>
      </c>
      <c r="F245" s="4">
        <f>_xlfn.XLOOKUP($A245, TCS!A:A, TCS!B:B, "")</f>
        <v>2820.15</v>
      </c>
      <c r="G245" s="4">
        <f>_xlfn.XLOOKUP($A245, Infosys!A:A, Infosys!B:B,"")</f>
        <v>1177.3</v>
      </c>
      <c r="H245" s="4">
        <f>_xlfn.XLOOKUP($A245, 'L &amp; T'!A:A, 'L &amp; T'!B:B, "")</f>
        <v>1234.8499999999999</v>
      </c>
    </row>
    <row r="246" spans="1:8" x14ac:dyDescent="0.3">
      <c r="A246" s="1">
        <v>44187</v>
      </c>
      <c r="B246" s="4">
        <f>_xlfn.XLOOKUP($A246, 'Nifty 50'!A:A, 'Nifty 50'!B:B, "")</f>
        <v>13466.3</v>
      </c>
      <c r="C246" s="4">
        <f>_xlfn.XLOOKUP($A246, Reliance!A:A, Reliance!B:B, "")</f>
        <v>879.13</v>
      </c>
      <c r="D246" s="4">
        <f>_xlfn.XLOOKUP($A246, HDFC!A:A, HDFC!B:B, "")</f>
        <v>684.85</v>
      </c>
      <c r="E246" s="4">
        <f>_xlfn.XLOOKUP($A246, ITC!A:A, ITC!B:B, "")</f>
        <v>203.4</v>
      </c>
      <c r="F246" s="4">
        <f>_xlfn.XLOOKUP($A246, TCS!A:A, TCS!B:B, "")</f>
        <v>2872.5</v>
      </c>
      <c r="G246" s="4">
        <f>_xlfn.XLOOKUP($A246, Infosys!A:A, Infosys!B:B,"")</f>
        <v>1220.5</v>
      </c>
      <c r="H246" s="4">
        <f>_xlfn.XLOOKUP($A246, 'L &amp; T'!A:A, 'L &amp; T'!B:B, "")</f>
        <v>1262.7</v>
      </c>
    </row>
    <row r="247" spans="1:8" x14ac:dyDescent="0.3">
      <c r="A247" s="1">
        <v>44188</v>
      </c>
      <c r="B247" s="4">
        <f>_xlfn.XLOOKUP($A247, 'Nifty 50'!A:A, 'Nifty 50'!B:B, "")</f>
        <v>13601.1</v>
      </c>
      <c r="C247" s="4">
        <f>_xlfn.XLOOKUP($A247, Reliance!A:A, Reliance!B:B, "")</f>
        <v>882.37</v>
      </c>
      <c r="D247" s="4">
        <f>_xlfn.XLOOKUP($A247, HDFC!A:A, HDFC!B:B, "")</f>
        <v>686.12</v>
      </c>
      <c r="E247" s="4">
        <f>_xlfn.XLOOKUP($A247, ITC!A:A, ITC!B:B, "")</f>
        <v>207.75</v>
      </c>
      <c r="F247" s="4">
        <f>_xlfn.XLOOKUP($A247, TCS!A:A, TCS!B:B, "")</f>
        <v>2908.75</v>
      </c>
      <c r="G247" s="4">
        <f>_xlfn.XLOOKUP($A247, Infosys!A:A, Infosys!B:B,"")</f>
        <v>1253.05</v>
      </c>
      <c r="H247" s="4">
        <f>_xlfn.XLOOKUP($A247, 'L &amp; T'!A:A, 'L &amp; T'!B:B, "")</f>
        <v>1264.8</v>
      </c>
    </row>
    <row r="248" spans="1:8" x14ac:dyDescent="0.3">
      <c r="A248" s="1">
        <v>44189</v>
      </c>
      <c r="B248" s="4">
        <f>_xlfn.XLOOKUP($A248, 'Nifty 50'!A:A, 'Nifty 50'!B:B, "")</f>
        <v>13749.25</v>
      </c>
      <c r="C248" s="4">
        <f>_xlfn.XLOOKUP($A248, Reliance!A:A, Reliance!B:B, "")</f>
        <v>905.2</v>
      </c>
      <c r="D248" s="4">
        <f>_xlfn.XLOOKUP($A248, HDFC!A:A, HDFC!B:B, "")</f>
        <v>696.82</v>
      </c>
      <c r="E248" s="4">
        <f>_xlfn.XLOOKUP($A248, ITC!A:A, ITC!B:B, "")</f>
        <v>208.6</v>
      </c>
      <c r="F248" s="4">
        <f>_xlfn.XLOOKUP($A248, TCS!A:A, TCS!B:B, "")</f>
        <v>2909.35</v>
      </c>
      <c r="G248" s="4">
        <f>_xlfn.XLOOKUP($A248, Infosys!A:A, Infosys!B:B,"")</f>
        <v>1236.05</v>
      </c>
      <c r="H248" s="4">
        <f>_xlfn.XLOOKUP($A248, 'L &amp; T'!A:A, 'L &amp; T'!B:B, "")</f>
        <v>1262.2</v>
      </c>
    </row>
    <row r="249" spans="1:8" x14ac:dyDescent="0.3">
      <c r="A249" s="1">
        <v>44193</v>
      </c>
      <c r="B249" s="4">
        <f>_xlfn.XLOOKUP($A249, 'Nifty 50'!A:A, 'Nifty 50'!B:B, "")</f>
        <v>13873.2</v>
      </c>
      <c r="C249" s="4">
        <f>_xlfn.XLOOKUP($A249, Reliance!A:A, Reliance!B:B, "")</f>
        <v>909.36</v>
      </c>
      <c r="D249" s="4">
        <f>_xlfn.XLOOKUP($A249, HDFC!A:A, HDFC!B:B, "")</f>
        <v>704.67</v>
      </c>
      <c r="E249" s="4">
        <f>_xlfn.XLOOKUP($A249, ITC!A:A, ITC!B:B, "")</f>
        <v>209.5</v>
      </c>
      <c r="F249" s="4">
        <f>_xlfn.XLOOKUP($A249, TCS!A:A, TCS!B:B, "")</f>
        <v>2929.4</v>
      </c>
      <c r="G249" s="4">
        <f>_xlfn.XLOOKUP($A249, Infosys!A:A, Infosys!B:B,"")</f>
        <v>1240.3</v>
      </c>
      <c r="H249" s="4">
        <f>_xlfn.XLOOKUP($A249, 'L &amp; T'!A:A, 'L &amp; T'!B:B, "")</f>
        <v>1289.4000000000001</v>
      </c>
    </row>
    <row r="250" spans="1:8" x14ac:dyDescent="0.3">
      <c r="A250" s="1">
        <v>44194</v>
      </c>
      <c r="B250" s="4">
        <f>_xlfn.XLOOKUP($A250, 'Nifty 50'!A:A, 'Nifty 50'!B:B, "")</f>
        <v>13932.6</v>
      </c>
      <c r="C250" s="4">
        <f>_xlfn.XLOOKUP($A250, Reliance!A:A, Reliance!B:B, "")</f>
        <v>903.34</v>
      </c>
      <c r="D250" s="4">
        <f>_xlfn.XLOOKUP($A250, HDFC!A:A, HDFC!B:B, "")</f>
        <v>711.83</v>
      </c>
      <c r="E250" s="4">
        <f>_xlfn.XLOOKUP($A250, ITC!A:A, ITC!B:B, "")</f>
        <v>211.55</v>
      </c>
      <c r="F250" s="4">
        <f>_xlfn.XLOOKUP($A250, TCS!A:A, TCS!B:B, "")</f>
        <v>2930.5</v>
      </c>
      <c r="G250" s="4">
        <f>_xlfn.XLOOKUP($A250, Infosys!A:A, Infosys!B:B,"")</f>
        <v>1250.3</v>
      </c>
      <c r="H250" s="4">
        <f>_xlfn.XLOOKUP($A250, 'L &amp; T'!A:A, 'L &amp; T'!B:B, "")</f>
        <v>1284.8499999999999</v>
      </c>
    </row>
    <row r="251" spans="1:8" x14ac:dyDescent="0.3">
      <c r="A251" s="1">
        <v>44195</v>
      </c>
      <c r="B251" s="4">
        <f>_xlfn.XLOOKUP($A251, 'Nifty 50'!A:A, 'Nifty 50'!B:B, "")</f>
        <v>13981.95</v>
      </c>
      <c r="C251" s="4">
        <f>_xlfn.XLOOKUP($A251, Reliance!A:A, Reliance!B:B, "")</f>
        <v>905.82</v>
      </c>
      <c r="D251" s="4">
        <f>_xlfn.XLOOKUP($A251, HDFC!A:A, HDFC!B:B, "")</f>
        <v>714.47</v>
      </c>
      <c r="E251" s="4">
        <f>_xlfn.XLOOKUP($A251, ITC!A:A, ITC!B:B, "")</f>
        <v>211.15</v>
      </c>
      <c r="F251" s="4">
        <f>_xlfn.XLOOKUP($A251, TCS!A:A, TCS!B:B, "")</f>
        <v>2909.3</v>
      </c>
      <c r="G251" s="4">
        <f>_xlfn.XLOOKUP($A251, Infosys!A:A, Infosys!B:B,"")</f>
        <v>1246.8</v>
      </c>
      <c r="H251" s="4">
        <f>_xlfn.XLOOKUP($A251, 'L &amp; T'!A:A, 'L &amp; T'!B:B, "")</f>
        <v>1292.05</v>
      </c>
    </row>
    <row r="252" spans="1:8" x14ac:dyDescent="0.3">
      <c r="A252" s="1">
        <v>44196</v>
      </c>
      <c r="B252" s="4">
        <f>_xlfn.XLOOKUP($A252, 'Nifty 50'!A:A, 'Nifty 50'!B:B, "")</f>
        <v>13981.75</v>
      </c>
      <c r="C252" s="4">
        <f>_xlfn.XLOOKUP($A252, Reliance!A:A, Reliance!B:B, "")</f>
        <v>901.19</v>
      </c>
      <c r="D252" s="4">
        <f>_xlfn.XLOOKUP($A252, HDFC!A:A, HDFC!B:B, "")</f>
        <v>716.37</v>
      </c>
      <c r="E252" s="4">
        <f>_xlfn.XLOOKUP($A252, ITC!A:A, ITC!B:B, "")</f>
        <v>209</v>
      </c>
      <c r="F252" s="4">
        <f>_xlfn.XLOOKUP($A252, TCS!A:A, TCS!B:B, "")</f>
        <v>2862.75</v>
      </c>
      <c r="G252" s="4">
        <f>_xlfn.XLOOKUP($A252, Infosys!A:A, Infosys!B:B,"")</f>
        <v>1255.8</v>
      </c>
      <c r="H252" s="4">
        <f>_xlfn.XLOOKUP($A252, 'L &amp; T'!A:A, 'L &amp; T'!B:B, "")</f>
        <v>1287.5999999999999</v>
      </c>
    </row>
    <row r="253" spans="1:8" x14ac:dyDescent="0.3">
      <c r="A253" s="1">
        <v>44197</v>
      </c>
      <c r="B253" s="4">
        <f>_xlfn.XLOOKUP($A253, 'Nifty 50'!A:A, 'Nifty 50'!B:B, "")</f>
        <v>14018.5</v>
      </c>
      <c r="C253" s="4">
        <f>_xlfn.XLOOKUP($A253, Reliance!A:A, Reliance!B:B, "")</f>
        <v>902.18</v>
      </c>
      <c r="D253" s="4">
        <f>_xlfn.XLOOKUP($A253, HDFC!A:A, HDFC!B:B, "")</f>
        <v>710.76</v>
      </c>
      <c r="E253" s="4">
        <f>_xlfn.XLOOKUP($A253, ITC!A:A, ITC!B:B, "")</f>
        <v>213.85</v>
      </c>
      <c r="F253" s="4">
        <f>_xlfn.XLOOKUP($A253, TCS!A:A, TCS!B:B, "")</f>
        <v>2928.25</v>
      </c>
      <c r="G253" s="4">
        <f>_xlfn.XLOOKUP($A253, Infosys!A:A, Infosys!B:B,"")</f>
        <v>1260.45</v>
      </c>
      <c r="H253" s="4">
        <f>_xlfn.XLOOKUP($A253, 'L &amp; T'!A:A, 'L &amp; T'!B:B, "")</f>
        <v>1297</v>
      </c>
    </row>
    <row r="254" spans="1:8" x14ac:dyDescent="0.3">
      <c r="A254" s="1">
        <v>44200</v>
      </c>
      <c r="B254" s="4">
        <f>_xlfn.XLOOKUP($A254, 'Nifty 50'!A:A, 'Nifty 50'!B:B, "")</f>
        <v>14132.9</v>
      </c>
      <c r="C254" s="4">
        <f>_xlfn.XLOOKUP($A254, Reliance!A:A, Reliance!B:B, "")</f>
        <v>903.71</v>
      </c>
      <c r="D254" s="4">
        <f>_xlfn.XLOOKUP($A254, HDFC!A:A, HDFC!B:B, "")</f>
        <v>706.24</v>
      </c>
      <c r="E254" s="4">
        <f>_xlfn.XLOOKUP($A254, ITC!A:A, ITC!B:B, "")</f>
        <v>213.4</v>
      </c>
      <c r="F254" s="4">
        <f>_xlfn.XLOOKUP($A254, TCS!A:A, TCS!B:B, "")</f>
        <v>3039.45</v>
      </c>
      <c r="G254" s="4">
        <f>_xlfn.XLOOKUP($A254, Infosys!A:A, Infosys!B:B,"")</f>
        <v>1288.25</v>
      </c>
      <c r="H254" s="4">
        <f>_xlfn.XLOOKUP($A254, 'L &amp; T'!A:A, 'L &amp; T'!B:B, "")</f>
        <v>1314.6</v>
      </c>
    </row>
    <row r="255" spans="1:8" x14ac:dyDescent="0.3">
      <c r="A255" s="1">
        <v>44201</v>
      </c>
      <c r="B255" s="4">
        <f>_xlfn.XLOOKUP($A255, 'Nifty 50'!A:A, 'Nifty 50'!B:B, "")</f>
        <v>14199.5</v>
      </c>
      <c r="C255" s="4">
        <f>_xlfn.XLOOKUP($A255, Reliance!A:A, Reliance!B:B, "")</f>
        <v>892.47</v>
      </c>
      <c r="D255" s="4">
        <f>_xlfn.XLOOKUP($A255, HDFC!A:A, HDFC!B:B, "")</f>
        <v>711.58</v>
      </c>
      <c r="E255" s="4">
        <f>_xlfn.XLOOKUP($A255, ITC!A:A, ITC!B:B, "")</f>
        <v>211.45</v>
      </c>
      <c r="F255" s="4">
        <f>_xlfn.XLOOKUP($A255, TCS!A:A, TCS!B:B, "")</f>
        <v>3093</v>
      </c>
      <c r="G255" s="4">
        <f>_xlfn.XLOOKUP($A255, Infosys!A:A, Infosys!B:B,"")</f>
        <v>1293.8</v>
      </c>
      <c r="H255" s="4">
        <f>_xlfn.XLOOKUP($A255, 'L &amp; T'!A:A, 'L &amp; T'!B:B, "")</f>
        <v>1306.3</v>
      </c>
    </row>
    <row r="256" spans="1:8" x14ac:dyDescent="0.3">
      <c r="A256" s="1">
        <v>44202</v>
      </c>
      <c r="B256" s="4">
        <f>_xlfn.XLOOKUP($A256, 'Nifty 50'!A:A, 'Nifty 50'!B:B, "")</f>
        <v>14146.25</v>
      </c>
      <c r="C256" s="4">
        <f>_xlfn.XLOOKUP($A256, Reliance!A:A, Reliance!B:B, "")</f>
        <v>868.93</v>
      </c>
      <c r="D256" s="4">
        <f>_xlfn.XLOOKUP($A256, HDFC!A:A, HDFC!B:B, "")</f>
        <v>708.51</v>
      </c>
      <c r="E256" s="4">
        <f>_xlfn.XLOOKUP($A256, ITC!A:A, ITC!B:B, "")</f>
        <v>205.4</v>
      </c>
      <c r="F256" s="4">
        <f>_xlfn.XLOOKUP($A256, TCS!A:A, TCS!B:B, "")</f>
        <v>3051.5</v>
      </c>
      <c r="G256" s="4">
        <f>_xlfn.XLOOKUP($A256, Infosys!A:A, Infosys!B:B,"")</f>
        <v>1282.0999999999999</v>
      </c>
      <c r="H256" s="4">
        <f>_xlfn.XLOOKUP($A256, 'L &amp; T'!A:A, 'L &amp; T'!B:B, "")</f>
        <v>1314</v>
      </c>
    </row>
    <row r="257" spans="1:8" x14ac:dyDescent="0.3">
      <c r="A257" s="1">
        <v>44203</v>
      </c>
      <c r="B257" s="4">
        <f>_xlfn.XLOOKUP($A257, 'Nifty 50'!A:A, 'Nifty 50'!B:B, "")</f>
        <v>14137.35</v>
      </c>
      <c r="C257" s="4">
        <f>_xlfn.XLOOKUP($A257, Reliance!A:A, Reliance!B:B, "")</f>
        <v>867.53</v>
      </c>
      <c r="D257" s="4">
        <f>_xlfn.XLOOKUP($A257, HDFC!A:A, HDFC!B:B, "")</f>
        <v>706.37</v>
      </c>
      <c r="E257" s="4">
        <f>_xlfn.XLOOKUP($A257, ITC!A:A, ITC!B:B, "")</f>
        <v>202.8</v>
      </c>
      <c r="F257" s="4">
        <f>_xlfn.XLOOKUP($A257, TCS!A:A, TCS!B:B, "")</f>
        <v>3032.8</v>
      </c>
      <c r="G257" s="4">
        <f>_xlfn.XLOOKUP($A257, Infosys!A:A, Infosys!B:B,"")</f>
        <v>1262.1500000000001</v>
      </c>
      <c r="H257" s="4">
        <f>_xlfn.XLOOKUP($A257, 'L &amp; T'!A:A, 'L &amp; T'!B:B, "")</f>
        <v>1338.95</v>
      </c>
    </row>
    <row r="258" spans="1:8" x14ac:dyDescent="0.3">
      <c r="A258" s="1">
        <v>44204</v>
      </c>
      <c r="B258" s="4">
        <f>_xlfn.XLOOKUP($A258, 'Nifty 50'!A:A, 'Nifty 50'!B:B, "")</f>
        <v>14347.25</v>
      </c>
      <c r="C258" s="4">
        <f>_xlfn.XLOOKUP($A258, Reliance!A:A, Reliance!B:B, "")</f>
        <v>877.76</v>
      </c>
      <c r="D258" s="4">
        <f>_xlfn.XLOOKUP($A258, HDFC!A:A, HDFC!B:B, "")</f>
        <v>714.05</v>
      </c>
      <c r="E258" s="4">
        <f>_xlfn.XLOOKUP($A258, ITC!A:A, ITC!B:B, "")</f>
        <v>201.5</v>
      </c>
      <c r="F258" s="4">
        <f>_xlfn.XLOOKUP($A258, TCS!A:A, TCS!B:B, "")</f>
        <v>3120.9</v>
      </c>
      <c r="G258" s="4">
        <f>_xlfn.XLOOKUP($A258, Infosys!A:A, Infosys!B:B,"")</f>
        <v>1312.1</v>
      </c>
      <c r="H258" s="4">
        <f>_xlfn.XLOOKUP($A258, 'L &amp; T'!A:A, 'L &amp; T'!B:B, "")</f>
        <v>1373.4</v>
      </c>
    </row>
    <row r="259" spans="1:8" x14ac:dyDescent="0.3">
      <c r="A259" s="1">
        <v>44207</v>
      </c>
      <c r="B259" s="4">
        <f>_xlfn.XLOOKUP($A259, 'Nifty 50'!A:A, 'Nifty 50'!B:B, "")</f>
        <v>14484.75</v>
      </c>
      <c r="C259" s="4">
        <f>_xlfn.XLOOKUP($A259, Reliance!A:A, Reliance!B:B, "")</f>
        <v>861.22</v>
      </c>
      <c r="D259" s="4">
        <f>_xlfn.XLOOKUP($A259, HDFC!A:A, HDFC!B:B, "")</f>
        <v>723.92</v>
      </c>
      <c r="E259" s="4">
        <f>_xlfn.XLOOKUP($A259, ITC!A:A, ITC!B:B, "")</f>
        <v>202.5</v>
      </c>
      <c r="F259" s="4">
        <f>_xlfn.XLOOKUP($A259, TCS!A:A, TCS!B:B, "")</f>
        <v>3176.45</v>
      </c>
      <c r="G259" s="4">
        <f>_xlfn.XLOOKUP($A259, Infosys!A:A, Infosys!B:B,"")</f>
        <v>1376.2</v>
      </c>
      <c r="H259" s="4">
        <f>_xlfn.XLOOKUP($A259, 'L &amp; T'!A:A, 'L &amp; T'!B:B, "")</f>
        <v>1350</v>
      </c>
    </row>
    <row r="260" spans="1:8" x14ac:dyDescent="0.3">
      <c r="A260" s="1">
        <v>44208</v>
      </c>
      <c r="B260" s="4">
        <f>_xlfn.XLOOKUP($A260, 'Nifty 50'!A:A, 'Nifty 50'!B:B, "")</f>
        <v>14563.45</v>
      </c>
      <c r="C260" s="4">
        <f>_xlfn.XLOOKUP($A260, Reliance!A:A, Reliance!B:B, "")</f>
        <v>888.36</v>
      </c>
      <c r="D260" s="4">
        <f>_xlfn.XLOOKUP($A260, HDFC!A:A, HDFC!B:B, "")</f>
        <v>738.66</v>
      </c>
      <c r="E260" s="4">
        <f>_xlfn.XLOOKUP($A260, ITC!A:A, ITC!B:B, "")</f>
        <v>206.45</v>
      </c>
      <c r="F260" s="4">
        <f>_xlfn.XLOOKUP($A260, TCS!A:A, TCS!B:B, "")</f>
        <v>3174.85</v>
      </c>
      <c r="G260" s="4">
        <f>_xlfn.XLOOKUP($A260, Infosys!A:A, Infosys!B:B,"")</f>
        <v>1371.75</v>
      </c>
      <c r="H260" s="4">
        <f>_xlfn.XLOOKUP($A260, 'L &amp; T'!A:A, 'L &amp; T'!B:B, "")</f>
        <v>1349.8</v>
      </c>
    </row>
    <row r="261" spans="1:8" x14ac:dyDescent="0.3">
      <c r="A261" s="1">
        <v>44209</v>
      </c>
      <c r="B261" s="4">
        <f>_xlfn.XLOOKUP($A261, 'Nifty 50'!A:A, 'Nifty 50'!B:B, "")</f>
        <v>14564.85</v>
      </c>
      <c r="C261" s="4">
        <f>_xlfn.XLOOKUP($A261, Reliance!A:A, Reliance!B:B, "")</f>
        <v>880.08</v>
      </c>
      <c r="D261" s="4">
        <f>_xlfn.XLOOKUP($A261, HDFC!A:A, HDFC!B:B, "")</f>
        <v>733.5</v>
      </c>
      <c r="E261" s="4">
        <f>_xlfn.XLOOKUP($A261, ITC!A:A, ITC!B:B, "")</f>
        <v>211.25</v>
      </c>
      <c r="F261" s="4">
        <f>_xlfn.XLOOKUP($A261, TCS!A:A, TCS!B:B, "")</f>
        <v>3158.95</v>
      </c>
      <c r="G261" s="4">
        <f>_xlfn.XLOOKUP($A261, Infosys!A:A, Infosys!B:B,"")</f>
        <v>1387.15</v>
      </c>
      <c r="H261" s="4">
        <f>_xlfn.XLOOKUP($A261, 'L &amp; T'!A:A, 'L &amp; T'!B:B, "")</f>
        <v>1352.5</v>
      </c>
    </row>
    <row r="262" spans="1:8" x14ac:dyDescent="0.3">
      <c r="A262" s="1">
        <v>44210</v>
      </c>
      <c r="B262" s="4">
        <f>_xlfn.XLOOKUP($A262, 'Nifty 50'!A:A, 'Nifty 50'!B:B, "")</f>
        <v>14595.6</v>
      </c>
      <c r="C262" s="4">
        <f>_xlfn.XLOOKUP($A262, Reliance!A:A, Reliance!B:B, "")</f>
        <v>889.97</v>
      </c>
      <c r="D262" s="4">
        <f>_xlfn.XLOOKUP($A262, HDFC!A:A, HDFC!B:B, "")</f>
        <v>732.55</v>
      </c>
      <c r="E262" s="4">
        <f>_xlfn.XLOOKUP($A262, ITC!A:A, ITC!B:B, "")</f>
        <v>214.15</v>
      </c>
      <c r="F262" s="4">
        <f>_xlfn.XLOOKUP($A262, TCS!A:A, TCS!B:B, "")</f>
        <v>3250.7</v>
      </c>
      <c r="G262" s="4">
        <f>_xlfn.XLOOKUP($A262, Infosys!A:A, Infosys!B:B,"")</f>
        <v>1370.5</v>
      </c>
      <c r="H262" s="4">
        <f>_xlfn.XLOOKUP($A262, 'L &amp; T'!A:A, 'L &amp; T'!B:B, "")</f>
        <v>1376.6</v>
      </c>
    </row>
    <row r="263" spans="1:8" x14ac:dyDescent="0.3">
      <c r="A263" s="1">
        <v>44211</v>
      </c>
      <c r="B263" s="4">
        <f>_xlfn.XLOOKUP($A263, 'Nifty 50'!A:A, 'Nifty 50'!B:B, "")</f>
        <v>14433.7</v>
      </c>
      <c r="C263" s="4">
        <f>_xlfn.XLOOKUP($A263, Reliance!A:A, Reliance!B:B, "")</f>
        <v>879.47</v>
      </c>
      <c r="D263" s="4">
        <f>_xlfn.XLOOKUP($A263, HDFC!A:A, HDFC!B:B, "")</f>
        <v>731.5</v>
      </c>
      <c r="E263" s="4">
        <f>_xlfn.XLOOKUP($A263, ITC!A:A, ITC!B:B, "")</f>
        <v>217.85</v>
      </c>
      <c r="F263" s="4">
        <f>_xlfn.XLOOKUP($A263, TCS!A:A, TCS!B:B, "")</f>
        <v>3233.35</v>
      </c>
      <c r="G263" s="4">
        <f>_xlfn.XLOOKUP($A263, Infosys!A:A, Infosys!B:B,"")</f>
        <v>1344.95</v>
      </c>
      <c r="H263" s="4">
        <f>_xlfn.XLOOKUP($A263, 'L &amp; T'!A:A, 'L &amp; T'!B:B, "")</f>
        <v>1354.15</v>
      </c>
    </row>
    <row r="264" spans="1:8" x14ac:dyDescent="0.3">
      <c r="A264" s="1">
        <v>44214</v>
      </c>
      <c r="B264" s="4">
        <f>_xlfn.XLOOKUP($A264, 'Nifty 50'!A:A, 'Nifty 50'!B:B, "")</f>
        <v>14281.3</v>
      </c>
      <c r="C264" s="4">
        <f>_xlfn.XLOOKUP($A264, Reliance!A:A, Reliance!B:B, "")</f>
        <v>900.57</v>
      </c>
      <c r="D264" s="4">
        <f>_xlfn.XLOOKUP($A264, HDFC!A:A, HDFC!B:B, "")</f>
        <v>739.71</v>
      </c>
      <c r="E264" s="4">
        <f>_xlfn.XLOOKUP($A264, ITC!A:A, ITC!B:B, "")</f>
        <v>219.75</v>
      </c>
      <c r="F264" s="4">
        <f>_xlfn.XLOOKUP($A264, TCS!A:A, TCS!B:B, "")</f>
        <v>3221.75</v>
      </c>
      <c r="G264" s="4">
        <f>_xlfn.XLOOKUP($A264, Infosys!A:A, Infosys!B:B,"")</f>
        <v>1312.05</v>
      </c>
      <c r="H264" s="4">
        <f>_xlfn.XLOOKUP($A264, 'L &amp; T'!A:A, 'L &amp; T'!B:B, "")</f>
        <v>1336.05</v>
      </c>
    </row>
    <row r="265" spans="1:8" x14ac:dyDescent="0.3">
      <c r="A265" s="1">
        <v>44215</v>
      </c>
      <c r="B265" s="4">
        <f>_xlfn.XLOOKUP($A265, 'Nifty 50'!A:A, 'Nifty 50'!B:B, "")</f>
        <v>14521.15</v>
      </c>
      <c r="C265" s="4">
        <f>_xlfn.XLOOKUP($A265, Reliance!A:A, Reliance!B:B, "")</f>
        <v>915.3</v>
      </c>
      <c r="D265" s="4">
        <f>_xlfn.XLOOKUP($A265, HDFC!A:A, HDFC!B:B, "")</f>
        <v>750.06</v>
      </c>
      <c r="E265" s="4">
        <f>_xlfn.XLOOKUP($A265, ITC!A:A, ITC!B:B, "")</f>
        <v>218.85</v>
      </c>
      <c r="F265" s="4">
        <f>_xlfn.XLOOKUP($A265, TCS!A:A, TCS!B:B, "")</f>
        <v>3260.7</v>
      </c>
      <c r="G265" s="4">
        <f>_xlfn.XLOOKUP($A265, Infosys!A:A, Infosys!B:B,"")</f>
        <v>1316.65</v>
      </c>
      <c r="H265" s="4">
        <f>_xlfn.XLOOKUP($A265, 'L &amp; T'!A:A, 'L &amp; T'!B:B, "")</f>
        <v>1369.85</v>
      </c>
    </row>
    <row r="266" spans="1:8" x14ac:dyDescent="0.3">
      <c r="A266" s="1">
        <v>44216</v>
      </c>
      <c r="B266" s="4">
        <f>_xlfn.XLOOKUP($A266, 'Nifty 50'!A:A, 'Nifty 50'!B:B, "")</f>
        <v>14644.7</v>
      </c>
      <c r="C266" s="4">
        <f>_xlfn.XLOOKUP($A266, Reliance!A:A, Reliance!B:B, "")</f>
        <v>932.69</v>
      </c>
      <c r="D266" s="4">
        <f>_xlfn.XLOOKUP($A266, HDFC!A:A, HDFC!B:B, "")</f>
        <v>744.15</v>
      </c>
      <c r="E266" s="4">
        <f>_xlfn.XLOOKUP($A266, ITC!A:A, ITC!B:B, "")</f>
        <v>217.65</v>
      </c>
      <c r="F266" s="4">
        <f>_xlfn.XLOOKUP($A266, TCS!A:A, TCS!B:B, "")</f>
        <v>3308.8</v>
      </c>
      <c r="G266" s="4">
        <f>_xlfn.XLOOKUP($A266, Infosys!A:A, Infosys!B:B,"")</f>
        <v>1339.45</v>
      </c>
      <c r="H266" s="4">
        <f>_xlfn.XLOOKUP($A266, 'L &amp; T'!A:A, 'L &amp; T'!B:B, "")</f>
        <v>1382.65</v>
      </c>
    </row>
    <row r="267" spans="1:8" x14ac:dyDescent="0.3">
      <c r="A267" s="1">
        <v>44217</v>
      </c>
      <c r="B267" s="4">
        <f>_xlfn.XLOOKUP($A267, 'Nifty 50'!A:A, 'Nifty 50'!B:B, "")</f>
        <v>14590.35</v>
      </c>
      <c r="C267" s="4">
        <f>_xlfn.XLOOKUP($A267, Reliance!A:A, Reliance!B:B, "")</f>
        <v>952.98</v>
      </c>
      <c r="D267" s="4">
        <f>_xlfn.XLOOKUP($A267, HDFC!A:A, HDFC!B:B, "")</f>
        <v>735.57</v>
      </c>
      <c r="E267" s="4">
        <f>_xlfn.XLOOKUP($A267, ITC!A:A, ITC!B:B, "")</f>
        <v>213.7</v>
      </c>
      <c r="F267" s="4">
        <f>_xlfn.XLOOKUP($A267, TCS!A:A, TCS!B:B, "")</f>
        <v>3273.85</v>
      </c>
      <c r="G267" s="4">
        <f>_xlfn.XLOOKUP($A267, Infosys!A:A, Infosys!B:B,"")</f>
        <v>1339.7</v>
      </c>
      <c r="H267" s="4">
        <f>_xlfn.XLOOKUP($A267, 'L &amp; T'!A:A, 'L &amp; T'!B:B, "")</f>
        <v>1371.3</v>
      </c>
    </row>
    <row r="268" spans="1:8" x14ac:dyDescent="0.3">
      <c r="A268" s="1">
        <v>44218</v>
      </c>
      <c r="B268" s="4">
        <f>_xlfn.XLOOKUP($A268, 'Nifty 50'!A:A, 'Nifty 50'!B:B, "")</f>
        <v>14371.9</v>
      </c>
      <c r="C268" s="4">
        <f>_xlfn.XLOOKUP($A268, Reliance!A:A, Reliance!B:B, "")</f>
        <v>930.37</v>
      </c>
      <c r="D268" s="4">
        <f>_xlfn.XLOOKUP($A268, HDFC!A:A, HDFC!B:B, "")</f>
        <v>719.98</v>
      </c>
      <c r="E268" s="4">
        <f>_xlfn.XLOOKUP($A268, ITC!A:A, ITC!B:B, "")</f>
        <v>210.7</v>
      </c>
      <c r="F268" s="4">
        <f>_xlfn.XLOOKUP($A268, TCS!A:A, TCS!B:B, "")</f>
        <v>3303.1</v>
      </c>
      <c r="G268" s="4">
        <f>_xlfn.XLOOKUP($A268, Infosys!A:A, Infosys!B:B,"")</f>
        <v>1340.85</v>
      </c>
      <c r="H268" s="4">
        <f>_xlfn.XLOOKUP($A268, 'L &amp; T'!A:A, 'L &amp; T'!B:B, "")</f>
        <v>1362.1</v>
      </c>
    </row>
    <row r="269" spans="1:8" x14ac:dyDescent="0.3">
      <c r="A269" s="1">
        <v>44221</v>
      </c>
      <c r="B269" s="4">
        <f>_xlfn.XLOOKUP($A269, 'Nifty 50'!A:A, 'Nifty 50'!B:B, "")</f>
        <v>14238.9</v>
      </c>
      <c r="C269" s="4">
        <f>_xlfn.XLOOKUP($A269, Reliance!A:A, Reliance!B:B, "")</f>
        <v>881.08</v>
      </c>
      <c r="D269" s="4">
        <f>_xlfn.XLOOKUP($A269, HDFC!A:A, HDFC!B:B, "")</f>
        <v>729.61</v>
      </c>
      <c r="E269" s="4">
        <f>_xlfn.XLOOKUP($A269, ITC!A:A, ITC!B:B, "")</f>
        <v>207.8</v>
      </c>
      <c r="F269" s="4">
        <f>_xlfn.XLOOKUP($A269, TCS!A:A, TCS!B:B, "")</f>
        <v>3291.3</v>
      </c>
      <c r="G269" s="4">
        <f>_xlfn.XLOOKUP($A269, Infosys!A:A, Infosys!B:B,"")</f>
        <v>1325.1</v>
      </c>
      <c r="H269" s="4">
        <f>_xlfn.XLOOKUP($A269, 'L &amp; T'!A:A, 'L &amp; T'!B:B, "")</f>
        <v>1361.3</v>
      </c>
    </row>
    <row r="270" spans="1:8" x14ac:dyDescent="0.3">
      <c r="A270" s="1">
        <v>44223</v>
      </c>
      <c r="B270" s="4">
        <f>_xlfn.XLOOKUP($A270, 'Nifty 50'!A:A, 'Nifty 50'!B:B, "")</f>
        <v>13967.5</v>
      </c>
      <c r="C270" s="4">
        <f>_xlfn.XLOOKUP($A270, Reliance!A:A, Reliance!B:B, "")</f>
        <v>860.2</v>
      </c>
      <c r="D270" s="4">
        <f>_xlfn.XLOOKUP($A270, HDFC!A:A, HDFC!B:B, "")</f>
        <v>703.05</v>
      </c>
      <c r="E270" s="4">
        <f>_xlfn.XLOOKUP($A270, ITC!A:A, ITC!B:B, "")</f>
        <v>210.65</v>
      </c>
      <c r="F270" s="4">
        <f>_xlfn.XLOOKUP($A270, TCS!A:A, TCS!B:B, "")</f>
        <v>3261.05</v>
      </c>
      <c r="G270" s="4">
        <f>_xlfn.XLOOKUP($A270, Infosys!A:A, Infosys!B:B,"")</f>
        <v>1301</v>
      </c>
      <c r="H270" s="4">
        <f>_xlfn.XLOOKUP($A270, 'L &amp; T'!A:A, 'L &amp; T'!B:B, "")</f>
        <v>1359.85</v>
      </c>
    </row>
    <row r="271" spans="1:8" x14ac:dyDescent="0.3">
      <c r="A271" s="1">
        <v>44224</v>
      </c>
      <c r="B271" s="4">
        <f>_xlfn.XLOOKUP($A271, 'Nifty 50'!A:A, 'Nifty 50'!B:B, "")</f>
        <v>13817.55</v>
      </c>
      <c r="C271" s="4">
        <f>_xlfn.XLOOKUP($A271, Reliance!A:A, Reliance!B:B, "")</f>
        <v>851.82</v>
      </c>
      <c r="D271" s="4">
        <f>_xlfn.XLOOKUP($A271, HDFC!A:A, HDFC!B:B, "")</f>
        <v>684.02</v>
      </c>
      <c r="E271" s="4">
        <f>_xlfn.XLOOKUP($A271, ITC!A:A, ITC!B:B, "")</f>
        <v>206.6</v>
      </c>
      <c r="F271" s="4">
        <f>_xlfn.XLOOKUP($A271, TCS!A:A, TCS!B:B, "")</f>
        <v>3196.55</v>
      </c>
      <c r="G271" s="4">
        <f>_xlfn.XLOOKUP($A271, Infosys!A:A, Infosys!B:B,"")</f>
        <v>1276.2</v>
      </c>
      <c r="H271" s="4">
        <f>_xlfn.XLOOKUP($A271, 'L &amp; T'!A:A, 'L &amp; T'!B:B, "")</f>
        <v>1345.35</v>
      </c>
    </row>
    <row r="272" spans="1:8" x14ac:dyDescent="0.3">
      <c r="A272" s="1">
        <v>44225</v>
      </c>
      <c r="B272" s="4">
        <f>_xlfn.XLOOKUP($A272, 'Nifty 50'!A:A, 'Nifty 50'!B:B, "")</f>
        <v>13634.6</v>
      </c>
      <c r="C272" s="4">
        <f>_xlfn.XLOOKUP($A272, Reliance!A:A, Reliance!B:B, "")</f>
        <v>836.12</v>
      </c>
      <c r="D272" s="4">
        <f>_xlfn.XLOOKUP($A272, HDFC!A:A, HDFC!B:B, "")</f>
        <v>693.52</v>
      </c>
      <c r="E272" s="4">
        <f>_xlfn.XLOOKUP($A272, ITC!A:A, ITC!B:B, "")</f>
        <v>203.25</v>
      </c>
      <c r="F272" s="4">
        <f>_xlfn.XLOOKUP($A272, TCS!A:A, TCS!B:B, "")</f>
        <v>3111.35</v>
      </c>
      <c r="G272" s="4">
        <f>_xlfn.XLOOKUP($A272, Infosys!A:A, Infosys!B:B,"")</f>
        <v>1239.05</v>
      </c>
      <c r="H272" s="4">
        <f>_xlfn.XLOOKUP($A272, 'L &amp; T'!A:A, 'L &amp; T'!B:B, "")</f>
        <v>1334.7</v>
      </c>
    </row>
    <row r="273" spans="1:8" x14ac:dyDescent="0.3">
      <c r="A273" s="1">
        <v>44228</v>
      </c>
      <c r="B273" s="4">
        <f>_xlfn.XLOOKUP($A273, 'Nifty 50'!A:A, 'Nifty 50'!B:B, "")</f>
        <v>14281.2</v>
      </c>
      <c r="C273" s="4">
        <f>_xlfn.XLOOKUP($A273, Reliance!A:A, Reliance!B:B, "")</f>
        <v>860.33</v>
      </c>
      <c r="D273" s="4">
        <f>_xlfn.XLOOKUP($A273, HDFC!A:A, HDFC!B:B, "")</f>
        <v>736.54</v>
      </c>
      <c r="E273" s="4">
        <f>_xlfn.XLOOKUP($A273, ITC!A:A, ITC!B:B, "")</f>
        <v>215.95</v>
      </c>
      <c r="F273" s="4">
        <f>_xlfn.XLOOKUP($A273, TCS!A:A, TCS!B:B, "")</f>
        <v>3139.35</v>
      </c>
      <c r="G273" s="4">
        <f>_xlfn.XLOOKUP($A273, Infosys!A:A, Infosys!B:B,"")</f>
        <v>1260.9000000000001</v>
      </c>
      <c r="H273" s="4">
        <f>_xlfn.XLOOKUP($A273, 'L &amp; T'!A:A, 'L &amp; T'!B:B, "")</f>
        <v>1448.85</v>
      </c>
    </row>
    <row r="274" spans="1:8" x14ac:dyDescent="0.3">
      <c r="A274" s="1">
        <v>44229</v>
      </c>
      <c r="B274" s="4">
        <f>_xlfn.XLOOKUP($A274, 'Nifty 50'!A:A, 'Nifty 50'!B:B, "")</f>
        <v>14647.85</v>
      </c>
      <c r="C274" s="4">
        <f>_xlfn.XLOOKUP($A274, Reliance!A:A, Reliance!B:B, "")</f>
        <v>874.18</v>
      </c>
      <c r="D274" s="4">
        <f>_xlfn.XLOOKUP($A274, HDFC!A:A, HDFC!B:B, "")</f>
        <v>778.34</v>
      </c>
      <c r="E274" s="4">
        <f>_xlfn.XLOOKUP($A274, ITC!A:A, ITC!B:B, "")</f>
        <v>218.2</v>
      </c>
      <c r="F274" s="4">
        <f>_xlfn.XLOOKUP($A274, TCS!A:A, TCS!B:B, "")</f>
        <v>3203.45</v>
      </c>
      <c r="G274" s="4">
        <f>_xlfn.XLOOKUP($A274, Infosys!A:A, Infosys!B:B,"")</f>
        <v>1271.25</v>
      </c>
      <c r="H274" s="4">
        <f>_xlfn.XLOOKUP($A274, 'L &amp; T'!A:A, 'L &amp; T'!B:B, "")</f>
        <v>1520.2</v>
      </c>
    </row>
    <row r="275" spans="1:8" x14ac:dyDescent="0.3">
      <c r="A275" s="1">
        <v>44230</v>
      </c>
      <c r="B275" s="4">
        <f>_xlfn.XLOOKUP($A275, 'Nifty 50'!A:A, 'Nifty 50'!B:B, "")</f>
        <v>14789.95</v>
      </c>
      <c r="C275" s="4">
        <f>_xlfn.XLOOKUP($A275, Reliance!A:A, Reliance!B:B, "")</f>
        <v>876.38</v>
      </c>
      <c r="D275" s="4">
        <f>_xlfn.XLOOKUP($A275, HDFC!A:A, HDFC!B:B, "")</f>
        <v>785.45</v>
      </c>
      <c r="E275" s="4">
        <f>_xlfn.XLOOKUP($A275, ITC!A:A, ITC!B:B, "")</f>
        <v>216.75</v>
      </c>
      <c r="F275" s="4">
        <f>_xlfn.XLOOKUP($A275, TCS!A:A, TCS!B:B, "")</f>
        <v>3200.05</v>
      </c>
      <c r="G275" s="4">
        <f>_xlfn.XLOOKUP($A275, Infosys!A:A, Infosys!B:B,"")</f>
        <v>1284.6500000000001</v>
      </c>
      <c r="H275" s="4">
        <f>_xlfn.XLOOKUP($A275, 'L &amp; T'!A:A, 'L &amp; T'!B:B, "")</f>
        <v>1528.55</v>
      </c>
    </row>
    <row r="276" spans="1:8" x14ac:dyDescent="0.3">
      <c r="A276" s="1">
        <v>44231</v>
      </c>
      <c r="B276" s="4">
        <f>_xlfn.XLOOKUP($A276, 'Nifty 50'!A:A, 'Nifty 50'!B:B, "")</f>
        <v>14895.65</v>
      </c>
      <c r="C276" s="4">
        <f>_xlfn.XLOOKUP($A276, Reliance!A:A, Reliance!B:B, "")</f>
        <v>873.5</v>
      </c>
      <c r="D276" s="4">
        <f>_xlfn.XLOOKUP($A276, HDFC!A:A, HDFC!B:B, "")</f>
        <v>787.59</v>
      </c>
      <c r="E276" s="4">
        <f>_xlfn.XLOOKUP($A276, ITC!A:A, ITC!B:B, "")</f>
        <v>229.95</v>
      </c>
      <c r="F276" s="4">
        <f>_xlfn.XLOOKUP($A276, TCS!A:A, TCS!B:B, "")</f>
        <v>3188.45</v>
      </c>
      <c r="G276" s="4">
        <f>_xlfn.XLOOKUP($A276, Infosys!A:A, Infosys!B:B,"")</f>
        <v>1279.3499999999999</v>
      </c>
      <c r="H276" s="4">
        <f>_xlfn.XLOOKUP($A276, 'L &amp; T'!A:A, 'L &amp; T'!B:B, "")</f>
        <v>1529.8</v>
      </c>
    </row>
    <row r="277" spans="1:8" x14ac:dyDescent="0.3">
      <c r="A277" s="1">
        <v>44232</v>
      </c>
      <c r="B277" s="4">
        <f>_xlfn.XLOOKUP($A277, 'Nifty 50'!A:A, 'Nifty 50'!B:B, "")</f>
        <v>14924.25</v>
      </c>
      <c r="C277" s="4">
        <f>_xlfn.XLOOKUP($A277, Reliance!A:A, Reliance!B:B, "")</f>
        <v>873.25</v>
      </c>
      <c r="D277" s="4">
        <f>_xlfn.XLOOKUP($A277, HDFC!A:A, HDFC!B:B, "")</f>
        <v>796.82</v>
      </c>
      <c r="E277" s="4">
        <f>_xlfn.XLOOKUP($A277, ITC!A:A, ITC!B:B, "")</f>
        <v>234.35</v>
      </c>
      <c r="F277" s="4">
        <f>_xlfn.XLOOKUP($A277, TCS!A:A, TCS!B:B, "")</f>
        <v>3157.95</v>
      </c>
      <c r="G277" s="4">
        <f>_xlfn.XLOOKUP($A277, Infosys!A:A, Infosys!B:B,"")</f>
        <v>1272.0999999999999</v>
      </c>
      <c r="H277" s="4">
        <f>_xlfn.XLOOKUP($A277, 'L &amp; T'!A:A, 'L &amp; T'!B:B, "")</f>
        <v>1516.5</v>
      </c>
    </row>
    <row r="278" spans="1:8" x14ac:dyDescent="0.3">
      <c r="A278" s="1">
        <v>44235</v>
      </c>
      <c r="B278" s="4">
        <f>_xlfn.XLOOKUP($A278, 'Nifty 50'!A:A, 'Nifty 50'!B:B, "")</f>
        <v>15115.8</v>
      </c>
      <c r="C278" s="4">
        <f>_xlfn.XLOOKUP($A278, Reliance!A:A, Reliance!B:B, "")</f>
        <v>885.82</v>
      </c>
      <c r="D278" s="4">
        <f>_xlfn.XLOOKUP($A278, HDFC!A:A, HDFC!B:B, "")</f>
        <v>800.63</v>
      </c>
      <c r="E278" s="4">
        <f>_xlfn.XLOOKUP($A278, ITC!A:A, ITC!B:B, "")</f>
        <v>233.1</v>
      </c>
      <c r="F278" s="4">
        <f>_xlfn.XLOOKUP($A278, TCS!A:A, TCS!B:B, "")</f>
        <v>3214.1</v>
      </c>
      <c r="G278" s="4">
        <f>_xlfn.XLOOKUP($A278, Infosys!A:A, Infosys!B:B,"")</f>
        <v>1303.55</v>
      </c>
      <c r="H278" s="4">
        <f>_xlfn.XLOOKUP($A278, 'L &amp; T'!A:A, 'L &amp; T'!B:B, "")</f>
        <v>1551.8</v>
      </c>
    </row>
    <row r="279" spans="1:8" x14ac:dyDescent="0.3">
      <c r="A279" s="1">
        <v>44236</v>
      </c>
      <c r="B279" s="4">
        <f>_xlfn.XLOOKUP($A279, 'Nifty 50'!A:A, 'Nifty 50'!B:B, "")</f>
        <v>15109.3</v>
      </c>
      <c r="C279" s="4">
        <f>_xlfn.XLOOKUP($A279, Reliance!A:A, Reliance!B:B, "")</f>
        <v>887.95</v>
      </c>
      <c r="D279" s="4">
        <f>_xlfn.XLOOKUP($A279, HDFC!A:A, HDFC!B:B, "")</f>
        <v>803.92</v>
      </c>
      <c r="E279" s="4">
        <f>_xlfn.XLOOKUP($A279, ITC!A:A, ITC!B:B, "")</f>
        <v>229</v>
      </c>
      <c r="F279" s="4">
        <f>_xlfn.XLOOKUP($A279, TCS!A:A, TCS!B:B, "")</f>
        <v>3176.9</v>
      </c>
      <c r="G279" s="4">
        <f>_xlfn.XLOOKUP($A279, Infosys!A:A, Infosys!B:B,"")</f>
        <v>1305.55</v>
      </c>
      <c r="H279" s="4">
        <f>_xlfn.XLOOKUP($A279, 'L &amp; T'!A:A, 'L &amp; T'!B:B, "")</f>
        <v>1566.45</v>
      </c>
    </row>
    <row r="280" spans="1:8" x14ac:dyDescent="0.3">
      <c r="A280" s="1">
        <v>44237</v>
      </c>
      <c r="B280" s="4">
        <f>_xlfn.XLOOKUP($A280, 'Nifty 50'!A:A, 'Nifty 50'!B:B, "")</f>
        <v>15106.5</v>
      </c>
      <c r="C280" s="4">
        <f>_xlfn.XLOOKUP($A280, Reliance!A:A, Reliance!B:B, "")</f>
        <v>896.19</v>
      </c>
      <c r="D280" s="4">
        <f>_xlfn.XLOOKUP($A280, HDFC!A:A, HDFC!B:B, "")</f>
        <v>788.91</v>
      </c>
      <c r="E280" s="4">
        <f>_xlfn.XLOOKUP($A280, ITC!A:A, ITC!B:B, "")</f>
        <v>227.55</v>
      </c>
      <c r="F280" s="4">
        <f>_xlfn.XLOOKUP($A280, TCS!A:A, TCS!B:B, "")</f>
        <v>3213.3</v>
      </c>
      <c r="G280" s="4">
        <f>_xlfn.XLOOKUP($A280, Infosys!A:A, Infosys!B:B,"")</f>
        <v>1296.5</v>
      </c>
      <c r="H280" s="4">
        <f>_xlfn.XLOOKUP($A280, 'L &amp; T'!A:A, 'L &amp; T'!B:B, "")</f>
        <v>1552.85</v>
      </c>
    </row>
    <row r="281" spans="1:8" x14ac:dyDescent="0.3">
      <c r="A281" s="1">
        <v>44238</v>
      </c>
      <c r="B281" s="4">
        <f>_xlfn.XLOOKUP($A281, 'Nifty 50'!A:A, 'Nifty 50'!B:B, "")</f>
        <v>15173.3</v>
      </c>
      <c r="C281" s="4">
        <f>_xlfn.XLOOKUP($A281, Reliance!A:A, Reliance!B:B, "")</f>
        <v>933.14</v>
      </c>
      <c r="D281" s="4">
        <f>_xlfn.XLOOKUP($A281, HDFC!A:A, HDFC!B:B, "")</f>
        <v>784.22</v>
      </c>
      <c r="E281" s="4">
        <f>_xlfn.XLOOKUP($A281, ITC!A:A, ITC!B:B, "")</f>
        <v>226.45</v>
      </c>
      <c r="F281" s="4">
        <f>_xlfn.XLOOKUP($A281, TCS!A:A, TCS!B:B, "")</f>
        <v>3206</v>
      </c>
      <c r="G281" s="4">
        <f>_xlfn.XLOOKUP($A281, Infosys!A:A, Infosys!B:B,"")</f>
        <v>1292.6500000000001</v>
      </c>
      <c r="H281" s="4">
        <f>_xlfn.XLOOKUP($A281, 'L &amp; T'!A:A, 'L &amp; T'!B:B, "")</f>
        <v>1530.5</v>
      </c>
    </row>
    <row r="282" spans="1:8" x14ac:dyDescent="0.3">
      <c r="A282" s="1">
        <v>44239</v>
      </c>
      <c r="B282" s="4">
        <f>_xlfn.XLOOKUP($A282, 'Nifty 50'!A:A, 'Nifty 50'!B:B, "")</f>
        <v>15163.3</v>
      </c>
      <c r="C282" s="4">
        <f>_xlfn.XLOOKUP($A282, Reliance!A:A, Reliance!B:B, "")</f>
        <v>926.74</v>
      </c>
      <c r="D282" s="4">
        <f>_xlfn.XLOOKUP($A282, HDFC!A:A, HDFC!B:B, "")</f>
        <v>789.01</v>
      </c>
      <c r="E282" s="4">
        <f>_xlfn.XLOOKUP($A282, ITC!A:A, ITC!B:B, "")</f>
        <v>217.45</v>
      </c>
      <c r="F282" s="4">
        <f>_xlfn.XLOOKUP($A282, TCS!A:A, TCS!B:B, "")</f>
        <v>3190.8</v>
      </c>
      <c r="G282" s="4">
        <f>_xlfn.XLOOKUP($A282, Infosys!A:A, Infosys!B:B,"")</f>
        <v>1309.8</v>
      </c>
      <c r="H282" s="4">
        <f>_xlfn.XLOOKUP($A282, 'L &amp; T'!A:A, 'L &amp; T'!B:B, "")</f>
        <v>1521.35</v>
      </c>
    </row>
    <row r="283" spans="1:8" x14ac:dyDescent="0.3">
      <c r="A283" s="1">
        <v>44242</v>
      </c>
      <c r="B283" s="4">
        <f>_xlfn.XLOOKUP($A283, 'Nifty 50'!A:A, 'Nifty 50'!B:B, "")</f>
        <v>15314.7</v>
      </c>
      <c r="C283" s="4">
        <f>_xlfn.XLOOKUP($A283, Reliance!A:A, Reliance!B:B, "")</f>
        <v>922.66</v>
      </c>
      <c r="D283" s="4">
        <f>_xlfn.XLOOKUP($A283, HDFC!A:A, HDFC!B:B, "")</f>
        <v>806.29</v>
      </c>
      <c r="E283" s="4">
        <f>_xlfn.XLOOKUP($A283, ITC!A:A, ITC!B:B, "")</f>
        <v>218.6</v>
      </c>
      <c r="F283" s="4">
        <f>_xlfn.XLOOKUP($A283, TCS!A:A, TCS!B:B, "")</f>
        <v>3139.85</v>
      </c>
      <c r="G283" s="4">
        <f>_xlfn.XLOOKUP($A283, Infosys!A:A, Infosys!B:B,"")</f>
        <v>1309.6500000000001</v>
      </c>
      <c r="H283" s="4">
        <f>_xlfn.XLOOKUP($A283, 'L &amp; T'!A:A, 'L &amp; T'!B:B, "")</f>
        <v>1537.65</v>
      </c>
    </row>
    <row r="284" spans="1:8" x14ac:dyDescent="0.3">
      <c r="A284" s="1">
        <v>44243</v>
      </c>
      <c r="B284" s="4">
        <f>_xlfn.XLOOKUP($A284, 'Nifty 50'!A:A, 'Nifty 50'!B:B, "")</f>
        <v>15313.45</v>
      </c>
      <c r="C284" s="4">
        <f>_xlfn.XLOOKUP($A284, Reliance!A:A, Reliance!B:B, "")</f>
        <v>934.87</v>
      </c>
      <c r="D284" s="4">
        <f>_xlfn.XLOOKUP($A284, HDFC!A:A, HDFC!B:B, "")</f>
        <v>811.31</v>
      </c>
      <c r="E284" s="4">
        <f>_xlfn.XLOOKUP($A284, ITC!A:A, ITC!B:B, "")</f>
        <v>218.25</v>
      </c>
      <c r="F284" s="4">
        <f>_xlfn.XLOOKUP($A284, TCS!A:A, TCS!B:B, "")</f>
        <v>3108.8</v>
      </c>
      <c r="G284" s="4">
        <f>_xlfn.XLOOKUP($A284, Infosys!A:A, Infosys!B:B,"")</f>
        <v>1290.4000000000001</v>
      </c>
      <c r="H284" s="4">
        <f>_xlfn.XLOOKUP($A284, 'L &amp; T'!A:A, 'L &amp; T'!B:B, "")</f>
        <v>1549.45</v>
      </c>
    </row>
    <row r="285" spans="1:8" x14ac:dyDescent="0.3">
      <c r="A285" s="1">
        <v>44244</v>
      </c>
      <c r="B285" s="4">
        <f>_xlfn.XLOOKUP($A285, 'Nifty 50'!A:A, 'Nifty 50'!B:B, "")</f>
        <v>15208.9</v>
      </c>
      <c r="C285" s="4">
        <f>_xlfn.XLOOKUP($A285, Reliance!A:A, Reliance!B:B, "")</f>
        <v>945.65</v>
      </c>
      <c r="D285" s="4">
        <f>_xlfn.XLOOKUP($A285, HDFC!A:A, HDFC!B:B, "")</f>
        <v>791.28</v>
      </c>
      <c r="E285" s="4">
        <f>_xlfn.XLOOKUP($A285, ITC!A:A, ITC!B:B, "")</f>
        <v>217.75</v>
      </c>
      <c r="F285" s="4">
        <f>_xlfn.XLOOKUP($A285, TCS!A:A, TCS!B:B, "")</f>
        <v>3073.1</v>
      </c>
      <c r="G285" s="4">
        <f>_xlfn.XLOOKUP($A285, Infosys!A:A, Infosys!B:B,"")</f>
        <v>1281.3</v>
      </c>
      <c r="H285" s="4">
        <f>_xlfn.XLOOKUP($A285, 'L &amp; T'!A:A, 'L &amp; T'!B:B, "")</f>
        <v>1548.35</v>
      </c>
    </row>
    <row r="286" spans="1:8" x14ac:dyDescent="0.3">
      <c r="A286" s="1">
        <v>44245</v>
      </c>
      <c r="B286" s="4">
        <f>_xlfn.XLOOKUP($A286, 'Nifty 50'!A:A, 'Nifty 50'!B:B, "")</f>
        <v>15118.95</v>
      </c>
      <c r="C286" s="4">
        <f>_xlfn.XLOOKUP($A286, Reliance!A:A, Reliance!B:B, "")</f>
        <v>938.59</v>
      </c>
      <c r="D286" s="4">
        <f>_xlfn.XLOOKUP($A286, HDFC!A:A, HDFC!B:B, "")</f>
        <v>775.22</v>
      </c>
      <c r="E286" s="4">
        <f>_xlfn.XLOOKUP($A286, ITC!A:A, ITC!B:B, "")</f>
        <v>218.85</v>
      </c>
      <c r="F286" s="4">
        <f>_xlfn.XLOOKUP($A286, TCS!A:A, TCS!B:B, "")</f>
        <v>3057.35</v>
      </c>
      <c r="G286" s="4">
        <f>_xlfn.XLOOKUP($A286, Infosys!A:A, Infosys!B:B,"")</f>
        <v>1292.45</v>
      </c>
      <c r="H286" s="4">
        <f>_xlfn.XLOOKUP($A286, 'L &amp; T'!A:A, 'L &amp; T'!B:B, "")</f>
        <v>1524.6</v>
      </c>
    </row>
    <row r="287" spans="1:8" x14ac:dyDescent="0.3">
      <c r="A287" s="1">
        <v>44246</v>
      </c>
      <c r="B287" s="4">
        <f>_xlfn.XLOOKUP($A287, 'Nifty 50'!A:A, 'Nifty 50'!B:B, "")</f>
        <v>14981.75</v>
      </c>
      <c r="C287" s="4">
        <f>_xlfn.XLOOKUP($A287, Reliance!A:A, Reliance!B:B, "")</f>
        <v>944.31</v>
      </c>
      <c r="D287" s="4">
        <f>_xlfn.XLOOKUP($A287, HDFC!A:A, HDFC!B:B, "")</f>
        <v>767.64</v>
      </c>
      <c r="E287" s="4">
        <f>_xlfn.XLOOKUP($A287, ITC!A:A, ITC!B:B, "")</f>
        <v>215.95</v>
      </c>
      <c r="F287" s="4">
        <f>_xlfn.XLOOKUP($A287, TCS!A:A, TCS!B:B, "")</f>
        <v>3071.85</v>
      </c>
      <c r="G287" s="4">
        <f>_xlfn.XLOOKUP($A287, Infosys!A:A, Infosys!B:B,"")</f>
        <v>1291.3</v>
      </c>
      <c r="H287" s="4">
        <f>_xlfn.XLOOKUP($A287, 'L &amp; T'!A:A, 'L &amp; T'!B:B, "")</f>
        <v>1508.8</v>
      </c>
    </row>
    <row r="288" spans="1:8" x14ac:dyDescent="0.3">
      <c r="A288" s="1">
        <v>44249</v>
      </c>
      <c r="B288" s="4">
        <f>_xlfn.XLOOKUP($A288, 'Nifty 50'!A:A, 'Nifty 50'!B:B, "")</f>
        <v>14675.7</v>
      </c>
      <c r="C288" s="4">
        <f>_xlfn.XLOOKUP($A288, Reliance!A:A, Reliance!B:B, "")</f>
        <v>911.54</v>
      </c>
      <c r="D288" s="4">
        <f>_xlfn.XLOOKUP($A288, HDFC!A:A, HDFC!B:B, "")</f>
        <v>772.08</v>
      </c>
      <c r="E288" s="4">
        <f>_xlfn.XLOOKUP($A288, ITC!A:A, ITC!B:B, "")</f>
        <v>207.05</v>
      </c>
      <c r="F288" s="4">
        <f>_xlfn.XLOOKUP($A288, TCS!A:A, TCS!B:B, "")</f>
        <v>2958.45</v>
      </c>
      <c r="G288" s="4">
        <f>_xlfn.XLOOKUP($A288, Infosys!A:A, Infosys!B:B,"")</f>
        <v>1265.2</v>
      </c>
      <c r="H288" s="4">
        <f>_xlfn.XLOOKUP($A288, 'L &amp; T'!A:A, 'L &amp; T'!B:B, "")</f>
        <v>1452.2</v>
      </c>
    </row>
    <row r="289" spans="1:8" x14ac:dyDescent="0.3">
      <c r="A289" s="1">
        <v>44250</v>
      </c>
      <c r="B289" s="4">
        <f>_xlfn.XLOOKUP($A289, 'Nifty 50'!A:A, 'Nifty 50'!B:B, "")</f>
        <v>14707.8</v>
      </c>
      <c r="C289" s="4">
        <f>_xlfn.XLOOKUP($A289, Reliance!A:A, Reliance!B:B, "")</f>
        <v>918.5</v>
      </c>
      <c r="D289" s="4">
        <f>_xlfn.XLOOKUP($A289, HDFC!A:A, HDFC!B:B, "")</f>
        <v>762.68</v>
      </c>
      <c r="E289" s="4">
        <f>_xlfn.XLOOKUP($A289, ITC!A:A, ITC!B:B, "")</f>
        <v>208.5</v>
      </c>
      <c r="F289" s="4">
        <f>_xlfn.XLOOKUP($A289, TCS!A:A, TCS!B:B, "")</f>
        <v>2980.2</v>
      </c>
      <c r="G289" s="4">
        <f>_xlfn.XLOOKUP($A289, Infosys!A:A, Infosys!B:B,"")</f>
        <v>1266.3499999999999</v>
      </c>
      <c r="H289" s="4">
        <f>_xlfn.XLOOKUP($A289, 'L &amp; T'!A:A, 'L &amp; T'!B:B, "")</f>
        <v>1486.3</v>
      </c>
    </row>
    <row r="290" spans="1:8" x14ac:dyDescent="0.3">
      <c r="A290" s="1">
        <v>44251</v>
      </c>
      <c r="B290" s="4">
        <f>_xlfn.XLOOKUP($A290, 'Nifty 50'!A:A, 'Nifty 50'!B:B, "")</f>
        <v>14982</v>
      </c>
      <c r="C290" s="4">
        <f>_xlfn.XLOOKUP($A290, Reliance!A:A, Reliance!B:B, "")</f>
        <v>935.55</v>
      </c>
      <c r="D290" s="4">
        <f>_xlfn.XLOOKUP($A290, HDFC!A:A, HDFC!B:B, "")</f>
        <v>801.23</v>
      </c>
      <c r="E290" s="4">
        <f>_xlfn.XLOOKUP($A290, ITC!A:A, ITC!B:B, "")</f>
        <v>208.85</v>
      </c>
      <c r="F290" s="4">
        <f>_xlfn.XLOOKUP($A290, TCS!A:A, TCS!B:B, "")</f>
        <v>2948.1</v>
      </c>
      <c r="G290" s="4">
        <f>_xlfn.XLOOKUP($A290, Infosys!A:A, Infosys!B:B,"")</f>
        <v>1274.3</v>
      </c>
      <c r="H290" s="4">
        <f>_xlfn.XLOOKUP($A290, 'L &amp; T'!A:A, 'L &amp; T'!B:B, "")</f>
        <v>1526.6</v>
      </c>
    </row>
    <row r="291" spans="1:8" x14ac:dyDescent="0.3">
      <c r="A291" s="1">
        <v>44252</v>
      </c>
      <c r="B291" s="4">
        <f>_xlfn.XLOOKUP($A291, 'Nifty 50'!A:A, 'Nifty 50'!B:B, "")</f>
        <v>15097.35</v>
      </c>
      <c r="C291" s="4">
        <f>_xlfn.XLOOKUP($A291, Reliance!A:A, Reliance!B:B, "")</f>
        <v>973.38</v>
      </c>
      <c r="D291" s="4">
        <f>_xlfn.XLOOKUP($A291, HDFC!A:A, HDFC!B:B, "")</f>
        <v>801.21</v>
      </c>
      <c r="E291" s="4">
        <f>_xlfn.XLOOKUP($A291, ITC!A:A, ITC!B:B, "")</f>
        <v>209.15</v>
      </c>
      <c r="F291" s="4">
        <f>_xlfn.XLOOKUP($A291, TCS!A:A, TCS!B:B, "")</f>
        <v>2995.3</v>
      </c>
      <c r="G291" s="4">
        <f>_xlfn.XLOOKUP($A291, Infosys!A:A, Infosys!B:B,"")</f>
        <v>1274.55</v>
      </c>
      <c r="H291" s="4">
        <f>_xlfn.XLOOKUP($A291, 'L &amp; T'!A:A, 'L &amp; T'!B:B, "")</f>
        <v>1506.45</v>
      </c>
    </row>
    <row r="292" spans="1:8" x14ac:dyDescent="0.3">
      <c r="A292" s="1">
        <v>44253</v>
      </c>
      <c r="B292" s="4">
        <f>_xlfn.XLOOKUP($A292, 'Nifty 50'!A:A, 'Nifty 50'!B:B, "")</f>
        <v>14529.15</v>
      </c>
      <c r="C292" s="4">
        <f>_xlfn.XLOOKUP($A292, Reliance!A:A, Reliance!B:B, "")</f>
        <v>946.81</v>
      </c>
      <c r="D292" s="4">
        <f>_xlfn.XLOOKUP($A292, HDFC!A:A, HDFC!B:B, "")</f>
        <v>765.3</v>
      </c>
      <c r="E292" s="4">
        <f>_xlfn.XLOOKUP($A292, ITC!A:A, ITC!B:B, "")</f>
        <v>203.85</v>
      </c>
      <c r="F292" s="4">
        <f>_xlfn.XLOOKUP($A292, TCS!A:A, TCS!B:B, "")</f>
        <v>2894.3</v>
      </c>
      <c r="G292" s="4">
        <f>_xlfn.XLOOKUP($A292, Infosys!A:A, Infosys!B:B,"")</f>
        <v>1253.3</v>
      </c>
      <c r="H292" s="4">
        <f>_xlfn.XLOOKUP($A292, 'L &amp; T'!A:A, 'L &amp; T'!B:B, "")</f>
        <v>1442.5</v>
      </c>
    </row>
    <row r="293" spans="1:8" x14ac:dyDescent="0.3">
      <c r="A293" s="1">
        <v>44256</v>
      </c>
      <c r="B293" s="4">
        <f>_xlfn.XLOOKUP($A293, 'Nifty 50'!A:A, 'Nifty 50'!B:B, "")</f>
        <v>14761.55</v>
      </c>
      <c r="C293" s="4">
        <f>_xlfn.XLOOKUP($A293, Reliance!A:A, Reliance!B:B, "")</f>
        <v>954.02</v>
      </c>
      <c r="D293" s="4">
        <f>_xlfn.XLOOKUP($A293, HDFC!A:A, HDFC!B:B, "")</f>
        <v>777.52</v>
      </c>
      <c r="E293" s="4">
        <f>_xlfn.XLOOKUP($A293, ITC!A:A, ITC!B:B, "")</f>
        <v>206.9</v>
      </c>
      <c r="F293" s="4">
        <f>_xlfn.XLOOKUP($A293, TCS!A:A, TCS!B:B, "")</f>
        <v>2924.2</v>
      </c>
      <c r="G293" s="4">
        <f>_xlfn.XLOOKUP($A293, Infosys!A:A, Infosys!B:B,"")</f>
        <v>1267</v>
      </c>
      <c r="H293" s="4">
        <f>_xlfn.XLOOKUP($A293, 'L &amp; T'!A:A, 'L &amp; T'!B:B, "")</f>
        <v>1472.85</v>
      </c>
    </row>
    <row r="294" spans="1:8" x14ac:dyDescent="0.3">
      <c r="A294" s="1">
        <v>44257</v>
      </c>
      <c r="B294" s="4">
        <f>_xlfn.XLOOKUP($A294, 'Nifty 50'!A:A, 'Nifty 50'!B:B, "")</f>
        <v>14919.1</v>
      </c>
      <c r="C294" s="4">
        <f>_xlfn.XLOOKUP($A294, Reliance!A:A, Reliance!B:B, "")</f>
        <v>955.98</v>
      </c>
      <c r="D294" s="4">
        <f>_xlfn.XLOOKUP($A294, HDFC!A:A, HDFC!B:B, "")</f>
        <v>782.15</v>
      </c>
      <c r="E294" s="4">
        <f>_xlfn.XLOOKUP($A294, ITC!A:A, ITC!B:B, "")</f>
        <v>209.9</v>
      </c>
      <c r="F294" s="4">
        <f>_xlfn.XLOOKUP($A294, TCS!A:A, TCS!B:B, "")</f>
        <v>3006.35</v>
      </c>
      <c r="G294" s="4">
        <f>_xlfn.XLOOKUP($A294, Infosys!A:A, Infosys!B:B,"")</f>
        <v>1304.5</v>
      </c>
      <c r="H294" s="4">
        <f>_xlfn.XLOOKUP($A294, 'L &amp; T'!A:A, 'L &amp; T'!B:B, "")</f>
        <v>1485.65</v>
      </c>
    </row>
    <row r="295" spans="1:8" x14ac:dyDescent="0.3">
      <c r="A295" s="1">
        <v>44258</v>
      </c>
      <c r="B295" s="4">
        <f>_xlfn.XLOOKUP($A295, 'Nifty 50'!A:A, 'Nifty 50'!B:B, "")</f>
        <v>15245.6</v>
      </c>
      <c r="C295" s="4">
        <f>_xlfn.XLOOKUP($A295, Reliance!A:A, Reliance!B:B, "")</f>
        <v>999.6</v>
      </c>
      <c r="D295" s="4">
        <f>_xlfn.XLOOKUP($A295, HDFC!A:A, HDFC!B:B, "")</f>
        <v>791.46</v>
      </c>
      <c r="E295" s="4">
        <f>_xlfn.XLOOKUP($A295, ITC!A:A, ITC!B:B, "")</f>
        <v>209.95</v>
      </c>
      <c r="F295" s="4">
        <f>_xlfn.XLOOKUP($A295, TCS!A:A, TCS!B:B, "")</f>
        <v>3059.1</v>
      </c>
      <c r="G295" s="4">
        <f>_xlfn.XLOOKUP($A295, Infosys!A:A, Infosys!B:B,"")</f>
        <v>1343.55</v>
      </c>
      <c r="H295" s="4">
        <f>_xlfn.XLOOKUP($A295, 'L &amp; T'!A:A, 'L &amp; T'!B:B, "")</f>
        <v>1496.9</v>
      </c>
    </row>
    <row r="296" spans="1:8" x14ac:dyDescent="0.3">
      <c r="A296" s="1">
        <v>44259</v>
      </c>
      <c r="B296" s="4">
        <f>_xlfn.XLOOKUP($A296, 'Nifty 50'!A:A, 'Nifty 50'!B:B, "")</f>
        <v>15080.75</v>
      </c>
      <c r="C296" s="4">
        <f>_xlfn.XLOOKUP($A296, Reliance!A:A, Reliance!B:B, "")</f>
        <v>987.68</v>
      </c>
      <c r="D296" s="4">
        <f>_xlfn.XLOOKUP($A296, HDFC!A:A, HDFC!B:B, "")</f>
        <v>774.1</v>
      </c>
      <c r="E296" s="4">
        <f>_xlfn.XLOOKUP($A296, ITC!A:A, ITC!B:B, "")</f>
        <v>209.7</v>
      </c>
      <c r="F296" s="4">
        <f>_xlfn.XLOOKUP($A296, TCS!A:A, TCS!B:B, "")</f>
        <v>3049.7</v>
      </c>
      <c r="G296" s="4">
        <f>_xlfn.XLOOKUP($A296, Infosys!A:A, Infosys!B:B,"")</f>
        <v>1330.35</v>
      </c>
      <c r="H296" s="4">
        <f>_xlfn.XLOOKUP($A296, 'L &amp; T'!A:A, 'L &amp; T'!B:B, "")</f>
        <v>1462.6</v>
      </c>
    </row>
    <row r="297" spans="1:8" x14ac:dyDescent="0.3">
      <c r="A297" s="1">
        <v>44260</v>
      </c>
      <c r="B297" s="4">
        <f>_xlfn.XLOOKUP($A297, 'Nifty 50'!A:A, 'Nifty 50'!B:B, "")</f>
        <v>14938.1</v>
      </c>
      <c r="C297" s="4">
        <f>_xlfn.XLOOKUP($A297, Reliance!A:A, Reliance!B:B, "")</f>
        <v>988.98</v>
      </c>
      <c r="D297" s="4">
        <f>_xlfn.XLOOKUP($A297, HDFC!A:A, HDFC!B:B, "")</f>
        <v>763.1</v>
      </c>
      <c r="E297" s="4">
        <f>_xlfn.XLOOKUP($A297, ITC!A:A, ITC!B:B, "")</f>
        <v>208.55</v>
      </c>
      <c r="F297" s="4">
        <f>_xlfn.XLOOKUP($A297, TCS!A:A, TCS!B:B, "")</f>
        <v>3008.05</v>
      </c>
      <c r="G297" s="4">
        <f>_xlfn.XLOOKUP($A297, Infosys!A:A, Infosys!B:B,"")</f>
        <v>1316.7</v>
      </c>
      <c r="H297" s="4">
        <f>_xlfn.XLOOKUP($A297, 'L &amp; T'!A:A, 'L &amp; T'!B:B, "")</f>
        <v>1463.55</v>
      </c>
    </row>
    <row r="298" spans="1:8" x14ac:dyDescent="0.3">
      <c r="A298" s="1">
        <v>44263</v>
      </c>
      <c r="B298" s="4">
        <f>_xlfn.XLOOKUP($A298, 'Nifty 50'!A:A, 'Nifty 50'!B:B, "")</f>
        <v>14956.2</v>
      </c>
      <c r="C298" s="4">
        <f>_xlfn.XLOOKUP($A298, Reliance!A:A, Reliance!B:B, "")</f>
        <v>994.6</v>
      </c>
      <c r="D298" s="4">
        <f>_xlfn.XLOOKUP($A298, HDFC!A:A, HDFC!B:B, "")</f>
        <v>757.86</v>
      </c>
      <c r="E298" s="4">
        <f>_xlfn.XLOOKUP($A298, ITC!A:A, ITC!B:B, "")</f>
        <v>208</v>
      </c>
      <c r="F298" s="4">
        <f>_xlfn.XLOOKUP($A298, TCS!A:A, TCS!B:B, "")</f>
        <v>3006.95</v>
      </c>
      <c r="G298" s="4">
        <f>_xlfn.XLOOKUP($A298, Infosys!A:A, Infosys!B:B,"")</f>
        <v>1335.75</v>
      </c>
      <c r="H298" s="4">
        <f>_xlfn.XLOOKUP($A298, 'L &amp; T'!A:A, 'L &amp; T'!B:B, "")</f>
        <v>1515.2</v>
      </c>
    </row>
    <row r="299" spans="1:8" x14ac:dyDescent="0.3">
      <c r="A299" s="1">
        <v>44264</v>
      </c>
      <c r="B299" s="4">
        <f>_xlfn.XLOOKUP($A299, 'Nifty 50'!A:A, 'Nifty 50'!B:B, "")</f>
        <v>15098.4</v>
      </c>
      <c r="C299" s="4">
        <f>_xlfn.XLOOKUP($A299, Reliance!A:A, Reliance!B:B, "")</f>
        <v>994.58</v>
      </c>
      <c r="D299" s="4">
        <f>_xlfn.XLOOKUP($A299, HDFC!A:A, HDFC!B:B, "")</f>
        <v>779.31</v>
      </c>
      <c r="E299" s="4">
        <f>_xlfn.XLOOKUP($A299, ITC!A:A, ITC!B:B, "")</f>
        <v>207.8</v>
      </c>
      <c r="F299" s="4">
        <f>_xlfn.XLOOKUP($A299, TCS!A:A, TCS!B:B, "")</f>
        <v>3050.95</v>
      </c>
      <c r="G299" s="4">
        <f>_xlfn.XLOOKUP($A299, Infosys!A:A, Infosys!B:B,"")</f>
        <v>1345.55</v>
      </c>
      <c r="H299" s="4">
        <f>_xlfn.XLOOKUP($A299, 'L &amp; T'!A:A, 'L &amp; T'!B:B, "")</f>
        <v>1508.3</v>
      </c>
    </row>
    <row r="300" spans="1:8" x14ac:dyDescent="0.3">
      <c r="A300" s="1">
        <v>44265</v>
      </c>
      <c r="B300" s="4">
        <f>_xlfn.XLOOKUP($A300, 'Nifty 50'!A:A, 'Nifty 50'!B:B, "")</f>
        <v>15174.8</v>
      </c>
      <c r="C300" s="4">
        <f>_xlfn.XLOOKUP($A300, Reliance!A:A, Reliance!B:B, "")</f>
        <v>990.45</v>
      </c>
      <c r="D300" s="4">
        <f>_xlfn.XLOOKUP($A300, HDFC!A:A, HDFC!B:B, "")</f>
        <v>775.94</v>
      </c>
      <c r="E300" s="4">
        <f>_xlfn.XLOOKUP($A300, ITC!A:A, ITC!B:B, "")</f>
        <v>206.5</v>
      </c>
      <c r="F300" s="4">
        <f>_xlfn.XLOOKUP($A300, TCS!A:A, TCS!B:B, "")</f>
        <v>3070.95</v>
      </c>
      <c r="G300" s="4">
        <f>_xlfn.XLOOKUP($A300, Infosys!A:A, Infosys!B:B,"")</f>
        <v>1368.15</v>
      </c>
      <c r="H300" s="4">
        <f>_xlfn.XLOOKUP($A300, 'L &amp; T'!A:A, 'L &amp; T'!B:B, "")</f>
        <v>1524.2</v>
      </c>
    </row>
    <row r="301" spans="1:8" x14ac:dyDescent="0.3">
      <c r="A301" s="1">
        <v>44267</v>
      </c>
      <c r="B301" s="4">
        <f>_xlfn.XLOOKUP($A301, 'Nifty 50'!A:A, 'Nifty 50'!B:B, "")</f>
        <v>15030.95</v>
      </c>
      <c r="C301" s="4">
        <f>_xlfn.XLOOKUP($A301, Reliance!A:A, Reliance!B:B, "")</f>
        <v>970.32</v>
      </c>
      <c r="D301" s="4">
        <f>_xlfn.XLOOKUP($A301, HDFC!A:A, HDFC!B:B, "")</f>
        <v>774.05</v>
      </c>
      <c r="E301" s="4">
        <f>_xlfn.XLOOKUP($A301, ITC!A:A, ITC!B:B, "")</f>
        <v>205.2</v>
      </c>
      <c r="F301" s="4">
        <f>_xlfn.XLOOKUP($A301, TCS!A:A, TCS!B:B, "")</f>
        <v>3057.95</v>
      </c>
      <c r="G301" s="4">
        <f>_xlfn.XLOOKUP($A301, Infosys!A:A, Infosys!B:B,"")</f>
        <v>1374.85</v>
      </c>
      <c r="H301" s="4">
        <f>_xlfn.XLOOKUP($A301, 'L &amp; T'!A:A, 'L &amp; T'!B:B, "")</f>
        <v>1514</v>
      </c>
    </row>
    <row r="302" spans="1:8" x14ac:dyDescent="0.3">
      <c r="A302" s="1">
        <v>44270</v>
      </c>
      <c r="B302" s="4">
        <f>_xlfn.XLOOKUP($A302, 'Nifty 50'!A:A, 'Nifty 50'!B:B, "")</f>
        <v>14929.5</v>
      </c>
      <c r="C302" s="4">
        <f>_xlfn.XLOOKUP($A302, Reliance!A:A, Reliance!B:B, "")</f>
        <v>957.29</v>
      </c>
      <c r="D302" s="4">
        <f>_xlfn.XLOOKUP($A302, HDFC!A:A, HDFC!B:B, "")</f>
        <v>762.43</v>
      </c>
      <c r="E302" s="4">
        <f>_xlfn.XLOOKUP($A302, ITC!A:A, ITC!B:B, "")</f>
        <v>205.45</v>
      </c>
      <c r="F302" s="4">
        <f>_xlfn.XLOOKUP($A302, TCS!A:A, TCS!B:B, "")</f>
        <v>3066.15</v>
      </c>
      <c r="G302" s="4">
        <f>_xlfn.XLOOKUP($A302, Infosys!A:A, Infosys!B:B,"")</f>
        <v>1373.6</v>
      </c>
      <c r="H302" s="4">
        <f>_xlfn.XLOOKUP($A302, 'L &amp; T'!A:A, 'L &amp; T'!B:B, "")</f>
        <v>1483.75</v>
      </c>
    </row>
    <row r="303" spans="1:8" x14ac:dyDescent="0.3">
      <c r="A303" s="1">
        <v>44271</v>
      </c>
      <c r="B303" s="4">
        <f>_xlfn.XLOOKUP($A303, 'Nifty 50'!A:A, 'Nifty 50'!B:B, "")</f>
        <v>14910.45</v>
      </c>
      <c r="C303" s="4">
        <f>_xlfn.XLOOKUP($A303, Reliance!A:A, Reliance!B:B, "")</f>
        <v>953.52</v>
      </c>
      <c r="D303" s="4">
        <f>_xlfn.XLOOKUP($A303, HDFC!A:A, HDFC!B:B, "")</f>
        <v>754.2</v>
      </c>
      <c r="E303" s="4">
        <f>_xlfn.XLOOKUP($A303, ITC!A:A, ITC!B:B, "")</f>
        <v>207.85</v>
      </c>
      <c r="F303" s="4">
        <f>_xlfn.XLOOKUP($A303, TCS!A:A, TCS!B:B, "")</f>
        <v>3110.05</v>
      </c>
      <c r="G303" s="4">
        <f>_xlfn.XLOOKUP($A303, Infosys!A:A, Infosys!B:B,"")</f>
        <v>1384</v>
      </c>
      <c r="H303" s="4">
        <f>_xlfn.XLOOKUP($A303, 'L &amp; T'!A:A, 'L &amp; T'!B:B, "")</f>
        <v>1461.8</v>
      </c>
    </row>
    <row r="304" spans="1:8" x14ac:dyDescent="0.3">
      <c r="A304" s="1">
        <v>44272</v>
      </c>
      <c r="B304" s="4">
        <f>_xlfn.XLOOKUP($A304, 'Nifty 50'!A:A, 'Nifty 50'!B:B, "")</f>
        <v>14721.3</v>
      </c>
      <c r="C304" s="4">
        <f>_xlfn.XLOOKUP($A304, Reliance!A:A, Reliance!B:B, "")</f>
        <v>932.98</v>
      </c>
      <c r="D304" s="4">
        <f>_xlfn.XLOOKUP($A304, HDFC!A:A, HDFC!B:B, "")</f>
        <v>745.82</v>
      </c>
      <c r="E304" s="4">
        <f>_xlfn.XLOOKUP($A304, ITC!A:A, ITC!B:B, "")</f>
        <v>210.6</v>
      </c>
      <c r="F304" s="4">
        <f>_xlfn.XLOOKUP($A304, TCS!A:A, TCS!B:B, "")</f>
        <v>3112.95</v>
      </c>
      <c r="G304" s="4">
        <f>_xlfn.XLOOKUP($A304, Infosys!A:A, Infosys!B:B,"")</f>
        <v>1387</v>
      </c>
      <c r="H304" s="4">
        <f>_xlfn.XLOOKUP($A304, 'L &amp; T'!A:A, 'L &amp; T'!B:B, "")</f>
        <v>1437.65</v>
      </c>
    </row>
    <row r="305" spans="1:8" x14ac:dyDescent="0.3">
      <c r="A305" s="1">
        <v>44273</v>
      </c>
      <c r="B305" s="4">
        <f>_xlfn.XLOOKUP($A305, 'Nifty 50'!A:A, 'Nifty 50'!B:B, "")</f>
        <v>14557.85</v>
      </c>
      <c r="C305" s="4">
        <f>_xlfn.XLOOKUP($A305, Reliance!A:A, Reliance!B:B, "")</f>
        <v>911.99</v>
      </c>
      <c r="D305" s="4">
        <f>_xlfn.XLOOKUP($A305, HDFC!A:A, HDFC!B:B, "")</f>
        <v>743.65</v>
      </c>
      <c r="E305" s="4">
        <f>_xlfn.XLOOKUP($A305, ITC!A:A, ITC!B:B, "")</f>
        <v>217.65</v>
      </c>
      <c r="F305" s="4">
        <f>_xlfn.XLOOKUP($A305, TCS!A:A, TCS!B:B, "")</f>
        <v>3036.5</v>
      </c>
      <c r="G305" s="4">
        <f>_xlfn.XLOOKUP($A305, Infosys!A:A, Infosys!B:B,"")</f>
        <v>1337.1</v>
      </c>
      <c r="H305" s="4">
        <f>_xlfn.XLOOKUP($A305, 'L &amp; T'!A:A, 'L &amp; T'!B:B, "")</f>
        <v>1428.1</v>
      </c>
    </row>
    <row r="306" spans="1:8" x14ac:dyDescent="0.3">
      <c r="A306" s="1">
        <v>44274</v>
      </c>
      <c r="B306" s="4">
        <f>_xlfn.XLOOKUP($A306, 'Nifty 50'!A:A, 'Nifty 50'!B:B, "")</f>
        <v>14744</v>
      </c>
      <c r="C306" s="4">
        <f>_xlfn.XLOOKUP($A306, Reliance!A:A, Reliance!B:B, "")</f>
        <v>945.08</v>
      </c>
      <c r="D306" s="4">
        <f>_xlfn.XLOOKUP($A306, HDFC!A:A, HDFC!B:B, "")</f>
        <v>746.89</v>
      </c>
      <c r="E306" s="4">
        <f>_xlfn.XLOOKUP($A306, ITC!A:A, ITC!B:B, "")</f>
        <v>222.95</v>
      </c>
      <c r="F306" s="4">
        <f>_xlfn.XLOOKUP($A306, TCS!A:A, TCS!B:B, "")</f>
        <v>3050.2</v>
      </c>
      <c r="G306" s="4">
        <f>_xlfn.XLOOKUP($A306, Infosys!A:A, Infosys!B:B,"")</f>
        <v>1344.45</v>
      </c>
      <c r="H306" s="4">
        <f>_xlfn.XLOOKUP($A306, 'L &amp; T'!A:A, 'L &amp; T'!B:B, "")</f>
        <v>1411.25</v>
      </c>
    </row>
    <row r="307" spans="1:8" x14ac:dyDescent="0.3">
      <c r="A307" s="1">
        <v>44277</v>
      </c>
      <c r="B307" s="4">
        <f>_xlfn.XLOOKUP($A307, 'Nifty 50'!A:A, 'Nifty 50'!B:B, "")</f>
        <v>14736.4</v>
      </c>
      <c r="C307" s="4">
        <f>_xlfn.XLOOKUP($A307, Reliance!A:A, Reliance!B:B, "")</f>
        <v>936.18</v>
      </c>
      <c r="D307" s="4">
        <f>_xlfn.XLOOKUP($A307, HDFC!A:A, HDFC!B:B, "")</f>
        <v>732.75</v>
      </c>
      <c r="E307" s="4">
        <f>_xlfn.XLOOKUP($A307, ITC!A:A, ITC!B:B, "")</f>
        <v>226</v>
      </c>
      <c r="F307" s="4">
        <f>_xlfn.XLOOKUP($A307, TCS!A:A, TCS!B:B, "")</f>
        <v>3129.65</v>
      </c>
      <c r="G307" s="4">
        <f>_xlfn.XLOOKUP($A307, Infosys!A:A, Infosys!B:B,"")</f>
        <v>1370.8</v>
      </c>
      <c r="H307" s="4">
        <f>_xlfn.XLOOKUP($A307, 'L &amp; T'!A:A, 'L &amp; T'!B:B, "")</f>
        <v>1400.05</v>
      </c>
    </row>
    <row r="308" spans="1:8" x14ac:dyDescent="0.3">
      <c r="A308" s="1">
        <v>44278</v>
      </c>
      <c r="B308" s="4">
        <f>_xlfn.XLOOKUP($A308, 'Nifty 50'!A:A, 'Nifty 50'!B:B, "")</f>
        <v>14814.75</v>
      </c>
      <c r="C308" s="4">
        <f>_xlfn.XLOOKUP($A308, Reliance!A:A, Reliance!B:B, "")</f>
        <v>947.58</v>
      </c>
      <c r="D308" s="4">
        <f>_xlfn.XLOOKUP($A308, HDFC!A:A, HDFC!B:B, "")</f>
        <v>748.21</v>
      </c>
      <c r="E308" s="4">
        <f>_xlfn.XLOOKUP($A308, ITC!A:A, ITC!B:B, "")</f>
        <v>222.2</v>
      </c>
      <c r="F308" s="4">
        <f>_xlfn.XLOOKUP($A308, TCS!A:A, TCS!B:B, "")</f>
        <v>3142.6</v>
      </c>
      <c r="G308" s="4">
        <f>_xlfn.XLOOKUP($A308, Infosys!A:A, Infosys!B:B,"")</f>
        <v>1371.55</v>
      </c>
      <c r="H308" s="4">
        <f>_xlfn.XLOOKUP($A308, 'L &amp; T'!A:A, 'L &amp; T'!B:B, "")</f>
        <v>1404.35</v>
      </c>
    </row>
    <row r="309" spans="1:8" x14ac:dyDescent="0.3">
      <c r="A309" s="1">
        <v>44279</v>
      </c>
      <c r="B309" s="4">
        <f>_xlfn.XLOOKUP($A309, 'Nifty 50'!A:A, 'Nifty 50'!B:B, "")</f>
        <v>14549.4</v>
      </c>
      <c r="C309" s="4">
        <f>_xlfn.XLOOKUP($A309, Reliance!A:A, Reliance!B:B, "")</f>
        <v>929.33</v>
      </c>
      <c r="D309" s="4">
        <f>_xlfn.XLOOKUP($A309, HDFC!A:A, HDFC!B:B, "")</f>
        <v>737.56</v>
      </c>
      <c r="E309" s="4">
        <f>_xlfn.XLOOKUP($A309, ITC!A:A, ITC!B:B, "")</f>
        <v>215.95</v>
      </c>
      <c r="F309" s="4">
        <f>_xlfn.XLOOKUP($A309, TCS!A:A, TCS!B:B, "")</f>
        <v>3121.1</v>
      </c>
      <c r="G309" s="4">
        <f>_xlfn.XLOOKUP($A309, Infosys!A:A, Infosys!B:B,"")</f>
        <v>1353.75</v>
      </c>
      <c r="H309" s="4">
        <f>_xlfn.XLOOKUP($A309, 'L &amp; T'!A:A, 'L &amp; T'!B:B, "")</f>
        <v>1369.15</v>
      </c>
    </row>
    <row r="310" spans="1:8" x14ac:dyDescent="0.3">
      <c r="A310" s="1">
        <v>44280</v>
      </c>
      <c r="B310" s="4">
        <f>_xlfn.XLOOKUP($A310, 'Nifty 50'!A:A, 'Nifty 50'!B:B, "")</f>
        <v>14324.9</v>
      </c>
      <c r="C310" s="4">
        <f>_xlfn.XLOOKUP($A310, Reliance!A:A, Reliance!B:B, "")</f>
        <v>903.98</v>
      </c>
      <c r="D310" s="4">
        <f>_xlfn.XLOOKUP($A310, HDFC!A:A, HDFC!B:B, "")</f>
        <v>729.86</v>
      </c>
      <c r="E310" s="4">
        <f>_xlfn.XLOOKUP($A310, ITC!A:A, ITC!B:B, "")</f>
        <v>211.6</v>
      </c>
      <c r="F310" s="4">
        <f>_xlfn.XLOOKUP($A310, TCS!A:A, TCS!B:B, "")</f>
        <v>3064.85</v>
      </c>
      <c r="G310" s="4">
        <f>_xlfn.XLOOKUP($A310, Infosys!A:A, Infosys!B:B,"")</f>
        <v>1333.8</v>
      </c>
      <c r="H310" s="4">
        <f>_xlfn.XLOOKUP($A310, 'L &amp; T'!A:A, 'L &amp; T'!B:B, "")</f>
        <v>1371.1</v>
      </c>
    </row>
    <row r="311" spans="1:8" x14ac:dyDescent="0.3">
      <c r="A311" s="1">
        <v>44281</v>
      </c>
      <c r="B311" s="4">
        <f>_xlfn.XLOOKUP($A311, 'Nifty 50'!A:A, 'Nifty 50'!B:B, "")</f>
        <v>14507.3</v>
      </c>
      <c r="C311" s="4">
        <f>_xlfn.XLOOKUP($A311, Reliance!A:A, Reliance!B:B, "")</f>
        <v>905.43</v>
      </c>
      <c r="D311" s="4">
        <f>_xlfn.XLOOKUP($A311, HDFC!A:A, HDFC!B:B, "")</f>
        <v>743.8</v>
      </c>
      <c r="E311" s="4">
        <f>_xlfn.XLOOKUP($A311, ITC!A:A, ITC!B:B, "")</f>
        <v>210.9</v>
      </c>
      <c r="F311" s="4">
        <f>_xlfn.XLOOKUP($A311, TCS!A:A, TCS!B:B, "")</f>
        <v>3066.8</v>
      </c>
      <c r="G311" s="4">
        <f>_xlfn.XLOOKUP($A311, Infosys!A:A, Infosys!B:B,"")</f>
        <v>1336.2</v>
      </c>
      <c r="H311" s="4">
        <f>_xlfn.XLOOKUP($A311, 'L &amp; T'!A:A, 'L &amp; T'!B:B, "")</f>
        <v>1398.3</v>
      </c>
    </row>
    <row r="312" spans="1:8" x14ac:dyDescent="0.3">
      <c r="A312" s="1">
        <v>44285</v>
      </c>
      <c r="B312" s="4">
        <f>_xlfn.XLOOKUP($A312, 'Nifty 50'!A:A, 'Nifty 50'!B:B, "")</f>
        <v>14845.1</v>
      </c>
      <c r="C312" s="4">
        <f>_xlfn.XLOOKUP($A312, Reliance!A:A, Reliance!B:B, "")</f>
        <v>921.16</v>
      </c>
      <c r="D312" s="4">
        <f>_xlfn.XLOOKUP($A312, HDFC!A:A, HDFC!B:B, "")</f>
        <v>774.92</v>
      </c>
      <c r="E312" s="4">
        <f>_xlfn.XLOOKUP($A312, ITC!A:A, ITC!B:B, "")</f>
        <v>214.55</v>
      </c>
      <c r="F312" s="4">
        <f>_xlfn.XLOOKUP($A312, TCS!A:A, TCS!B:B, "")</f>
        <v>3158.55</v>
      </c>
      <c r="G312" s="4">
        <f>_xlfn.XLOOKUP($A312, Infosys!A:A, Infosys!B:B,"")</f>
        <v>1385.3</v>
      </c>
      <c r="H312" s="4">
        <f>_xlfn.XLOOKUP($A312, 'L &amp; T'!A:A, 'L &amp; T'!B:B, "")</f>
        <v>1423.55</v>
      </c>
    </row>
    <row r="313" spans="1:8" x14ac:dyDescent="0.3">
      <c r="A313" s="1">
        <v>44286</v>
      </c>
      <c r="B313" s="4">
        <f>_xlfn.XLOOKUP($A313, 'Nifty 50'!A:A, 'Nifty 50'!B:B, "")</f>
        <v>14690.7</v>
      </c>
      <c r="C313" s="4">
        <f>_xlfn.XLOOKUP($A313, Reliance!A:A, Reliance!B:B, "")</f>
        <v>909.27</v>
      </c>
      <c r="D313" s="4">
        <f>_xlfn.XLOOKUP($A313, HDFC!A:A, HDFC!B:B, "")</f>
        <v>744.97</v>
      </c>
      <c r="E313" s="4">
        <f>_xlfn.XLOOKUP($A313, ITC!A:A, ITC!B:B, "")</f>
        <v>218.5</v>
      </c>
      <c r="F313" s="4">
        <f>_xlfn.XLOOKUP($A313, TCS!A:A, TCS!B:B, "")</f>
        <v>3177.85</v>
      </c>
      <c r="G313" s="4">
        <f>_xlfn.XLOOKUP($A313, Infosys!A:A, Infosys!B:B,"")</f>
        <v>1368.05</v>
      </c>
      <c r="H313" s="4">
        <f>_xlfn.XLOOKUP($A313, 'L &amp; T'!A:A, 'L &amp; T'!B:B, "")</f>
        <v>1418.9</v>
      </c>
    </row>
    <row r="314" spans="1:8" x14ac:dyDescent="0.3">
      <c r="A314" s="1">
        <v>44287</v>
      </c>
      <c r="B314" s="4">
        <f>_xlfn.XLOOKUP($A314, 'Nifty 50'!A:A, 'Nifty 50'!B:B, "")</f>
        <v>14867.35</v>
      </c>
      <c r="C314" s="4">
        <f>_xlfn.XLOOKUP($A314, Reliance!A:A, Reliance!B:B, "")</f>
        <v>917.78</v>
      </c>
      <c r="D314" s="4">
        <f>_xlfn.XLOOKUP($A314, HDFC!A:A, HDFC!B:B, "")</f>
        <v>741.53</v>
      </c>
      <c r="E314" s="4">
        <f>_xlfn.XLOOKUP($A314, ITC!A:A, ITC!B:B, "")</f>
        <v>220.05</v>
      </c>
      <c r="F314" s="4">
        <f>_xlfn.XLOOKUP($A314, TCS!A:A, TCS!B:B, "")</f>
        <v>3165</v>
      </c>
      <c r="G314" s="4">
        <f>_xlfn.XLOOKUP($A314, Infosys!A:A, Infosys!B:B,"")</f>
        <v>1385.2</v>
      </c>
      <c r="H314" s="4">
        <f>_xlfn.XLOOKUP($A314, 'L &amp; T'!A:A, 'L &amp; T'!B:B, "")</f>
        <v>1444.6</v>
      </c>
    </row>
    <row r="315" spans="1:8" x14ac:dyDescent="0.3">
      <c r="A315" s="1">
        <v>44291</v>
      </c>
      <c r="B315" s="4">
        <f>_xlfn.XLOOKUP($A315, 'Nifty 50'!A:A, 'Nifty 50'!B:B, "")</f>
        <v>14637.8</v>
      </c>
      <c r="C315" s="4">
        <f>_xlfn.XLOOKUP($A315, Reliance!A:A, Reliance!B:B, "")</f>
        <v>904.5</v>
      </c>
      <c r="D315" s="4">
        <f>_xlfn.XLOOKUP($A315, HDFC!A:A, HDFC!B:B, "")</f>
        <v>723</v>
      </c>
      <c r="E315" s="4">
        <f>_xlfn.XLOOKUP($A315, ITC!A:A, ITC!B:B, "")</f>
        <v>212.55</v>
      </c>
      <c r="F315" s="4">
        <f>_xlfn.XLOOKUP($A315, TCS!A:A, TCS!B:B, "")</f>
        <v>3238.9</v>
      </c>
      <c r="G315" s="4">
        <f>_xlfn.XLOOKUP($A315, Infosys!A:A, Infosys!B:B,"")</f>
        <v>1409.9</v>
      </c>
      <c r="H315" s="4">
        <f>_xlfn.XLOOKUP($A315, 'L &amp; T'!A:A, 'L &amp; T'!B:B, "")</f>
        <v>1403.8</v>
      </c>
    </row>
    <row r="316" spans="1:8" x14ac:dyDescent="0.3">
      <c r="A316" s="1">
        <v>44292</v>
      </c>
      <c r="B316" s="4">
        <f>_xlfn.XLOOKUP($A316, 'Nifty 50'!A:A, 'Nifty 50'!B:B, "")</f>
        <v>14683.5</v>
      </c>
      <c r="C316" s="4">
        <f>_xlfn.XLOOKUP($A316, Reliance!A:A, Reliance!B:B, "")</f>
        <v>900.73</v>
      </c>
      <c r="D316" s="4">
        <f>_xlfn.XLOOKUP($A316, HDFC!A:A, HDFC!B:B, "")</f>
        <v>718.34</v>
      </c>
      <c r="E316" s="4">
        <f>_xlfn.XLOOKUP($A316, ITC!A:A, ITC!B:B, "")</f>
        <v>212.65</v>
      </c>
      <c r="F316" s="4">
        <f>_xlfn.XLOOKUP($A316, TCS!A:A, TCS!B:B, "")</f>
        <v>3264.7</v>
      </c>
      <c r="G316" s="4">
        <f>_xlfn.XLOOKUP($A316, Infosys!A:A, Infosys!B:B,"")</f>
        <v>1411.05</v>
      </c>
      <c r="H316" s="4">
        <f>_xlfn.XLOOKUP($A316, 'L &amp; T'!A:A, 'L &amp; T'!B:B, "")</f>
        <v>1401</v>
      </c>
    </row>
    <row r="317" spans="1:8" x14ac:dyDescent="0.3">
      <c r="A317" s="1">
        <v>44293</v>
      </c>
      <c r="B317" s="4">
        <f>_xlfn.XLOOKUP($A317, 'Nifty 50'!A:A, 'Nifty 50'!B:B, "")</f>
        <v>14819.05</v>
      </c>
      <c r="C317" s="4">
        <f>_xlfn.XLOOKUP($A317, Reliance!A:A, Reliance!B:B, "")</f>
        <v>909.15</v>
      </c>
      <c r="D317" s="4">
        <f>_xlfn.XLOOKUP($A317, HDFC!A:A, HDFC!B:B, "")</f>
        <v>721.8</v>
      </c>
      <c r="E317" s="4">
        <f>_xlfn.XLOOKUP($A317, ITC!A:A, ITC!B:B, "")</f>
        <v>213.8</v>
      </c>
      <c r="F317" s="4">
        <f>_xlfn.XLOOKUP($A317, TCS!A:A, TCS!B:B, "")</f>
        <v>3271.4</v>
      </c>
      <c r="G317" s="4">
        <f>_xlfn.XLOOKUP($A317, Infosys!A:A, Infosys!B:B,"")</f>
        <v>1430.2</v>
      </c>
      <c r="H317" s="4">
        <f>_xlfn.XLOOKUP($A317, 'L &amp; T'!A:A, 'L &amp; T'!B:B, "")</f>
        <v>1404.15</v>
      </c>
    </row>
    <row r="318" spans="1:8" x14ac:dyDescent="0.3">
      <c r="A318" s="1">
        <v>44294</v>
      </c>
      <c r="B318" s="4">
        <f>_xlfn.XLOOKUP($A318, 'Nifty 50'!A:A, 'Nifty 50'!B:B, "")</f>
        <v>14873.8</v>
      </c>
      <c r="C318" s="4">
        <f>_xlfn.XLOOKUP($A318, Reliance!A:A, Reliance!B:B, "")</f>
        <v>910.29</v>
      </c>
      <c r="D318" s="4">
        <f>_xlfn.XLOOKUP($A318, HDFC!A:A, HDFC!B:B, "")</f>
        <v>714.62</v>
      </c>
      <c r="E318" s="4">
        <f>_xlfn.XLOOKUP($A318, ITC!A:A, ITC!B:B, "")</f>
        <v>213.25</v>
      </c>
      <c r="F318" s="4">
        <f>_xlfn.XLOOKUP($A318, TCS!A:A, TCS!B:B, "")</f>
        <v>3317.35</v>
      </c>
      <c r="G318" s="4">
        <f>_xlfn.XLOOKUP($A318, Infosys!A:A, Infosys!B:B,"")</f>
        <v>1439.85</v>
      </c>
      <c r="H318" s="4">
        <f>_xlfn.XLOOKUP($A318, 'L &amp; T'!A:A, 'L &amp; T'!B:B, "")</f>
        <v>1419.15</v>
      </c>
    </row>
    <row r="319" spans="1:8" x14ac:dyDescent="0.3">
      <c r="A319" s="1">
        <v>44295</v>
      </c>
      <c r="B319" s="4">
        <f>_xlfn.XLOOKUP($A319, 'Nifty 50'!A:A, 'Nifty 50'!B:B, "")</f>
        <v>14834.85</v>
      </c>
      <c r="C319" s="4">
        <f>_xlfn.XLOOKUP($A319, Reliance!A:A, Reliance!B:B, "")</f>
        <v>899.71</v>
      </c>
      <c r="D319" s="4">
        <f>_xlfn.XLOOKUP($A319, HDFC!A:A, HDFC!B:B, "")</f>
        <v>709.11</v>
      </c>
      <c r="E319" s="4">
        <f>_xlfn.XLOOKUP($A319, ITC!A:A, ITC!B:B, "")</f>
        <v>213.1</v>
      </c>
      <c r="F319" s="4">
        <f>_xlfn.XLOOKUP($A319, TCS!A:A, TCS!B:B, "")</f>
        <v>3322.25</v>
      </c>
      <c r="G319" s="4">
        <f>_xlfn.XLOOKUP($A319, Infosys!A:A, Infosys!B:B,"")</f>
        <v>1441.05</v>
      </c>
      <c r="H319" s="4">
        <f>_xlfn.XLOOKUP($A319, 'L &amp; T'!A:A, 'L &amp; T'!B:B, "")</f>
        <v>1404.1</v>
      </c>
    </row>
    <row r="320" spans="1:8" x14ac:dyDescent="0.3">
      <c r="A320" s="1">
        <v>44298</v>
      </c>
      <c r="B320" s="4">
        <f>_xlfn.XLOOKUP($A320, 'Nifty 50'!A:A, 'Nifty 50'!B:B, "")</f>
        <v>14310.8</v>
      </c>
      <c r="C320" s="4">
        <f>_xlfn.XLOOKUP($A320, Reliance!A:A, Reliance!B:B, "")</f>
        <v>867.53</v>
      </c>
      <c r="D320" s="4">
        <f>_xlfn.XLOOKUP($A320, HDFC!A:A, HDFC!B:B, "")</f>
        <v>681.83</v>
      </c>
      <c r="E320" s="4">
        <f>_xlfn.XLOOKUP($A320, ITC!A:A, ITC!B:B, "")</f>
        <v>205.3</v>
      </c>
      <c r="F320" s="4">
        <f>_xlfn.XLOOKUP($A320, TCS!A:A, TCS!B:B, "")</f>
        <v>3246.55</v>
      </c>
      <c r="G320" s="4">
        <f>_xlfn.XLOOKUP($A320, Infosys!A:A, Infosys!B:B,"")</f>
        <v>1425.75</v>
      </c>
      <c r="H320" s="4">
        <f>_xlfn.XLOOKUP($A320, 'L &amp; T'!A:A, 'L &amp; T'!B:B, "")</f>
        <v>1345.15</v>
      </c>
    </row>
    <row r="321" spans="1:8" x14ac:dyDescent="0.3">
      <c r="A321" s="1">
        <v>44299</v>
      </c>
      <c r="B321" s="4">
        <f>_xlfn.XLOOKUP($A321, 'Nifty 50'!A:A, 'Nifty 50'!B:B, "")</f>
        <v>14504.8</v>
      </c>
      <c r="C321" s="4">
        <f>_xlfn.XLOOKUP($A321, Reliance!A:A, Reliance!B:B, "")</f>
        <v>876.9</v>
      </c>
      <c r="D321" s="4">
        <f>_xlfn.XLOOKUP($A321, HDFC!A:A, HDFC!B:B, "")</f>
        <v>698.44</v>
      </c>
      <c r="E321" s="4">
        <f>_xlfn.XLOOKUP($A321, ITC!A:A, ITC!B:B, "")</f>
        <v>208.7</v>
      </c>
      <c r="F321" s="4">
        <f>_xlfn.XLOOKUP($A321, TCS!A:A, TCS!B:B, "")</f>
        <v>3104.05</v>
      </c>
      <c r="G321" s="4">
        <f>_xlfn.XLOOKUP($A321, Infosys!A:A, Infosys!B:B,"")</f>
        <v>1397.15</v>
      </c>
      <c r="H321" s="4">
        <f>_xlfn.XLOOKUP($A321, 'L &amp; T'!A:A, 'L &amp; T'!B:B, "")</f>
        <v>1373.7</v>
      </c>
    </row>
    <row r="322" spans="1:8" x14ac:dyDescent="0.3">
      <c r="A322" s="1">
        <v>44301</v>
      </c>
      <c r="B322" s="4">
        <f>_xlfn.XLOOKUP($A322, 'Nifty 50'!A:A, 'Nifty 50'!B:B, "")</f>
        <v>14581.45</v>
      </c>
      <c r="C322" s="4">
        <f>_xlfn.XLOOKUP($A322, Reliance!A:A, Reliance!B:B, "")</f>
        <v>882.58</v>
      </c>
      <c r="D322" s="4">
        <f>_xlfn.XLOOKUP($A322, HDFC!A:A, HDFC!B:B, "")</f>
        <v>713.28</v>
      </c>
      <c r="E322" s="4">
        <f>_xlfn.XLOOKUP($A322, ITC!A:A, ITC!B:B, "")</f>
        <v>206.7</v>
      </c>
      <c r="F322" s="4">
        <f>_xlfn.XLOOKUP($A322, TCS!A:A, TCS!B:B, "")</f>
        <v>3218.95</v>
      </c>
      <c r="G322" s="4">
        <f>_xlfn.XLOOKUP($A322, Infosys!A:A, Infosys!B:B,"")</f>
        <v>1360.75</v>
      </c>
      <c r="H322" s="4">
        <f>_xlfn.XLOOKUP($A322, 'L &amp; T'!A:A, 'L &amp; T'!B:B, "")</f>
        <v>1374.65</v>
      </c>
    </row>
    <row r="323" spans="1:8" x14ac:dyDescent="0.3">
      <c r="A323" s="1">
        <v>44302</v>
      </c>
      <c r="B323" s="4">
        <f>_xlfn.XLOOKUP($A323, 'Nifty 50'!A:A, 'Nifty 50'!B:B, "")</f>
        <v>14617.85</v>
      </c>
      <c r="C323" s="4">
        <f>_xlfn.XLOOKUP($A323, Reliance!A:A, Reliance!B:B, "")</f>
        <v>877.04</v>
      </c>
      <c r="D323" s="4">
        <f>_xlfn.XLOOKUP($A323, HDFC!A:A, HDFC!B:B, "")</f>
        <v>712.55</v>
      </c>
      <c r="E323" s="4">
        <f>_xlfn.XLOOKUP($A323, ITC!A:A, ITC!B:B, "")</f>
        <v>207.95</v>
      </c>
      <c r="F323" s="4">
        <f>_xlfn.XLOOKUP($A323, TCS!A:A, TCS!B:B, "")</f>
        <v>3195.15</v>
      </c>
      <c r="G323" s="4">
        <f>_xlfn.XLOOKUP($A323, Infosys!A:A, Infosys!B:B,"")</f>
        <v>1353.75</v>
      </c>
      <c r="H323" s="4">
        <f>_xlfn.XLOOKUP($A323, 'L &amp; T'!A:A, 'L &amp; T'!B:B, "")</f>
        <v>1359.15</v>
      </c>
    </row>
    <row r="324" spans="1:8" x14ac:dyDescent="0.3">
      <c r="A324" s="1">
        <v>44305</v>
      </c>
      <c r="B324" s="4">
        <f>_xlfn.XLOOKUP($A324, 'Nifty 50'!A:A, 'Nifty 50'!B:B, "")</f>
        <v>14359.45</v>
      </c>
      <c r="C324" s="4">
        <f>_xlfn.XLOOKUP($A324, Reliance!A:A, Reliance!B:B, "")</f>
        <v>863.24</v>
      </c>
      <c r="D324" s="4">
        <f>_xlfn.XLOOKUP($A324, HDFC!A:A, HDFC!B:B, "")</f>
        <v>704.45</v>
      </c>
      <c r="E324" s="4">
        <f>_xlfn.XLOOKUP($A324, ITC!A:A, ITC!B:B, "")</f>
        <v>205.6</v>
      </c>
      <c r="F324" s="4">
        <f>_xlfn.XLOOKUP($A324, TCS!A:A, TCS!B:B, "")</f>
        <v>3161.8</v>
      </c>
      <c r="G324" s="4">
        <f>_xlfn.XLOOKUP($A324, Infosys!A:A, Infosys!B:B,"")</f>
        <v>1362.55</v>
      </c>
      <c r="H324" s="4">
        <f>_xlfn.XLOOKUP($A324, 'L &amp; T'!A:A, 'L &amp; T'!B:B, "")</f>
        <v>1310.45</v>
      </c>
    </row>
    <row r="325" spans="1:8" x14ac:dyDescent="0.3">
      <c r="A325" s="1">
        <v>44306</v>
      </c>
      <c r="B325" s="4">
        <f>_xlfn.XLOOKUP($A325, 'Nifty 50'!A:A, 'Nifty 50'!B:B, "")</f>
        <v>14296.4</v>
      </c>
      <c r="C325" s="4">
        <f>_xlfn.XLOOKUP($A325, Reliance!A:A, Reliance!B:B, "")</f>
        <v>862.99</v>
      </c>
      <c r="D325" s="4">
        <f>_xlfn.XLOOKUP($A325, HDFC!A:A, HDFC!B:B, "")</f>
        <v>693.97</v>
      </c>
      <c r="E325" s="4">
        <f>_xlfn.XLOOKUP($A325, ITC!A:A, ITC!B:B, "")</f>
        <v>203.55</v>
      </c>
      <c r="F325" s="4">
        <f>_xlfn.XLOOKUP($A325, TCS!A:A, TCS!B:B, "")</f>
        <v>3144.55</v>
      </c>
      <c r="G325" s="4">
        <f>_xlfn.XLOOKUP($A325, Infosys!A:A, Infosys!B:B,"")</f>
        <v>1351.35</v>
      </c>
      <c r="H325" s="4">
        <f>_xlfn.XLOOKUP($A325, 'L &amp; T'!A:A, 'L &amp; T'!B:B, "")</f>
        <v>1331.5</v>
      </c>
    </row>
    <row r="326" spans="1:8" x14ac:dyDescent="0.3">
      <c r="A326" s="1">
        <v>44308</v>
      </c>
      <c r="B326" s="4">
        <f>_xlfn.XLOOKUP($A326, 'Nifty 50'!A:A, 'Nifty 50'!B:B, "")</f>
        <v>14406.15</v>
      </c>
      <c r="C326" s="4">
        <f>_xlfn.XLOOKUP($A326, Reliance!A:A, Reliance!B:B, "")</f>
        <v>865.37</v>
      </c>
      <c r="D326" s="4">
        <f>_xlfn.XLOOKUP($A326, HDFC!A:A, HDFC!B:B, "")</f>
        <v>709.48</v>
      </c>
      <c r="E326" s="4">
        <f>_xlfn.XLOOKUP($A326, ITC!A:A, ITC!B:B, "")</f>
        <v>205.9</v>
      </c>
      <c r="F326" s="4">
        <f>_xlfn.XLOOKUP($A326, TCS!A:A, TCS!B:B, "")</f>
        <v>3118.8</v>
      </c>
      <c r="G326" s="4">
        <f>_xlfn.XLOOKUP($A326, Infosys!A:A, Infosys!B:B,"")</f>
        <v>1351.1</v>
      </c>
      <c r="H326" s="4">
        <f>_xlfn.XLOOKUP($A326, 'L &amp; T'!A:A, 'L &amp; T'!B:B, "")</f>
        <v>1336.8</v>
      </c>
    </row>
    <row r="327" spans="1:8" x14ac:dyDescent="0.3">
      <c r="A327" s="1">
        <v>44309</v>
      </c>
      <c r="B327" s="4">
        <f>_xlfn.XLOOKUP($A327, 'Nifty 50'!A:A, 'Nifty 50'!B:B, "")</f>
        <v>14341.35</v>
      </c>
      <c r="C327" s="4">
        <f>_xlfn.XLOOKUP($A327, Reliance!A:A, Reliance!B:B, "")</f>
        <v>864.44</v>
      </c>
      <c r="D327" s="4">
        <f>_xlfn.XLOOKUP($A327, HDFC!A:A, HDFC!B:B, "")</f>
        <v>705.32</v>
      </c>
      <c r="E327" s="4">
        <f>_xlfn.XLOOKUP($A327, ITC!A:A, ITC!B:B, "")</f>
        <v>205.35</v>
      </c>
      <c r="F327" s="4">
        <f>_xlfn.XLOOKUP($A327, TCS!A:A, TCS!B:B, "")</f>
        <v>3109.5</v>
      </c>
      <c r="G327" s="4">
        <f>_xlfn.XLOOKUP($A327, Infosys!A:A, Infosys!B:B,"")</f>
        <v>1333.8</v>
      </c>
      <c r="H327" s="4">
        <f>_xlfn.XLOOKUP($A327, 'L &amp; T'!A:A, 'L &amp; T'!B:B, "")</f>
        <v>1322.9</v>
      </c>
    </row>
    <row r="328" spans="1:8" x14ac:dyDescent="0.3">
      <c r="A328" s="1">
        <v>44312</v>
      </c>
      <c r="B328" s="4">
        <f>_xlfn.XLOOKUP($A328, 'Nifty 50'!A:A, 'Nifty 50'!B:B, "")</f>
        <v>14485</v>
      </c>
      <c r="C328" s="4">
        <f>_xlfn.XLOOKUP($A328, Reliance!A:A, Reliance!B:B, "")</f>
        <v>879.65</v>
      </c>
      <c r="D328" s="4">
        <f>_xlfn.XLOOKUP($A328, HDFC!A:A, HDFC!B:B, "")</f>
        <v>700.66</v>
      </c>
      <c r="E328" s="4">
        <f>_xlfn.XLOOKUP($A328, ITC!A:A, ITC!B:B, "")</f>
        <v>205.3</v>
      </c>
      <c r="F328" s="4">
        <f>_xlfn.XLOOKUP($A328, TCS!A:A, TCS!B:B, "")</f>
        <v>3100.8</v>
      </c>
      <c r="G328" s="4">
        <f>_xlfn.XLOOKUP($A328, Infosys!A:A, Infosys!B:B,"")</f>
        <v>1343.55</v>
      </c>
      <c r="H328" s="4">
        <f>_xlfn.XLOOKUP($A328, 'L &amp; T'!A:A, 'L &amp; T'!B:B, "")</f>
        <v>1335.9</v>
      </c>
    </row>
    <row r="329" spans="1:8" x14ac:dyDescent="0.3">
      <c r="A329" s="1">
        <v>44313</v>
      </c>
      <c r="B329" s="4">
        <f>_xlfn.XLOOKUP($A329, 'Nifty 50'!A:A, 'Nifty 50'!B:B, "")</f>
        <v>14653.05</v>
      </c>
      <c r="C329" s="4">
        <f>_xlfn.XLOOKUP($A329, Reliance!A:A, Reliance!B:B, "")</f>
        <v>902.71</v>
      </c>
      <c r="D329" s="4">
        <f>_xlfn.XLOOKUP($A329, HDFC!A:A, HDFC!B:B, "")</f>
        <v>717.56</v>
      </c>
      <c r="E329" s="4">
        <f>_xlfn.XLOOKUP($A329, ITC!A:A, ITC!B:B, "")</f>
        <v>205.4</v>
      </c>
      <c r="F329" s="4">
        <f>_xlfn.XLOOKUP($A329, TCS!A:A, TCS!B:B, "")</f>
        <v>3132</v>
      </c>
      <c r="G329" s="4">
        <f>_xlfn.XLOOKUP($A329, Infosys!A:A, Infosys!B:B,"")</f>
        <v>1348.5</v>
      </c>
      <c r="H329" s="4">
        <f>_xlfn.XLOOKUP($A329, 'L &amp; T'!A:A, 'L &amp; T'!B:B, "")</f>
        <v>1380.65</v>
      </c>
    </row>
    <row r="330" spans="1:8" x14ac:dyDescent="0.3">
      <c r="A330" s="1">
        <v>44314</v>
      </c>
      <c r="B330" s="4">
        <f>_xlfn.XLOOKUP($A330, 'Nifty 50'!A:A, 'Nifty 50'!B:B, "")</f>
        <v>14864.55</v>
      </c>
      <c r="C330" s="4">
        <f>_xlfn.XLOOKUP($A330, Reliance!A:A, Reliance!B:B, "")</f>
        <v>906.63</v>
      </c>
      <c r="D330" s="4">
        <f>_xlfn.XLOOKUP($A330, HDFC!A:A, HDFC!B:B, "")</f>
        <v>736.57</v>
      </c>
      <c r="E330" s="4">
        <f>_xlfn.XLOOKUP($A330, ITC!A:A, ITC!B:B, "")</f>
        <v>205.5</v>
      </c>
      <c r="F330" s="4">
        <f>_xlfn.XLOOKUP($A330, TCS!A:A, TCS!B:B, "")</f>
        <v>3124.1</v>
      </c>
      <c r="G330" s="4">
        <f>_xlfn.XLOOKUP($A330, Infosys!A:A, Infosys!B:B,"")</f>
        <v>1356</v>
      </c>
      <c r="H330" s="4">
        <f>_xlfn.XLOOKUP($A330, 'L &amp; T'!A:A, 'L &amp; T'!B:B, "")</f>
        <v>1375.9</v>
      </c>
    </row>
    <row r="331" spans="1:8" x14ac:dyDescent="0.3">
      <c r="A331" s="1">
        <v>44315</v>
      </c>
      <c r="B331" s="4">
        <f>_xlfn.XLOOKUP($A331, 'Nifty 50'!A:A, 'Nifty 50'!B:B, "")</f>
        <v>14894.9</v>
      </c>
      <c r="C331" s="4">
        <f>_xlfn.XLOOKUP($A331, Reliance!A:A, Reliance!B:B, "")</f>
        <v>918.78</v>
      </c>
      <c r="D331" s="4">
        <f>_xlfn.XLOOKUP($A331, HDFC!A:A, HDFC!B:B, "")</f>
        <v>734.42</v>
      </c>
      <c r="E331" s="4">
        <f>_xlfn.XLOOKUP($A331, ITC!A:A, ITC!B:B, "")</f>
        <v>204.3</v>
      </c>
      <c r="F331" s="4">
        <f>_xlfn.XLOOKUP($A331, TCS!A:A, TCS!B:B, "")</f>
        <v>3115.25</v>
      </c>
      <c r="G331" s="4">
        <f>_xlfn.XLOOKUP($A331, Infosys!A:A, Infosys!B:B,"")</f>
        <v>1356.35</v>
      </c>
      <c r="H331" s="4">
        <f>_xlfn.XLOOKUP($A331, 'L &amp; T'!A:A, 'L &amp; T'!B:B, "")</f>
        <v>1358.65</v>
      </c>
    </row>
    <row r="332" spans="1:8" x14ac:dyDescent="0.3">
      <c r="A332" s="1">
        <v>44316</v>
      </c>
      <c r="B332" s="4">
        <f>_xlfn.XLOOKUP($A332, 'Nifty 50'!A:A, 'Nifty 50'!B:B, "")</f>
        <v>14631.1</v>
      </c>
      <c r="C332" s="4">
        <f>_xlfn.XLOOKUP($A332, Reliance!A:A, Reliance!B:B, "")</f>
        <v>905.36</v>
      </c>
      <c r="D332" s="4">
        <f>_xlfn.XLOOKUP($A332, HDFC!A:A, HDFC!B:B, "")</f>
        <v>704.4</v>
      </c>
      <c r="E332" s="4">
        <f>_xlfn.XLOOKUP($A332, ITC!A:A, ITC!B:B, "")</f>
        <v>202.6</v>
      </c>
      <c r="F332" s="4">
        <f>_xlfn.XLOOKUP($A332, TCS!A:A, TCS!B:B, "")</f>
        <v>3035.65</v>
      </c>
      <c r="G332" s="4">
        <f>_xlfn.XLOOKUP($A332, Infosys!A:A, Infosys!B:B,"")</f>
        <v>1354.35</v>
      </c>
      <c r="H332" s="4">
        <f>_xlfn.XLOOKUP($A332, 'L &amp; T'!A:A, 'L &amp; T'!B:B, "")</f>
        <v>1340.45</v>
      </c>
    </row>
    <row r="333" spans="1:8" x14ac:dyDescent="0.3">
      <c r="A333" s="1">
        <v>44319</v>
      </c>
      <c r="B333" s="4">
        <f>_xlfn.XLOOKUP($A333, 'Nifty 50'!A:A, 'Nifty 50'!B:B, "")</f>
        <v>14634.15</v>
      </c>
      <c r="C333" s="4">
        <f>_xlfn.XLOOKUP($A333, Reliance!A:A, Reliance!B:B, "")</f>
        <v>889.27</v>
      </c>
      <c r="D333" s="4">
        <f>_xlfn.XLOOKUP($A333, HDFC!A:A, HDFC!B:B, "")</f>
        <v>705.47</v>
      </c>
      <c r="E333" s="4">
        <f>_xlfn.XLOOKUP($A333, ITC!A:A, ITC!B:B, "")</f>
        <v>200.95</v>
      </c>
      <c r="F333" s="4">
        <f>_xlfn.XLOOKUP($A333, TCS!A:A, TCS!B:B, "")</f>
        <v>3037</v>
      </c>
      <c r="G333" s="4">
        <f>_xlfn.XLOOKUP($A333, Infosys!A:A, Infosys!B:B,"")</f>
        <v>1352.05</v>
      </c>
      <c r="H333" s="4">
        <f>_xlfn.XLOOKUP($A333, 'L &amp; T'!A:A, 'L &amp; T'!B:B, "")</f>
        <v>1342.5</v>
      </c>
    </row>
    <row r="334" spans="1:8" x14ac:dyDescent="0.3">
      <c r="A334" s="1">
        <v>44320</v>
      </c>
      <c r="B334" s="4">
        <f>_xlfn.XLOOKUP($A334, 'Nifty 50'!A:A, 'Nifty 50'!B:B, "")</f>
        <v>14496.5</v>
      </c>
      <c r="C334" s="4">
        <f>_xlfn.XLOOKUP($A334, Reliance!A:A, Reliance!B:B, "")</f>
        <v>870</v>
      </c>
      <c r="D334" s="4">
        <f>_xlfn.XLOOKUP($A334, HDFC!A:A, HDFC!B:B, "")</f>
        <v>692.45</v>
      </c>
      <c r="E334" s="4">
        <f>_xlfn.XLOOKUP($A334, ITC!A:A, ITC!B:B, "")</f>
        <v>199.6</v>
      </c>
      <c r="F334" s="4">
        <f>_xlfn.XLOOKUP($A334, TCS!A:A, TCS!B:B, "")</f>
        <v>3049.75</v>
      </c>
      <c r="G334" s="4">
        <f>_xlfn.XLOOKUP($A334, Infosys!A:A, Infosys!B:B,"")</f>
        <v>1329.4</v>
      </c>
      <c r="H334" s="4">
        <f>_xlfn.XLOOKUP($A334, 'L &amp; T'!A:A, 'L &amp; T'!B:B, "")</f>
        <v>1337.6</v>
      </c>
    </row>
    <row r="335" spans="1:8" x14ac:dyDescent="0.3">
      <c r="A335" s="1">
        <v>44321</v>
      </c>
      <c r="B335" s="4">
        <f>_xlfn.XLOOKUP($A335, 'Nifty 50'!A:A, 'Nifty 50'!B:B, "")</f>
        <v>14617.85</v>
      </c>
      <c r="C335" s="4">
        <f>_xlfn.XLOOKUP($A335, Reliance!A:A, Reliance!B:B, "")</f>
        <v>871.59</v>
      </c>
      <c r="D335" s="4">
        <f>_xlfn.XLOOKUP($A335, HDFC!A:A, HDFC!B:B, "")</f>
        <v>699.56</v>
      </c>
      <c r="E335" s="4">
        <f>_xlfn.XLOOKUP($A335, ITC!A:A, ITC!B:B, "")</f>
        <v>201.4</v>
      </c>
      <c r="F335" s="4">
        <f>_xlfn.XLOOKUP($A335, TCS!A:A, TCS!B:B, "")</f>
        <v>3095.7</v>
      </c>
      <c r="G335" s="4">
        <f>_xlfn.XLOOKUP($A335, Infosys!A:A, Infosys!B:B,"")</f>
        <v>1341.5</v>
      </c>
      <c r="H335" s="4">
        <f>_xlfn.XLOOKUP($A335, 'L &amp; T'!A:A, 'L &amp; T'!B:B, "")</f>
        <v>1338.65</v>
      </c>
    </row>
    <row r="336" spans="1:8" x14ac:dyDescent="0.3">
      <c r="A336" s="1">
        <v>44322</v>
      </c>
      <c r="B336" s="4">
        <f>_xlfn.XLOOKUP($A336, 'Nifty 50'!A:A, 'Nifty 50'!B:B, "")</f>
        <v>14724.8</v>
      </c>
      <c r="C336" s="4">
        <f>_xlfn.XLOOKUP($A336, Reliance!A:A, Reliance!B:B, "")</f>
        <v>876.54</v>
      </c>
      <c r="D336" s="4">
        <f>_xlfn.XLOOKUP($A336, HDFC!A:A, HDFC!B:B, "")</f>
        <v>698.71</v>
      </c>
      <c r="E336" s="4">
        <f>_xlfn.XLOOKUP($A336, ITC!A:A, ITC!B:B, "")</f>
        <v>202.75</v>
      </c>
      <c r="F336" s="4">
        <f>_xlfn.XLOOKUP($A336, TCS!A:A, TCS!B:B, "")</f>
        <v>3111.45</v>
      </c>
      <c r="G336" s="4">
        <f>_xlfn.XLOOKUP($A336, Infosys!A:A, Infosys!B:B,"")</f>
        <v>1361.6</v>
      </c>
      <c r="H336" s="4">
        <f>_xlfn.XLOOKUP($A336, 'L &amp; T'!A:A, 'L &amp; T'!B:B, "")</f>
        <v>1339.9</v>
      </c>
    </row>
    <row r="337" spans="1:8" x14ac:dyDescent="0.3">
      <c r="A337" s="1">
        <v>44323</v>
      </c>
      <c r="B337" s="4">
        <f>_xlfn.XLOOKUP($A337, 'Nifty 50'!A:A, 'Nifty 50'!B:B, "")</f>
        <v>14823.15</v>
      </c>
      <c r="C337" s="4">
        <f>_xlfn.XLOOKUP($A337, Reliance!A:A, Reliance!B:B, "")</f>
        <v>876.88</v>
      </c>
      <c r="D337" s="4">
        <f>_xlfn.XLOOKUP($A337, HDFC!A:A, HDFC!B:B, "")</f>
        <v>705.62</v>
      </c>
      <c r="E337" s="4">
        <f>_xlfn.XLOOKUP($A337, ITC!A:A, ITC!B:B, "")</f>
        <v>205.35</v>
      </c>
      <c r="F337" s="4">
        <f>_xlfn.XLOOKUP($A337, TCS!A:A, TCS!B:B, "")</f>
        <v>3132.9</v>
      </c>
      <c r="G337" s="4">
        <f>_xlfn.XLOOKUP($A337, Infosys!A:A, Infosys!B:B,"")</f>
        <v>1352.55</v>
      </c>
      <c r="H337" s="4">
        <f>_xlfn.XLOOKUP($A337, 'L &amp; T'!A:A, 'L &amp; T'!B:B, "")</f>
        <v>1342.7</v>
      </c>
    </row>
    <row r="338" spans="1:8" x14ac:dyDescent="0.3">
      <c r="A338" s="1">
        <v>44326</v>
      </c>
      <c r="B338" s="4">
        <f>_xlfn.XLOOKUP($A338, 'Nifty 50'!A:A, 'Nifty 50'!B:B, "")</f>
        <v>14942.35</v>
      </c>
      <c r="C338" s="4">
        <f>_xlfn.XLOOKUP($A338, Reliance!A:A, Reliance!B:B, "")</f>
        <v>874.36</v>
      </c>
      <c r="D338" s="4">
        <f>_xlfn.XLOOKUP($A338, HDFC!A:A, HDFC!B:B, "")</f>
        <v>708.16</v>
      </c>
      <c r="E338" s="4">
        <f>_xlfn.XLOOKUP($A338, ITC!A:A, ITC!B:B, "")</f>
        <v>205.55</v>
      </c>
      <c r="F338" s="4">
        <f>_xlfn.XLOOKUP($A338, TCS!A:A, TCS!B:B, "")</f>
        <v>3145.5</v>
      </c>
      <c r="G338" s="4">
        <f>_xlfn.XLOOKUP($A338, Infosys!A:A, Infosys!B:B,"")</f>
        <v>1339.55</v>
      </c>
      <c r="H338" s="4">
        <f>_xlfn.XLOOKUP($A338, 'L &amp; T'!A:A, 'L &amp; T'!B:B, "")</f>
        <v>1395</v>
      </c>
    </row>
    <row r="339" spans="1:8" x14ac:dyDescent="0.3">
      <c r="A339" s="1">
        <v>44327</v>
      </c>
      <c r="B339" s="4">
        <f>_xlfn.XLOOKUP($A339, 'Nifty 50'!A:A, 'Nifty 50'!B:B, "")</f>
        <v>14850.75</v>
      </c>
      <c r="C339" s="4">
        <f>_xlfn.XLOOKUP($A339, Reliance!A:A, Reliance!B:B, "")</f>
        <v>877.51</v>
      </c>
      <c r="D339" s="4">
        <f>_xlfn.XLOOKUP($A339, HDFC!A:A, HDFC!B:B, "")</f>
        <v>700.03</v>
      </c>
      <c r="E339" s="4">
        <f>_xlfn.XLOOKUP($A339, ITC!A:A, ITC!B:B, "")</f>
        <v>204</v>
      </c>
      <c r="F339" s="4">
        <f>_xlfn.XLOOKUP($A339, TCS!A:A, TCS!B:B, "")</f>
        <v>3122.6</v>
      </c>
      <c r="G339" s="4">
        <f>_xlfn.XLOOKUP($A339, Infosys!A:A, Infosys!B:B,"")</f>
        <v>1330.65</v>
      </c>
      <c r="H339" s="4">
        <f>_xlfn.XLOOKUP($A339, 'L &amp; T'!A:A, 'L &amp; T'!B:B, "")</f>
        <v>1383.6</v>
      </c>
    </row>
    <row r="340" spans="1:8" x14ac:dyDescent="0.3">
      <c r="A340" s="1">
        <v>44328</v>
      </c>
      <c r="B340" s="4">
        <f>_xlfn.XLOOKUP($A340, 'Nifty 50'!A:A, 'Nifty 50'!B:B, "")</f>
        <v>14696.5</v>
      </c>
      <c r="C340" s="4">
        <f>_xlfn.XLOOKUP($A340, Reliance!A:A, Reliance!B:B, "")</f>
        <v>868.44</v>
      </c>
      <c r="D340" s="4">
        <f>_xlfn.XLOOKUP($A340, HDFC!A:A, HDFC!B:B, "")</f>
        <v>698.01</v>
      </c>
      <c r="E340" s="4">
        <f>_xlfn.XLOOKUP($A340, ITC!A:A, ITC!B:B, "")</f>
        <v>203.25</v>
      </c>
      <c r="F340" s="4">
        <f>_xlfn.XLOOKUP($A340, TCS!A:A, TCS!B:B, "")</f>
        <v>3087.6</v>
      </c>
      <c r="G340" s="4">
        <f>_xlfn.XLOOKUP($A340, Infosys!A:A, Infosys!B:B,"")</f>
        <v>1327</v>
      </c>
      <c r="H340" s="4">
        <f>_xlfn.XLOOKUP($A340, 'L &amp; T'!A:A, 'L &amp; T'!B:B, "")</f>
        <v>1385.3</v>
      </c>
    </row>
    <row r="341" spans="1:8" x14ac:dyDescent="0.3">
      <c r="A341" s="1">
        <v>44330</v>
      </c>
      <c r="B341" s="4">
        <f>_xlfn.XLOOKUP($A341, 'Nifty 50'!A:A, 'Nifty 50'!B:B, "")</f>
        <v>14677.8</v>
      </c>
      <c r="C341" s="4">
        <f>_xlfn.XLOOKUP($A341, Reliance!A:A, Reliance!B:B, "")</f>
        <v>879.4</v>
      </c>
      <c r="D341" s="4">
        <f>_xlfn.XLOOKUP($A341, HDFC!A:A, HDFC!B:B, "")</f>
        <v>691.7</v>
      </c>
      <c r="E341" s="4">
        <f>_xlfn.XLOOKUP($A341, ITC!A:A, ITC!B:B, "")</f>
        <v>212.25</v>
      </c>
      <c r="F341" s="4">
        <f>_xlfn.XLOOKUP($A341, TCS!A:A, TCS!B:B, "")</f>
        <v>3051.5</v>
      </c>
      <c r="G341" s="4">
        <f>_xlfn.XLOOKUP($A341, Infosys!A:A, Infosys!B:B,"")</f>
        <v>1316.4</v>
      </c>
      <c r="H341" s="4">
        <f>_xlfn.XLOOKUP($A341, 'L &amp; T'!A:A, 'L &amp; T'!B:B, "")</f>
        <v>1415.5</v>
      </c>
    </row>
    <row r="342" spans="1:8" x14ac:dyDescent="0.3">
      <c r="A342" s="1">
        <v>44333</v>
      </c>
      <c r="B342" s="4">
        <f>_xlfn.XLOOKUP($A342, 'Nifty 50'!A:A, 'Nifty 50'!B:B, "")</f>
        <v>14923.15</v>
      </c>
      <c r="C342" s="4">
        <f>_xlfn.XLOOKUP($A342, Reliance!A:A, Reliance!B:B, "")</f>
        <v>889.86</v>
      </c>
      <c r="D342" s="4">
        <f>_xlfn.XLOOKUP($A342, HDFC!A:A, HDFC!B:B, "")</f>
        <v>718.34</v>
      </c>
      <c r="E342" s="4">
        <f>_xlfn.XLOOKUP($A342, ITC!A:A, ITC!B:B, "")</f>
        <v>212.6</v>
      </c>
      <c r="F342" s="4">
        <f>_xlfn.XLOOKUP($A342, TCS!A:A, TCS!B:B, "")</f>
        <v>3069.75</v>
      </c>
      <c r="G342" s="4">
        <f>_xlfn.XLOOKUP($A342, Infosys!A:A, Infosys!B:B,"")</f>
        <v>1329.4</v>
      </c>
      <c r="H342" s="4">
        <f>_xlfn.XLOOKUP($A342, 'L &amp; T'!A:A, 'L &amp; T'!B:B, "")</f>
        <v>1386.75</v>
      </c>
    </row>
    <row r="343" spans="1:8" x14ac:dyDescent="0.3">
      <c r="A343" s="1">
        <v>44334</v>
      </c>
      <c r="B343" s="4">
        <f>_xlfn.XLOOKUP($A343, 'Nifty 50'!A:A, 'Nifty 50'!B:B, "")</f>
        <v>15108.1</v>
      </c>
      <c r="C343" s="4">
        <f>_xlfn.XLOOKUP($A343, Reliance!A:A, Reliance!B:B, "")</f>
        <v>902.39</v>
      </c>
      <c r="D343" s="4">
        <f>_xlfn.XLOOKUP($A343, HDFC!A:A, HDFC!B:B, "")</f>
        <v>736.52</v>
      </c>
      <c r="E343" s="4">
        <f>_xlfn.XLOOKUP($A343, ITC!A:A, ITC!B:B, "")</f>
        <v>210.05</v>
      </c>
      <c r="F343" s="4">
        <f>_xlfn.XLOOKUP($A343, TCS!A:A, TCS!B:B, "")</f>
        <v>3088.8</v>
      </c>
      <c r="G343" s="4">
        <f>_xlfn.XLOOKUP($A343, Infosys!A:A, Infosys!B:B,"")</f>
        <v>1340</v>
      </c>
      <c r="H343" s="4">
        <f>_xlfn.XLOOKUP($A343, 'L &amp; T'!A:A, 'L &amp; T'!B:B, "")</f>
        <v>1417.3</v>
      </c>
    </row>
    <row r="344" spans="1:8" x14ac:dyDescent="0.3">
      <c r="A344" s="1">
        <v>44335</v>
      </c>
      <c r="B344" s="4">
        <f>_xlfn.XLOOKUP($A344, 'Nifty 50'!A:A, 'Nifty 50'!B:B, "")</f>
        <v>15030.15</v>
      </c>
      <c r="C344" s="4">
        <f>_xlfn.XLOOKUP($A344, Reliance!A:A, Reliance!B:B, "")</f>
        <v>906.52</v>
      </c>
      <c r="D344" s="4">
        <f>_xlfn.XLOOKUP($A344, HDFC!A:A, HDFC!B:B, "")</f>
        <v>727.29</v>
      </c>
      <c r="E344" s="4">
        <f>_xlfn.XLOOKUP($A344, ITC!A:A, ITC!B:B, "")</f>
        <v>207.75</v>
      </c>
      <c r="F344" s="4">
        <f>_xlfn.XLOOKUP($A344, TCS!A:A, TCS!B:B, "")</f>
        <v>3082</v>
      </c>
      <c r="G344" s="4">
        <f>_xlfn.XLOOKUP($A344, Infosys!A:A, Infosys!B:B,"")</f>
        <v>1337</v>
      </c>
      <c r="H344" s="4">
        <f>_xlfn.XLOOKUP($A344, 'L &amp; T'!A:A, 'L &amp; T'!B:B, "")</f>
        <v>1403.45</v>
      </c>
    </row>
    <row r="345" spans="1:8" x14ac:dyDescent="0.3">
      <c r="A345" s="1">
        <v>44336</v>
      </c>
      <c r="B345" s="4">
        <f>_xlfn.XLOOKUP($A345, 'Nifty 50'!A:A, 'Nifty 50'!B:B, "")</f>
        <v>14906.05</v>
      </c>
      <c r="C345" s="4">
        <f>_xlfn.XLOOKUP($A345, Reliance!A:A, Reliance!B:B, "")</f>
        <v>901.23</v>
      </c>
      <c r="D345" s="4">
        <f>_xlfn.XLOOKUP($A345, HDFC!A:A, HDFC!B:B, "")</f>
        <v>714.62</v>
      </c>
      <c r="E345" s="4">
        <f>_xlfn.XLOOKUP($A345, ITC!A:A, ITC!B:B, "")</f>
        <v>207</v>
      </c>
      <c r="F345" s="4">
        <f>_xlfn.XLOOKUP($A345, TCS!A:A, TCS!B:B, "")</f>
        <v>3060</v>
      </c>
      <c r="G345" s="4">
        <f>_xlfn.XLOOKUP($A345, Infosys!A:A, Infosys!B:B,"")</f>
        <v>1339.3</v>
      </c>
      <c r="H345" s="4">
        <f>_xlfn.XLOOKUP($A345, 'L &amp; T'!A:A, 'L &amp; T'!B:B, "")</f>
        <v>1409.75</v>
      </c>
    </row>
    <row r="346" spans="1:8" x14ac:dyDescent="0.3">
      <c r="A346" s="1">
        <v>44337</v>
      </c>
      <c r="B346" s="4">
        <f>_xlfn.XLOOKUP($A346, 'Nifty 50'!A:A, 'Nifty 50'!B:B, "")</f>
        <v>15175.3</v>
      </c>
      <c r="C346" s="4">
        <f>_xlfn.XLOOKUP($A346, Reliance!A:A, Reliance!B:B, "")</f>
        <v>909.02</v>
      </c>
      <c r="D346" s="4">
        <f>_xlfn.XLOOKUP($A346, HDFC!A:A, HDFC!B:B, "")</f>
        <v>746.79</v>
      </c>
      <c r="E346" s="4">
        <f>_xlfn.XLOOKUP($A346, ITC!A:A, ITC!B:B, "")</f>
        <v>209.05</v>
      </c>
      <c r="F346" s="4">
        <f>_xlfn.XLOOKUP($A346, TCS!A:A, TCS!B:B, "")</f>
        <v>3080.5</v>
      </c>
      <c r="G346" s="4">
        <f>_xlfn.XLOOKUP($A346, Infosys!A:A, Infosys!B:B,"")</f>
        <v>1354.5</v>
      </c>
      <c r="H346" s="4">
        <f>_xlfn.XLOOKUP($A346, 'L &amp; T'!A:A, 'L &amp; T'!B:B, "")</f>
        <v>1418.05</v>
      </c>
    </row>
    <row r="347" spans="1:8" x14ac:dyDescent="0.3">
      <c r="A347" s="1">
        <v>44340</v>
      </c>
      <c r="B347" s="4">
        <f>_xlfn.XLOOKUP($A347, 'Nifty 50'!A:A, 'Nifty 50'!B:B, "")</f>
        <v>15197.7</v>
      </c>
      <c r="C347" s="4">
        <f>_xlfn.XLOOKUP($A347, Reliance!A:A, Reliance!B:B, "")</f>
        <v>901.35</v>
      </c>
      <c r="D347" s="4">
        <f>_xlfn.XLOOKUP($A347, HDFC!A:A, HDFC!B:B, "")</f>
        <v>753.1</v>
      </c>
      <c r="E347" s="4">
        <f>_xlfn.XLOOKUP($A347, ITC!A:A, ITC!B:B, "")</f>
        <v>211.5</v>
      </c>
      <c r="F347" s="4">
        <f>_xlfn.XLOOKUP($A347, TCS!A:A, TCS!B:B, "")</f>
        <v>3081.5</v>
      </c>
      <c r="G347" s="4">
        <f>_xlfn.XLOOKUP($A347, Infosys!A:A, Infosys!B:B,"")</f>
        <v>1348.05</v>
      </c>
      <c r="H347" s="4">
        <f>_xlfn.XLOOKUP($A347, 'L &amp; T'!A:A, 'L &amp; T'!B:B, "")</f>
        <v>1443.25</v>
      </c>
    </row>
    <row r="348" spans="1:8" x14ac:dyDescent="0.3">
      <c r="A348" s="1">
        <v>44341</v>
      </c>
      <c r="B348" s="4">
        <f>_xlfn.XLOOKUP($A348, 'Nifty 50'!A:A, 'Nifty 50'!B:B, "")</f>
        <v>15208.45</v>
      </c>
      <c r="C348" s="4">
        <f>_xlfn.XLOOKUP($A348, Reliance!A:A, Reliance!B:B, "")</f>
        <v>891.13</v>
      </c>
      <c r="D348" s="4">
        <f>_xlfn.XLOOKUP($A348, HDFC!A:A, HDFC!B:B, "")</f>
        <v>737.64</v>
      </c>
      <c r="E348" s="4">
        <f>_xlfn.XLOOKUP($A348, ITC!A:A, ITC!B:B, "")</f>
        <v>210.9</v>
      </c>
      <c r="F348" s="4">
        <f>_xlfn.XLOOKUP($A348, TCS!A:A, TCS!B:B, "")</f>
        <v>3114</v>
      </c>
      <c r="G348" s="4">
        <f>_xlfn.XLOOKUP($A348, Infosys!A:A, Infosys!B:B,"")</f>
        <v>1361.6</v>
      </c>
      <c r="H348" s="4">
        <f>_xlfn.XLOOKUP($A348, 'L &amp; T'!A:A, 'L &amp; T'!B:B, "")</f>
        <v>1450.95</v>
      </c>
    </row>
    <row r="349" spans="1:8" x14ac:dyDescent="0.3">
      <c r="A349" s="1">
        <v>44342</v>
      </c>
      <c r="B349" s="4">
        <f>_xlfn.XLOOKUP($A349, 'Nifty 50'!A:A, 'Nifty 50'!B:B, "")</f>
        <v>15301.45</v>
      </c>
      <c r="C349" s="4">
        <f>_xlfn.XLOOKUP($A349, Reliance!A:A, Reliance!B:B, "")</f>
        <v>894.26</v>
      </c>
      <c r="D349" s="4">
        <f>_xlfn.XLOOKUP($A349, HDFC!A:A, HDFC!B:B, "")</f>
        <v>736.69</v>
      </c>
      <c r="E349" s="4">
        <f>_xlfn.XLOOKUP($A349, ITC!A:A, ITC!B:B, "")</f>
        <v>210.6</v>
      </c>
      <c r="F349" s="4">
        <f>_xlfn.XLOOKUP($A349, TCS!A:A, TCS!B:B, "")</f>
        <v>3158.5</v>
      </c>
      <c r="G349" s="4">
        <f>_xlfn.XLOOKUP($A349, Infosys!A:A, Infosys!B:B,"")</f>
        <v>1397.25</v>
      </c>
      <c r="H349" s="4">
        <f>_xlfn.XLOOKUP($A349, 'L &amp; T'!A:A, 'L &amp; T'!B:B, "")</f>
        <v>1472.9</v>
      </c>
    </row>
    <row r="350" spans="1:8" x14ac:dyDescent="0.3">
      <c r="A350" s="1">
        <v>44343</v>
      </c>
      <c r="B350" s="4">
        <f>_xlfn.XLOOKUP($A350, 'Nifty 50'!A:A, 'Nifty 50'!B:B, "")</f>
        <v>15337.85</v>
      </c>
      <c r="C350" s="4">
        <f>_xlfn.XLOOKUP($A350, Reliance!A:A, Reliance!B:B, "")</f>
        <v>897.01</v>
      </c>
      <c r="D350" s="4">
        <f>_xlfn.XLOOKUP($A350, HDFC!A:A, HDFC!B:B, "")</f>
        <v>739.49</v>
      </c>
      <c r="E350" s="4">
        <f>_xlfn.XLOOKUP($A350, ITC!A:A, ITC!B:B, "")</f>
        <v>211.15</v>
      </c>
      <c r="F350" s="4">
        <f>_xlfn.XLOOKUP($A350, TCS!A:A, TCS!B:B, "")</f>
        <v>3180</v>
      </c>
      <c r="G350" s="4">
        <f>_xlfn.XLOOKUP($A350, Infosys!A:A, Infosys!B:B,"")</f>
        <v>1402.25</v>
      </c>
      <c r="H350" s="4">
        <f>_xlfn.XLOOKUP($A350, 'L &amp; T'!A:A, 'L &amp; T'!B:B, "")</f>
        <v>1482.85</v>
      </c>
    </row>
    <row r="351" spans="1:8" x14ac:dyDescent="0.3">
      <c r="A351" s="1">
        <v>44344</v>
      </c>
      <c r="B351" s="4">
        <f>_xlfn.XLOOKUP($A351, 'Nifty 50'!A:A, 'Nifty 50'!B:B, "")</f>
        <v>15435.65</v>
      </c>
      <c r="C351" s="4">
        <f>_xlfn.XLOOKUP($A351, Reliance!A:A, Reliance!B:B, "")</f>
        <v>950.89</v>
      </c>
      <c r="D351" s="4">
        <f>_xlfn.XLOOKUP($A351, HDFC!A:A, HDFC!B:B, "")</f>
        <v>749.86</v>
      </c>
      <c r="E351" s="4">
        <f>_xlfn.XLOOKUP($A351, ITC!A:A, ITC!B:B, "")</f>
        <v>212.9</v>
      </c>
      <c r="F351" s="4">
        <f>_xlfn.XLOOKUP($A351, TCS!A:A, TCS!B:B, "")</f>
        <v>3143.6</v>
      </c>
      <c r="G351" s="4">
        <f>_xlfn.XLOOKUP($A351, Infosys!A:A, Infosys!B:B,"")</f>
        <v>1405.05</v>
      </c>
      <c r="H351" s="4">
        <f>_xlfn.XLOOKUP($A351, 'L &amp; T'!A:A, 'L &amp; T'!B:B, "")</f>
        <v>1478.1</v>
      </c>
    </row>
    <row r="352" spans="1:8" x14ac:dyDescent="0.3">
      <c r="A352" s="1">
        <v>44347</v>
      </c>
      <c r="B352" s="4">
        <f>_xlfn.XLOOKUP($A352, 'Nifty 50'!A:A, 'Nifty 50'!B:B, "")</f>
        <v>15582.8</v>
      </c>
      <c r="C352" s="4">
        <f>_xlfn.XLOOKUP($A352, Reliance!A:A, Reliance!B:B, "")</f>
        <v>980.62</v>
      </c>
      <c r="D352" s="4">
        <f>_xlfn.XLOOKUP($A352, HDFC!A:A, HDFC!B:B, "")</f>
        <v>756.04</v>
      </c>
      <c r="E352" s="4">
        <f>_xlfn.XLOOKUP($A352, ITC!A:A, ITC!B:B, "")</f>
        <v>216.6</v>
      </c>
      <c r="F352" s="4">
        <f>_xlfn.XLOOKUP($A352, TCS!A:A, TCS!B:B, "")</f>
        <v>3159.15</v>
      </c>
      <c r="G352" s="4">
        <f>_xlfn.XLOOKUP($A352, Infosys!A:A, Infosys!B:B,"")</f>
        <v>1393.75</v>
      </c>
      <c r="H352" s="4">
        <f>_xlfn.XLOOKUP($A352, 'L &amp; T'!A:A, 'L &amp; T'!B:B, "")</f>
        <v>1467.7</v>
      </c>
    </row>
    <row r="353" spans="1:8" x14ac:dyDescent="0.3">
      <c r="A353" s="1">
        <v>44348</v>
      </c>
      <c r="B353" s="4">
        <f>_xlfn.XLOOKUP($A353, 'Nifty 50'!A:A, 'Nifty 50'!B:B, "")</f>
        <v>15574.85</v>
      </c>
      <c r="C353" s="4">
        <f>_xlfn.XLOOKUP($A353, Reliance!A:A, Reliance!B:B, "")</f>
        <v>984.53</v>
      </c>
      <c r="D353" s="4">
        <f>_xlfn.XLOOKUP($A353, HDFC!A:A, HDFC!B:B, "")</f>
        <v>753.97</v>
      </c>
      <c r="E353" s="4">
        <f>_xlfn.XLOOKUP($A353, ITC!A:A, ITC!B:B, "")</f>
        <v>215.25</v>
      </c>
      <c r="F353" s="4">
        <f>_xlfn.XLOOKUP($A353, TCS!A:A, TCS!B:B, "")</f>
        <v>3153</v>
      </c>
      <c r="G353" s="4">
        <f>_xlfn.XLOOKUP($A353, Infosys!A:A, Infosys!B:B,"")</f>
        <v>1387.2</v>
      </c>
      <c r="H353" s="4">
        <f>_xlfn.XLOOKUP($A353, 'L &amp; T'!A:A, 'L &amp; T'!B:B, "")</f>
        <v>1474.65</v>
      </c>
    </row>
    <row r="354" spans="1:8" x14ac:dyDescent="0.3">
      <c r="A354" s="1">
        <v>44349</v>
      </c>
      <c r="B354" s="4">
        <f>_xlfn.XLOOKUP($A354, 'Nifty 50'!A:A, 'Nifty 50'!B:B, "")</f>
        <v>15576.2</v>
      </c>
      <c r="C354" s="4">
        <f>_xlfn.XLOOKUP($A354, Reliance!A:A, Reliance!B:B, "")</f>
        <v>999.21</v>
      </c>
      <c r="D354" s="4">
        <f>_xlfn.XLOOKUP($A354, HDFC!A:A, HDFC!B:B, "")</f>
        <v>750.13</v>
      </c>
      <c r="E354" s="4">
        <f>_xlfn.XLOOKUP($A354, ITC!A:A, ITC!B:B, "")</f>
        <v>209</v>
      </c>
      <c r="F354" s="4">
        <f>_xlfn.XLOOKUP($A354, TCS!A:A, TCS!B:B, "")</f>
        <v>3129.45</v>
      </c>
      <c r="G354" s="4">
        <f>_xlfn.XLOOKUP($A354, Infosys!A:A, Infosys!B:B,"")</f>
        <v>1378.65</v>
      </c>
      <c r="H354" s="4">
        <f>_xlfn.XLOOKUP($A354, 'L &amp; T'!A:A, 'L &amp; T'!B:B, "")</f>
        <v>1471.05</v>
      </c>
    </row>
    <row r="355" spans="1:8" x14ac:dyDescent="0.3">
      <c r="A355" s="1">
        <v>44350</v>
      </c>
      <c r="B355" s="4">
        <f>_xlfn.XLOOKUP($A355, 'Nifty 50'!A:A, 'Nifty 50'!B:B, "")</f>
        <v>15690.35</v>
      </c>
      <c r="C355" s="4">
        <f>_xlfn.XLOOKUP($A355, Reliance!A:A, Reliance!B:B, "")</f>
        <v>1003.03</v>
      </c>
      <c r="D355" s="4">
        <f>_xlfn.XLOOKUP($A355, HDFC!A:A, HDFC!B:B, "")</f>
        <v>758.39</v>
      </c>
      <c r="E355" s="4">
        <f>_xlfn.XLOOKUP($A355, ITC!A:A, ITC!B:B, "")</f>
        <v>209.05</v>
      </c>
      <c r="F355" s="4">
        <f>_xlfn.XLOOKUP($A355, TCS!A:A, TCS!B:B, "")</f>
        <v>3141.25</v>
      </c>
      <c r="G355" s="4">
        <f>_xlfn.XLOOKUP($A355, Infosys!A:A, Infosys!B:B,"")</f>
        <v>1389.65</v>
      </c>
      <c r="H355" s="4">
        <f>_xlfn.XLOOKUP($A355, 'L &amp; T'!A:A, 'L &amp; T'!B:B, "")</f>
        <v>1510.85</v>
      </c>
    </row>
    <row r="356" spans="1:8" x14ac:dyDescent="0.3">
      <c r="A356" s="1">
        <v>44351</v>
      </c>
      <c r="B356" s="4">
        <f>_xlfn.XLOOKUP($A356, 'Nifty 50'!A:A, 'Nifty 50'!B:B, "")</f>
        <v>15670.25</v>
      </c>
      <c r="C356" s="4">
        <f>_xlfn.XLOOKUP($A356, Reliance!A:A, Reliance!B:B, "")</f>
        <v>994.33</v>
      </c>
      <c r="D356" s="4">
        <f>_xlfn.XLOOKUP($A356, HDFC!A:A, HDFC!B:B, "")</f>
        <v>748.61</v>
      </c>
      <c r="E356" s="4">
        <f>_xlfn.XLOOKUP($A356, ITC!A:A, ITC!B:B, "")</f>
        <v>208.75</v>
      </c>
      <c r="F356" s="4">
        <f>_xlfn.XLOOKUP($A356, TCS!A:A, TCS!B:B, "")</f>
        <v>3143.75</v>
      </c>
      <c r="G356" s="4">
        <f>_xlfn.XLOOKUP($A356, Infosys!A:A, Infosys!B:B,"")</f>
        <v>1385.65</v>
      </c>
      <c r="H356" s="4">
        <f>_xlfn.XLOOKUP($A356, 'L &amp; T'!A:A, 'L &amp; T'!B:B, "")</f>
        <v>1537.55</v>
      </c>
    </row>
    <row r="357" spans="1:8" x14ac:dyDescent="0.3">
      <c r="A357" s="1">
        <v>44354</v>
      </c>
      <c r="B357" s="4">
        <f>_xlfn.XLOOKUP($A357, 'Nifty 50'!A:A, 'Nifty 50'!B:B, "")</f>
        <v>15751.65</v>
      </c>
      <c r="C357" s="4">
        <f>_xlfn.XLOOKUP($A357, Reliance!A:A, Reliance!B:B, "")</f>
        <v>1011.08</v>
      </c>
      <c r="D357" s="4">
        <f>_xlfn.XLOOKUP($A357, HDFC!A:A, HDFC!B:B, "")</f>
        <v>748.06</v>
      </c>
      <c r="E357" s="4">
        <f>_xlfn.XLOOKUP($A357, ITC!A:A, ITC!B:B, "")</f>
        <v>211.45</v>
      </c>
      <c r="F357" s="4">
        <f>_xlfn.XLOOKUP($A357, TCS!A:A, TCS!B:B, "")</f>
        <v>3183.2</v>
      </c>
      <c r="G357" s="4">
        <f>_xlfn.XLOOKUP($A357, Infosys!A:A, Infosys!B:B,"")</f>
        <v>1389.65</v>
      </c>
      <c r="H357" s="4">
        <f>_xlfn.XLOOKUP($A357, 'L &amp; T'!A:A, 'L &amp; T'!B:B, "")</f>
        <v>1557.8</v>
      </c>
    </row>
    <row r="358" spans="1:8" x14ac:dyDescent="0.3">
      <c r="A358" s="1">
        <v>44355</v>
      </c>
      <c r="B358" s="4">
        <f>_xlfn.XLOOKUP($A358, 'Nifty 50'!A:A, 'Nifty 50'!B:B, "")</f>
        <v>15740.1</v>
      </c>
      <c r="C358" s="4">
        <f>_xlfn.XLOOKUP($A358, Reliance!A:A, Reliance!B:B, "")</f>
        <v>1005.27</v>
      </c>
      <c r="D358" s="4">
        <f>_xlfn.XLOOKUP($A358, HDFC!A:A, HDFC!B:B, "")</f>
        <v>739.68</v>
      </c>
      <c r="E358" s="4">
        <f>_xlfn.XLOOKUP($A358, ITC!A:A, ITC!B:B, "")</f>
        <v>213.65</v>
      </c>
      <c r="F358" s="4">
        <f>_xlfn.XLOOKUP($A358, TCS!A:A, TCS!B:B, "")</f>
        <v>3200.15</v>
      </c>
      <c r="G358" s="4">
        <f>_xlfn.XLOOKUP($A358, Infosys!A:A, Infosys!B:B,"")</f>
        <v>1412.95</v>
      </c>
      <c r="H358" s="4">
        <f>_xlfn.XLOOKUP($A358, 'L &amp; T'!A:A, 'L &amp; T'!B:B, "")</f>
        <v>1549.15</v>
      </c>
    </row>
    <row r="359" spans="1:8" x14ac:dyDescent="0.3">
      <c r="A359" s="1">
        <v>44356</v>
      </c>
      <c r="B359" s="4">
        <f>_xlfn.XLOOKUP($A359, 'Nifty 50'!A:A, 'Nifty 50'!B:B, "")</f>
        <v>15635.35</v>
      </c>
      <c r="C359" s="4">
        <f>_xlfn.XLOOKUP($A359, Reliance!A:A, Reliance!B:B, "")</f>
        <v>987.3</v>
      </c>
      <c r="D359" s="4">
        <f>_xlfn.XLOOKUP($A359, HDFC!A:A, HDFC!B:B, "")</f>
        <v>738.31</v>
      </c>
      <c r="E359" s="4">
        <f>_xlfn.XLOOKUP($A359, ITC!A:A, ITC!B:B, "")</f>
        <v>212.5</v>
      </c>
      <c r="F359" s="4">
        <f>_xlfn.XLOOKUP($A359, TCS!A:A, TCS!B:B, "")</f>
        <v>3200.25</v>
      </c>
      <c r="G359" s="4">
        <f>_xlfn.XLOOKUP($A359, Infosys!A:A, Infosys!B:B,"")</f>
        <v>1415.3</v>
      </c>
      <c r="H359" s="4">
        <f>_xlfn.XLOOKUP($A359, 'L &amp; T'!A:A, 'L &amp; T'!B:B, "")</f>
        <v>1519.3</v>
      </c>
    </row>
    <row r="360" spans="1:8" x14ac:dyDescent="0.3">
      <c r="A360" s="1">
        <v>44357</v>
      </c>
      <c r="B360" s="4">
        <f>_xlfn.XLOOKUP($A360, 'Nifty 50'!A:A, 'Nifty 50'!B:B, "")</f>
        <v>15737.75</v>
      </c>
      <c r="C360" s="4">
        <f>_xlfn.XLOOKUP($A360, Reliance!A:A, Reliance!B:B, "")</f>
        <v>990.93</v>
      </c>
      <c r="D360" s="4">
        <f>_xlfn.XLOOKUP($A360, HDFC!A:A, HDFC!B:B, "")</f>
        <v>738.69</v>
      </c>
      <c r="E360" s="4">
        <f>_xlfn.XLOOKUP($A360, ITC!A:A, ITC!B:B, "")</f>
        <v>209.3</v>
      </c>
      <c r="F360" s="4">
        <f>_xlfn.XLOOKUP($A360, TCS!A:A, TCS!B:B, "")</f>
        <v>3216.8</v>
      </c>
      <c r="G360" s="4">
        <f>_xlfn.XLOOKUP($A360, Infosys!A:A, Infosys!B:B,"")</f>
        <v>1424.3</v>
      </c>
      <c r="H360" s="4">
        <f>_xlfn.XLOOKUP($A360, 'L &amp; T'!A:A, 'L &amp; T'!B:B, "")</f>
        <v>1519.7</v>
      </c>
    </row>
    <row r="361" spans="1:8" x14ac:dyDescent="0.3">
      <c r="A361" s="1">
        <v>44358</v>
      </c>
      <c r="B361" s="4">
        <f>_xlfn.XLOOKUP($A361, 'Nifty 50'!A:A, 'Nifty 50'!B:B, "")</f>
        <v>15799.35</v>
      </c>
      <c r="C361" s="4">
        <f>_xlfn.XLOOKUP($A361, Reliance!A:A, Reliance!B:B, "")</f>
        <v>1004.61</v>
      </c>
      <c r="D361" s="4">
        <f>_xlfn.XLOOKUP($A361, HDFC!A:A, HDFC!B:B, "")</f>
        <v>741.33</v>
      </c>
      <c r="E361" s="4">
        <f>_xlfn.XLOOKUP($A361, ITC!A:A, ITC!B:B, "")</f>
        <v>207.9</v>
      </c>
      <c r="F361" s="4">
        <f>_xlfn.XLOOKUP($A361, TCS!A:A, TCS!B:B, "")</f>
        <v>3273.8</v>
      </c>
      <c r="G361" s="4">
        <f>_xlfn.XLOOKUP($A361, Infosys!A:A, Infosys!B:B,"")</f>
        <v>1446.9</v>
      </c>
      <c r="H361" s="4">
        <f>_xlfn.XLOOKUP($A361, 'L &amp; T'!A:A, 'L &amp; T'!B:B, "")</f>
        <v>1503.45</v>
      </c>
    </row>
    <row r="362" spans="1:8" x14ac:dyDescent="0.3">
      <c r="A362" s="1">
        <v>44361</v>
      </c>
      <c r="B362" s="4">
        <f>_xlfn.XLOOKUP($A362, 'Nifty 50'!A:A, 'Nifty 50'!B:B, "")</f>
        <v>15811.85</v>
      </c>
      <c r="C362" s="4">
        <f>_xlfn.XLOOKUP($A362, Reliance!A:A, Reliance!B:B, "")</f>
        <v>1019.03</v>
      </c>
      <c r="D362" s="4">
        <f>_xlfn.XLOOKUP($A362, HDFC!A:A, HDFC!B:B, "")</f>
        <v>737.89</v>
      </c>
      <c r="E362" s="4">
        <f>_xlfn.XLOOKUP($A362, ITC!A:A, ITC!B:B, "")</f>
        <v>207.3</v>
      </c>
      <c r="F362" s="4">
        <f>_xlfn.XLOOKUP($A362, TCS!A:A, TCS!B:B, "")</f>
        <v>3276.35</v>
      </c>
      <c r="G362" s="4">
        <f>_xlfn.XLOOKUP($A362, Infosys!A:A, Infosys!B:B,"")</f>
        <v>1461.8</v>
      </c>
      <c r="H362" s="4">
        <f>_xlfn.XLOOKUP($A362, 'L &amp; T'!A:A, 'L &amp; T'!B:B, "")</f>
        <v>1515.75</v>
      </c>
    </row>
    <row r="363" spans="1:8" x14ac:dyDescent="0.3">
      <c r="A363" s="1">
        <v>44362</v>
      </c>
      <c r="B363" s="4">
        <f>_xlfn.XLOOKUP($A363, 'Nifty 50'!A:A, 'Nifty 50'!B:B, "")</f>
        <v>15869.25</v>
      </c>
      <c r="C363" s="4">
        <f>_xlfn.XLOOKUP($A363, Reliance!A:A, Reliance!B:B, "")</f>
        <v>1021.34</v>
      </c>
      <c r="D363" s="4">
        <f>_xlfn.XLOOKUP($A363, HDFC!A:A, HDFC!B:B, "")</f>
        <v>743.28</v>
      </c>
      <c r="E363" s="4">
        <f>_xlfn.XLOOKUP($A363, ITC!A:A, ITC!B:B, "")</f>
        <v>207.05</v>
      </c>
      <c r="F363" s="4">
        <f>_xlfn.XLOOKUP($A363, TCS!A:A, TCS!B:B, "")</f>
        <v>3262.75</v>
      </c>
      <c r="G363" s="4">
        <f>_xlfn.XLOOKUP($A363, Infosys!A:A, Infosys!B:B,"")</f>
        <v>1473.9</v>
      </c>
      <c r="H363" s="4">
        <f>_xlfn.XLOOKUP($A363, 'L &amp; T'!A:A, 'L &amp; T'!B:B, "")</f>
        <v>1510.8</v>
      </c>
    </row>
    <row r="364" spans="1:8" x14ac:dyDescent="0.3">
      <c r="A364" s="1">
        <v>44363</v>
      </c>
      <c r="B364" s="4">
        <f>_xlfn.XLOOKUP($A364, 'Nifty 50'!A:A, 'Nifty 50'!B:B, "")</f>
        <v>15767.55</v>
      </c>
      <c r="C364" s="4">
        <f>_xlfn.XLOOKUP($A364, Reliance!A:A, Reliance!B:B, "")</f>
        <v>1003.91</v>
      </c>
      <c r="D364" s="4">
        <f>_xlfn.XLOOKUP($A364, HDFC!A:A, HDFC!B:B, "")</f>
        <v>740.46</v>
      </c>
      <c r="E364" s="4">
        <f>_xlfn.XLOOKUP($A364, ITC!A:A, ITC!B:B, "")</f>
        <v>207.85</v>
      </c>
      <c r="F364" s="4">
        <f>_xlfn.XLOOKUP($A364, TCS!A:A, TCS!B:B, "")</f>
        <v>3274.35</v>
      </c>
      <c r="G364" s="4">
        <f>_xlfn.XLOOKUP($A364, Infosys!A:A, Infosys!B:B,"")</f>
        <v>1480.6</v>
      </c>
      <c r="H364" s="4">
        <f>_xlfn.XLOOKUP($A364, 'L &amp; T'!A:A, 'L &amp; T'!B:B, "")</f>
        <v>1490.9</v>
      </c>
    </row>
    <row r="365" spans="1:8" x14ac:dyDescent="0.3">
      <c r="A365" s="1">
        <v>44364</v>
      </c>
      <c r="B365" s="4">
        <f>_xlfn.XLOOKUP($A365, 'Nifty 50'!A:A, 'Nifty 50'!B:B, "")</f>
        <v>15691.4</v>
      </c>
      <c r="C365" s="4">
        <f>_xlfn.XLOOKUP($A365, Reliance!A:A, Reliance!B:B, "")</f>
        <v>1005.75</v>
      </c>
      <c r="D365" s="4">
        <f>_xlfn.XLOOKUP($A365, HDFC!A:A, HDFC!B:B, "")</f>
        <v>731.23</v>
      </c>
      <c r="E365" s="4">
        <f>_xlfn.XLOOKUP($A365, ITC!A:A, ITC!B:B, "")</f>
        <v>205.65</v>
      </c>
      <c r="F365" s="4">
        <f>_xlfn.XLOOKUP($A365, TCS!A:A, TCS!B:B, "")</f>
        <v>3317.75</v>
      </c>
      <c r="G365" s="4">
        <f>_xlfn.XLOOKUP($A365, Infosys!A:A, Infosys!B:B,"")</f>
        <v>1495.3</v>
      </c>
      <c r="H365" s="4">
        <f>_xlfn.XLOOKUP($A365, 'L &amp; T'!A:A, 'L &amp; T'!B:B, "")</f>
        <v>1487.55</v>
      </c>
    </row>
    <row r="366" spans="1:8" x14ac:dyDescent="0.3">
      <c r="A366" s="1">
        <v>44365</v>
      </c>
      <c r="B366" s="4">
        <f>_xlfn.XLOOKUP($A366, 'Nifty 50'!A:A, 'Nifty 50'!B:B, "")</f>
        <v>15683.35</v>
      </c>
      <c r="C366" s="4">
        <f>_xlfn.XLOOKUP($A366, Reliance!A:A, Reliance!B:B, "")</f>
        <v>1010.29</v>
      </c>
      <c r="D366" s="4">
        <f>_xlfn.XLOOKUP($A366, HDFC!A:A, HDFC!B:B, "")</f>
        <v>738.06</v>
      </c>
      <c r="E366" s="4">
        <f>_xlfn.XLOOKUP($A366, ITC!A:A, ITC!B:B, "")</f>
        <v>204.55</v>
      </c>
      <c r="F366" s="4">
        <f>_xlfn.XLOOKUP($A366, TCS!A:A, TCS!B:B, "")</f>
        <v>3297.3</v>
      </c>
      <c r="G366" s="4">
        <f>_xlfn.XLOOKUP($A366, Infosys!A:A, Infosys!B:B,"")</f>
        <v>1503.3</v>
      </c>
      <c r="H366" s="4">
        <f>_xlfn.XLOOKUP($A366, 'L &amp; T'!A:A, 'L &amp; T'!B:B, "")</f>
        <v>1476</v>
      </c>
    </row>
    <row r="367" spans="1:8" x14ac:dyDescent="0.3">
      <c r="A367" s="1">
        <v>44368</v>
      </c>
      <c r="B367" s="4">
        <f>_xlfn.XLOOKUP($A367, 'Nifty 50'!A:A, 'Nifty 50'!B:B, "")</f>
        <v>15746.5</v>
      </c>
      <c r="C367" s="4">
        <f>_xlfn.XLOOKUP($A367, Reliance!A:A, Reliance!B:B, "")</f>
        <v>1015.55</v>
      </c>
      <c r="D367" s="4">
        <f>_xlfn.XLOOKUP($A367, HDFC!A:A, HDFC!B:B, "")</f>
        <v>742.5</v>
      </c>
      <c r="E367" s="4">
        <f>_xlfn.XLOOKUP($A367, ITC!A:A, ITC!B:B, "")</f>
        <v>204.45</v>
      </c>
      <c r="F367" s="4">
        <f>_xlfn.XLOOKUP($A367, TCS!A:A, TCS!B:B, "")</f>
        <v>3273.1</v>
      </c>
      <c r="G367" s="4">
        <f>_xlfn.XLOOKUP($A367, Infosys!A:A, Infosys!B:B,"")</f>
        <v>1500.3</v>
      </c>
      <c r="H367" s="4">
        <f>_xlfn.XLOOKUP($A367, 'L &amp; T'!A:A, 'L &amp; T'!B:B, "")</f>
        <v>1467.05</v>
      </c>
    </row>
    <row r="368" spans="1:8" x14ac:dyDescent="0.3">
      <c r="A368" s="1">
        <v>44369</v>
      </c>
      <c r="B368" s="4">
        <f>_xlfn.XLOOKUP($A368, 'Nifty 50'!A:A, 'Nifty 50'!B:B, "")</f>
        <v>15772.75</v>
      </c>
      <c r="C368" s="4">
        <f>_xlfn.XLOOKUP($A368, Reliance!A:A, Reliance!B:B, "")</f>
        <v>1010.33</v>
      </c>
      <c r="D368" s="4">
        <f>_xlfn.XLOOKUP($A368, HDFC!A:A, HDFC!B:B, "")</f>
        <v>740.06</v>
      </c>
      <c r="E368" s="4">
        <f>_xlfn.XLOOKUP($A368, ITC!A:A, ITC!B:B, "")</f>
        <v>205.1</v>
      </c>
      <c r="F368" s="4">
        <f>_xlfn.XLOOKUP($A368, TCS!A:A, TCS!B:B, "")</f>
        <v>3301.2</v>
      </c>
      <c r="G368" s="4">
        <f>_xlfn.XLOOKUP($A368, Infosys!A:A, Infosys!B:B,"")</f>
        <v>1511.85</v>
      </c>
      <c r="H368" s="4">
        <f>_xlfn.XLOOKUP($A368, 'L &amp; T'!A:A, 'L &amp; T'!B:B, "")</f>
        <v>1499.2</v>
      </c>
    </row>
    <row r="369" spans="1:8" x14ac:dyDescent="0.3">
      <c r="A369" s="1">
        <v>44370</v>
      </c>
      <c r="B369" s="4">
        <f>_xlfn.XLOOKUP($A369, 'Nifty 50'!A:A, 'Nifty 50'!B:B, "")</f>
        <v>15686.95</v>
      </c>
      <c r="C369" s="4">
        <f>_xlfn.XLOOKUP($A369, Reliance!A:A, Reliance!B:B, "")</f>
        <v>1001.07</v>
      </c>
      <c r="D369" s="4">
        <f>_xlfn.XLOOKUP($A369, HDFC!A:A, HDFC!B:B, "")</f>
        <v>740.91</v>
      </c>
      <c r="E369" s="4">
        <f>_xlfn.XLOOKUP($A369, ITC!A:A, ITC!B:B, "")</f>
        <v>203.95</v>
      </c>
      <c r="F369" s="4">
        <f>_xlfn.XLOOKUP($A369, TCS!A:A, TCS!B:B, "")</f>
        <v>3261.4</v>
      </c>
      <c r="G369" s="4">
        <f>_xlfn.XLOOKUP($A369, Infosys!A:A, Infosys!B:B,"")</f>
        <v>1503.15</v>
      </c>
      <c r="H369" s="4">
        <f>_xlfn.XLOOKUP($A369, 'L &amp; T'!A:A, 'L &amp; T'!B:B, "")</f>
        <v>1479.25</v>
      </c>
    </row>
    <row r="370" spans="1:8" x14ac:dyDescent="0.3">
      <c r="A370" s="1">
        <v>44371</v>
      </c>
      <c r="B370" s="4">
        <f>_xlfn.XLOOKUP($A370, 'Nifty 50'!A:A, 'Nifty 50'!B:B, "")</f>
        <v>15790.45</v>
      </c>
      <c r="C370" s="4">
        <f>_xlfn.XLOOKUP($A370, Reliance!A:A, Reliance!B:B, "")</f>
        <v>977.54</v>
      </c>
      <c r="D370" s="4">
        <f>_xlfn.XLOOKUP($A370, HDFC!A:A, HDFC!B:B, "")</f>
        <v>751.26</v>
      </c>
      <c r="E370" s="4">
        <f>_xlfn.XLOOKUP($A370, ITC!A:A, ITC!B:B, "")</f>
        <v>203.25</v>
      </c>
      <c r="F370" s="4">
        <f>_xlfn.XLOOKUP($A370, TCS!A:A, TCS!B:B, "")</f>
        <v>3373.6</v>
      </c>
      <c r="G370" s="4">
        <f>_xlfn.XLOOKUP($A370, Infosys!A:A, Infosys!B:B,"")</f>
        <v>1559.2</v>
      </c>
      <c r="H370" s="4">
        <f>_xlfn.XLOOKUP($A370, 'L &amp; T'!A:A, 'L &amp; T'!B:B, "")</f>
        <v>1504.05</v>
      </c>
    </row>
    <row r="371" spans="1:8" x14ac:dyDescent="0.3">
      <c r="A371" s="1">
        <v>44372</v>
      </c>
      <c r="B371" s="4">
        <f>_xlfn.XLOOKUP($A371, 'Nifty 50'!A:A, 'Nifty 50'!B:B, "")</f>
        <v>15860.35</v>
      </c>
      <c r="C371" s="4">
        <f>_xlfn.XLOOKUP($A371, Reliance!A:A, Reliance!B:B, "")</f>
        <v>955.27</v>
      </c>
      <c r="D371" s="4">
        <f>_xlfn.XLOOKUP($A371, HDFC!A:A, HDFC!B:B, "")</f>
        <v>755.67</v>
      </c>
      <c r="E371" s="4">
        <f>_xlfn.XLOOKUP($A371, ITC!A:A, ITC!B:B, "")</f>
        <v>205.05</v>
      </c>
      <c r="F371" s="4">
        <f>_xlfn.XLOOKUP($A371, TCS!A:A, TCS!B:B, "")</f>
        <v>3380.8</v>
      </c>
      <c r="G371" s="4">
        <f>_xlfn.XLOOKUP($A371, Infosys!A:A, Infosys!B:B,"")</f>
        <v>1574.2</v>
      </c>
      <c r="H371" s="4">
        <f>_xlfn.XLOOKUP($A371, 'L &amp; T'!A:A, 'L &amp; T'!B:B, "")</f>
        <v>1523.85</v>
      </c>
    </row>
    <row r="372" spans="1:8" x14ac:dyDescent="0.3">
      <c r="A372" s="1">
        <v>44375</v>
      </c>
      <c r="B372" s="4">
        <f>_xlfn.XLOOKUP($A372, 'Nifty 50'!A:A, 'Nifty 50'!B:B, "")</f>
        <v>15814.7</v>
      </c>
      <c r="C372" s="4">
        <f>_xlfn.XLOOKUP($A372, Reliance!A:A, Reliance!B:B, "")</f>
        <v>946.9</v>
      </c>
      <c r="D372" s="4">
        <f>_xlfn.XLOOKUP($A372, HDFC!A:A, HDFC!B:B, "")</f>
        <v>752.3</v>
      </c>
      <c r="E372" s="4">
        <f>_xlfn.XLOOKUP($A372, ITC!A:A, ITC!B:B, "")</f>
        <v>203.6</v>
      </c>
      <c r="F372" s="4">
        <f>_xlfn.XLOOKUP($A372, TCS!A:A, TCS!B:B, "")</f>
        <v>3336.75</v>
      </c>
      <c r="G372" s="4">
        <f>_xlfn.XLOOKUP($A372, Infosys!A:A, Infosys!B:B,"")</f>
        <v>1571.8</v>
      </c>
      <c r="H372" s="4">
        <f>_xlfn.XLOOKUP($A372, 'L &amp; T'!A:A, 'L &amp; T'!B:B, "")</f>
        <v>1514.45</v>
      </c>
    </row>
    <row r="373" spans="1:8" x14ac:dyDescent="0.3">
      <c r="A373" s="1">
        <v>44376</v>
      </c>
      <c r="B373" s="4">
        <f>_xlfn.XLOOKUP($A373, 'Nifty 50'!A:A, 'Nifty 50'!B:B, "")</f>
        <v>15748.45</v>
      </c>
      <c r="C373" s="4">
        <f>_xlfn.XLOOKUP($A373, Reliance!A:A, Reliance!B:B, "")</f>
        <v>947.71</v>
      </c>
      <c r="D373" s="4">
        <f>_xlfn.XLOOKUP($A373, HDFC!A:A, HDFC!B:B, "")</f>
        <v>749.16</v>
      </c>
      <c r="E373" s="4">
        <f>_xlfn.XLOOKUP($A373, ITC!A:A, ITC!B:B, "")</f>
        <v>203.3</v>
      </c>
      <c r="F373" s="4">
        <f>_xlfn.XLOOKUP($A373, TCS!A:A, TCS!B:B, "")</f>
        <v>3340.85</v>
      </c>
      <c r="G373" s="4">
        <f>_xlfn.XLOOKUP($A373, Infosys!A:A, Infosys!B:B,"")</f>
        <v>1563.05</v>
      </c>
      <c r="H373" s="4">
        <f>_xlfn.XLOOKUP($A373, 'L &amp; T'!A:A, 'L &amp; T'!B:B, "")</f>
        <v>1510.9</v>
      </c>
    </row>
    <row r="374" spans="1:8" x14ac:dyDescent="0.3">
      <c r="A374" s="1">
        <v>44377</v>
      </c>
      <c r="B374" s="4">
        <f>_xlfn.XLOOKUP($A374, 'Nifty 50'!A:A, 'Nifty 50'!B:B, "")</f>
        <v>15721.5</v>
      </c>
      <c r="C374" s="4">
        <f>_xlfn.XLOOKUP($A374, Reliance!A:A, Reliance!B:B, "")</f>
        <v>958.09</v>
      </c>
      <c r="D374" s="4">
        <f>_xlfn.XLOOKUP($A374, HDFC!A:A, HDFC!B:B, "")</f>
        <v>747.09</v>
      </c>
      <c r="E374" s="4">
        <f>_xlfn.XLOOKUP($A374, ITC!A:A, ITC!B:B, "")</f>
        <v>202.7</v>
      </c>
      <c r="F374" s="4">
        <f>_xlfn.XLOOKUP($A374, TCS!A:A, TCS!B:B, "")</f>
        <v>3345.75</v>
      </c>
      <c r="G374" s="4">
        <f>_xlfn.XLOOKUP($A374, Infosys!A:A, Infosys!B:B,"")</f>
        <v>1580.8</v>
      </c>
      <c r="H374" s="4">
        <f>_xlfn.XLOOKUP($A374, 'L &amp; T'!A:A, 'L &amp; T'!B:B, "")</f>
        <v>1500.55</v>
      </c>
    </row>
    <row r="375" spans="1:8" x14ac:dyDescent="0.3">
      <c r="A375" s="1">
        <v>44378</v>
      </c>
      <c r="B375" s="4">
        <f>_xlfn.XLOOKUP($A375, 'Nifty 50'!A:A, 'Nifty 50'!B:B, "")</f>
        <v>15680</v>
      </c>
      <c r="C375" s="4">
        <f>_xlfn.XLOOKUP($A375, Reliance!A:A, Reliance!B:B, "")</f>
        <v>952.32</v>
      </c>
      <c r="D375" s="4">
        <f>_xlfn.XLOOKUP($A375, HDFC!A:A, HDFC!B:B, "")</f>
        <v>741.53</v>
      </c>
      <c r="E375" s="4">
        <f>_xlfn.XLOOKUP($A375, ITC!A:A, ITC!B:B, "")</f>
        <v>203</v>
      </c>
      <c r="F375" s="4">
        <f>_xlfn.XLOOKUP($A375, TCS!A:A, TCS!B:B, "")</f>
        <v>3341.5</v>
      </c>
      <c r="G375" s="4">
        <f>_xlfn.XLOOKUP($A375, Infosys!A:A, Infosys!B:B,"")</f>
        <v>1560.4</v>
      </c>
      <c r="H375" s="4">
        <f>_xlfn.XLOOKUP($A375, 'L &amp; T'!A:A, 'L &amp; T'!B:B, "")</f>
        <v>1492.3</v>
      </c>
    </row>
    <row r="376" spans="1:8" x14ac:dyDescent="0.3">
      <c r="A376" s="1">
        <v>44379</v>
      </c>
      <c r="B376" s="4">
        <f>_xlfn.XLOOKUP($A376, 'Nifty 50'!A:A, 'Nifty 50'!B:B, "")</f>
        <v>15722.2</v>
      </c>
      <c r="C376" s="4">
        <f>_xlfn.XLOOKUP($A376, Reliance!A:A, Reliance!B:B, "")</f>
        <v>966.44</v>
      </c>
      <c r="D376" s="4">
        <f>_xlfn.XLOOKUP($A376, HDFC!A:A, HDFC!B:B, "")</f>
        <v>738.36</v>
      </c>
      <c r="E376" s="4">
        <f>_xlfn.XLOOKUP($A376, ITC!A:A, ITC!B:B, "")</f>
        <v>202.4</v>
      </c>
      <c r="F376" s="4">
        <f>_xlfn.XLOOKUP($A376, TCS!A:A, TCS!B:B, "")</f>
        <v>3325.45</v>
      </c>
      <c r="G376" s="4">
        <f>_xlfn.XLOOKUP($A376, Infosys!A:A, Infosys!B:B,"")</f>
        <v>1567.8</v>
      </c>
      <c r="H376" s="4">
        <f>_xlfn.XLOOKUP($A376, 'L &amp; T'!A:A, 'L &amp; T'!B:B, "")</f>
        <v>1485.65</v>
      </c>
    </row>
    <row r="377" spans="1:8" x14ac:dyDescent="0.3">
      <c r="A377" s="1">
        <v>44382</v>
      </c>
      <c r="B377" s="4">
        <f>_xlfn.XLOOKUP($A377, 'Nifty 50'!A:A, 'Nifty 50'!B:B, "")</f>
        <v>15834.35</v>
      </c>
      <c r="C377" s="4">
        <f>_xlfn.XLOOKUP($A377, Reliance!A:A, Reliance!B:B, "")</f>
        <v>976.04</v>
      </c>
      <c r="D377" s="4">
        <f>_xlfn.XLOOKUP($A377, HDFC!A:A, HDFC!B:B, "")</f>
        <v>745.87</v>
      </c>
      <c r="E377" s="4">
        <f>_xlfn.XLOOKUP($A377, ITC!A:A, ITC!B:B, "")</f>
        <v>203.65</v>
      </c>
      <c r="F377" s="4">
        <f>_xlfn.XLOOKUP($A377, TCS!A:A, TCS!B:B, "")</f>
        <v>3321</v>
      </c>
      <c r="G377" s="4">
        <f>_xlfn.XLOOKUP($A377, Infosys!A:A, Infosys!B:B,"")</f>
        <v>1578.95</v>
      </c>
      <c r="H377" s="4">
        <f>_xlfn.XLOOKUP($A377, 'L &amp; T'!A:A, 'L &amp; T'!B:B, "")</f>
        <v>1507.95</v>
      </c>
    </row>
    <row r="378" spans="1:8" x14ac:dyDescent="0.3">
      <c r="A378" s="1">
        <v>44383</v>
      </c>
      <c r="B378" s="4">
        <f>_xlfn.XLOOKUP($A378, 'Nifty 50'!A:A, 'Nifty 50'!B:B, "")</f>
        <v>15818.25</v>
      </c>
      <c r="C378" s="4">
        <f>_xlfn.XLOOKUP($A378, Reliance!A:A, Reliance!B:B, "")</f>
        <v>964.51</v>
      </c>
      <c r="D378" s="4">
        <f>_xlfn.XLOOKUP($A378, HDFC!A:A, HDFC!B:B, "")</f>
        <v>765.45</v>
      </c>
      <c r="E378" s="4">
        <f>_xlfn.XLOOKUP($A378, ITC!A:A, ITC!B:B, "")</f>
        <v>202.5</v>
      </c>
      <c r="F378" s="4">
        <f>_xlfn.XLOOKUP($A378, TCS!A:A, TCS!B:B, "")</f>
        <v>3262.3</v>
      </c>
      <c r="G378" s="4">
        <f>_xlfn.XLOOKUP($A378, Infosys!A:A, Infosys!B:B,"")</f>
        <v>1562.2</v>
      </c>
      <c r="H378" s="4">
        <f>_xlfn.XLOOKUP($A378, 'L &amp; T'!A:A, 'L &amp; T'!B:B, "")</f>
        <v>1505.5</v>
      </c>
    </row>
    <row r="379" spans="1:8" x14ac:dyDescent="0.3">
      <c r="A379" s="1">
        <v>44384</v>
      </c>
      <c r="B379" s="4">
        <f>_xlfn.XLOOKUP($A379, 'Nifty 50'!A:A, 'Nifty 50'!B:B, "")</f>
        <v>15879.65</v>
      </c>
      <c r="C379" s="4">
        <f>_xlfn.XLOOKUP($A379, Reliance!A:A, Reliance!B:B, "")</f>
        <v>957.81</v>
      </c>
      <c r="D379" s="4">
        <f>_xlfn.XLOOKUP($A379, HDFC!A:A, HDFC!B:B, "")</f>
        <v>767.84</v>
      </c>
      <c r="E379" s="4">
        <f>_xlfn.XLOOKUP($A379, ITC!A:A, ITC!B:B, "")</f>
        <v>203.75</v>
      </c>
      <c r="F379" s="4">
        <f>_xlfn.XLOOKUP($A379, TCS!A:A, TCS!B:B, "")</f>
        <v>3274.95</v>
      </c>
      <c r="G379" s="4">
        <f>_xlfn.XLOOKUP($A379, Infosys!A:A, Infosys!B:B,"")</f>
        <v>1564.6</v>
      </c>
      <c r="H379" s="4">
        <f>_xlfn.XLOOKUP($A379, 'L &amp; T'!A:A, 'L &amp; T'!B:B, "")</f>
        <v>1516.45</v>
      </c>
    </row>
    <row r="380" spans="1:8" x14ac:dyDescent="0.3">
      <c r="A380" s="1">
        <v>44385</v>
      </c>
      <c r="B380" s="4">
        <f>_xlfn.XLOOKUP($A380, 'Nifty 50'!A:A, 'Nifty 50'!B:B, "")</f>
        <v>15727.9</v>
      </c>
      <c r="C380" s="4">
        <f>_xlfn.XLOOKUP($A380, Reliance!A:A, Reliance!B:B, "")</f>
        <v>949.89</v>
      </c>
      <c r="D380" s="4">
        <f>_xlfn.XLOOKUP($A380, HDFC!A:A, HDFC!B:B, "")</f>
        <v>758.34</v>
      </c>
      <c r="E380" s="4">
        <f>_xlfn.XLOOKUP($A380, ITC!A:A, ITC!B:B, "")</f>
        <v>202</v>
      </c>
      <c r="F380" s="4">
        <f>_xlfn.XLOOKUP($A380, TCS!A:A, TCS!B:B, "")</f>
        <v>3258.5</v>
      </c>
      <c r="G380" s="4">
        <f>_xlfn.XLOOKUP($A380, Infosys!A:A, Infosys!B:B,"")</f>
        <v>1560.75</v>
      </c>
      <c r="H380" s="4">
        <f>_xlfn.XLOOKUP($A380, 'L &amp; T'!A:A, 'L &amp; T'!B:B, "")</f>
        <v>1500.7</v>
      </c>
    </row>
    <row r="381" spans="1:8" x14ac:dyDescent="0.3">
      <c r="A381" s="1">
        <v>44386</v>
      </c>
      <c r="B381" s="4">
        <f>_xlfn.XLOOKUP($A381, 'Nifty 50'!A:A, 'Nifty 50'!B:B, "")</f>
        <v>15689.8</v>
      </c>
      <c r="C381" s="4">
        <f>_xlfn.XLOOKUP($A381, Reliance!A:A, Reliance!B:B, "")</f>
        <v>940.18</v>
      </c>
      <c r="D381" s="4">
        <f>_xlfn.XLOOKUP($A381, HDFC!A:A, HDFC!B:B, "")</f>
        <v>749.14</v>
      </c>
      <c r="E381" s="4">
        <f>_xlfn.XLOOKUP($A381, ITC!A:A, ITC!B:B, "")</f>
        <v>201.35</v>
      </c>
      <c r="F381" s="4">
        <f>_xlfn.XLOOKUP($A381, TCS!A:A, TCS!B:B, "")</f>
        <v>3208.15</v>
      </c>
      <c r="G381" s="4">
        <f>_xlfn.XLOOKUP($A381, Infosys!A:A, Infosys!B:B,"")</f>
        <v>1562.9</v>
      </c>
      <c r="H381" s="4">
        <f>_xlfn.XLOOKUP($A381, 'L &amp; T'!A:A, 'L &amp; T'!B:B, "")</f>
        <v>1499.6</v>
      </c>
    </row>
    <row r="382" spans="1:8" x14ac:dyDescent="0.3">
      <c r="A382" s="1">
        <v>44389</v>
      </c>
      <c r="B382" s="4">
        <f>_xlfn.XLOOKUP($A382, 'Nifty 50'!A:A, 'Nifty 50'!B:B, "")</f>
        <v>15692.6</v>
      </c>
      <c r="C382" s="4">
        <f>_xlfn.XLOOKUP($A382, Reliance!A:A, Reliance!B:B, "")</f>
        <v>946.03</v>
      </c>
      <c r="D382" s="4">
        <f>_xlfn.XLOOKUP($A382, HDFC!A:A, HDFC!B:B, "")</f>
        <v>741.65</v>
      </c>
      <c r="E382" s="4">
        <f>_xlfn.XLOOKUP($A382, ITC!A:A, ITC!B:B, "")</f>
        <v>201.1</v>
      </c>
      <c r="F382" s="4">
        <f>_xlfn.XLOOKUP($A382, TCS!A:A, TCS!B:B, "")</f>
        <v>3193.1</v>
      </c>
      <c r="G382" s="4">
        <f>_xlfn.XLOOKUP($A382, Infosys!A:A, Infosys!B:B,"")</f>
        <v>1547.85</v>
      </c>
      <c r="H382" s="4">
        <f>_xlfn.XLOOKUP($A382, 'L &amp; T'!A:A, 'L &amp; T'!B:B, "")</f>
        <v>1500.75</v>
      </c>
    </row>
    <row r="383" spans="1:8" x14ac:dyDescent="0.3">
      <c r="A383" s="1">
        <v>44390</v>
      </c>
      <c r="B383" s="4">
        <f>_xlfn.XLOOKUP($A383, 'Nifty 50'!A:A, 'Nifty 50'!B:B, "")</f>
        <v>15812.35</v>
      </c>
      <c r="C383" s="4">
        <f>_xlfn.XLOOKUP($A383, Reliance!A:A, Reliance!B:B, "")</f>
        <v>953.12</v>
      </c>
      <c r="D383" s="4">
        <f>_xlfn.XLOOKUP($A383, HDFC!A:A, HDFC!B:B, "")</f>
        <v>749.06</v>
      </c>
      <c r="E383" s="4">
        <f>_xlfn.XLOOKUP($A383, ITC!A:A, ITC!B:B, "")</f>
        <v>201.85</v>
      </c>
      <c r="F383" s="4">
        <f>_xlfn.XLOOKUP($A383, TCS!A:A, TCS!B:B, "")</f>
        <v>3187.55</v>
      </c>
      <c r="G383" s="4">
        <f>_xlfn.XLOOKUP($A383, Infosys!A:A, Infosys!B:B,"")</f>
        <v>1544.95</v>
      </c>
      <c r="H383" s="4">
        <f>_xlfn.XLOOKUP($A383, 'L &amp; T'!A:A, 'L &amp; T'!B:B, "")</f>
        <v>1513.6</v>
      </c>
    </row>
    <row r="384" spans="1:8" x14ac:dyDescent="0.3">
      <c r="A384" s="1">
        <v>44391</v>
      </c>
      <c r="B384" s="4">
        <f>_xlfn.XLOOKUP($A384, 'Nifty 50'!A:A, 'Nifty 50'!B:B, "")</f>
        <v>15853.95</v>
      </c>
      <c r="C384" s="4">
        <f>_xlfn.XLOOKUP($A384, Reliance!A:A, Reliance!B:B, "")</f>
        <v>946.9</v>
      </c>
      <c r="D384" s="4">
        <f>_xlfn.XLOOKUP($A384, HDFC!A:A, HDFC!B:B, "")</f>
        <v>747.71</v>
      </c>
      <c r="E384" s="4">
        <f>_xlfn.XLOOKUP($A384, ITC!A:A, ITC!B:B, "")</f>
        <v>204.1</v>
      </c>
      <c r="F384" s="4">
        <f>_xlfn.XLOOKUP($A384, TCS!A:A, TCS!B:B, "")</f>
        <v>3214.55</v>
      </c>
      <c r="G384" s="4">
        <f>_xlfn.XLOOKUP($A384, Infosys!A:A, Infosys!B:B,"")</f>
        <v>1576.9</v>
      </c>
      <c r="H384" s="4">
        <f>_xlfn.XLOOKUP($A384, 'L &amp; T'!A:A, 'L &amp; T'!B:B, "")</f>
        <v>1544.7</v>
      </c>
    </row>
    <row r="385" spans="1:8" x14ac:dyDescent="0.3">
      <c r="A385" s="1">
        <v>44392</v>
      </c>
      <c r="B385" s="4">
        <f>_xlfn.XLOOKUP($A385, 'Nifty 50'!A:A, 'Nifty 50'!B:B, "")</f>
        <v>15924.2</v>
      </c>
      <c r="C385" s="4">
        <f>_xlfn.XLOOKUP($A385, Reliance!A:A, Reliance!B:B, "")</f>
        <v>945.24</v>
      </c>
      <c r="D385" s="4">
        <f>_xlfn.XLOOKUP($A385, HDFC!A:A, HDFC!B:B, "")</f>
        <v>758.46</v>
      </c>
      <c r="E385" s="4">
        <f>_xlfn.XLOOKUP($A385, ITC!A:A, ITC!B:B, "")</f>
        <v>206.25</v>
      </c>
      <c r="F385" s="4">
        <f>_xlfn.XLOOKUP($A385, TCS!A:A, TCS!B:B, "")</f>
        <v>3202.95</v>
      </c>
      <c r="G385" s="4">
        <f>_xlfn.XLOOKUP($A385, Infosys!A:A, Infosys!B:B,"")</f>
        <v>1580.8</v>
      </c>
      <c r="H385" s="4">
        <f>_xlfn.XLOOKUP($A385, 'L &amp; T'!A:A, 'L &amp; T'!B:B, "")</f>
        <v>1609.35</v>
      </c>
    </row>
    <row r="386" spans="1:8" x14ac:dyDescent="0.3">
      <c r="A386" s="1">
        <v>44393</v>
      </c>
      <c r="B386" s="4">
        <f>_xlfn.XLOOKUP($A386, 'Nifty 50'!A:A, 'Nifty 50'!B:B, "")</f>
        <v>15923.4</v>
      </c>
      <c r="C386" s="4">
        <f>_xlfn.XLOOKUP($A386, Reliance!A:A, Reliance!B:B, "")</f>
        <v>958.88</v>
      </c>
      <c r="D386" s="4">
        <f>_xlfn.XLOOKUP($A386, HDFC!A:A, HDFC!B:B, "")</f>
        <v>759.29</v>
      </c>
      <c r="E386" s="4">
        <f>_xlfn.XLOOKUP($A386, ITC!A:A, ITC!B:B, "")</f>
        <v>207.9</v>
      </c>
      <c r="F386" s="4">
        <f>_xlfn.XLOOKUP($A386, TCS!A:A, TCS!B:B, "")</f>
        <v>3194.8</v>
      </c>
      <c r="G386" s="4">
        <f>_xlfn.XLOOKUP($A386, Infosys!A:A, Infosys!B:B,"")</f>
        <v>1555.45</v>
      </c>
      <c r="H386" s="4">
        <f>_xlfn.XLOOKUP($A386, 'L &amp; T'!A:A, 'L &amp; T'!B:B, "")</f>
        <v>1618.75</v>
      </c>
    </row>
    <row r="387" spans="1:8" x14ac:dyDescent="0.3">
      <c r="A387" s="1">
        <v>44396</v>
      </c>
      <c r="B387" s="4">
        <f>_xlfn.XLOOKUP($A387, 'Nifty 50'!A:A, 'Nifty 50'!B:B, "")</f>
        <v>15752.4</v>
      </c>
      <c r="C387" s="4">
        <f>_xlfn.XLOOKUP($A387, Reliance!A:A, Reliance!B:B, "")</f>
        <v>952.78</v>
      </c>
      <c r="D387" s="4">
        <f>_xlfn.XLOOKUP($A387, HDFC!A:A, HDFC!B:B, "")</f>
        <v>733.67</v>
      </c>
      <c r="E387" s="4">
        <f>_xlfn.XLOOKUP($A387, ITC!A:A, ITC!B:B, "")</f>
        <v>207.75</v>
      </c>
      <c r="F387" s="4">
        <f>_xlfn.XLOOKUP($A387, TCS!A:A, TCS!B:B, "")</f>
        <v>3184.6</v>
      </c>
      <c r="G387" s="4">
        <f>_xlfn.XLOOKUP($A387, Infosys!A:A, Infosys!B:B,"")</f>
        <v>1541.7</v>
      </c>
      <c r="H387" s="4">
        <f>_xlfn.XLOOKUP($A387, 'L &amp; T'!A:A, 'L &amp; T'!B:B, "")</f>
        <v>1609.6</v>
      </c>
    </row>
    <row r="388" spans="1:8" x14ac:dyDescent="0.3">
      <c r="A388" s="1">
        <v>44397</v>
      </c>
      <c r="B388" s="4">
        <f>_xlfn.XLOOKUP($A388, 'Nifty 50'!A:A, 'Nifty 50'!B:B, "")</f>
        <v>15632.1</v>
      </c>
      <c r="C388" s="4">
        <f>_xlfn.XLOOKUP($A388, Reliance!A:A, Reliance!B:B, "")</f>
        <v>950.44</v>
      </c>
      <c r="D388" s="4">
        <f>_xlfn.XLOOKUP($A388, HDFC!A:A, HDFC!B:B, "")</f>
        <v>719.78</v>
      </c>
      <c r="E388" s="4">
        <f>_xlfn.XLOOKUP($A388, ITC!A:A, ITC!B:B, "")</f>
        <v>206.8</v>
      </c>
      <c r="F388" s="4">
        <f>_xlfn.XLOOKUP($A388, TCS!A:A, TCS!B:B, "")</f>
        <v>3205.8</v>
      </c>
      <c r="G388" s="4">
        <f>_xlfn.XLOOKUP($A388, Infosys!A:A, Infosys!B:B,"")</f>
        <v>1550.05</v>
      </c>
      <c r="H388" s="4">
        <f>_xlfn.XLOOKUP($A388, 'L &amp; T'!A:A, 'L &amp; T'!B:B, "")</f>
        <v>1590.35</v>
      </c>
    </row>
    <row r="389" spans="1:8" x14ac:dyDescent="0.3">
      <c r="A389" s="1">
        <v>44399</v>
      </c>
      <c r="B389" s="4">
        <f>_xlfn.XLOOKUP($A389, 'Nifty 50'!A:A, 'Nifty 50'!B:B, "")</f>
        <v>15824.05</v>
      </c>
      <c r="C389" s="4">
        <f>_xlfn.XLOOKUP($A389, Reliance!A:A, Reliance!B:B, "")</f>
        <v>962.65</v>
      </c>
      <c r="D389" s="4">
        <f>_xlfn.XLOOKUP($A389, HDFC!A:A, HDFC!B:B, "")</f>
        <v>722.55</v>
      </c>
      <c r="E389" s="4">
        <f>_xlfn.XLOOKUP($A389, ITC!A:A, ITC!B:B, "")</f>
        <v>207</v>
      </c>
      <c r="F389" s="4">
        <f>_xlfn.XLOOKUP($A389, TCS!A:A, TCS!B:B, "")</f>
        <v>3216.35</v>
      </c>
      <c r="G389" s="4">
        <f>_xlfn.XLOOKUP($A389, Infosys!A:A, Infosys!B:B,"")</f>
        <v>1590.2</v>
      </c>
      <c r="H389" s="4">
        <f>_xlfn.XLOOKUP($A389, 'L &amp; T'!A:A, 'L &amp; T'!B:B, "")</f>
        <v>1642.15</v>
      </c>
    </row>
    <row r="390" spans="1:8" x14ac:dyDescent="0.3">
      <c r="A390" s="1">
        <v>44400</v>
      </c>
      <c r="B390" s="4">
        <f>_xlfn.XLOOKUP($A390, 'Nifty 50'!A:A, 'Nifty 50'!B:B, "")</f>
        <v>15856.05</v>
      </c>
      <c r="C390" s="4">
        <f>_xlfn.XLOOKUP($A390, Reliance!A:A, Reliance!B:B, "")</f>
        <v>955.84</v>
      </c>
      <c r="D390" s="4">
        <f>_xlfn.XLOOKUP($A390, HDFC!A:A, HDFC!B:B, "")</f>
        <v>719.58</v>
      </c>
      <c r="E390" s="4">
        <f>_xlfn.XLOOKUP($A390, ITC!A:A, ITC!B:B, "")</f>
        <v>212.4</v>
      </c>
      <c r="F390" s="4">
        <f>_xlfn.XLOOKUP($A390, TCS!A:A, TCS!B:B, "")</f>
        <v>3212.85</v>
      </c>
      <c r="G390" s="4">
        <f>_xlfn.XLOOKUP($A390, Infosys!A:A, Infosys!B:B,"")</f>
        <v>1590.45</v>
      </c>
      <c r="H390" s="4">
        <f>_xlfn.XLOOKUP($A390, 'L &amp; T'!A:A, 'L &amp; T'!B:B, "")</f>
        <v>1611.75</v>
      </c>
    </row>
    <row r="391" spans="1:8" x14ac:dyDescent="0.3">
      <c r="A391" s="1">
        <v>44403</v>
      </c>
      <c r="B391" s="4">
        <f>_xlfn.XLOOKUP($A391, 'Nifty 50'!A:A, 'Nifty 50'!B:B, "")</f>
        <v>15824.45</v>
      </c>
      <c r="C391" s="4">
        <f>_xlfn.XLOOKUP($A391, Reliance!A:A, Reliance!B:B, "")</f>
        <v>942.74</v>
      </c>
      <c r="D391" s="4">
        <f>_xlfn.XLOOKUP($A391, HDFC!A:A, HDFC!B:B, "")</f>
        <v>715.49</v>
      </c>
      <c r="E391" s="4">
        <f>_xlfn.XLOOKUP($A391, ITC!A:A, ITC!B:B, "")</f>
        <v>211.15</v>
      </c>
      <c r="F391" s="4">
        <f>_xlfn.XLOOKUP($A391, TCS!A:A, TCS!B:B, "")</f>
        <v>3197.55</v>
      </c>
      <c r="G391" s="4">
        <f>_xlfn.XLOOKUP($A391, Infosys!A:A, Infosys!B:B,"")</f>
        <v>1603.9</v>
      </c>
      <c r="H391" s="4">
        <f>_xlfn.XLOOKUP($A391, 'L &amp; T'!A:A, 'L &amp; T'!B:B, "")</f>
        <v>1597.6</v>
      </c>
    </row>
    <row r="392" spans="1:8" x14ac:dyDescent="0.3">
      <c r="A392" s="1">
        <v>44404</v>
      </c>
      <c r="B392" s="4">
        <f>_xlfn.XLOOKUP($A392, 'Nifty 50'!A:A, 'Nifty 50'!B:B, "")</f>
        <v>15746.45</v>
      </c>
      <c r="C392" s="4">
        <f>_xlfn.XLOOKUP($A392, Reliance!A:A, Reliance!B:B, "")</f>
        <v>932.83</v>
      </c>
      <c r="D392" s="4">
        <f>_xlfn.XLOOKUP($A392, HDFC!A:A, HDFC!B:B, "")</f>
        <v>718.09</v>
      </c>
      <c r="E392" s="4">
        <f>_xlfn.XLOOKUP($A392, ITC!A:A, ITC!B:B, "")</f>
        <v>208.65</v>
      </c>
      <c r="F392" s="4">
        <f>_xlfn.XLOOKUP($A392, TCS!A:A, TCS!B:B, "")</f>
        <v>3182.95</v>
      </c>
      <c r="G392" s="4">
        <f>_xlfn.XLOOKUP($A392, Infosys!A:A, Infosys!B:B,"")</f>
        <v>1602.55</v>
      </c>
      <c r="H392" s="4">
        <f>_xlfn.XLOOKUP($A392, 'L &amp; T'!A:A, 'L &amp; T'!B:B, "")</f>
        <v>1608.25</v>
      </c>
    </row>
    <row r="393" spans="1:8" x14ac:dyDescent="0.3">
      <c r="A393" s="1">
        <v>44405</v>
      </c>
      <c r="B393" s="4">
        <f>_xlfn.XLOOKUP($A393, 'Nifty 50'!A:A, 'Nifty 50'!B:B, "")</f>
        <v>15709.4</v>
      </c>
      <c r="C393" s="4">
        <f>_xlfn.XLOOKUP($A393, Reliance!A:A, Reliance!B:B, "")</f>
        <v>924.81</v>
      </c>
      <c r="D393" s="4">
        <f>_xlfn.XLOOKUP($A393, HDFC!A:A, HDFC!B:B, "")</f>
        <v>706.89</v>
      </c>
      <c r="E393" s="4">
        <f>_xlfn.XLOOKUP($A393, ITC!A:A, ITC!B:B, "")</f>
        <v>209.1</v>
      </c>
      <c r="F393" s="4">
        <f>_xlfn.XLOOKUP($A393, TCS!A:A, TCS!B:B, "")</f>
        <v>3197.8</v>
      </c>
      <c r="G393" s="4">
        <f>_xlfn.XLOOKUP($A393, Infosys!A:A, Infosys!B:B,"")</f>
        <v>1605.6</v>
      </c>
      <c r="H393" s="4">
        <f>_xlfn.XLOOKUP($A393, 'L &amp; T'!A:A, 'L &amp; T'!B:B, "")</f>
        <v>1594.2</v>
      </c>
    </row>
    <row r="394" spans="1:8" x14ac:dyDescent="0.3">
      <c r="A394" s="1">
        <v>44406</v>
      </c>
      <c r="B394" s="4">
        <f>_xlfn.XLOOKUP($A394, 'Nifty 50'!A:A, 'Nifty 50'!B:B, "")</f>
        <v>15778.45</v>
      </c>
      <c r="C394" s="4">
        <f>_xlfn.XLOOKUP($A394, Reliance!A:A, Reliance!B:B, "")</f>
        <v>932.03</v>
      </c>
      <c r="D394" s="4">
        <f>_xlfn.XLOOKUP($A394, HDFC!A:A, HDFC!B:B, "")</f>
        <v>707.36</v>
      </c>
      <c r="E394" s="4">
        <f>_xlfn.XLOOKUP($A394, ITC!A:A, ITC!B:B, "")</f>
        <v>206.05</v>
      </c>
      <c r="F394" s="4">
        <f>_xlfn.XLOOKUP($A394, TCS!A:A, TCS!B:B, "")</f>
        <v>3195.8</v>
      </c>
      <c r="G394" s="4">
        <f>_xlfn.XLOOKUP($A394, Infosys!A:A, Infosys!B:B,"")</f>
        <v>1617</v>
      </c>
      <c r="H394" s="4">
        <f>_xlfn.XLOOKUP($A394, 'L &amp; T'!A:A, 'L &amp; T'!B:B, "")</f>
        <v>1596</v>
      </c>
    </row>
    <row r="395" spans="1:8" x14ac:dyDescent="0.3">
      <c r="A395" s="1">
        <v>44407</v>
      </c>
      <c r="B395" s="4">
        <f>_xlfn.XLOOKUP($A395, 'Nifty 50'!A:A, 'Nifty 50'!B:B, "")</f>
        <v>15763.05</v>
      </c>
      <c r="C395" s="4">
        <f>_xlfn.XLOOKUP($A395, Reliance!A:A, Reliance!B:B, "")</f>
        <v>923.88</v>
      </c>
      <c r="D395" s="4">
        <f>_xlfn.XLOOKUP($A395, HDFC!A:A, HDFC!B:B, "")</f>
        <v>711.45</v>
      </c>
      <c r="E395" s="4">
        <f>_xlfn.XLOOKUP($A395, ITC!A:A, ITC!B:B, "")</f>
        <v>204.95</v>
      </c>
      <c r="F395" s="4">
        <f>_xlfn.XLOOKUP($A395, TCS!A:A, TCS!B:B, "")</f>
        <v>3167.45</v>
      </c>
      <c r="G395" s="4">
        <f>_xlfn.XLOOKUP($A395, Infosys!A:A, Infosys!B:B,"")</f>
        <v>1610.5</v>
      </c>
      <c r="H395" s="4">
        <f>_xlfn.XLOOKUP($A395, 'L &amp; T'!A:A, 'L &amp; T'!B:B, "")</f>
        <v>1601.45</v>
      </c>
    </row>
    <row r="396" spans="1:8" x14ac:dyDescent="0.3">
      <c r="A396" s="1">
        <v>44410</v>
      </c>
      <c r="B396" s="4">
        <f>_xlfn.XLOOKUP($A396, 'Nifty 50'!A:A, 'Nifty 50'!B:B, "")</f>
        <v>15885.15</v>
      </c>
      <c r="C396" s="4">
        <f>_xlfn.XLOOKUP($A396, Reliance!A:A, Reliance!B:B, "")</f>
        <v>940.77</v>
      </c>
      <c r="D396" s="4">
        <f>_xlfn.XLOOKUP($A396, HDFC!A:A, HDFC!B:B, "")</f>
        <v>709.56</v>
      </c>
      <c r="E396" s="4">
        <f>_xlfn.XLOOKUP($A396, ITC!A:A, ITC!B:B, "")</f>
        <v>207.3</v>
      </c>
      <c r="F396" s="4">
        <f>_xlfn.XLOOKUP($A396, TCS!A:A, TCS!B:B, "")</f>
        <v>3219.4</v>
      </c>
      <c r="G396" s="4">
        <f>_xlfn.XLOOKUP($A396, Infosys!A:A, Infosys!B:B,"")</f>
        <v>1631.55</v>
      </c>
      <c r="H396" s="4">
        <f>_xlfn.XLOOKUP($A396, 'L &amp; T'!A:A, 'L &amp; T'!B:B, "")</f>
        <v>1613.95</v>
      </c>
    </row>
    <row r="397" spans="1:8" x14ac:dyDescent="0.3">
      <c r="A397" s="1">
        <v>44411</v>
      </c>
      <c r="B397" s="4">
        <f>_xlfn.XLOOKUP($A397, 'Nifty 50'!A:A, 'Nifty 50'!B:B, "")</f>
        <v>16130.75</v>
      </c>
      <c r="C397" s="4">
        <f>_xlfn.XLOOKUP($A397, Reliance!A:A, Reliance!B:B, "")</f>
        <v>947.69</v>
      </c>
      <c r="D397" s="4">
        <f>_xlfn.XLOOKUP($A397, HDFC!A:A, HDFC!B:B, "")</f>
        <v>715.57</v>
      </c>
      <c r="E397" s="4">
        <f>_xlfn.XLOOKUP($A397, ITC!A:A, ITC!B:B, "")</f>
        <v>209.9</v>
      </c>
      <c r="F397" s="4">
        <f>_xlfn.XLOOKUP($A397, TCS!A:A, TCS!B:B, "")</f>
        <v>3284.9</v>
      </c>
      <c r="G397" s="4">
        <f>_xlfn.XLOOKUP($A397, Infosys!A:A, Infosys!B:B,"")</f>
        <v>1655.2</v>
      </c>
      <c r="H397" s="4">
        <f>_xlfn.XLOOKUP($A397, 'L &amp; T'!A:A, 'L &amp; T'!B:B, "")</f>
        <v>1634.35</v>
      </c>
    </row>
    <row r="398" spans="1:8" x14ac:dyDescent="0.3">
      <c r="A398" s="1">
        <v>44412</v>
      </c>
      <c r="B398" s="4">
        <f>_xlfn.XLOOKUP($A398, 'Nifty 50'!A:A, 'Nifty 50'!B:B, "")</f>
        <v>16258.8</v>
      </c>
      <c r="C398" s="4">
        <f>_xlfn.XLOOKUP($A398, Reliance!A:A, Reliance!B:B, "")</f>
        <v>954.95</v>
      </c>
      <c r="D398" s="4">
        <f>_xlfn.XLOOKUP($A398, HDFC!A:A, HDFC!B:B, "")</f>
        <v>730.83</v>
      </c>
      <c r="E398" s="4">
        <f>_xlfn.XLOOKUP($A398, ITC!A:A, ITC!B:B, "")</f>
        <v>208.6</v>
      </c>
      <c r="F398" s="4">
        <f>_xlfn.XLOOKUP($A398, TCS!A:A, TCS!B:B, "")</f>
        <v>3273.95</v>
      </c>
      <c r="G398" s="4">
        <f>_xlfn.XLOOKUP($A398, Infosys!A:A, Infosys!B:B,"")</f>
        <v>1649.25</v>
      </c>
      <c r="H398" s="4">
        <f>_xlfn.XLOOKUP($A398, 'L &amp; T'!A:A, 'L &amp; T'!B:B, "")</f>
        <v>1623.2</v>
      </c>
    </row>
    <row r="399" spans="1:8" x14ac:dyDescent="0.3">
      <c r="A399" s="1">
        <v>44413</v>
      </c>
      <c r="B399" s="4">
        <f>_xlfn.XLOOKUP($A399, 'Nifty 50'!A:A, 'Nifty 50'!B:B, "")</f>
        <v>16294.6</v>
      </c>
      <c r="C399" s="4">
        <f>_xlfn.XLOOKUP($A399, Reliance!A:A, Reliance!B:B, "")</f>
        <v>968.8</v>
      </c>
      <c r="D399" s="4">
        <f>_xlfn.XLOOKUP($A399, HDFC!A:A, HDFC!B:B, "")</f>
        <v>740.58</v>
      </c>
      <c r="E399" s="4">
        <f>_xlfn.XLOOKUP($A399, ITC!A:A, ITC!B:B, "")</f>
        <v>215.25</v>
      </c>
      <c r="F399" s="4">
        <f>_xlfn.XLOOKUP($A399, TCS!A:A, TCS!B:B, "")</f>
        <v>3283.95</v>
      </c>
      <c r="G399" s="4">
        <f>_xlfn.XLOOKUP($A399, Infosys!A:A, Infosys!B:B,"")</f>
        <v>1653.55</v>
      </c>
      <c r="H399" s="4">
        <f>_xlfn.XLOOKUP($A399, 'L &amp; T'!A:A, 'L &amp; T'!B:B, "")</f>
        <v>1627.4</v>
      </c>
    </row>
    <row r="400" spans="1:8" x14ac:dyDescent="0.3">
      <c r="A400" s="1">
        <v>44414</v>
      </c>
      <c r="B400" s="4">
        <f>_xlfn.XLOOKUP($A400, 'Nifty 50'!A:A, 'Nifty 50'!B:B, "")</f>
        <v>16238.2</v>
      </c>
      <c r="C400" s="4">
        <f>_xlfn.XLOOKUP($A400, Reliance!A:A, Reliance!B:B, "")</f>
        <v>948.28</v>
      </c>
      <c r="D400" s="4">
        <f>_xlfn.XLOOKUP($A400, HDFC!A:A, HDFC!B:B, "")</f>
        <v>744.47</v>
      </c>
      <c r="E400" s="4">
        <f>_xlfn.XLOOKUP($A400, ITC!A:A, ITC!B:B, "")</f>
        <v>214.25</v>
      </c>
      <c r="F400" s="4">
        <f>_xlfn.XLOOKUP($A400, TCS!A:A, TCS!B:B, "")</f>
        <v>3309.8</v>
      </c>
      <c r="G400" s="4">
        <f>_xlfn.XLOOKUP($A400, Infosys!A:A, Infosys!B:B,"")</f>
        <v>1650.2</v>
      </c>
      <c r="H400" s="4">
        <f>_xlfn.XLOOKUP($A400, 'L &amp; T'!A:A, 'L &amp; T'!B:B, "")</f>
        <v>1610.35</v>
      </c>
    </row>
    <row r="401" spans="1:8" x14ac:dyDescent="0.3">
      <c r="A401" s="1">
        <v>44417</v>
      </c>
      <c r="B401" s="4">
        <f>_xlfn.XLOOKUP($A401, 'Nifty 50'!A:A, 'Nifty 50'!B:B, "")</f>
        <v>16258.25</v>
      </c>
      <c r="C401" s="4">
        <f>_xlfn.XLOOKUP($A401, Reliance!A:A, Reliance!B:B, "")</f>
        <v>942.88</v>
      </c>
      <c r="D401" s="4">
        <f>_xlfn.XLOOKUP($A401, HDFC!A:A, HDFC!B:B, "")</f>
        <v>750.08</v>
      </c>
      <c r="E401" s="4">
        <f>_xlfn.XLOOKUP($A401, ITC!A:A, ITC!B:B, "")</f>
        <v>213.8</v>
      </c>
      <c r="F401" s="4">
        <f>_xlfn.XLOOKUP($A401, TCS!A:A, TCS!B:B, "")</f>
        <v>3322.7</v>
      </c>
      <c r="G401" s="4">
        <f>_xlfn.XLOOKUP($A401, Infosys!A:A, Infosys!B:B,"")</f>
        <v>1663.3</v>
      </c>
      <c r="H401" s="4">
        <f>_xlfn.XLOOKUP($A401, 'L &amp; T'!A:A, 'L &amp; T'!B:B, "")</f>
        <v>1597.45</v>
      </c>
    </row>
    <row r="402" spans="1:8" x14ac:dyDescent="0.3">
      <c r="A402" s="1">
        <v>44418</v>
      </c>
      <c r="B402" s="4">
        <f>_xlfn.XLOOKUP($A402, 'Nifty 50'!A:A, 'Nifty 50'!B:B, "")</f>
        <v>16280.1</v>
      </c>
      <c r="C402" s="4">
        <f>_xlfn.XLOOKUP($A402, Reliance!A:A, Reliance!B:B, "")</f>
        <v>947.83</v>
      </c>
      <c r="D402" s="4">
        <f>_xlfn.XLOOKUP($A402, HDFC!A:A, HDFC!B:B, "")</f>
        <v>751.95</v>
      </c>
      <c r="E402" s="4">
        <f>_xlfn.XLOOKUP($A402, ITC!A:A, ITC!B:B, "")</f>
        <v>209.85</v>
      </c>
      <c r="F402" s="4">
        <f>_xlfn.XLOOKUP($A402, TCS!A:A, TCS!B:B, "")</f>
        <v>3333.9</v>
      </c>
      <c r="G402" s="4">
        <f>_xlfn.XLOOKUP($A402, Infosys!A:A, Infosys!B:B,"")</f>
        <v>1677.25</v>
      </c>
      <c r="H402" s="4">
        <f>_xlfn.XLOOKUP($A402, 'L &amp; T'!A:A, 'L &amp; T'!B:B, "")</f>
        <v>1588.45</v>
      </c>
    </row>
    <row r="403" spans="1:8" x14ac:dyDescent="0.3">
      <c r="A403" s="1">
        <v>44419</v>
      </c>
      <c r="B403" s="4">
        <f>_xlfn.XLOOKUP($A403, 'Nifty 50'!A:A, 'Nifty 50'!B:B, "")</f>
        <v>16282.25</v>
      </c>
      <c r="C403" s="4">
        <f>_xlfn.XLOOKUP($A403, Reliance!A:A, Reliance!B:B, "")</f>
        <v>961.1</v>
      </c>
      <c r="D403" s="4">
        <f>_xlfn.XLOOKUP($A403, HDFC!A:A, HDFC!B:B, "")</f>
        <v>745.62</v>
      </c>
      <c r="E403" s="4">
        <f>_xlfn.XLOOKUP($A403, ITC!A:A, ITC!B:B, "")</f>
        <v>208.65</v>
      </c>
      <c r="F403" s="4">
        <f>_xlfn.XLOOKUP($A403, TCS!A:A, TCS!B:B, "")</f>
        <v>3344.2</v>
      </c>
      <c r="G403" s="4">
        <f>_xlfn.XLOOKUP($A403, Infosys!A:A, Infosys!B:B,"")</f>
        <v>1677.55</v>
      </c>
      <c r="H403" s="4">
        <f>_xlfn.XLOOKUP($A403, 'L &amp; T'!A:A, 'L &amp; T'!B:B, "")</f>
        <v>1583.3</v>
      </c>
    </row>
    <row r="404" spans="1:8" x14ac:dyDescent="0.3">
      <c r="A404" s="1">
        <v>44420</v>
      </c>
      <c r="B404" s="4">
        <f>_xlfn.XLOOKUP($A404, 'Nifty 50'!A:A, 'Nifty 50'!B:B, "")</f>
        <v>16364.4</v>
      </c>
      <c r="C404" s="4">
        <f>_xlfn.XLOOKUP($A404, Reliance!A:A, Reliance!B:B, "")</f>
        <v>958.02</v>
      </c>
      <c r="D404" s="4">
        <f>_xlfn.XLOOKUP($A404, HDFC!A:A, HDFC!B:B, "")</f>
        <v>748.84</v>
      </c>
      <c r="E404" s="4">
        <f>_xlfn.XLOOKUP($A404, ITC!A:A, ITC!B:B, "")</f>
        <v>208.9</v>
      </c>
      <c r="F404" s="4">
        <f>_xlfn.XLOOKUP($A404, TCS!A:A, TCS!B:B, "")</f>
        <v>3351.75</v>
      </c>
      <c r="G404" s="4">
        <f>_xlfn.XLOOKUP($A404, Infosys!A:A, Infosys!B:B,"")</f>
        <v>1689.6</v>
      </c>
      <c r="H404" s="4">
        <f>_xlfn.XLOOKUP($A404, 'L &amp; T'!A:A, 'L &amp; T'!B:B, "")</f>
        <v>1623.45</v>
      </c>
    </row>
    <row r="405" spans="1:8" x14ac:dyDescent="0.3">
      <c r="A405" s="1">
        <v>44421</v>
      </c>
      <c r="B405" s="4">
        <f>_xlfn.XLOOKUP($A405, 'Nifty 50'!A:A, 'Nifty 50'!B:B, "")</f>
        <v>16529.099999999999</v>
      </c>
      <c r="C405" s="4">
        <f>_xlfn.XLOOKUP($A405, Reliance!A:A, Reliance!B:B, "")</f>
        <v>973.97</v>
      </c>
      <c r="D405" s="4">
        <f>_xlfn.XLOOKUP($A405, HDFC!A:A, HDFC!B:B, "")</f>
        <v>761.21</v>
      </c>
      <c r="E405" s="4">
        <f>_xlfn.XLOOKUP($A405, ITC!A:A, ITC!B:B, "")</f>
        <v>211.45</v>
      </c>
      <c r="F405" s="4">
        <f>_xlfn.XLOOKUP($A405, TCS!A:A, TCS!B:B, "")</f>
        <v>3463.4</v>
      </c>
      <c r="G405" s="4">
        <f>_xlfn.XLOOKUP($A405, Infosys!A:A, Infosys!B:B,"")</f>
        <v>1712.2</v>
      </c>
      <c r="H405" s="4">
        <f>_xlfn.XLOOKUP($A405, 'L &amp; T'!A:A, 'L &amp; T'!B:B, "")</f>
        <v>1668.4</v>
      </c>
    </row>
    <row r="406" spans="1:8" x14ac:dyDescent="0.3">
      <c r="A406" s="1">
        <v>44424</v>
      </c>
      <c r="B406" s="4">
        <f>_xlfn.XLOOKUP($A406, 'Nifty 50'!A:A, 'Nifty 50'!B:B, "")</f>
        <v>16563.05</v>
      </c>
      <c r="C406" s="4">
        <f>_xlfn.XLOOKUP($A406, Reliance!A:A, Reliance!B:B, "")</f>
        <v>986.62</v>
      </c>
      <c r="D406" s="4">
        <f>_xlfn.XLOOKUP($A406, HDFC!A:A, HDFC!B:B, "")</f>
        <v>763.4</v>
      </c>
      <c r="E406" s="4">
        <f>_xlfn.XLOOKUP($A406, ITC!A:A, ITC!B:B, "")</f>
        <v>210.9</v>
      </c>
      <c r="F406" s="4">
        <f>_xlfn.XLOOKUP($A406, TCS!A:A, TCS!B:B, "")</f>
        <v>3472.95</v>
      </c>
      <c r="G406" s="4">
        <f>_xlfn.XLOOKUP($A406, Infosys!A:A, Infosys!B:B,"")</f>
        <v>1704.4</v>
      </c>
      <c r="H406" s="4">
        <f>_xlfn.XLOOKUP($A406, 'L &amp; T'!A:A, 'L &amp; T'!B:B, "")</f>
        <v>1656.1</v>
      </c>
    </row>
    <row r="407" spans="1:8" x14ac:dyDescent="0.3">
      <c r="A407" s="1">
        <v>44425</v>
      </c>
      <c r="B407" s="4">
        <f>_xlfn.XLOOKUP($A407, 'Nifty 50'!A:A, 'Nifty 50'!B:B, "")</f>
        <v>16614.599999999999</v>
      </c>
      <c r="C407" s="4">
        <f>_xlfn.XLOOKUP($A407, Reliance!A:A, Reliance!B:B, "")</f>
        <v>982.42</v>
      </c>
      <c r="D407" s="4">
        <f>_xlfn.XLOOKUP($A407, HDFC!A:A, HDFC!B:B, "")</f>
        <v>755.45</v>
      </c>
      <c r="E407" s="4">
        <f>_xlfn.XLOOKUP($A407, ITC!A:A, ITC!B:B, "")</f>
        <v>209.2</v>
      </c>
      <c r="F407" s="4">
        <f>_xlfn.XLOOKUP($A407, TCS!A:A, TCS!B:B, "")</f>
        <v>3553.05</v>
      </c>
      <c r="G407" s="4">
        <f>_xlfn.XLOOKUP($A407, Infosys!A:A, Infosys!B:B,"")</f>
        <v>1741.65</v>
      </c>
      <c r="H407" s="4">
        <f>_xlfn.XLOOKUP($A407, 'L &amp; T'!A:A, 'L &amp; T'!B:B, "")</f>
        <v>1638.75</v>
      </c>
    </row>
    <row r="408" spans="1:8" x14ac:dyDescent="0.3">
      <c r="A408" s="1">
        <v>44426</v>
      </c>
      <c r="B408" s="4">
        <f>_xlfn.XLOOKUP($A408, 'Nifty 50'!A:A, 'Nifty 50'!B:B, "")</f>
        <v>16568.849999999999</v>
      </c>
      <c r="C408" s="4">
        <f>_xlfn.XLOOKUP($A408, Reliance!A:A, Reliance!B:B, "")</f>
        <v>986.23</v>
      </c>
      <c r="D408" s="4">
        <f>_xlfn.XLOOKUP($A408, HDFC!A:A, HDFC!B:B, "")</f>
        <v>754.62</v>
      </c>
      <c r="E408" s="4">
        <f>_xlfn.XLOOKUP($A408, ITC!A:A, ITC!B:B, "")</f>
        <v>208.95</v>
      </c>
      <c r="F408" s="4">
        <f>_xlfn.XLOOKUP($A408, TCS!A:A, TCS!B:B, "")</f>
        <v>3560.55</v>
      </c>
      <c r="G408" s="4">
        <f>_xlfn.XLOOKUP($A408, Infosys!A:A, Infosys!B:B,"")</f>
        <v>1733.45</v>
      </c>
      <c r="H408" s="4">
        <f>_xlfn.XLOOKUP($A408, 'L &amp; T'!A:A, 'L &amp; T'!B:B, "")</f>
        <v>1632.85</v>
      </c>
    </row>
    <row r="409" spans="1:8" x14ac:dyDescent="0.3">
      <c r="A409" s="1">
        <v>44428</v>
      </c>
      <c r="B409" s="4">
        <f>_xlfn.XLOOKUP($A409, 'Nifty 50'!A:A, 'Nifty 50'!B:B, "")</f>
        <v>16450.5</v>
      </c>
      <c r="C409" s="4">
        <f>_xlfn.XLOOKUP($A409, Reliance!A:A, Reliance!B:B, "")</f>
        <v>975.15</v>
      </c>
      <c r="D409" s="4">
        <f>_xlfn.XLOOKUP($A409, HDFC!A:A, HDFC!B:B, "")</f>
        <v>755.5</v>
      </c>
      <c r="E409" s="4">
        <f>_xlfn.XLOOKUP($A409, ITC!A:A, ITC!B:B, "")</f>
        <v>208.9</v>
      </c>
      <c r="F409" s="4">
        <f>_xlfn.XLOOKUP($A409, TCS!A:A, TCS!B:B, "")</f>
        <v>3559.5</v>
      </c>
      <c r="G409" s="4">
        <f>_xlfn.XLOOKUP($A409, Infosys!A:A, Infosys!B:B,"")</f>
        <v>1732.95</v>
      </c>
      <c r="H409" s="4">
        <f>_xlfn.XLOOKUP($A409, 'L &amp; T'!A:A, 'L &amp; T'!B:B, "")</f>
        <v>1593.6</v>
      </c>
    </row>
    <row r="410" spans="1:8" x14ac:dyDescent="0.3">
      <c r="A410" s="1">
        <v>44431</v>
      </c>
      <c r="B410" s="4">
        <f>_xlfn.XLOOKUP($A410, 'Nifty 50'!A:A, 'Nifty 50'!B:B, "")</f>
        <v>16496.45</v>
      </c>
      <c r="C410" s="4">
        <f>_xlfn.XLOOKUP($A410, Reliance!A:A, Reliance!B:B, "")</f>
        <v>981.55</v>
      </c>
      <c r="D410" s="4">
        <f>_xlfn.XLOOKUP($A410, HDFC!A:A, HDFC!B:B, "")</f>
        <v>760.41</v>
      </c>
      <c r="E410" s="4">
        <f>_xlfn.XLOOKUP($A410, ITC!A:A, ITC!B:B, "")</f>
        <v>206.3</v>
      </c>
      <c r="F410" s="4">
        <f>_xlfn.XLOOKUP($A410, TCS!A:A, TCS!B:B, "")</f>
        <v>3637.4</v>
      </c>
      <c r="G410" s="4">
        <f>_xlfn.XLOOKUP($A410, Infosys!A:A, Infosys!B:B,"")</f>
        <v>1738.75</v>
      </c>
      <c r="H410" s="4">
        <f>_xlfn.XLOOKUP($A410, 'L &amp; T'!A:A, 'L &amp; T'!B:B, "")</f>
        <v>1580.75</v>
      </c>
    </row>
    <row r="411" spans="1:8" x14ac:dyDescent="0.3">
      <c r="A411" s="1">
        <v>44432</v>
      </c>
      <c r="B411" s="4">
        <f>_xlfn.XLOOKUP($A411, 'Nifty 50'!A:A, 'Nifty 50'!B:B, "")</f>
        <v>16624.599999999999</v>
      </c>
      <c r="C411" s="4">
        <f>_xlfn.XLOOKUP($A411, Reliance!A:A, Reliance!B:B, "")</f>
        <v>991.25</v>
      </c>
      <c r="D411" s="4">
        <f>_xlfn.XLOOKUP($A411, HDFC!A:A, HDFC!B:B, "")</f>
        <v>777.49</v>
      </c>
      <c r="E411" s="4">
        <f>_xlfn.XLOOKUP($A411, ITC!A:A, ITC!B:B, "")</f>
        <v>205.75</v>
      </c>
      <c r="F411" s="4">
        <f>_xlfn.XLOOKUP($A411, TCS!A:A, TCS!B:B, "")</f>
        <v>3613.2</v>
      </c>
      <c r="G411" s="4">
        <f>_xlfn.XLOOKUP($A411, Infosys!A:A, Infosys!B:B,"")</f>
        <v>1720.85</v>
      </c>
      <c r="H411" s="4">
        <f>_xlfn.XLOOKUP($A411, 'L &amp; T'!A:A, 'L &amp; T'!B:B, "")</f>
        <v>1605.8</v>
      </c>
    </row>
    <row r="412" spans="1:8" x14ac:dyDescent="0.3">
      <c r="A412" s="1">
        <v>44433</v>
      </c>
      <c r="B412" s="4">
        <f>_xlfn.XLOOKUP($A412, 'Nifty 50'!A:A, 'Nifty 50'!B:B, "")</f>
        <v>16634.650000000001</v>
      </c>
      <c r="C412" s="4">
        <f>_xlfn.XLOOKUP($A412, Reliance!A:A, Reliance!B:B, "")</f>
        <v>999.83</v>
      </c>
      <c r="D412" s="4">
        <f>_xlfn.XLOOKUP($A412, HDFC!A:A, HDFC!B:B, "")</f>
        <v>776.77</v>
      </c>
      <c r="E412" s="4">
        <f>_xlfn.XLOOKUP($A412, ITC!A:A, ITC!B:B, "")</f>
        <v>206.4</v>
      </c>
      <c r="F412" s="4">
        <f>_xlfn.XLOOKUP($A412, TCS!A:A, TCS!B:B, "")</f>
        <v>3659</v>
      </c>
      <c r="G412" s="4">
        <f>_xlfn.XLOOKUP($A412, Infosys!A:A, Infosys!B:B,"")</f>
        <v>1735.55</v>
      </c>
      <c r="H412" s="4">
        <f>_xlfn.XLOOKUP($A412, 'L &amp; T'!A:A, 'L &amp; T'!B:B, "")</f>
        <v>1593.8</v>
      </c>
    </row>
    <row r="413" spans="1:8" x14ac:dyDescent="0.3">
      <c r="A413" s="1">
        <v>44434</v>
      </c>
      <c r="B413" s="4">
        <f>_xlfn.XLOOKUP($A413, 'Nifty 50'!A:A, 'Nifty 50'!B:B, "")</f>
        <v>16636.900000000001</v>
      </c>
      <c r="C413" s="4">
        <f>_xlfn.XLOOKUP($A413, Reliance!A:A, Reliance!B:B, "")</f>
        <v>1012.47</v>
      </c>
      <c r="D413" s="4">
        <f>_xlfn.XLOOKUP($A413, HDFC!A:A, HDFC!B:B, "")</f>
        <v>775.47</v>
      </c>
      <c r="E413" s="4">
        <f>_xlfn.XLOOKUP($A413, ITC!A:A, ITC!B:B, "")</f>
        <v>204.6</v>
      </c>
      <c r="F413" s="4">
        <f>_xlfn.XLOOKUP($A413, TCS!A:A, TCS!B:B, "")</f>
        <v>3671.85</v>
      </c>
      <c r="G413" s="4">
        <f>_xlfn.XLOOKUP($A413, Infosys!A:A, Infosys!B:B,"")</f>
        <v>1727.7</v>
      </c>
      <c r="H413" s="4">
        <f>_xlfn.XLOOKUP($A413, 'L &amp; T'!A:A, 'L &amp; T'!B:B, "")</f>
        <v>1595.75</v>
      </c>
    </row>
    <row r="414" spans="1:8" x14ac:dyDescent="0.3">
      <c r="A414" s="1">
        <v>44435</v>
      </c>
      <c r="B414" s="4">
        <f>_xlfn.XLOOKUP($A414, 'Nifty 50'!A:A, 'Nifty 50'!B:B, "")</f>
        <v>16705.2</v>
      </c>
      <c r="C414" s="4">
        <f>_xlfn.XLOOKUP($A414, Reliance!A:A, Reliance!B:B, "")</f>
        <v>1011.08</v>
      </c>
      <c r="D414" s="4">
        <f>_xlfn.XLOOKUP($A414, HDFC!A:A, HDFC!B:B, "")</f>
        <v>772.3</v>
      </c>
      <c r="E414" s="4">
        <f>_xlfn.XLOOKUP($A414, ITC!A:A, ITC!B:B, "")</f>
        <v>205.9</v>
      </c>
      <c r="F414" s="4">
        <f>_xlfn.XLOOKUP($A414, TCS!A:A, TCS!B:B, "")</f>
        <v>3720.15</v>
      </c>
      <c r="G414" s="4">
        <f>_xlfn.XLOOKUP($A414, Infosys!A:A, Infosys!B:B,"")</f>
        <v>1708.8</v>
      </c>
      <c r="H414" s="4">
        <f>_xlfn.XLOOKUP($A414, 'L &amp; T'!A:A, 'L &amp; T'!B:B, "")</f>
        <v>1638.1</v>
      </c>
    </row>
    <row r="415" spans="1:8" x14ac:dyDescent="0.3">
      <c r="A415" s="1">
        <v>44438</v>
      </c>
      <c r="B415" s="4">
        <f>_xlfn.XLOOKUP($A415, 'Nifty 50'!A:A, 'Nifty 50'!B:B, "")</f>
        <v>16931.05</v>
      </c>
      <c r="C415" s="4">
        <f>_xlfn.XLOOKUP($A415, Reliance!A:A, Reliance!B:B, "")</f>
        <v>1030.53</v>
      </c>
      <c r="D415" s="4">
        <f>_xlfn.XLOOKUP($A415, HDFC!A:A, HDFC!B:B, "")</f>
        <v>782.18</v>
      </c>
      <c r="E415" s="4">
        <f>_xlfn.XLOOKUP($A415, ITC!A:A, ITC!B:B, "")</f>
        <v>208</v>
      </c>
      <c r="F415" s="4">
        <f>_xlfn.XLOOKUP($A415, TCS!A:A, TCS!B:B, "")</f>
        <v>3701.3</v>
      </c>
      <c r="G415" s="4">
        <f>_xlfn.XLOOKUP($A415, Infosys!A:A, Infosys!B:B,"")</f>
        <v>1698.05</v>
      </c>
      <c r="H415" s="4">
        <f>_xlfn.XLOOKUP($A415, 'L &amp; T'!A:A, 'L &amp; T'!B:B, "")</f>
        <v>1660.1</v>
      </c>
    </row>
    <row r="416" spans="1:8" x14ac:dyDescent="0.3">
      <c r="A416" s="1">
        <v>44439</v>
      </c>
      <c r="B416" s="4">
        <f>_xlfn.XLOOKUP($A416, 'Nifty 50'!A:A, 'Nifty 50'!B:B, "")</f>
        <v>17132.2</v>
      </c>
      <c r="C416" s="4">
        <f>_xlfn.XLOOKUP($A416, Reliance!A:A, Reliance!B:B, "")</f>
        <v>1025.04</v>
      </c>
      <c r="D416" s="4">
        <f>_xlfn.XLOOKUP($A416, HDFC!A:A, HDFC!B:B, "")</f>
        <v>788.74</v>
      </c>
      <c r="E416" s="4">
        <f>_xlfn.XLOOKUP($A416, ITC!A:A, ITC!B:B, "")</f>
        <v>211.3</v>
      </c>
      <c r="F416" s="4">
        <f>_xlfn.XLOOKUP($A416, TCS!A:A, TCS!B:B, "")</f>
        <v>3786.45</v>
      </c>
      <c r="G416" s="4">
        <f>_xlfn.XLOOKUP($A416, Infosys!A:A, Infosys!B:B,"")</f>
        <v>1706.45</v>
      </c>
      <c r="H416" s="4">
        <f>_xlfn.XLOOKUP($A416, 'L &amp; T'!A:A, 'L &amp; T'!B:B, "")</f>
        <v>1672.2</v>
      </c>
    </row>
    <row r="417" spans="1:8" x14ac:dyDescent="0.3">
      <c r="A417" s="1">
        <v>44440</v>
      </c>
      <c r="B417" s="4">
        <f>_xlfn.XLOOKUP($A417, 'Nifty 50'!A:A, 'Nifty 50'!B:B, "")</f>
        <v>17076.25</v>
      </c>
      <c r="C417" s="4">
        <f>_xlfn.XLOOKUP($A417, Reliance!A:A, Reliance!B:B, "")</f>
        <v>1029.0999999999999</v>
      </c>
      <c r="D417" s="4">
        <f>_xlfn.XLOOKUP($A417, HDFC!A:A, HDFC!B:B, "")</f>
        <v>787.59</v>
      </c>
      <c r="E417" s="4">
        <f>_xlfn.XLOOKUP($A417, ITC!A:A, ITC!B:B, "")</f>
        <v>209.5</v>
      </c>
      <c r="F417" s="4">
        <f>_xlfn.XLOOKUP($A417, TCS!A:A, TCS!B:B, "")</f>
        <v>3714.95</v>
      </c>
      <c r="G417" s="4">
        <f>_xlfn.XLOOKUP($A417, Infosys!A:A, Infosys!B:B,"")</f>
        <v>1677.75</v>
      </c>
      <c r="H417" s="4">
        <f>_xlfn.XLOOKUP($A417, 'L &amp; T'!A:A, 'L &amp; T'!B:B, "")</f>
        <v>1686.4</v>
      </c>
    </row>
    <row r="418" spans="1:8" x14ac:dyDescent="0.3">
      <c r="A418" s="1">
        <v>44441</v>
      </c>
      <c r="B418" s="4">
        <f>_xlfn.XLOOKUP($A418, 'Nifty 50'!A:A, 'Nifty 50'!B:B, "")</f>
        <v>17234.150000000001</v>
      </c>
      <c r="C418" s="4">
        <f>_xlfn.XLOOKUP($A418, Reliance!A:A, Reliance!B:B, "")</f>
        <v>1041.5</v>
      </c>
      <c r="D418" s="4">
        <f>_xlfn.XLOOKUP($A418, HDFC!A:A, HDFC!B:B, "")</f>
        <v>792.53</v>
      </c>
      <c r="E418" s="4">
        <f>_xlfn.XLOOKUP($A418, ITC!A:A, ITC!B:B, "")</f>
        <v>209.75</v>
      </c>
      <c r="F418" s="4">
        <f>_xlfn.XLOOKUP($A418, TCS!A:A, TCS!B:B, "")</f>
        <v>3836.75</v>
      </c>
      <c r="G418" s="4">
        <f>_xlfn.XLOOKUP($A418, Infosys!A:A, Infosys!B:B,"")</f>
        <v>1689.1</v>
      </c>
      <c r="H418" s="4">
        <f>_xlfn.XLOOKUP($A418, 'L &amp; T'!A:A, 'L &amp; T'!B:B, "")</f>
        <v>1686.2</v>
      </c>
    </row>
    <row r="419" spans="1:8" x14ac:dyDescent="0.3">
      <c r="A419" s="1">
        <v>44442</v>
      </c>
      <c r="B419" s="4">
        <f>_xlfn.XLOOKUP($A419, 'Nifty 50'!A:A, 'Nifty 50'!B:B, "")</f>
        <v>17323.599999999999</v>
      </c>
      <c r="C419" s="4">
        <f>_xlfn.XLOOKUP($A419, Reliance!A:A, Reliance!B:B, "")</f>
        <v>1084.21</v>
      </c>
      <c r="D419" s="4">
        <f>_xlfn.XLOOKUP($A419, HDFC!A:A, HDFC!B:B, "")</f>
        <v>786.07</v>
      </c>
      <c r="E419" s="4">
        <f>_xlfn.XLOOKUP($A419, ITC!A:A, ITC!B:B, "")</f>
        <v>210.6</v>
      </c>
      <c r="F419" s="4">
        <f>_xlfn.XLOOKUP($A419, TCS!A:A, TCS!B:B, "")</f>
        <v>3842.05</v>
      </c>
      <c r="G419" s="4">
        <f>_xlfn.XLOOKUP($A419, Infosys!A:A, Infosys!B:B,"")</f>
        <v>1700.65</v>
      </c>
      <c r="H419" s="4">
        <f>_xlfn.XLOOKUP($A419, 'L &amp; T'!A:A, 'L &amp; T'!B:B, "")</f>
        <v>1691.5</v>
      </c>
    </row>
    <row r="420" spans="1:8" x14ac:dyDescent="0.3">
      <c r="A420" s="1">
        <v>44445</v>
      </c>
      <c r="B420" s="4">
        <f>_xlfn.XLOOKUP($A420, 'Nifty 50'!A:A, 'Nifty 50'!B:B, "")</f>
        <v>17377.8</v>
      </c>
      <c r="C420" s="4">
        <f>_xlfn.XLOOKUP($A420, Reliance!A:A, Reliance!B:B, "")</f>
        <v>1101.05</v>
      </c>
      <c r="D420" s="4">
        <f>_xlfn.XLOOKUP($A420, HDFC!A:A, HDFC!B:B, "")</f>
        <v>780.91</v>
      </c>
      <c r="E420" s="4">
        <f>_xlfn.XLOOKUP($A420, ITC!A:A, ITC!B:B, "")</f>
        <v>209.3</v>
      </c>
      <c r="F420" s="4">
        <f>_xlfn.XLOOKUP($A420, TCS!A:A, TCS!B:B, "")</f>
        <v>3852</v>
      </c>
      <c r="G420" s="4">
        <f>_xlfn.XLOOKUP($A420, Infosys!A:A, Infosys!B:B,"")</f>
        <v>1730.4</v>
      </c>
      <c r="H420" s="4">
        <f>_xlfn.XLOOKUP($A420, 'L &amp; T'!A:A, 'L &amp; T'!B:B, "")</f>
        <v>1694.2</v>
      </c>
    </row>
    <row r="421" spans="1:8" x14ac:dyDescent="0.3">
      <c r="A421" s="1">
        <v>44446</v>
      </c>
      <c r="B421" s="4">
        <f>_xlfn.XLOOKUP($A421, 'Nifty 50'!A:A, 'Nifty 50'!B:B, "")</f>
        <v>17362.099999999999</v>
      </c>
      <c r="C421" s="4">
        <f>_xlfn.XLOOKUP($A421, Reliance!A:A, Reliance!B:B, "")</f>
        <v>1108</v>
      </c>
      <c r="D421" s="4">
        <f>_xlfn.XLOOKUP($A421, HDFC!A:A, HDFC!B:B, "")</f>
        <v>782.68</v>
      </c>
      <c r="E421" s="4">
        <f>_xlfn.XLOOKUP($A421, ITC!A:A, ITC!B:B, "")</f>
        <v>211.75</v>
      </c>
      <c r="F421" s="4">
        <f>_xlfn.XLOOKUP($A421, TCS!A:A, TCS!B:B, "")</f>
        <v>3815.9</v>
      </c>
      <c r="G421" s="4">
        <f>_xlfn.XLOOKUP($A421, Infosys!A:A, Infosys!B:B,"")</f>
        <v>1706.65</v>
      </c>
      <c r="H421" s="4">
        <f>_xlfn.XLOOKUP($A421, 'L &amp; T'!A:A, 'L &amp; T'!B:B, "")</f>
        <v>1681.7</v>
      </c>
    </row>
    <row r="422" spans="1:8" x14ac:dyDescent="0.3">
      <c r="A422" s="1">
        <v>44447</v>
      </c>
      <c r="B422" s="4">
        <f>_xlfn.XLOOKUP($A422, 'Nifty 50'!A:A, 'Nifty 50'!B:B, "")</f>
        <v>17353.5</v>
      </c>
      <c r="C422" s="4">
        <f>_xlfn.XLOOKUP($A422, Reliance!A:A, Reliance!B:B, "")</f>
        <v>1103.6600000000001</v>
      </c>
      <c r="D422" s="4">
        <f>_xlfn.XLOOKUP($A422, HDFC!A:A, HDFC!B:B, "")</f>
        <v>786.24</v>
      </c>
      <c r="E422" s="4">
        <f>_xlfn.XLOOKUP($A422, ITC!A:A, ITC!B:B, "")</f>
        <v>211.25</v>
      </c>
      <c r="F422" s="4">
        <f>_xlfn.XLOOKUP($A422, TCS!A:A, TCS!B:B, "")</f>
        <v>3774.15</v>
      </c>
      <c r="G422" s="4">
        <f>_xlfn.XLOOKUP($A422, Infosys!A:A, Infosys!B:B,"")</f>
        <v>1693.25</v>
      </c>
      <c r="H422" s="4">
        <f>_xlfn.XLOOKUP($A422, 'L &amp; T'!A:A, 'L &amp; T'!B:B, "")</f>
        <v>1666.55</v>
      </c>
    </row>
    <row r="423" spans="1:8" x14ac:dyDescent="0.3">
      <c r="A423" s="1">
        <v>44448</v>
      </c>
      <c r="B423" s="4">
        <f>_xlfn.XLOOKUP($A423, 'Nifty 50'!A:A, 'Nifty 50'!B:B, "")</f>
        <v>17369.25</v>
      </c>
      <c r="C423" s="4">
        <f>_xlfn.XLOOKUP($A423, Reliance!A:A, Reliance!B:B, "")</f>
        <v>1101.05</v>
      </c>
      <c r="D423" s="4">
        <f>_xlfn.XLOOKUP($A423, HDFC!A:A, HDFC!B:B, "")</f>
        <v>782.35</v>
      </c>
      <c r="E423" s="4">
        <f>_xlfn.XLOOKUP($A423, ITC!A:A, ITC!B:B, "")</f>
        <v>212.65</v>
      </c>
      <c r="F423" s="4">
        <f>_xlfn.XLOOKUP($A423, TCS!A:A, TCS!B:B, "")</f>
        <v>3791.4</v>
      </c>
      <c r="G423" s="4">
        <f>_xlfn.XLOOKUP($A423, Infosys!A:A, Infosys!B:B,"")</f>
        <v>1691.6</v>
      </c>
      <c r="H423" s="4">
        <f>_xlfn.XLOOKUP($A423, 'L &amp; T'!A:A, 'L &amp; T'!B:B, "")</f>
        <v>1670.05</v>
      </c>
    </row>
    <row r="424" spans="1:8" x14ac:dyDescent="0.3">
      <c r="A424" s="1">
        <v>44452</v>
      </c>
      <c r="B424" s="4">
        <f>_xlfn.XLOOKUP($A424, 'Nifty 50'!A:A, 'Nifty 50'!B:B, "")</f>
        <v>17355.3</v>
      </c>
      <c r="C424" s="4">
        <f>_xlfn.XLOOKUP($A424, Reliance!A:A, Reliance!B:B, "")</f>
        <v>1076.52</v>
      </c>
      <c r="D424" s="4">
        <f>_xlfn.XLOOKUP($A424, HDFC!A:A, HDFC!B:B, "")</f>
        <v>775.84</v>
      </c>
      <c r="E424" s="4">
        <f>_xlfn.XLOOKUP($A424, ITC!A:A, ITC!B:B, "")</f>
        <v>214.15</v>
      </c>
      <c r="F424" s="4">
        <f>_xlfn.XLOOKUP($A424, TCS!A:A, TCS!B:B, "")</f>
        <v>3845.35</v>
      </c>
      <c r="G424" s="4">
        <f>_xlfn.XLOOKUP($A424, Infosys!A:A, Infosys!B:B,"")</f>
        <v>1691.9</v>
      </c>
      <c r="H424" s="4">
        <f>_xlfn.XLOOKUP($A424, 'L &amp; T'!A:A, 'L &amp; T'!B:B, "")</f>
        <v>1671.7</v>
      </c>
    </row>
    <row r="425" spans="1:8" x14ac:dyDescent="0.3">
      <c r="A425" s="1">
        <v>44453</v>
      </c>
      <c r="B425" s="4">
        <f>_xlfn.XLOOKUP($A425, 'Nifty 50'!A:A, 'Nifty 50'!B:B, "")</f>
        <v>17380</v>
      </c>
      <c r="C425" s="4">
        <f>_xlfn.XLOOKUP($A425, Reliance!A:A, Reliance!B:B, "")</f>
        <v>1075.1099999999999</v>
      </c>
      <c r="D425" s="4">
        <f>_xlfn.XLOOKUP($A425, HDFC!A:A, HDFC!B:B, "")</f>
        <v>772.35</v>
      </c>
      <c r="E425" s="4">
        <f>_xlfn.XLOOKUP($A425, ITC!A:A, ITC!B:B, "")</f>
        <v>216.1</v>
      </c>
      <c r="F425" s="4">
        <f>_xlfn.XLOOKUP($A425, TCS!A:A, TCS!B:B, "")</f>
        <v>3885.9</v>
      </c>
      <c r="G425" s="4">
        <f>_xlfn.XLOOKUP($A425, Infosys!A:A, Infosys!B:B,"")</f>
        <v>1686.15</v>
      </c>
      <c r="H425" s="4">
        <f>_xlfn.XLOOKUP($A425, 'L &amp; T'!A:A, 'L &amp; T'!B:B, "")</f>
        <v>1696.45</v>
      </c>
    </row>
    <row r="426" spans="1:8" x14ac:dyDescent="0.3">
      <c r="A426" s="1">
        <v>44454</v>
      </c>
      <c r="B426" s="4">
        <f>_xlfn.XLOOKUP($A426, 'Nifty 50'!A:A, 'Nifty 50'!B:B, "")</f>
        <v>17519.45</v>
      </c>
      <c r="C426" s="4">
        <f>_xlfn.XLOOKUP($A426, Reliance!A:A, Reliance!B:B, "")</f>
        <v>1079.58</v>
      </c>
      <c r="D426" s="4">
        <f>_xlfn.XLOOKUP($A426, HDFC!A:A, HDFC!B:B, "")</f>
        <v>771.48</v>
      </c>
      <c r="E426" s="4">
        <f>_xlfn.XLOOKUP($A426, ITC!A:A, ITC!B:B, "")</f>
        <v>216</v>
      </c>
      <c r="F426" s="4">
        <f>_xlfn.XLOOKUP($A426, TCS!A:A, TCS!B:B, "")</f>
        <v>3954.55</v>
      </c>
      <c r="G426" s="4">
        <f>_xlfn.XLOOKUP($A426, Infosys!A:A, Infosys!B:B,"")</f>
        <v>1711.45</v>
      </c>
      <c r="H426" s="4">
        <f>_xlfn.XLOOKUP($A426, 'L &amp; T'!A:A, 'L &amp; T'!B:B, "")</f>
        <v>1717</v>
      </c>
    </row>
    <row r="427" spans="1:8" x14ac:dyDescent="0.3">
      <c r="A427" s="1">
        <v>44455</v>
      </c>
      <c r="B427" s="4">
        <f>_xlfn.XLOOKUP($A427, 'Nifty 50'!A:A, 'Nifty 50'!B:B, "")</f>
        <v>17629.5</v>
      </c>
      <c r="C427" s="4">
        <f>_xlfn.XLOOKUP($A427, Reliance!A:A, Reliance!B:B, "")</f>
        <v>1102.23</v>
      </c>
      <c r="D427" s="4">
        <f>_xlfn.XLOOKUP($A427, HDFC!A:A, HDFC!B:B, "")</f>
        <v>778.04</v>
      </c>
      <c r="E427" s="4">
        <f>_xlfn.XLOOKUP($A427, ITC!A:A, ITC!B:B, "")</f>
        <v>230.75</v>
      </c>
      <c r="F427" s="4">
        <f>_xlfn.XLOOKUP($A427, TCS!A:A, TCS!B:B, "")</f>
        <v>3903.3</v>
      </c>
      <c r="G427" s="4">
        <f>_xlfn.XLOOKUP($A427, Infosys!A:A, Infosys!B:B,"")</f>
        <v>1702.25</v>
      </c>
      <c r="H427" s="4">
        <f>_xlfn.XLOOKUP($A427, 'L &amp; T'!A:A, 'L &amp; T'!B:B, "")</f>
        <v>1721.25</v>
      </c>
    </row>
    <row r="428" spans="1:8" x14ac:dyDescent="0.3">
      <c r="A428" s="1">
        <v>44456</v>
      </c>
      <c r="B428" s="4">
        <f>_xlfn.XLOOKUP($A428, 'Nifty 50'!A:A, 'Nifty 50'!B:B, "")</f>
        <v>17585.150000000001</v>
      </c>
      <c r="C428" s="4">
        <f>_xlfn.XLOOKUP($A428, Reliance!A:A, Reliance!B:B, "")</f>
        <v>1085.1400000000001</v>
      </c>
      <c r="D428" s="4">
        <f>_xlfn.XLOOKUP($A428, HDFC!A:A, HDFC!B:B, "")</f>
        <v>789.11</v>
      </c>
      <c r="E428" s="4">
        <f>_xlfn.XLOOKUP($A428, ITC!A:A, ITC!B:B, "")</f>
        <v>231.15</v>
      </c>
      <c r="F428" s="4">
        <f>_xlfn.XLOOKUP($A428, TCS!A:A, TCS!B:B, "")</f>
        <v>3827.85</v>
      </c>
      <c r="G428" s="4">
        <f>_xlfn.XLOOKUP($A428, Infosys!A:A, Infosys!B:B,"")</f>
        <v>1691.3</v>
      </c>
      <c r="H428" s="4">
        <f>_xlfn.XLOOKUP($A428, 'L &amp; T'!A:A, 'L &amp; T'!B:B, "")</f>
        <v>1716.2</v>
      </c>
    </row>
    <row r="429" spans="1:8" x14ac:dyDescent="0.3">
      <c r="A429" s="1">
        <v>44459</v>
      </c>
      <c r="B429" s="4">
        <f>_xlfn.XLOOKUP($A429, 'Nifty 50'!A:A, 'Nifty 50'!B:B, "")</f>
        <v>17396.900000000001</v>
      </c>
      <c r="C429" s="4">
        <f>_xlfn.XLOOKUP($A429, Reliance!A:A, Reliance!B:B, "")</f>
        <v>1086.8699999999999</v>
      </c>
      <c r="D429" s="4">
        <f>_xlfn.XLOOKUP($A429, HDFC!A:A, HDFC!B:B, "")</f>
        <v>777.99</v>
      </c>
      <c r="E429" s="4">
        <f>_xlfn.XLOOKUP($A429, ITC!A:A, ITC!B:B, "")</f>
        <v>233.75</v>
      </c>
      <c r="F429" s="4">
        <f>_xlfn.XLOOKUP($A429, TCS!A:A, TCS!B:B, "")</f>
        <v>3823.5</v>
      </c>
      <c r="G429" s="4">
        <f>_xlfn.XLOOKUP($A429, Infosys!A:A, Infosys!B:B,"")</f>
        <v>1687.85</v>
      </c>
      <c r="H429" s="4">
        <f>_xlfn.XLOOKUP($A429, 'L &amp; T'!A:A, 'L &amp; T'!B:B, "")</f>
        <v>1704.35</v>
      </c>
    </row>
    <row r="430" spans="1:8" x14ac:dyDescent="0.3">
      <c r="A430" s="1">
        <v>44460</v>
      </c>
      <c r="B430" s="4">
        <f>_xlfn.XLOOKUP($A430, 'Nifty 50'!A:A, 'Nifty 50'!B:B, "")</f>
        <v>17562</v>
      </c>
      <c r="C430" s="4">
        <f>_xlfn.XLOOKUP($A430, Reliance!A:A, Reliance!B:B, "")</f>
        <v>1091.56</v>
      </c>
      <c r="D430" s="4">
        <f>_xlfn.XLOOKUP($A430, HDFC!A:A, HDFC!B:B, "")</f>
        <v>774.05</v>
      </c>
      <c r="E430" s="4">
        <f>_xlfn.XLOOKUP($A430, ITC!A:A, ITC!B:B, "")</f>
        <v>241.5</v>
      </c>
      <c r="F430" s="4">
        <f>_xlfn.XLOOKUP($A430, TCS!A:A, TCS!B:B, "")</f>
        <v>3862.95</v>
      </c>
      <c r="G430" s="4">
        <f>_xlfn.XLOOKUP($A430, Infosys!A:A, Infosys!B:B,"")</f>
        <v>1718.45</v>
      </c>
      <c r="H430" s="4">
        <f>_xlfn.XLOOKUP($A430, 'L &amp; T'!A:A, 'L &amp; T'!B:B, "")</f>
        <v>1720.9</v>
      </c>
    </row>
    <row r="431" spans="1:8" x14ac:dyDescent="0.3">
      <c r="A431" s="1">
        <v>44461</v>
      </c>
      <c r="B431" s="4">
        <f>_xlfn.XLOOKUP($A431, 'Nifty 50'!A:A, 'Nifty 50'!B:B, "")</f>
        <v>17546.650000000001</v>
      </c>
      <c r="C431" s="4">
        <f>_xlfn.XLOOKUP($A431, Reliance!A:A, Reliance!B:B, "")</f>
        <v>1103.28</v>
      </c>
      <c r="D431" s="4">
        <f>_xlfn.XLOOKUP($A431, HDFC!A:A, HDFC!B:B, "")</f>
        <v>764.95</v>
      </c>
      <c r="E431" s="4">
        <f>_xlfn.XLOOKUP($A431, ITC!A:A, ITC!B:B, "")</f>
        <v>243.5</v>
      </c>
      <c r="F431" s="4">
        <f>_xlfn.XLOOKUP($A431, TCS!A:A, TCS!B:B, "")</f>
        <v>3862.15</v>
      </c>
      <c r="G431" s="4">
        <f>_xlfn.XLOOKUP($A431, Infosys!A:A, Infosys!B:B,"")</f>
        <v>1716.9</v>
      </c>
      <c r="H431" s="4">
        <f>_xlfn.XLOOKUP($A431, 'L &amp; T'!A:A, 'L &amp; T'!B:B, "")</f>
        <v>1710.9</v>
      </c>
    </row>
    <row r="432" spans="1:8" x14ac:dyDescent="0.3">
      <c r="A432" s="1">
        <v>44462</v>
      </c>
      <c r="B432" s="4">
        <f>_xlfn.XLOOKUP($A432, 'Nifty 50'!A:A, 'Nifty 50'!B:B, "")</f>
        <v>17822.95</v>
      </c>
      <c r="C432" s="4">
        <f>_xlfn.XLOOKUP($A432, Reliance!A:A, Reliance!B:B, "")</f>
        <v>1130.24</v>
      </c>
      <c r="D432" s="4">
        <f>_xlfn.XLOOKUP($A432, HDFC!A:A, HDFC!B:B, "")</f>
        <v>783.05</v>
      </c>
      <c r="E432" s="4">
        <f>_xlfn.XLOOKUP($A432, ITC!A:A, ITC!B:B, "")</f>
        <v>242.5</v>
      </c>
      <c r="F432" s="4">
        <f>_xlfn.XLOOKUP($A432, TCS!A:A, TCS!B:B, "")</f>
        <v>3869.25</v>
      </c>
      <c r="G432" s="4">
        <f>_xlfn.XLOOKUP($A432, Infosys!A:A, Infosys!B:B,"")</f>
        <v>1742.55</v>
      </c>
      <c r="H432" s="4">
        <f>_xlfn.XLOOKUP($A432, 'L &amp; T'!A:A, 'L &amp; T'!B:B, "")</f>
        <v>1769.7</v>
      </c>
    </row>
    <row r="433" spans="1:8" x14ac:dyDescent="0.3">
      <c r="A433" s="1">
        <v>44463</v>
      </c>
      <c r="B433" s="4">
        <f>_xlfn.XLOOKUP($A433, 'Nifty 50'!A:A, 'Nifty 50'!B:B, "")</f>
        <v>17853.2</v>
      </c>
      <c r="C433" s="4">
        <f>_xlfn.XLOOKUP($A433, Reliance!A:A, Reliance!B:B, "")</f>
        <v>1126.97</v>
      </c>
      <c r="D433" s="4">
        <f>_xlfn.XLOOKUP($A433, HDFC!A:A, HDFC!B:B, "")</f>
        <v>798.79</v>
      </c>
      <c r="E433" s="4">
        <f>_xlfn.XLOOKUP($A433, ITC!A:A, ITC!B:B, "")</f>
        <v>238.45</v>
      </c>
      <c r="F433" s="4">
        <f>_xlfn.XLOOKUP($A433, TCS!A:A, TCS!B:B, "")</f>
        <v>3871.3</v>
      </c>
      <c r="G433" s="4">
        <f>_xlfn.XLOOKUP($A433, Infosys!A:A, Infosys!B:B,"")</f>
        <v>1763.85</v>
      </c>
      <c r="H433" s="4">
        <f>_xlfn.XLOOKUP($A433, 'L &amp; T'!A:A, 'L &amp; T'!B:B, "")</f>
        <v>1768.75</v>
      </c>
    </row>
    <row r="434" spans="1:8" x14ac:dyDescent="0.3">
      <c r="A434" s="1">
        <v>44466</v>
      </c>
      <c r="B434" s="4">
        <f>_xlfn.XLOOKUP($A434, 'Nifty 50'!A:A, 'Nifty 50'!B:B, "")</f>
        <v>17855.099999999999</v>
      </c>
      <c r="C434" s="4">
        <f>_xlfn.XLOOKUP($A434, Reliance!A:A, Reliance!B:B, "")</f>
        <v>1145.92</v>
      </c>
      <c r="D434" s="4">
        <f>_xlfn.XLOOKUP($A434, HDFC!A:A, HDFC!B:B, "")</f>
        <v>810.53</v>
      </c>
      <c r="E434" s="4">
        <f>_xlfn.XLOOKUP($A434, ITC!A:A, ITC!B:B, "")</f>
        <v>238.7</v>
      </c>
      <c r="F434" s="4">
        <f>_xlfn.XLOOKUP($A434, TCS!A:A, TCS!B:B, "")</f>
        <v>3836.95</v>
      </c>
      <c r="G434" s="4">
        <f>_xlfn.XLOOKUP($A434, Infosys!A:A, Infosys!B:B,"")</f>
        <v>1721.15</v>
      </c>
      <c r="H434" s="4">
        <f>_xlfn.XLOOKUP($A434, 'L &amp; T'!A:A, 'L &amp; T'!B:B, "")</f>
        <v>1739.6</v>
      </c>
    </row>
    <row r="435" spans="1:8" x14ac:dyDescent="0.3">
      <c r="A435" s="1">
        <v>44467</v>
      </c>
      <c r="B435" s="4">
        <f>_xlfn.XLOOKUP($A435, 'Nifty 50'!A:A, 'Nifty 50'!B:B, "")</f>
        <v>17748.599999999999</v>
      </c>
      <c r="C435" s="4">
        <f>_xlfn.XLOOKUP($A435, Reliance!A:A, Reliance!B:B, "")</f>
        <v>1156.6400000000001</v>
      </c>
      <c r="D435" s="4">
        <f>_xlfn.XLOOKUP($A435, HDFC!A:A, HDFC!B:B, "")</f>
        <v>805.52</v>
      </c>
      <c r="E435" s="4">
        <f>_xlfn.XLOOKUP($A435, ITC!A:A, ITC!B:B, "")</f>
        <v>237.75</v>
      </c>
      <c r="F435" s="4">
        <f>_xlfn.XLOOKUP($A435, TCS!A:A, TCS!B:B, "")</f>
        <v>3779.15</v>
      </c>
      <c r="G435" s="4">
        <f>_xlfn.XLOOKUP($A435, Infosys!A:A, Infosys!B:B,"")</f>
        <v>1687.1</v>
      </c>
      <c r="H435" s="4">
        <f>_xlfn.XLOOKUP($A435, 'L &amp; T'!A:A, 'L &amp; T'!B:B, "")</f>
        <v>1737.15</v>
      </c>
    </row>
    <row r="436" spans="1:8" x14ac:dyDescent="0.3">
      <c r="A436" s="1">
        <v>44468</v>
      </c>
      <c r="B436" s="4">
        <f>_xlfn.XLOOKUP($A436, 'Nifty 50'!A:A, 'Nifty 50'!B:B, "")</f>
        <v>17711.3</v>
      </c>
      <c r="C436" s="4">
        <f>_xlfn.XLOOKUP($A436, Reliance!A:A, Reliance!B:B, "")</f>
        <v>1147.47</v>
      </c>
      <c r="D436" s="4">
        <f>_xlfn.XLOOKUP($A436, HDFC!A:A, HDFC!B:B, "")</f>
        <v>794.95</v>
      </c>
      <c r="E436" s="4">
        <f>_xlfn.XLOOKUP($A436, ITC!A:A, ITC!B:B, "")</f>
        <v>238.1</v>
      </c>
      <c r="F436" s="4">
        <f>_xlfn.XLOOKUP($A436, TCS!A:A, TCS!B:B, "")</f>
        <v>3791.9</v>
      </c>
      <c r="G436" s="4">
        <f>_xlfn.XLOOKUP($A436, Infosys!A:A, Infosys!B:B,"")</f>
        <v>1692.25</v>
      </c>
      <c r="H436" s="4">
        <f>_xlfn.XLOOKUP($A436, 'L &amp; T'!A:A, 'L &amp; T'!B:B, "")</f>
        <v>1721</v>
      </c>
    </row>
    <row r="437" spans="1:8" x14ac:dyDescent="0.3">
      <c r="A437" s="1">
        <v>44469</v>
      </c>
      <c r="B437" s="4">
        <f>_xlfn.XLOOKUP($A437, 'Nifty 50'!A:A, 'Nifty 50'!B:B, "")</f>
        <v>17618.150000000001</v>
      </c>
      <c r="C437" s="4">
        <f>_xlfn.XLOOKUP($A437, Reliance!A:A, Reliance!B:B, "")</f>
        <v>1143.56</v>
      </c>
      <c r="D437" s="4">
        <f>_xlfn.XLOOKUP($A437, HDFC!A:A, HDFC!B:B, "")</f>
        <v>795.5</v>
      </c>
      <c r="E437" s="4">
        <f>_xlfn.XLOOKUP($A437, ITC!A:A, ITC!B:B, "")</f>
        <v>236.15</v>
      </c>
      <c r="F437" s="4">
        <f>_xlfn.XLOOKUP($A437, TCS!A:A, TCS!B:B, "")</f>
        <v>3775.55</v>
      </c>
      <c r="G437" s="4">
        <f>_xlfn.XLOOKUP($A437, Infosys!A:A, Infosys!B:B,"")</f>
        <v>1675.2</v>
      </c>
      <c r="H437" s="4">
        <f>_xlfn.XLOOKUP($A437, 'L &amp; T'!A:A, 'L &amp; T'!B:B, "")</f>
        <v>1702.95</v>
      </c>
    </row>
    <row r="438" spans="1:8" x14ac:dyDescent="0.3">
      <c r="A438" s="1">
        <v>44470</v>
      </c>
      <c r="B438" s="4">
        <f>_xlfn.XLOOKUP($A438, 'Nifty 50'!A:A, 'Nifty 50'!B:B, "")</f>
        <v>17532.05</v>
      </c>
      <c r="C438" s="4">
        <f>_xlfn.XLOOKUP($A438, Reliance!A:A, Reliance!B:B, "")</f>
        <v>1145.58</v>
      </c>
      <c r="D438" s="4">
        <f>_xlfn.XLOOKUP($A438, HDFC!A:A, HDFC!B:B, "")</f>
        <v>789.39</v>
      </c>
      <c r="E438" s="4">
        <f>_xlfn.XLOOKUP($A438, ITC!A:A, ITC!B:B, "")</f>
        <v>235.35</v>
      </c>
      <c r="F438" s="4">
        <f>_xlfn.XLOOKUP($A438, TCS!A:A, TCS!B:B, "")</f>
        <v>3730.2</v>
      </c>
      <c r="G438" s="4">
        <f>_xlfn.XLOOKUP($A438, Infosys!A:A, Infosys!B:B,"")</f>
        <v>1665.15</v>
      </c>
      <c r="H438" s="4">
        <f>_xlfn.XLOOKUP($A438, 'L &amp; T'!A:A, 'L &amp; T'!B:B, "")</f>
        <v>1696.9</v>
      </c>
    </row>
    <row r="439" spans="1:8" x14ac:dyDescent="0.3">
      <c r="A439" s="1">
        <v>44473</v>
      </c>
      <c r="B439" s="4">
        <f>_xlfn.XLOOKUP($A439, 'Nifty 50'!A:A, 'Nifty 50'!B:B, "")</f>
        <v>17691.25</v>
      </c>
      <c r="C439" s="4">
        <f>_xlfn.XLOOKUP($A439, Reliance!A:A, Reliance!B:B, "")</f>
        <v>1160.31</v>
      </c>
      <c r="D439" s="4">
        <f>_xlfn.XLOOKUP($A439, HDFC!A:A, HDFC!B:B, "")</f>
        <v>790.91</v>
      </c>
      <c r="E439" s="4">
        <f>_xlfn.XLOOKUP($A439, ITC!A:A, ITC!B:B, "")</f>
        <v>236.6</v>
      </c>
      <c r="F439" s="4">
        <f>_xlfn.XLOOKUP($A439, TCS!A:A, TCS!B:B, "")</f>
        <v>3773.3</v>
      </c>
      <c r="G439" s="4">
        <f>_xlfn.XLOOKUP($A439, Infosys!A:A, Infosys!B:B,"")</f>
        <v>1678.75</v>
      </c>
      <c r="H439" s="4">
        <f>_xlfn.XLOOKUP($A439, 'L &amp; T'!A:A, 'L &amp; T'!B:B, "")</f>
        <v>1715.25</v>
      </c>
    </row>
    <row r="440" spans="1:8" x14ac:dyDescent="0.3">
      <c r="A440" s="1">
        <v>44474</v>
      </c>
      <c r="B440" s="4">
        <f>_xlfn.XLOOKUP($A440, 'Nifty 50'!A:A, 'Nifty 50'!B:B, "")</f>
        <v>17822.3</v>
      </c>
      <c r="C440" s="4">
        <f>_xlfn.XLOOKUP($A440, Reliance!A:A, Reliance!B:B, "")</f>
        <v>1184.3900000000001</v>
      </c>
      <c r="D440" s="4">
        <f>_xlfn.XLOOKUP($A440, HDFC!A:A, HDFC!B:B, "")</f>
        <v>795.75</v>
      </c>
      <c r="E440" s="4">
        <f>_xlfn.XLOOKUP($A440, ITC!A:A, ITC!B:B, "")</f>
        <v>234.7</v>
      </c>
      <c r="F440" s="4">
        <f>_xlfn.XLOOKUP($A440, TCS!A:A, TCS!B:B, "")</f>
        <v>3833.3</v>
      </c>
      <c r="G440" s="4">
        <f>_xlfn.XLOOKUP($A440, Infosys!A:A, Infosys!B:B,"")</f>
        <v>1692.8</v>
      </c>
      <c r="H440" s="4">
        <f>_xlfn.XLOOKUP($A440, 'L &amp; T'!A:A, 'L &amp; T'!B:B, "")</f>
        <v>1716.7</v>
      </c>
    </row>
    <row r="441" spans="1:8" x14ac:dyDescent="0.3">
      <c r="A441" s="1">
        <v>44475</v>
      </c>
      <c r="B441" s="4">
        <f>_xlfn.XLOOKUP($A441, 'Nifty 50'!A:A, 'Nifty 50'!B:B, "")</f>
        <v>17646</v>
      </c>
      <c r="C441" s="4">
        <f>_xlfn.XLOOKUP($A441, Reliance!A:A, Reliance!B:B, "")</f>
        <v>1161.99</v>
      </c>
      <c r="D441" s="4">
        <f>_xlfn.XLOOKUP($A441, HDFC!A:A, HDFC!B:B, "")</f>
        <v>805.45</v>
      </c>
      <c r="E441" s="4">
        <f>_xlfn.XLOOKUP($A441, ITC!A:A, ITC!B:B, "")</f>
        <v>231.25</v>
      </c>
      <c r="F441" s="4">
        <f>_xlfn.XLOOKUP($A441, TCS!A:A, TCS!B:B, "")</f>
        <v>3810.9</v>
      </c>
      <c r="G441" s="4">
        <f>_xlfn.XLOOKUP($A441, Infosys!A:A, Infosys!B:B,"")</f>
        <v>1673.55</v>
      </c>
      <c r="H441" s="4">
        <f>_xlfn.XLOOKUP($A441, 'L &amp; T'!A:A, 'L &amp; T'!B:B, "")</f>
        <v>1695.05</v>
      </c>
    </row>
    <row r="442" spans="1:8" x14ac:dyDescent="0.3">
      <c r="A442" s="1">
        <v>44476</v>
      </c>
      <c r="B442" s="4">
        <f>_xlfn.XLOOKUP($A442, 'Nifty 50'!A:A, 'Nifty 50'!B:B, "")</f>
        <v>17790.349999999999</v>
      </c>
      <c r="C442" s="4">
        <f>_xlfn.XLOOKUP($A442, Reliance!A:A, Reliance!B:B, "")</f>
        <v>1167.69</v>
      </c>
      <c r="D442" s="4">
        <f>_xlfn.XLOOKUP($A442, HDFC!A:A, HDFC!B:B, "")</f>
        <v>803.25</v>
      </c>
      <c r="E442" s="4">
        <f>_xlfn.XLOOKUP($A442, ITC!A:A, ITC!B:B, "")</f>
        <v>232.95</v>
      </c>
      <c r="F442" s="4">
        <f>_xlfn.XLOOKUP($A442, TCS!A:A, TCS!B:B, "")</f>
        <v>3892.9</v>
      </c>
      <c r="G442" s="4">
        <f>_xlfn.XLOOKUP($A442, Infosys!A:A, Infosys!B:B,"")</f>
        <v>1691</v>
      </c>
      <c r="H442" s="4">
        <f>_xlfn.XLOOKUP($A442, 'L &amp; T'!A:A, 'L &amp; T'!B:B, "")</f>
        <v>1712.45</v>
      </c>
    </row>
    <row r="443" spans="1:8" x14ac:dyDescent="0.3">
      <c r="A443" s="1">
        <v>44477</v>
      </c>
      <c r="B443" s="4">
        <f>_xlfn.XLOOKUP($A443, 'Nifty 50'!A:A, 'Nifty 50'!B:B, "")</f>
        <v>17895.2</v>
      </c>
      <c r="C443" s="4">
        <f>_xlfn.XLOOKUP($A443, Reliance!A:A, Reliance!B:B, "")</f>
        <v>1212.56</v>
      </c>
      <c r="D443" s="4">
        <f>_xlfn.XLOOKUP($A443, HDFC!A:A, HDFC!B:B, "")</f>
        <v>799.34</v>
      </c>
      <c r="E443" s="4">
        <f>_xlfn.XLOOKUP($A443, ITC!A:A, ITC!B:B, "")</f>
        <v>231.7</v>
      </c>
      <c r="F443" s="4">
        <f>_xlfn.XLOOKUP($A443, TCS!A:A, TCS!B:B, "")</f>
        <v>3935.65</v>
      </c>
      <c r="G443" s="4">
        <f>_xlfn.XLOOKUP($A443, Infosys!A:A, Infosys!B:B,"")</f>
        <v>1723.85</v>
      </c>
      <c r="H443" s="4">
        <f>_xlfn.XLOOKUP($A443, 'L &amp; T'!A:A, 'L &amp; T'!B:B, "")</f>
        <v>1726.9</v>
      </c>
    </row>
    <row r="444" spans="1:8" x14ac:dyDescent="0.3">
      <c r="A444" s="1">
        <v>44480</v>
      </c>
      <c r="B444" s="4">
        <f>_xlfn.XLOOKUP($A444, 'Nifty 50'!A:A, 'Nifty 50'!B:B, "")</f>
        <v>17945.95</v>
      </c>
      <c r="C444" s="4">
        <f>_xlfn.XLOOKUP($A444, Reliance!A:A, Reliance!B:B, "")</f>
        <v>1204.1199999999999</v>
      </c>
      <c r="D444" s="4">
        <f>_xlfn.XLOOKUP($A444, HDFC!A:A, HDFC!B:B, "")</f>
        <v>814.87</v>
      </c>
      <c r="E444" s="4">
        <f>_xlfn.XLOOKUP($A444, ITC!A:A, ITC!B:B, "")</f>
        <v>238.05</v>
      </c>
      <c r="F444" s="4">
        <f>_xlfn.XLOOKUP($A444, TCS!A:A, TCS!B:B, "")</f>
        <v>3685.6</v>
      </c>
      <c r="G444" s="4">
        <f>_xlfn.XLOOKUP($A444, Infosys!A:A, Infosys!B:B,"")</f>
        <v>1690.95</v>
      </c>
      <c r="H444" s="4">
        <f>_xlfn.XLOOKUP($A444, 'L &amp; T'!A:A, 'L &amp; T'!B:B, "")</f>
        <v>1716.9</v>
      </c>
    </row>
    <row r="445" spans="1:8" x14ac:dyDescent="0.3">
      <c r="A445" s="1">
        <v>44481</v>
      </c>
      <c r="B445" s="4">
        <f>_xlfn.XLOOKUP($A445, 'Nifty 50'!A:A, 'Nifty 50'!B:B, "")</f>
        <v>17991.95</v>
      </c>
      <c r="C445" s="4">
        <f>_xlfn.XLOOKUP($A445, Reliance!A:A, Reliance!B:B, "")</f>
        <v>1210.99</v>
      </c>
      <c r="D445" s="4">
        <f>_xlfn.XLOOKUP($A445, HDFC!A:A, HDFC!B:B, "")</f>
        <v>812.78</v>
      </c>
      <c r="E445" s="4">
        <f>_xlfn.XLOOKUP($A445, ITC!A:A, ITC!B:B, "")</f>
        <v>241.3</v>
      </c>
      <c r="F445" s="4">
        <f>_xlfn.XLOOKUP($A445, TCS!A:A, TCS!B:B, "")</f>
        <v>3652.85</v>
      </c>
      <c r="G445" s="4">
        <f>_xlfn.XLOOKUP($A445, Infosys!A:A, Infosys!B:B,"")</f>
        <v>1685.15</v>
      </c>
      <c r="H445" s="4">
        <f>_xlfn.XLOOKUP($A445, 'L &amp; T'!A:A, 'L &amp; T'!B:B, "")</f>
        <v>1718.2</v>
      </c>
    </row>
    <row r="446" spans="1:8" x14ac:dyDescent="0.3">
      <c r="A446" s="1">
        <v>44482</v>
      </c>
      <c r="B446" s="4">
        <f>_xlfn.XLOOKUP($A446, 'Nifty 50'!A:A, 'Nifty 50'!B:B, "")</f>
        <v>18161.75</v>
      </c>
      <c r="C446" s="4">
        <f>_xlfn.XLOOKUP($A446, Reliance!A:A, Reliance!B:B, "")</f>
        <v>1223.32</v>
      </c>
      <c r="D446" s="4">
        <f>_xlfn.XLOOKUP($A446, HDFC!A:A, HDFC!B:B, "")</f>
        <v>817.67</v>
      </c>
      <c r="E446" s="4">
        <f>_xlfn.XLOOKUP($A446, ITC!A:A, ITC!B:B, "")</f>
        <v>249.2</v>
      </c>
      <c r="F446" s="4">
        <f>_xlfn.XLOOKUP($A446, TCS!A:A, TCS!B:B, "")</f>
        <v>3655.2</v>
      </c>
      <c r="G446" s="4">
        <f>_xlfn.XLOOKUP($A446, Infosys!A:A, Infosys!B:B,"")</f>
        <v>1709.2</v>
      </c>
      <c r="H446" s="4">
        <f>_xlfn.XLOOKUP($A446, 'L &amp; T'!A:A, 'L &amp; T'!B:B, "")</f>
        <v>1752.05</v>
      </c>
    </row>
    <row r="447" spans="1:8" x14ac:dyDescent="0.3">
      <c r="A447" s="1">
        <v>44483</v>
      </c>
      <c r="B447" s="4">
        <f>_xlfn.XLOOKUP($A447, 'Nifty 50'!A:A, 'Nifty 50'!B:B, "")</f>
        <v>18338.55</v>
      </c>
      <c r="C447" s="4">
        <f>_xlfn.XLOOKUP($A447, Reliance!A:A, Reliance!B:B, "")</f>
        <v>1225.79</v>
      </c>
      <c r="D447" s="4">
        <f>_xlfn.XLOOKUP($A447, HDFC!A:A, HDFC!B:B, "")</f>
        <v>841.61</v>
      </c>
      <c r="E447" s="4">
        <f>_xlfn.XLOOKUP($A447, ITC!A:A, ITC!B:B, "")</f>
        <v>256.55</v>
      </c>
      <c r="F447" s="4">
        <f>_xlfn.XLOOKUP($A447, TCS!A:A, TCS!B:B, "")</f>
        <v>3611.45</v>
      </c>
      <c r="G447" s="4">
        <f>_xlfn.XLOOKUP($A447, Infosys!A:A, Infosys!B:B,"")</f>
        <v>1715.75</v>
      </c>
      <c r="H447" s="4">
        <f>_xlfn.XLOOKUP($A447, 'L &amp; T'!A:A, 'L &amp; T'!B:B, "")</f>
        <v>1789.3</v>
      </c>
    </row>
    <row r="448" spans="1:8" x14ac:dyDescent="0.3">
      <c r="A448" s="1">
        <v>44487</v>
      </c>
      <c r="B448" s="4">
        <f>_xlfn.XLOOKUP($A448, 'Nifty 50'!A:A, 'Nifty 50'!B:B, "")</f>
        <v>18477.05</v>
      </c>
      <c r="C448" s="4">
        <f>_xlfn.XLOOKUP($A448, Reliance!A:A, Reliance!B:B, "")</f>
        <v>1229.06</v>
      </c>
      <c r="D448" s="4">
        <f>_xlfn.XLOOKUP($A448, HDFC!A:A, HDFC!B:B, "")</f>
        <v>833.08</v>
      </c>
      <c r="E448" s="4">
        <f>_xlfn.XLOOKUP($A448, ITC!A:A, ITC!B:B, "")</f>
        <v>262.55</v>
      </c>
      <c r="F448" s="4">
        <f>_xlfn.XLOOKUP($A448, TCS!A:A, TCS!B:B, "")</f>
        <v>3647.15</v>
      </c>
      <c r="G448" s="4">
        <f>_xlfn.XLOOKUP($A448, Infosys!A:A, Infosys!B:B,"")</f>
        <v>1792.15</v>
      </c>
      <c r="H448" s="4">
        <f>_xlfn.XLOOKUP($A448, 'L &amp; T'!A:A, 'L &amp; T'!B:B, "")</f>
        <v>1788.45</v>
      </c>
    </row>
    <row r="449" spans="1:8" x14ac:dyDescent="0.3">
      <c r="A449" s="1">
        <v>44488</v>
      </c>
      <c r="B449" s="4">
        <f>_xlfn.XLOOKUP($A449, 'Nifty 50'!A:A, 'Nifty 50'!B:B, "")</f>
        <v>18418.75</v>
      </c>
      <c r="C449" s="4">
        <f>_xlfn.XLOOKUP($A449, Reliance!A:A, Reliance!B:B, "")</f>
        <v>1240.07</v>
      </c>
      <c r="D449" s="4">
        <f>_xlfn.XLOOKUP($A449, HDFC!A:A, HDFC!B:B, "")</f>
        <v>842.25</v>
      </c>
      <c r="E449" s="4">
        <f>_xlfn.XLOOKUP($A449, ITC!A:A, ITC!B:B, "")</f>
        <v>245.95</v>
      </c>
      <c r="F449" s="4">
        <f>_xlfn.XLOOKUP($A449, TCS!A:A, TCS!B:B, "")</f>
        <v>3634.15</v>
      </c>
      <c r="G449" s="4">
        <f>_xlfn.XLOOKUP($A449, Infosys!A:A, Infosys!B:B,"")</f>
        <v>1822.15</v>
      </c>
      <c r="H449" s="4">
        <f>_xlfn.XLOOKUP($A449, 'L &amp; T'!A:A, 'L &amp; T'!B:B, "")</f>
        <v>1846.05</v>
      </c>
    </row>
    <row r="450" spans="1:8" x14ac:dyDescent="0.3">
      <c r="A450" s="1">
        <v>44489</v>
      </c>
      <c r="B450" s="4">
        <f>_xlfn.XLOOKUP($A450, 'Nifty 50'!A:A, 'Nifty 50'!B:B, "")</f>
        <v>18266.599999999999</v>
      </c>
      <c r="C450" s="4">
        <f>_xlfn.XLOOKUP($A450, Reliance!A:A, Reliance!B:B, "")</f>
        <v>1225.79</v>
      </c>
      <c r="D450" s="4">
        <f>_xlfn.XLOOKUP($A450, HDFC!A:A, HDFC!B:B, "")</f>
        <v>834.85</v>
      </c>
      <c r="E450" s="4">
        <f>_xlfn.XLOOKUP($A450, ITC!A:A, ITC!B:B, "")</f>
        <v>246.6</v>
      </c>
      <c r="F450" s="4">
        <f>_xlfn.XLOOKUP($A450, TCS!A:A, TCS!B:B, "")</f>
        <v>3608.85</v>
      </c>
      <c r="G450" s="4">
        <f>_xlfn.XLOOKUP($A450, Infosys!A:A, Infosys!B:B,"")</f>
        <v>1802.35</v>
      </c>
      <c r="H450" s="4">
        <f>_xlfn.XLOOKUP($A450, 'L &amp; T'!A:A, 'L &amp; T'!B:B, "")</f>
        <v>1806.7</v>
      </c>
    </row>
    <row r="451" spans="1:8" x14ac:dyDescent="0.3">
      <c r="A451" s="1">
        <v>44490</v>
      </c>
      <c r="B451" s="4">
        <f>_xlfn.XLOOKUP($A451, 'Nifty 50'!A:A, 'Nifty 50'!B:B, "")</f>
        <v>18178.099999999999</v>
      </c>
      <c r="C451" s="4">
        <f>_xlfn.XLOOKUP($A451, Reliance!A:A, Reliance!B:B, "")</f>
        <v>1190.43</v>
      </c>
      <c r="D451" s="4">
        <f>_xlfn.XLOOKUP($A451, HDFC!A:A, HDFC!B:B, "")</f>
        <v>836.07</v>
      </c>
      <c r="E451" s="4">
        <f>_xlfn.XLOOKUP($A451, ITC!A:A, ITC!B:B, "")</f>
        <v>244.7</v>
      </c>
      <c r="F451" s="4">
        <f>_xlfn.XLOOKUP($A451, TCS!A:A, TCS!B:B, "")</f>
        <v>3532.5</v>
      </c>
      <c r="G451" s="4">
        <f>_xlfn.XLOOKUP($A451, Infosys!A:A, Infosys!B:B,"")</f>
        <v>1753.65</v>
      </c>
      <c r="H451" s="4">
        <f>_xlfn.XLOOKUP($A451, 'L &amp; T'!A:A, 'L &amp; T'!B:B, "")</f>
        <v>1805.75</v>
      </c>
    </row>
    <row r="452" spans="1:8" x14ac:dyDescent="0.3">
      <c r="A452" s="1">
        <v>44491</v>
      </c>
      <c r="B452" s="4">
        <f>_xlfn.XLOOKUP($A452, 'Nifty 50'!A:A, 'Nifty 50'!B:B, "")</f>
        <v>18114.900000000001</v>
      </c>
      <c r="C452" s="4">
        <f>_xlfn.XLOOKUP($A452, Reliance!A:A, Reliance!B:B, "")</f>
        <v>1192.6500000000001</v>
      </c>
      <c r="D452" s="4">
        <f>_xlfn.XLOOKUP($A452, HDFC!A:A, HDFC!B:B, "")</f>
        <v>838.29</v>
      </c>
      <c r="E452" s="4">
        <f>_xlfn.XLOOKUP($A452, ITC!A:A, ITC!B:B, "")</f>
        <v>236.6</v>
      </c>
      <c r="F452" s="4">
        <f>_xlfn.XLOOKUP($A452, TCS!A:A, TCS!B:B, "")</f>
        <v>3498.85</v>
      </c>
      <c r="G452" s="4">
        <f>_xlfn.XLOOKUP($A452, Infosys!A:A, Infosys!B:B,"")</f>
        <v>1719.8</v>
      </c>
      <c r="H452" s="4">
        <f>_xlfn.XLOOKUP($A452, 'L &amp; T'!A:A, 'L &amp; T'!B:B, "")</f>
        <v>1792.25</v>
      </c>
    </row>
    <row r="453" spans="1:8" x14ac:dyDescent="0.3">
      <c r="A453" s="1">
        <v>44494</v>
      </c>
      <c r="B453" s="4">
        <f>_xlfn.XLOOKUP($A453, 'Nifty 50'!A:A, 'Nifty 50'!B:B, "")</f>
        <v>18125.400000000001</v>
      </c>
      <c r="C453" s="4">
        <f>_xlfn.XLOOKUP($A453, Reliance!A:A, Reliance!B:B, "")</f>
        <v>1181.03</v>
      </c>
      <c r="D453" s="4">
        <f>_xlfn.XLOOKUP($A453, HDFC!A:A, HDFC!B:B, "")</f>
        <v>826.44</v>
      </c>
      <c r="E453" s="4">
        <f>_xlfn.XLOOKUP($A453, ITC!A:A, ITC!B:B, "")</f>
        <v>233.4</v>
      </c>
      <c r="F453" s="4">
        <f>_xlfn.XLOOKUP($A453, TCS!A:A, TCS!B:B, "")</f>
        <v>3492.95</v>
      </c>
      <c r="G453" s="4">
        <f>_xlfn.XLOOKUP($A453, Infosys!A:A, Infosys!B:B,"")</f>
        <v>1707.55</v>
      </c>
      <c r="H453" s="4">
        <f>_xlfn.XLOOKUP($A453, 'L &amp; T'!A:A, 'L &amp; T'!B:B, "")</f>
        <v>1784.15</v>
      </c>
    </row>
    <row r="454" spans="1:8" x14ac:dyDescent="0.3">
      <c r="A454" s="1">
        <v>44495</v>
      </c>
      <c r="B454" s="4">
        <f>_xlfn.XLOOKUP($A454, 'Nifty 50'!A:A, 'Nifty 50'!B:B, "")</f>
        <v>18268.400000000001</v>
      </c>
      <c r="C454" s="4">
        <f>_xlfn.XLOOKUP($A454, Reliance!A:A, Reliance!B:B, "")</f>
        <v>1207.93</v>
      </c>
      <c r="D454" s="4">
        <f>_xlfn.XLOOKUP($A454, HDFC!A:A, HDFC!B:B, "")</f>
        <v>824.32</v>
      </c>
      <c r="E454" s="4">
        <f>_xlfn.XLOOKUP($A454, ITC!A:A, ITC!B:B, "")</f>
        <v>236.7</v>
      </c>
      <c r="F454" s="4">
        <f>_xlfn.XLOOKUP($A454, TCS!A:A, TCS!B:B, "")</f>
        <v>3482.6</v>
      </c>
      <c r="G454" s="4">
        <f>_xlfn.XLOOKUP($A454, Infosys!A:A, Infosys!B:B,"")</f>
        <v>1703.7</v>
      </c>
      <c r="H454" s="4">
        <f>_xlfn.XLOOKUP($A454, 'L &amp; T'!A:A, 'L &amp; T'!B:B, "")</f>
        <v>1796.25</v>
      </c>
    </row>
    <row r="455" spans="1:8" x14ac:dyDescent="0.3">
      <c r="A455" s="1">
        <v>44496</v>
      </c>
      <c r="B455" s="4">
        <f>_xlfn.XLOOKUP($A455, 'Nifty 50'!A:A, 'Nifty 50'!B:B, "")</f>
        <v>18210.95</v>
      </c>
      <c r="C455" s="4">
        <f>_xlfn.XLOOKUP($A455, Reliance!A:A, Reliance!B:B, "")</f>
        <v>1192.6500000000001</v>
      </c>
      <c r="D455" s="4">
        <f>_xlfn.XLOOKUP($A455, HDFC!A:A, HDFC!B:B, "")</f>
        <v>819.36</v>
      </c>
      <c r="E455" s="4">
        <f>_xlfn.XLOOKUP($A455, ITC!A:A, ITC!B:B, "")</f>
        <v>238.45</v>
      </c>
      <c r="F455" s="4">
        <f>_xlfn.XLOOKUP($A455, TCS!A:A, TCS!B:B, "")</f>
        <v>3489.75</v>
      </c>
      <c r="G455" s="4">
        <f>_xlfn.XLOOKUP($A455, Infosys!A:A, Infosys!B:B,"")</f>
        <v>1728.95</v>
      </c>
      <c r="H455" s="4">
        <f>_xlfn.XLOOKUP($A455, 'L &amp; T'!A:A, 'L &amp; T'!B:B, "")</f>
        <v>1784.55</v>
      </c>
    </row>
    <row r="456" spans="1:8" x14ac:dyDescent="0.3">
      <c r="A456" s="1">
        <v>44497</v>
      </c>
      <c r="B456" s="4">
        <f>_xlfn.XLOOKUP($A456, 'Nifty 50'!A:A, 'Nifty 50'!B:B, "")</f>
        <v>17857.25</v>
      </c>
      <c r="C456" s="4">
        <f>_xlfn.XLOOKUP($A456, Reliance!A:A, Reliance!B:B, "")</f>
        <v>1179.58</v>
      </c>
      <c r="D456" s="4">
        <f>_xlfn.XLOOKUP($A456, HDFC!A:A, HDFC!B:B, "")</f>
        <v>794.82</v>
      </c>
      <c r="E456" s="4">
        <f>_xlfn.XLOOKUP($A456, ITC!A:A, ITC!B:B, "")</f>
        <v>225.1</v>
      </c>
      <c r="F456" s="4">
        <f>_xlfn.XLOOKUP($A456, TCS!A:A, TCS!B:B, "")</f>
        <v>3421.65</v>
      </c>
      <c r="G456" s="4">
        <f>_xlfn.XLOOKUP($A456, Infosys!A:A, Infosys!B:B,"")</f>
        <v>1703.9</v>
      </c>
      <c r="H456" s="4">
        <f>_xlfn.XLOOKUP($A456, 'L &amp; T'!A:A, 'L &amp; T'!B:B, "")</f>
        <v>1814.25</v>
      </c>
    </row>
    <row r="457" spans="1:8" x14ac:dyDescent="0.3">
      <c r="A457" s="1">
        <v>44498</v>
      </c>
      <c r="B457" s="4">
        <f>_xlfn.XLOOKUP($A457, 'Nifty 50'!A:A, 'Nifty 50'!B:B, "")</f>
        <v>17671.650000000001</v>
      </c>
      <c r="C457" s="4">
        <f>_xlfn.XLOOKUP($A457, Reliance!A:A, Reliance!B:B, "")</f>
        <v>1151.28</v>
      </c>
      <c r="D457" s="4">
        <f>_xlfn.XLOOKUP($A457, HDFC!A:A, HDFC!B:B, "")</f>
        <v>789.46</v>
      </c>
      <c r="E457" s="4">
        <f>_xlfn.XLOOKUP($A457, ITC!A:A, ITC!B:B, "")</f>
        <v>223.2</v>
      </c>
      <c r="F457" s="4">
        <f>_xlfn.XLOOKUP($A457, TCS!A:A, TCS!B:B, "")</f>
        <v>3397.75</v>
      </c>
      <c r="G457" s="4">
        <f>_xlfn.XLOOKUP($A457, Infosys!A:A, Infosys!B:B,"")</f>
        <v>1667.75</v>
      </c>
      <c r="H457" s="4">
        <f>_xlfn.XLOOKUP($A457, 'L &amp; T'!A:A, 'L &amp; T'!B:B, "")</f>
        <v>1766.65</v>
      </c>
    </row>
    <row r="458" spans="1:8" x14ac:dyDescent="0.3">
      <c r="A458" s="1">
        <v>44501</v>
      </c>
      <c r="B458" s="4">
        <f>_xlfn.XLOOKUP($A458, 'Nifty 50'!A:A, 'Nifty 50'!B:B, "")</f>
        <v>17929.650000000001</v>
      </c>
      <c r="C458" s="4">
        <f>_xlfn.XLOOKUP($A458, Reliance!A:A, Reliance!B:B, "")</f>
        <v>1151.98</v>
      </c>
      <c r="D458" s="4">
        <f>_xlfn.XLOOKUP($A458, HDFC!A:A, HDFC!B:B, "")</f>
        <v>800.66</v>
      </c>
      <c r="E458" s="4">
        <f>_xlfn.XLOOKUP($A458, ITC!A:A, ITC!B:B, "")</f>
        <v>226.85</v>
      </c>
      <c r="F458" s="4">
        <f>_xlfn.XLOOKUP($A458, TCS!A:A, TCS!B:B, "")</f>
        <v>3476.4</v>
      </c>
      <c r="G458" s="4">
        <f>_xlfn.XLOOKUP($A458, Infosys!A:A, Infosys!B:B,"")</f>
        <v>1700.05</v>
      </c>
      <c r="H458" s="4">
        <f>_xlfn.XLOOKUP($A458, 'L &amp; T'!A:A, 'L &amp; T'!B:B, "")</f>
        <v>1795.35</v>
      </c>
    </row>
    <row r="459" spans="1:8" x14ac:dyDescent="0.3">
      <c r="A459" s="1">
        <v>44502</v>
      </c>
      <c r="B459" s="4">
        <f>_xlfn.XLOOKUP($A459, 'Nifty 50'!A:A, 'Nifty 50'!B:B, "")</f>
        <v>17888.95</v>
      </c>
      <c r="C459" s="4">
        <f>_xlfn.XLOOKUP($A459, Reliance!A:A, Reliance!B:B, "")</f>
        <v>1135.19</v>
      </c>
      <c r="D459" s="4">
        <f>_xlfn.XLOOKUP($A459, HDFC!A:A, HDFC!B:B, "")</f>
        <v>801.38</v>
      </c>
      <c r="E459" s="4">
        <f>_xlfn.XLOOKUP($A459, ITC!A:A, ITC!B:B, "")</f>
        <v>225.6</v>
      </c>
      <c r="F459" s="4">
        <f>_xlfn.XLOOKUP($A459, TCS!A:A, TCS!B:B, "")</f>
        <v>3484.2</v>
      </c>
      <c r="G459" s="4">
        <f>_xlfn.XLOOKUP($A459, Infosys!A:A, Infosys!B:B,"")</f>
        <v>1697.9</v>
      </c>
      <c r="H459" s="4">
        <f>_xlfn.XLOOKUP($A459, 'L &amp; T'!A:A, 'L &amp; T'!B:B, "")</f>
        <v>1815.65</v>
      </c>
    </row>
    <row r="460" spans="1:8" x14ac:dyDescent="0.3">
      <c r="A460" s="1">
        <v>44503</v>
      </c>
      <c r="B460" s="4">
        <f>_xlfn.XLOOKUP($A460, 'Nifty 50'!A:A, 'Nifty 50'!B:B, "")</f>
        <v>17829.2</v>
      </c>
      <c r="C460" s="4">
        <f>_xlfn.XLOOKUP($A460, Reliance!A:A, Reliance!B:B, "")</f>
        <v>1127.3800000000001</v>
      </c>
      <c r="D460" s="4">
        <f>_xlfn.XLOOKUP($A460, HDFC!A:A, HDFC!B:B, "")</f>
        <v>788.76</v>
      </c>
      <c r="E460" s="4">
        <f>_xlfn.XLOOKUP($A460, ITC!A:A, ITC!B:B, "")</f>
        <v>222.45</v>
      </c>
      <c r="F460" s="4">
        <f>_xlfn.XLOOKUP($A460, TCS!A:A, TCS!B:B, "")</f>
        <v>3492.25</v>
      </c>
      <c r="G460" s="4">
        <f>_xlfn.XLOOKUP($A460, Infosys!A:A, Infosys!B:B,"")</f>
        <v>1702.5</v>
      </c>
      <c r="H460" s="4">
        <f>_xlfn.XLOOKUP($A460, 'L &amp; T'!A:A, 'L &amp; T'!B:B, "")</f>
        <v>1889.5</v>
      </c>
    </row>
    <row r="461" spans="1:8" x14ac:dyDescent="0.3">
      <c r="A461" s="1">
        <v>44504</v>
      </c>
      <c r="B461" s="4">
        <f>_xlfn.XLOOKUP($A461, 'Nifty 50'!A:A, 'Nifty 50'!B:B, "")</f>
        <v>17916.8</v>
      </c>
      <c r="C461" s="4">
        <f>_xlfn.XLOOKUP($A461, Reliance!A:A, Reliance!B:B, "")</f>
        <v>1134.3</v>
      </c>
      <c r="D461" s="4">
        <f>_xlfn.XLOOKUP($A461, HDFC!A:A, HDFC!B:B, "")</f>
        <v>795</v>
      </c>
      <c r="E461" s="4">
        <f>_xlfn.XLOOKUP($A461, ITC!A:A, ITC!B:B, "")</f>
        <v>226.55</v>
      </c>
      <c r="F461" s="4">
        <f>_xlfn.XLOOKUP($A461, TCS!A:A, TCS!B:B, "")</f>
        <v>3508.65</v>
      </c>
      <c r="G461" s="4">
        <f>_xlfn.XLOOKUP($A461, Infosys!A:A, Infosys!B:B,"")</f>
        <v>1708.7</v>
      </c>
      <c r="H461" s="4">
        <f>_xlfn.XLOOKUP($A461, 'L &amp; T'!A:A, 'L &amp; T'!B:B, "")</f>
        <v>1908.95</v>
      </c>
    </row>
    <row r="462" spans="1:8" x14ac:dyDescent="0.3">
      <c r="A462" s="1">
        <v>44508</v>
      </c>
      <c r="B462" s="4">
        <f>_xlfn.XLOOKUP($A462, 'Nifty 50'!A:A, 'Nifty 50'!B:B, "")</f>
        <v>18068.55</v>
      </c>
      <c r="C462" s="4">
        <f>_xlfn.XLOOKUP($A462, Reliance!A:A, Reliance!B:B, "")</f>
        <v>1135.71</v>
      </c>
      <c r="D462" s="4">
        <f>_xlfn.XLOOKUP($A462, HDFC!A:A, HDFC!B:B, "")</f>
        <v>798.14</v>
      </c>
      <c r="E462" s="4">
        <f>_xlfn.XLOOKUP($A462, ITC!A:A, ITC!B:B, "")</f>
        <v>229.8</v>
      </c>
      <c r="F462" s="4">
        <f>_xlfn.XLOOKUP($A462, TCS!A:A, TCS!B:B, "")</f>
        <v>3502.75</v>
      </c>
      <c r="G462" s="4">
        <f>_xlfn.XLOOKUP($A462, Infosys!A:A, Infosys!B:B,"")</f>
        <v>1737.5</v>
      </c>
      <c r="H462" s="4">
        <f>_xlfn.XLOOKUP($A462, 'L &amp; T'!A:A, 'L &amp; T'!B:B, "")</f>
        <v>1924.55</v>
      </c>
    </row>
    <row r="463" spans="1:8" x14ac:dyDescent="0.3">
      <c r="A463" s="1">
        <v>44509</v>
      </c>
      <c r="B463" s="4">
        <f>_xlfn.XLOOKUP($A463, 'Nifty 50'!A:A, 'Nifty 50'!B:B, "")</f>
        <v>18044.25</v>
      </c>
      <c r="C463" s="4">
        <f>_xlfn.XLOOKUP($A463, Reliance!A:A, Reliance!B:B, "")</f>
        <v>1144.67</v>
      </c>
      <c r="D463" s="4">
        <f>_xlfn.XLOOKUP($A463, HDFC!A:A, HDFC!B:B, "")</f>
        <v>784.17</v>
      </c>
      <c r="E463" s="4">
        <f>_xlfn.XLOOKUP($A463, ITC!A:A, ITC!B:B, "")</f>
        <v>228.75</v>
      </c>
      <c r="F463" s="4">
        <f>_xlfn.XLOOKUP($A463, TCS!A:A, TCS!B:B, "")</f>
        <v>3505.7</v>
      </c>
      <c r="G463" s="4">
        <f>_xlfn.XLOOKUP($A463, Infosys!A:A, Infosys!B:B,"")</f>
        <v>1742.5</v>
      </c>
      <c r="H463" s="4">
        <f>_xlfn.XLOOKUP($A463, 'L &amp; T'!A:A, 'L &amp; T'!B:B, "")</f>
        <v>1943.6</v>
      </c>
    </row>
    <row r="464" spans="1:8" x14ac:dyDescent="0.3">
      <c r="A464" s="1">
        <v>44510</v>
      </c>
      <c r="B464" s="4">
        <f>_xlfn.XLOOKUP($A464, 'Nifty 50'!A:A, 'Nifty 50'!B:B, "")</f>
        <v>18017.2</v>
      </c>
      <c r="C464" s="4">
        <f>_xlfn.XLOOKUP($A464, Reliance!A:A, Reliance!B:B, "")</f>
        <v>1157.47</v>
      </c>
      <c r="D464" s="4">
        <f>_xlfn.XLOOKUP($A464, HDFC!A:A, HDFC!B:B, "")</f>
        <v>775.69</v>
      </c>
      <c r="E464" s="4">
        <f>_xlfn.XLOOKUP($A464, ITC!A:A, ITC!B:B, "")</f>
        <v>230.85</v>
      </c>
      <c r="F464" s="4">
        <f>_xlfn.XLOOKUP($A464, TCS!A:A, TCS!B:B, "")</f>
        <v>3484.3</v>
      </c>
      <c r="G464" s="4">
        <f>_xlfn.XLOOKUP($A464, Infosys!A:A, Infosys!B:B,"")</f>
        <v>1740.15</v>
      </c>
      <c r="H464" s="4">
        <f>_xlfn.XLOOKUP($A464, 'L &amp; T'!A:A, 'L &amp; T'!B:B, "")</f>
        <v>1950.15</v>
      </c>
    </row>
    <row r="465" spans="1:8" x14ac:dyDescent="0.3">
      <c r="A465" s="1">
        <v>44511</v>
      </c>
      <c r="B465" s="4">
        <f>_xlfn.XLOOKUP($A465, 'Nifty 50'!A:A, 'Nifty 50'!B:B, "")</f>
        <v>17873.599999999999</v>
      </c>
      <c r="C465" s="4">
        <f>_xlfn.XLOOKUP($A465, Reliance!A:A, Reliance!B:B, "")</f>
        <v>1159.5899999999999</v>
      </c>
      <c r="D465" s="4">
        <f>_xlfn.XLOOKUP($A465, HDFC!A:A, HDFC!B:B, "")</f>
        <v>772.23</v>
      </c>
      <c r="E465" s="4">
        <f>_xlfn.XLOOKUP($A465, ITC!A:A, ITC!B:B, "")</f>
        <v>230</v>
      </c>
      <c r="F465" s="4">
        <f>_xlfn.XLOOKUP($A465, TCS!A:A, TCS!B:B, "")</f>
        <v>3488.2</v>
      </c>
      <c r="G465" s="4">
        <f>_xlfn.XLOOKUP($A465, Infosys!A:A, Infosys!B:B,"")</f>
        <v>1733.3</v>
      </c>
      <c r="H465" s="4">
        <f>_xlfn.XLOOKUP($A465, 'L &amp; T'!A:A, 'L &amp; T'!B:B, "")</f>
        <v>1931.7</v>
      </c>
    </row>
    <row r="466" spans="1:8" x14ac:dyDescent="0.3">
      <c r="A466" s="1">
        <v>44512</v>
      </c>
      <c r="B466" s="4">
        <f>_xlfn.XLOOKUP($A466, 'Nifty 50'!A:A, 'Nifty 50'!B:B, "")</f>
        <v>18102.75</v>
      </c>
      <c r="C466" s="4">
        <f>_xlfn.XLOOKUP($A466, Reliance!A:A, Reliance!B:B, "")</f>
        <v>1177.08</v>
      </c>
      <c r="D466" s="4">
        <f>_xlfn.XLOOKUP($A466, HDFC!A:A, HDFC!B:B, "")</f>
        <v>774.57</v>
      </c>
      <c r="E466" s="4">
        <f>_xlfn.XLOOKUP($A466, ITC!A:A, ITC!B:B, "")</f>
        <v>232.9</v>
      </c>
      <c r="F466" s="4">
        <f>_xlfn.XLOOKUP($A466, TCS!A:A, TCS!B:B, "")</f>
        <v>3526.05</v>
      </c>
      <c r="G466" s="4">
        <f>_xlfn.XLOOKUP($A466, Infosys!A:A, Infosys!B:B,"")</f>
        <v>1780.2</v>
      </c>
      <c r="H466" s="4">
        <f>_xlfn.XLOOKUP($A466, 'L &amp; T'!A:A, 'L &amp; T'!B:B, "")</f>
        <v>1959.95</v>
      </c>
    </row>
    <row r="467" spans="1:8" x14ac:dyDescent="0.3">
      <c r="A467" s="1">
        <v>44515</v>
      </c>
      <c r="B467" s="4">
        <f>_xlfn.XLOOKUP($A467, 'Nifty 50'!A:A, 'Nifty 50'!B:B, "")</f>
        <v>18109.45</v>
      </c>
      <c r="C467" s="4">
        <f>_xlfn.XLOOKUP($A467, Reliance!A:A, Reliance!B:B, "")</f>
        <v>1170.1400000000001</v>
      </c>
      <c r="D467" s="4">
        <f>_xlfn.XLOOKUP($A467, HDFC!A:A, HDFC!B:B, "")</f>
        <v>776.69</v>
      </c>
      <c r="E467" s="4">
        <f>_xlfn.XLOOKUP($A467, ITC!A:A, ITC!B:B, "")</f>
        <v>238.1</v>
      </c>
      <c r="F467" s="4">
        <f>_xlfn.XLOOKUP($A467, TCS!A:A, TCS!B:B, "")</f>
        <v>3553.3</v>
      </c>
      <c r="G467" s="4">
        <f>_xlfn.XLOOKUP($A467, Infosys!A:A, Infosys!B:B,"")</f>
        <v>1787.15</v>
      </c>
      <c r="H467" s="4">
        <f>_xlfn.XLOOKUP($A467, 'L &amp; T'!A:A, 'L &amp; T'!B:B, "")</f>
        <v>1947.05</v>
      </c>
    </row>
    <row r="468" spans="1:8" x14ac:dyDescent="0.3">
      <c r="A468" s="1">
        <v>44516</v>
      </c>
      <c r="B468" s="4">
        <f>_xlfn.XLOOKUP($A468, 'Nifty 50'!A:A, 'Nifty 50'!B:B, "")</f>
        <v>17999.2</v>
      </c>
      <c r="C468" s="4">
        <f>_xlfn.XLOOKUP($A468, Reliance!A:A, Reliance!B:B, "")</f>
        <v>1142.95</v>
      </c>
      <c r="D468" s="4">
        <f>_xlfn.XLOOKUP($A468, HDFC!A:A, HDFC!B:B, "")</f>
        <v>772.08</v>
      </c>
      <c r="E468" s="4">
        <f>_xlfn.XLOOKUP($A468, ITC!A:A, ITC!B:B, "")</f>
        <v>235.45</v>
      </c>
      <c r="F468" s="4">
        <f>_xlfn.XLOOKUP($A468, TCS!A:A, TCS!B:B, "")</f>
        <v>3556.4</v>
      </c>
      <c r="G468" s="4">
        <f>_xlfn.XLOOKUP($A468, Infosys!A:A, Infosys!B:B,"")</f>
        <v>1792.3</v>
      </c>
      <c r="H468" s="4">
        <f>_xlfn.XLOOKUP($A468, 'L &amp; T'!A:A, 'L &amp; T'!B:B, "")</f>
        <v>1955.3</v>
      </c>
    </row>
    <row r="469" spans="1:8" x14ac:dyDescent="0.3">
      <c r="A469" s="1">
        <v>44517</v>
      </c>
      <c r="B469" s="4">
        <f>_xlfn.XLOOKUP($A469, 'Nifty 50'!A:A, 'Nifty 50'!B:B, "")</f>
        <v>17898.650000000001</v>
      </c>
      <c r="C469" s="4">
        <f>_xlfn.XLOOKUP($A469, Reliance!A:A, Reliance!B:B, "")</f>
        <v>1118.48</v>
      </c>
      <c r="D469" s="4">
        <f>_xlfn.XLOOKUP($A469, HDFC!A:A, HDFC!B:B, "")</f>
        <v>763.5</v>
      </c>
      <c r="E469" s="4">
        <f>_xlfn.XLOOKUP($A469, ITC!A:A, ITC!B:B, "")</f>
        <v>239.5</v>
      </c>
      <c r="F469" s="4">
        <f>_xlfn.XLOOKUP($A469, TCS!A:A, TCS!B:B, "")</f>
        <v>3521.9</v>
      </c>
      <c r="G469" s="4">
        <f>_xlfn.XLOOKUP($A469, Infosys!A:A, Infosys!B:B,"")</f>
        <v>1787.45</v>
      </c>
      <c r="H469" s="4">
        <f>_xlfn.XLOOKUP($A469, 'L &amp; T'!A:A, 'L &amp; T'!B:B, "")</f>
        <v>1952.9</v>
      </c>
    </row>
    <row r="470" spans="1:8" x14ac:dyDescent="0.3">
      <c r="A470" s="1">
        <v>44518</v>
      </c>
      <c r="B470" s="4">
        <f>_xlfn.XLOOKUP($A470, 'Nifty 50'!A:A, 'Nifty 50'!B:B, "")</f>
        <v>17764.8</v>
      </c>
      <c r="C470" s="4">
        <f>_xlfn.XLOOKUP($A470, Reliance!A:A, Reliance!B:B, "")</f>
        <v>1122.7</v>
      </c>
      <c r="D470" s="4">
        <f>_xlfn.XLOOKUP($A470, HDFC!A:A, HDFC!B:B, "")</f>
        <v>767.79</v>
      </c>
      <c r="E470" s="4">
        <f>_xlfn.XLOOKUP($A470, ITC!A:A, ITC!B:B, "")</f>
        <v>237.5</v>
      </c>
      <c r="F470" s="4">
        <f>_xlfn.XLOOKUP($A470, TCS!A:A, TCS!B:B, "")</f>
        <v>3475.7</v>
      </c>
      <c r="G470" s="4">
        <f>_xlfn.XLOOKUP($A470, Infosys!A:A, Infosys!B:B,"")</f>
        <v>1779.4</v>
      </c>
      <c r="H470" s="4">
        <f>_xlfn.XLOOKUP($A470, 'L &amp; T'!A:A, 'L &amp; T'!B:B, "")</f>
        <v>1897</v>
      </c>
    </row>
    <row r="471" spans="1:8" x14ac:dyDescent="0.3">
      <c r="A471" s="1">
        <v>44522</v>
      </c>
      <c r="B471" s="4">
        <f>_xlfn.XLOOKUP($A471, 'Nifty 50'!A:A, 'Nifty 50'!B:B, "")</f>
        <v>17416.55</v>
      </c>
      <c r="C471" s="4">
        <f>_xlfn.XLOOKUP($A471, Reliance!A:A, Reliance!B:B, "")</f>
        <v>1072.98</v>
      </c>
      <c r="D471" s="4">
        <f>_xlfn.XLOOKUP($A471, HDFC!A:A, HDFC!B:B, "")</f>
        <v>755.79</v>
      </c>
      <c r="E471" s="4">
        <f>_xlfn.XLOOKUP($A471, ITC!A:A, ITC!B:B, "")</f>
        <v>230.9</v>
      </c>
      <c r="F471" s="4">
        <f>_xlfn.XLOOKUP($A471, TCS!A:A, TCS!B:B, "")</f>
        <v>3458.4</v>
      </c>
      <c r="G471" s="4">
        <f>_xlfn.XLOOKUP($A471, Infosys!A:A, Infosys!B:B,"")</f>
        <v>1759.4</v>
      </c>
      <c r="H471" s="4">
        <f>_xlfn.XLOOKUP($A471, 'L &amp; T'!A:A, 'L &amp; T'!B:B, "")</f>
        <v>1864.5</v>
      </c>
    </row>
    <row r="472" spans="1:8" x14ac:dyDescent="0.3">
      <c r="A472" s="1">
        <v>44523</v>
      </c>
      <c r="B472" s="4">
        <f>_xlfn.XLOOKUP($A472, 'Nifty 50'!A:A, 'Nifty 50'!B:B, "")</f>
        <v>17503.349999999999</v>
      </c>
      <c r="C472" s="4">
        <f>_xlfn.XLOOKUP($A472, Reliance!A:A, Reliance!B:B, "")</f>
        <v>1083.01</v>
      </c>
      <c r="D472" s="4">
        <f>_xlfn.XLOOKUP($A472, HDFC!A:A, HDFC!B:B, "")</f>
        <v>755.89</v>
      </c>
      <c r="E472" s="4">
        <f>_xlfn.XLOOKUP($A472, ITC!A:A, ITC!B:B, "")</f>
        <v>231.6</v>
      </c>
      <c r="F472" s="4">
        <f>_xlfn.XLOOKUP($A472, TCS!A:A, TCS!B:B, "")</f>
        <v>3464.25</v>
      </c>
      <c r="G472" s="4">
        <f>_xlfn.XLOOKUP($A472, Infosys!A:A, Infosys!B:B,"")</f>
        <v>1736.9</v>
      </c>
      <c r="H472" s="4">
        <f>_xlfn.XLOOKUP($A472, 'L &amp; T'!A:A, 'L &amp; T'!B:B, "")</f>
        <v>1886.35</v>
      </c>
    </row>
    <row r="473" spans="1:8" x14ac:dyDescent="0.3">
      <c r="A473" s="1">
        <v>44524</v>
      </c>
      <c r="B473" s="4">
        <f>_xlfn.XLOOKUP($A473, 'Nifty 50'!A:A, 'Nifty 50'!B:B, "")</f>
        <v>17415.05</v>
      </c>
      <c r="C473" s="4">
        <f>_xlfn.XLOOKUP($A473, Reliance!A:A, Reliance!B:B, "")</f>
        <v>1067.3699999999999</v>
      </c>
      <c r="D473" s="4">
        <f>_xlfn.XLOOKUP($A473, HDFC!A:A, HDFC!B:B, "")</f>
        <v>757.14</v>
      </c>
      <c r="E473" s="4">
        <f>_xlfn.XLOOKUP($A473, ITC!A:A, ITC!B:B, "")</f>
        <v>227.7</v>
      </c>
      <c r="F473" s="4">
        <f>_xlfn.XLOOKUP($A473, TCS!A:A, TCS!B:B, "")</f>
        <v>3443.3</v>
      </c>
      <c r="G473" s="4">
        <f>_xlfn.XLOOKUP($A473, Infosys!A:A, Infosys!B:B,"")</f>
        <v>1696</v>
      </c>
      <c r="H473" s="4">
        <f>_xlfn.XLOOKUP($A473, 'L &amp; T'!A:A, 'L &amp; T'!B:B, "")</f>
        <v>1862.5</v>
      </c>
    </row>
    <row r="474" spans="1:8" x14ac:dyDescent="0.3">
      <c r="A474" s="1">
        <v>44525</v>
      </c>
      <c r="B474" s="4">
        <f>_xlfn.XLOOKUP($A474, 'Nifty 50'!A:A, 'Nifty 50'!B:B, "")</f>
        <v>17536.25</v>
      </c>
      <c r="C474" s="4">
        <f>_xlfn.XLOOKUP($A474, Reliance!A:A, Reliance!B:B, "")</f>
        <v>1131.6199999999999</v>
      </c>
      <c r="D474" s="4">
        <f>_xlfn.XLOOKUP($A474, HDFC!A:A, HDFC!B:B, "")</f>
        <v>761.08</v>
      </c>
      <c r="E474" s="4">
        <f>_xlfn.XLOOKUP($A474, ITC!A:A, ITC!B:B, "")</f>
        <v>231.3</v>
      </c>
      <c r="F474" s="4">
        <f>_xlfn.XLOOKUP($A474, TCS!A:A, TCS!B:B, "")</f>
        <v>3445.9</v>
      </c>
      <c r="G474" s="4">
        <f>_xlfn.XLOOKUP($A474, Infosys!A:A, Infosys!B:B,"")</f>
        <v>1722.4</v>
      </c>
      <c r="H474" s="4">
        <f>_xlfn.XLOOKUP($A474, 'L &amp; T'!A:A, 'L &amp; T'!B:B, "")</f>
        <v>1849.9</v>
      </c>
    </row>
    <row r="475" spans="1:8" x14ac:dyDescent="0.3">
      <c r="A475" s="1">
        <v>44526</v>
      </c>
      <c r="B475" s="4">
        <f>_xlfn.XLOOKUP($A475, 'Nifty 50'!A:A, 'Nifty 50'!B:B, "")</f>
        <v>17026.45</v>
      </c>
      <c r="C475" s="4">
        <f>_xlfn.XLOOKUP($A475, Reliance!A:A, Reliance!B:B, "")</f>
        <v>1095.1500000000001</v>
      </c>
      <c r="D475" s="4">
        <f>_xlfn.XLOOKUP($A475, HDFC!A:A, HDFC!B:B, "")</f>
        <v>743.1</v>
      </c>
      <c r="E475" s="4">
        <f>_xlfn.XLOOKUP($A475, ITC!A:A, ITC!B:B, "")</f>
        <v>224</v>
      </c>
      <c r="F475" s="4">
        <f>_xlfn.XLOOKUP($A475, TCS!A:A, TCS!B:B, "")</f>
        <v>3446.85</v>
      </c>
      <c r="G475" s="4">
        <f>_xlfn.XLOOKUP($A475, Infosys!A:A, Infosys!B:B,"")</f>
        <v>1691.65</v>
      </c>
      <c r="H475" s="4">
        <f>_xlfn.XLOOKUP($A475, 'L &amp; T'!A:A, 'L &amp; T'!B:B, "")</f>
        <v>1778.15</v>
      </c>
    </row>
    <row r="476" spans="1:8" x14ac:dyDescent="0.3">
      <c r="A476" s="1">
        <v>44529</v>
      </c>
      <c r="B476" s="4">
        <f>_xlfn.XLOOKUP($A476, 'Nifty 50'!A:A, 'Nifty 50'!B:B, "")</f>
        <v>17053.95</v>
      </c>
      <c r="C476" s="4">
        <f>_xlfn.XLOOKUP($A476, Reliance!A:A, Reliance!B:B, "")</f>
        <v>1108.27</v>
      </c>
      <c r="D476" s="4">
        <f>_xlfn.XLOOKUP($A476, HDFC!A:A, HDFC!B:B, "")</f>
        <v>748.76</v>
      </c>
      <c r="E476" s="4">
        <f>_xlfn.XLOOKUP($A476, ITC!A:A, ITC!B:B, "")</f>
        <v>221.5</v>
      </c>
      <c r="F476" s="4">
        <f>_xlfn.XLOOKUP($A476, TCS!A:A, TCS!B:B, "")</f>
        <v>3502</v>
      </c>
      <c r="G476" s="4">
        <f>_xlfn.XLOOKUP($A476, Infosys!A:A, Infosys!B:B,"")</f>
        <v>1696.35</v>
      </c>
      <c r="H476" s="4">
        <f>_xlfn.XLOOKUP($A476, 'L &amp; T'!A:A, 'L &amp; T'!B:B, "")</f>
        <v>1767.25</v>
      </c>
    </row>
    <row r="477" spans="1:8" x14ac:dyDescent="0.3">
      <c r="A477" s="1">
        <v>44530</v>
      </c>
      <c r="B477" s="4">
        <f>_xlfn.XLOOKUP($A477, 'Nifty 50'!A:A, 'Nifty 50'!B:B, "")</f>
        <v>16983.2</v>
      </c>
      <c r="C477" s="4">
        <f>_xlfn.XLOOKUP($A477, Reliance!A:A, Reliance!B:B, "")</f>
        <v>1091.8800000000001</v>
      </c>
      <c r="D477" s="4">
        <f>_xlfn.XLOOKUP($A477, HDFC!A:A, HDFC!B:B, "")</f>
        <v>744.92</v>
      </c>
      <c r="E477" s="4">
        <f>_xlfn.XLOOKUP($A477, ITC!A:A, ITC!B:B, "")</f>
        <v>221.15</v>
      </c>
      <c r="F477" s="4">
        <f>_xlfn.XLOOKUP($A477, TCS!A:A, TCS!B:B, "")</f>
        <v>3529.15</v>
      </c>
      <c r="G477" s="4">
        <f>_xlfn.XLOOKUP($A477, Infosys!A:A, Infosys!B:B,"")</f>
        <v>1712.65</v>
      </c>
      <c r="H477" s="4">
        <f>_xlfn.XLOOKUP($A477, 'L &amp; T'!A:A, 'L &amp; T'!B:B, "")</f>
        <v>1764.75</v>
      </c>
    </row>
    <row r="478" spans="1:8" x14ac:dyDescent="0.3">
      <c r="A478" s="1">
        <v>44531</v>
      </c>
      <c r="B478" s="4">
        <f>_xlfn.XLOOKUP($A478, 'Nifty 50'!A:A, 'Nifty 50'!B:B, "")</f>
        <v>17166.900000000001</v>
      </c>
      <c r="C478" s="4">
        <f>_xlfn.XLOOKUP($A478, Reliance!A:A, Reliance!B:B, "")</f>
        <v>1119.8399999999999</v>
      </c>
      <c r="D478" s="4">
        <f>_xlfn.XLOOKUP($A478, HDFC!A:A, HDFC!B:B, "")</f>
        <v>750.46</v>
      </c>
      <c r="E478" s="4">
        <f>_xlfn.XLOOKUP($A478, ITC!A:A, ITC!B:B, "")</f>
        <v>221.9</v>
      </c>
      <c r="F478" s="4">
        <f>_xlfn.XLOOKUP($A478, TCS!A:A, TCS!B:B, "")</f>
        <v>3577.8</v>
      </c>
      <c r="G478" s="4">
        <f>_xlfn.XLOOKUP($A478, Infosys!A:A, Infosys!B:B,"")</f>
        <v>1714.9</v>
      </c>
      <c r="H478" s="4">
        <f>_xlfn.XLOOKUP($A478, 'L &amp; T'!A:A, 'L &amp; T'!B:B, "")</f>
        <v>1786</v>
      </c>
    </row>
    <row r="479" spans="1:8" x14ac:dyDescent="0.3">
      <c r="A479" s="1">
        <v>44532</v>
      </c>
      <c r="B479" s="4">
        <f>_xlfn.XLOOKUP($A479, 'Nifty 50'!A:A, 'Nifty 50'!B:B, "")</f>
        <v>17401.650000000001</v>
      </c>
      <c r="C479" s="4">
        <f>_xlfn.XLOOKUP($A479, Reliance!A:A, Reliance!B:B, "")</f>
        <v>1127.04</v>
      </c>
      <c r="D479" s="4">
        <f>_xlfn.XLOOKUP($A479, HDFC!A:A, HDFC!B:B, "")</f>
        <v>760.98</v>
      </c>
      <c r="E479" s="4">
        <f>_xlfn.XLOOKUP($A479, ITC!A:A, ITC!B:B, "")</f>
        <v>225.45</v>
      </c>
      <c r="F479" s="4">
        <f>_xlfn.XLOOKUP($A479, TCS!A:A, TCS!B:B, "")</f>
        <v>3642.9</v>
      </c>
      <c r="G479" s="4">
        <f>_xlfn.XLOOKUP($A479, Infosys!A:A, Infosys!B:B,"")</f>
        <v>1748.25</v>
      </c>
      <c r="H479" s="4">
        <f>_xlfn.XLOOKUP($A479, 'L &amp; T'!A:A, 'L &amp; T'!B:B, "")</f>
        <v>1789.2</v>
      </c>
    </row>
    <row r="480" spans="1:8" x14ac:dyDescent="0.3">
      <c r="A480" s="1">
        <v>44533</v>
      </c>
      <c r="B480" s="4">
        <f>_xlfn.XLOOKUP($A480, 'Nifty 50'!A:A, 'Nifty 50'!B:B, "")</f>
        <v>17196.7</v>
      </c>
      <c r="C480" s="4">
        <f>_xlfn.XLOOKUP($A480, Reliance!A:A, Reliance!B:B, "")</f>
        <v>1093.18</v>
      </c>
      <c r="D480" s="4">
        <f>_xlfn.XLOOKUP($A480, HDFC!A:A, HDFC!B:B, "")</f>
        <v>754.9</v>
      </c>
      <c r="E480" s="4">
        <f>_xlfn.XLOOKUP($A480, ITC!A:A, ITC!B:B, "")</f>
        <v>221.65</v>
      </c>
      <c r="F480" s="4">
        <f>_xlfn.XLOOKUP($A480, TCS!A:A, TCS!B:B, "")</f>
        <v>3640.45</v>
      </c>
      <c r="G480" s="4">
        <f>_xlfn.XLOOKUP($A480, Infosys!A:A, Infosys!B:B,"")</f>
        <v>1735.55</v>
      </c>
      <c r="H480" s="4">
        <f>_xlfn.XLOOKUP($A480, 'L &amp; T'!A:A, 'L &amp; T'!B:B, "")</f>
        <v>1801.25</v>
      </c>
    </row>
    <row r="481" spans="1:8" x14ac:dyDescent="0.3">
      <c r="A481" s="1">
        <v>44536</v>
      </c>
      <c r="B481" s="4">
        <f>_xlfn.XLOOKUP($A481, 'Nifty 50'!A:A, 'Nifty 50'!B:B, "")</f>
        <v>16912.25</v>
      </c>
      <c r="C481" s="4">
        <f>_xlfn.XLOOKUP($A481, Reliance!A:A, Reliance!B:B, "")</f>
        <v>1072.45</v>
      </c>
      <c r="D481" s="4">
        <f>_xlfn.XLOOKUP($A481, HDFC!A:A, HDFC!B:B, "")</f>
        <v>750.03</v>
      </c>
      <c r="E481" s="4">
        <f>_xlfn.XLOOKUP($A481, ITC!A:A, ITC!B:B, "")</f>
        <v>217.9</v>
      </c>
      <c r="F481" s="4">
        <f>_xlfn.XLOOKUP($A481, TCS!A:A, TCS!B:B, "")</f>
        <v>3536.4</v>
      </c>
      <c r="G481" s="4">
        <f>_xlfn.XLOOKUP($A481, Infosys!A:A, Infosys!B:B,"")</f>
        <v>1695.3</v>
      </c>
      <c r="H481" s="4">
        <f>_xlfn.XLOOKUP($A481, 'L &amp; T'!A:A, 'L &amp; T'!B:B, "")</f>
        <v>1782.65</v>
      </c>
    </row>
    <row r="482" spans="1:8" x14ac:dyDescent="0.3">
      <c r="A482" s="1">
        <v>44537</v>
      </c>
      <c r="B482" s="4">
        <f>_xlfn.XLOOKUP($A482, 'Nifty 50'!A:A, 'Nifty 50'!B:B, "")</f>
        <v>17176.7</v>
      </c>
      <c r="C482" s="4">
        <f>_xlfn.XLOOKUP($A482, Reliance!A:A, Reliance!B:B, "")</f>
        <v>1081.19</v>
      </c>
      <c r="D482" s="4">
        <f>_xlfn.XLOOKUP($A482, HDFC!A:A, HDFC!B:B, "")</f>
        <v>760.96</v>
      </c>
      <c r="E482" s="4">
        <f>_xlfn.XLOOKUP($A482, ITC!A:A, ITC!B:B, "")</f>
        <v>220.65</v>
      </c>
      <c r="F482" s="4">
        <f>_xlfn.XLOOKUP($A482, TCS!A:A, TCS!B:B, "")</f>
        <v>3584.5</v>
      </c>
      <c r="G482" s="4">
        <f>_xlfn.XLOOKUP($A482, Infosys!A:A, Infosys!B:B,"")</f>
        <v>1711.65</v>
      </c>
      <c r="H482" s="4">
        <f>_xlfn.XLOOKUP($A482, 'L &amp; T'!A:A, 'L &amp; T'!B:B, "")</f>
        <v>1798.1</v>
      </c>
    </row>
    <row r="483" spans="1:8" x14ac:dyDescent="0.3">
      <c r="A483" s="1">
        <v>44538</v>
      </c>
      <c r="B483" s="4">
        <f>_xlfn.XLOOKUP($A483, 'Nifty 50'!A:A, 'Nifty 50'!B:B, "")</f>
        <v>17469.75</v>
      </c>
      <c r="C483" s="4">
        <f>_xlfn.XLOOKUP($A483, Reliance!A:A, Reliance!B:B, "")</f>
        <v>1097.6500000000001</v>
      </c>
      <c r="D483" s="4">
        <f>_xlfn.XLOOKUP($A483, HDFC!A:A, HDFC!B:B, "")</f>
        <v>774.97</v>
      </c>
      <c r="E483" s="4">
        <f>_xlfn.XLOOKUP($A483, ITC!A:A, ITC!B:B, "")</f>
        <v>224.95</v>
      </c>
      <c r="F483" s="4">
        <f>_xlfn.XLOOKUP($A483, TCS!A:A, TCS!B:B, "")</f>
        <v>3626.9</v>
      </c>
      <c r="G483" s="4">
        <f>_xlfn.XLOOKUP($A483, Infosys!A:A, Infosys!B:B,"")</f>
        <v>1753.35</v>
      </c>
      <c r="H483" s="4">
        <f>_xlfn.XLOOKUP($A483, 'L &amp; T'!A:A, 'L &amp; T'!B:B, "")</f>
        <v>1825.05</v>
      </c>
    </row>
    <row r="484" spans="1:8" x14ac:dyDescent="0.3">
      <c r="A484" s="1">
        <v>44539</v>
      </c>
      <c r="B484" s="4">
        <f>_xlfn.XLOOKUP($A484, 'Nifty 50'!A:A, 'Nifty 50'!B:B, "")</f>
        <v>17516.849999999999</v>
      </c>
      <c r="C484" s="4">
        <f>_xlfn.XLOOKUP($A484, Reliance!A:A, Reliance!B:B, "")</f>
        <v>1115.06</v>
      </c>
      <c r="D484" s="4">
        <f>_xlfn.XLOOKUP($A484, HDFC!A:A, HDFC!B:B, "")</f>
        <v>761.53</v>
      </c>
      <c r="E484" s="4">
        <f>_xlfn.XLOOKUP($A484, ITC!A:A, ITC!B:B, "")</f>
        <v>235.4</v>
      </c>
      <c r="F484" s="4">
        <f>_xlfn.XLOOKUP($A484, TCS!A:A, TCS!B:B, "")</f>
        <v>3601.75</v>
      </c>
      <c r="G484" s="4">
        <f>_xlfn.XLOOKUP($A484, Infosys!A:A, Infosys!B:B,"")</f>
        <v>1763.45</v>
      </c>
      <c r="H484" s="4">
        <f>_xlfn.XLOOKUP($A484, 'L &amp; T'!A:A, 'L &amp; T'!B:B, "")</f>
        <v>1879.8</v>
      </c>
    </row>
    <row r="485" spans="1:8" x14ac:dyDescent="0.3">
      <c r="A485" s="1">
        <v>44540</v>
      </c>
      <c r="B485" s="4">
        <f>_xlfn.XLOOKUP($A485, 'Nifty 50'!A:A, 'Nifty 50'!B:B, "")</f>
        <v>17511.3</v>
      </c>
      <c r="C485" s="4">
        <f>_xlfn.XLOOKUP($A485, Reliance!A:A, Reliance!B:B, "")</f>
        <v>1116.19</v>
      </c>
      <c r="D485" s="4">
        <f>_xlfn.XLOOKUP($A485, HDFC!A:A, HDFC!B:B, "")</f>
        <v>759.39</v>
      </c>
      <c r="E485" s="4">
        <f>_xlfn.XLOOKUP($A485, ITC!A:A, ITC!B:B, "")</f>
        <v>236.1</v>
      </c>
      <c r="F485" s="4">
        <f>_xlfn.XLOOKUP($A485, TCS!A:A, TCS!B:B, "")</f>
        <v>3636.8</v>
      </c>
      <c r="G485" s="4">
        <f>_xlfn.XLOOKUP($A485, Infosys!A:A, Infosys!B:B,"")</f>
        <v>1759.25</v>
      </c>
      <c r="H485" s="4">
        <f>_xlfn.XLOOKUP($A485, 'L &amp; T'!A:A, 'L &amp; T'!B:B, "")</f>
        <v>1873.4</v>
      </c>
    </row>
    <row r="486" spans="1:8" x14ac:dyDescent="0.3">
      <c r="A486" s="1">
        <v>44543</v>
      </c>
      <c r="B486" s="4">
        <f>_xlfn.XLOOKUP($A486, 'Nifty 50'!A:A, 'Nifty 50'!B:B, "")</f>
        <v>17368.25</v>
      </c>
      <c r="C486" s="4">
        <f>_xlfn.XLOOKUP($A486, Reliance!A:A, Reliance!B:B, "")</f>
        <v>1093.81</v>
      </c>
      <c r="D486" s="4">
        <f>_xlfn.XLOOKUP($A486, HDFC!A:A, HDFC!B:B, "")</f>
        <v>753.7</v>
      </c>
      <c r="E486" s="4">
        <f>_xlfn.XLOOKUP($A486, ITC!A:A, ITC!B:B, "")</f>
        <v>234.6</v>
      </c>
      <c r="F486" s="4">
        <f>_xlfn.XLOOKUP($A486, TCS!A:A, TCS!B:B, "")</f>
        <v>3609.65</v>
      </c>
      <c r="G486" s="4">
        <f>_xlfn.XLOOKUP($A486, Infosys!A:A, Infosys!B:B,"")</f>
        <v>1744.65</v>
      </c>
      <c r="H486" s="4">
        <f>_xlfn.XLOOKUP($A486, 'L &amp; T'!A:A, 'L &amp; T'!B:B, "")</f>
        <v>1861.5</v>
      </c>
    </row>
    <row r="487" spans="1:8" x14ac:dyDescent="0.3">
      <c r="A487" s="1">
        <v>44544</v>
      </c>
      <c r="B487" s="4">
        <f>_xlfn.XLOOKUP($A487, 'Nifty 50'!A:A, 'Nifty 50'!B:B, "")</f>
        <v>17324.900000000001</v>
      </c>
      <c r="C487" s="4">
        <f>_xlfn.XLOOKUP($A487, Reliance!A:A, Reliance!B:B, "")</f>
        <v>1080.42</v>
      </c>
      <c r="D487" s="4">
        <f>_xlfn.XLOOKUP($A487, HDFC!A:A, HDFC!B:B, "")</f>
        <v>749.36</v>
      </c>
      <c r="E487" s="4">
        <f>_xlfn.XLOOKUP($A487, ITC!A:A, ITC!B:B, "")</f>
        <v>228.6</v>
      </c>
      <c r="F487" s="4">
        <f>_xlfn.XLOOKUP($A487, TCS!A:A, TCS!B:B, "")</f>
        <v>3623.8</v>
      </c>
      <c r="G487" s="4">
        <f>_xlfn.XLOOKUP($A487, Infosys!A:A, Infosys!B:B,"")</f>
        <v>1752.15</v>
      </c>
      <c r="H487" s="4">
        <f>_xlfn.XLOOKUP($A487, 'L &amp; T'!A:A, 'L &amp; T'!B:B, "")</f>
        <v>1865.7</v>
      </c>
    </row>
    <row r="488" spans="1:8" x14ac:dyDescent="0.3">
      <c r="A488" s="1">
        <v>44545</v>
      </c>
      <c r="B488" s="4">
        <f>_xlfn.XLOOKUP($A488, 'Nifty 50'!A:A, 'Nifty 50'!B:B, "")</f>
        <v>17221.400000000001</v>
      </c>
      <c r="C488" s="4">
        <f>_xlfn.XLOOKUP($A488, Reliance!A:A, Reliance!B:B, "")</f>
        <v>1077.27</v>
      </c>
      <c r="D488" s="4">
        <f>_xlfn.XLOOKUP($A488, HDFC!A:A, HDFC!B:B, "")</f>
        <v>748.14</v>
      </c>
      <c r="E488" s="4">
        <f>_xlfn.XLOOKUP($A488, ITC!A:A, ITC!B:B, "")</f>
        <v>224.05</v>
      </c>
      <c r="F488" s="4">
        <f>_xlfn.XLOOKUP($A488, TCS!A:A, TCS!B:B, "")</f>
        <v>3570.35</v>
      </c>
      <c r="G488" s="4">
        <f>_xlfn.XLOOKUP($A488, Infosys!A:A, Infosys!B:B,"")</f>
        <v>1734.2</v>
      </c>
      <c r="H488" s="4">
        <f>_xlfn.XLOOKUP($A488, 'L &amp; T'!A:A, 'L &amp; T'!B:B, "")</f>
        <v>1880.8</v>
      </c>
    </row>
    <row r="489" spans="1:8" x14ac:dyDescent="0.3">
      <c r="A489" s="1">
        <v>44546</v>
      </c>
      <c r="B489" s="4">
        <f>_xlfn.XLOOKUP($A489, 'Nifty 50'!A:A, 'Nifty 50'!B:B, "")</f>
        <v>17248.400000000001</v>
      </c>
      <c r="C489" s="4">
        <f>_xlfn.XLOOKUP($A489, Reliance!A:A, Reliance!B:B, "")</f>
        <v>1091.2</v>
      </c>
      <c r="D489" s="4">
        <f>_xlfn.XLOOKUP($A489, HDFC!A:A, HDFC!B:B, "")</f>
        <v>748.19</v>
      </c>
      <c r="E489" s="4">
        <f>_xlfn.XLOOKUP($A489, ITC!A:A, ITC!B:B, "")</f>
        <v>222.9</v>
      </c>
      <c r="F489" s="4">
        <f>_xlfn.XLOOKUP($A489, TCS!A:A, TCS!B:B, "")</f>
        <v>3581.6</v>
      </c>
      <c r="G489" s="4">
        <f>_xlfn.XLOOKUP($A489, Infosys!A:A, Infosys!B:B,"")</f>
        <v>1771.6</v>
      </c>
      <c r="H489" s="4">
        <f>_xlfn.XLOOKUP($A489, 'L &amp; T'!A:A, 'L &amp; T'!B:B, "")</f>
        <v>1873.9</v>
      </c>
    </row>
    <row r="490" spans="1:8" x14ac:dyDescent="0.3">
      <c r="A490" s="1">
        <v>44547</v>
      </c>
      <c r="B490" s="4">
        <f>_xlfn.XLOOKUP($A490, 'Nifty 50'!A:A, 'Nifty 50'!B:B, "")</f>
        <v>16985.2</v>
      </c>
      <c r="C490" s="4">
        <f>_xlfn.XLOOKUP($A490, Reliance!A:A, Reliance!B:B, "")</f>
        <v>1062.4000000000001</v>
      </c>
      <c r="D490" s="4">
        <f>_xlfn.XLOOKUP($A490, HDFC!A:A, HDFC!B:B, "")</f>
        <v>734.7</v>
      </c>
      <c r="E490" s="4">
        <f>_xlfn.XLOOKUP($A490, ITC!A:A, ITC!B:B, "")</f>
        <v>217.95</v>
      </c>
      <c r="F490" s="4">
        <f>_xlfn.XLOOKUP($A490, TCS!A:A, TCS!B:B, "")</f>
        <v>3584.35</v>
      </c>
      <c r="G490" s="4">
        <f>_xlfn.XLOOKUP($A490, Infosys!A:A, Infosys!B:B,"")</f>
        <v>1820.85</v>
      </c>
      <c r="H490" s="4">
        <f>_xlfn.XLOOKUP($A490, 'L &amp; T'!A:A, 'L &amp; T'!B:B, "")</f>
        <v>1847.1</v>
      </c>
    </row>
    <row r="491" spans="1:8" x14ac:dyDescent="0.3">
      <c r="A491" s="1">
        <v>44550</v>
      </c>
      <c r="B491" s="4">
        <f>_xlfn.XLOOKUP($A491, 'Nifty 50'!A:A, 'Nifty 50'!B:B, "")</f>
        <v>16614.2</v>
      </c>
      <c r="C491" s="4">
        <f>_xlfn.XLOOKUP($A491, Reliance!A:A, Reliance!B:B, "")</f>
        <v>1033.76</v>
      </c>
      <c r="D491" s="4">
        <f>_xlfn.XLOOKUP($A491, HDFC!A:A, HDFC!B:B, "")</f>
        <v>711.06</v>
      </c>
      <c r="E491" s="4">
        <f>_xlfn.XLOOKUP($A491, ITC!A:A, ITC!B:B, "")</f>
        <v>212.4</v>
      </c>
      <c r="F491" s="4">
        <f>_xlfn.XLOOKUP($A491, TCS!A:A, TCS!B:B, "")</f>
        <v>3556.9</v>
      </c>
      <c r="G491" s="4">
        <f>_xlfn.XLOOKUP($A491, Infosys!A:A, Infosys!B:B,"")</f>
        <v>1798.9</v>
      </c>
      <c r="H491" s="4">
        <f>_xlfn.XLOOKUP($A491, 'L &amp; T'!A:A, 'L &amp; T'!B:B, "")</f>
        <v>1799.35</v>
      </c>
    </row>
    <row r="492" spans="1:8" x14ac:dyDescent="0.3">
      <c r="A492" s="1">
        <v>44551</v>
      </c>
      <c r="B492" s="4">
        <f>_xlfn.XLOOKUP($A492, 'Nifty 50'!A:A, 'Nifty 50'!B:B, "")</f>
        <v>16770.849999999999</v>
      </c>
      <c r="C492" s="4">
        <f>_xlfn.XLOOKUP($A492, Reliance!A:A, Reliance!B:B, "")</f>
        <v>1049.1400000000001</v>
      </c>
      <c r="D492" s="4">
        <f>_xlfn.XLOOKUP($A492, HDFC!A:A, HDFC!B:B, "")</f>
        <v>719.11</v>
      </c>
      <c r="E492" s="4">
        <f>_xlfn.XLOOKUP($A492, ITC!A:A, ITC!B:B, "")</f>
        <v>212.5</v>
      </c>
      <c r="F492" s="4">
        <f>_xlfn.XLOOKUP($A492, TCS!A:A, TCS!B:B, "")</f>
        <v>3608.3</v>
      </c>
      <c r="G492" s="4">
        <f>_xlfn.XLOOKUP($A492, Infosys!A:A, Infosys!B:B,"")</f>
        <v>1811.6</v>
      </c>
      <c r="H492" s="4">
        <f>_xlfn.XLOOKUP($A492, 'L &amp; T'!A:A, 'L &amp; T'!B:B, "")</f>
        <v>1827.55</v>
      </c>
    </row>
    <row r="493" spans="1:8" x14ac:dyDescent="0.3">
      <c r="A493" s="1">
        <v>44552</v>
      </c>
      <c r="B493" s="4">
        <f>_xlfn.XLOOKUP($A493, 'Nifty 50'!A:A, 'Nifty 50'!B:B, "")</f>
        <v>16955.45</v>
      </c>
      <c r="C493" s="4">
        <f>_xlfn.XLOOKUP($A493, Reliance!A:A, Reliance!B:B, "")</f>
        <v>1074.04</v>
      </c>
      <c r="D493" s="4">
        <f>_xlfn.XLOOKUP($A493, HDFC!A:A, HDFC!B:B, "")</f>
        <v>720.81</v>
      </c>
      <c r="E493" s="4">
        <f>_xlfn.XLOOKUP($A493, ITC!A:A, ITC!B:B, "")</f>
        <v>212</v>
      </c>
      <c r="F493" s="4">
        <f>_xlfn.XLOOKUP($A493, TCS!A:A, TCS!B:B, "")</f>
        <v>3630.75</v>
      </c>
      <c r="G493" s="4">
        <f>_xlfn.XLOOKUP($A493, Infosys!A:A, Infosys!B:B,"")</f>
        <v>1824.7</v>
      </c>
      <c r="H493" s="4">
        <f>_xlfn.XLOOKUP($A493, 'L &amp; T'!A:A, 'L &amp; T'!B:B, "")</f>
        <v>1871</v>
      </c>
    </row>
    <row r="494" spans="1:8" x14ac:dyDescent="0.3">
      <c r="A494" s="1">
        <v>44553</v>
      </c>
      <c r="B494" s="4">
        <f>_xlfn.XLOOKUP($A494, 'Nifty 50'!A:A, 'Nifty 50'!B:B, "")</f>
        <v>17072.599999999999</v>
      </c>
      <c r="C494" s="4">
        <f>_xlfn.XLOOKUP($A494, Reliance!A:A, Reliance!B:B, "")</f>
        <v>1073.6600000000001</v>
      </c>
      <c r="D494" s="4">
        <f>_xlfn.XLOOKUP($A494, HDFC!A:A, HDFC!B:B, "")</f>
        <v>720.26</v>
      </c>
      <c r="E494" s="4">
        <f>_xlfn.XLOOKUP($A494, ITC!A:A, ITC!B:B, "")</f>
        <v>217.3</v>
      </c>
      <c r="F494" s="4">
        <f>_xlfn.XLOOKUP($A494, TCS!A:A, TCS!B:B, "")</f>
        <v>3662.7</v>
      </c>
      <c r="G494" s="4">
        <f>_xlfn.XLOOKUP($A494, Infosys!A:A, Infosys!B:B,"")</f>
        <v>1857.6</v>
      </c>
      <c r="H494" s="4">
        <f>_xlfn.XLOOKUP($A494, 'L &amp; T'!A:A, 'L &amp; T'!B:B, "")</f>
        <v>1878.45</v>
      </c>
    </row>
    <row r="495" spans="1:8" x14ac:dyDescent="0.3">
      <c r="A495" s="1">
        <v>44554</v>
      </c>
      <c r="B495" s="4">
        <f>_xlfn.XLOOKUP($A495, 'Nifty 50'!A:A, 'Nifty 50'!B:B, "")</f>
        <v>17003.75</v>
      </c>
      <c r="C495" s="4">
        <f>_xlfn.XLOOKUP($A495, Reliance!A:A, Reliance!B:B, "")</f>
        <v>1077.08</v>
      </c>
      <c r="D495" s="4">
        <f>_xlfn.XLOOKUP($A495, HDFC!A:A, HDFC!B:B, "")</f>
        <v>717.66</v>
      </c>
      <c r="E495" s="4">
        <f>_xlfn.XLOOKUP($A495, ITC!A:A, ITC!B:B, "")</f>
        <v>218</v>
      </c>
      <c r="F495" s="4">
        <f>_xlfn.XLOOKUP($A495, TCS!A:A, TCS!B:B, "")</f>
        <v>3670.9</v>
      </c>
      <c r="G495" s="4">
        <f>_xlfn.XLOOKUP($A495, Infosys!A:A, Infosys!B:B,"")</f>
        <v>1863.5</v>
      </c>
      <c r="H495" s="4">
        <f>_xlfn.XLOOKUP($A495, 'L &amp; T'!A:A, 'L &amp; T'!B:B, "")</f>
        <v>1859.4</v>
      </c>
    </row>
    <row r="496" spans="1:8" x14ac:dyDescent="0.3">
      <c r="A496" s="1">
        <v>44557</v>
      </c>
      <c r="B496" s="4">
        <f>_xlfn.XLOOKUP($A496, 'Nifty 50'!A:A, 'Nifty 50'!B:B, "")</f>
        <v>17086.25</v>
      </c>
      <c r="C496" s="4">
        <f>_xlfn.XLOOKUP($A496, Reliance!A:A, Reliance!B:B, "")</f>
        <v>1075.93</v>
      </c>
      <c r="D496" s="4">
        <f>_xlfn.XLOOKUP($A496, HDFC!A:A, HDFC!B:B, "")</f>
        <v>723.6</v>
      </c>
      <c r="E496" s="4">
        <f>_xlfn.XLOOKUP($A496, ITC!A:A, ITC!B:B, "")</f>
        <v>217.55</v>
      </c>
      <c r="F496" s="4">
        <f>_xlfn.XLOOKUP($A496, TCS!A:A, TCS!B:B, "")</f>
        <v>3696.1</v>
      </c>
      <c r="G496" s="4">
        <f>_xlfn.XLOOKUP($A496, Infosys!A:A, Infosys!B:B,"")</f>
        <v>1866.15</v>
      </c>
      <c r="H496" s="4">
        <f>_xlfn.XLOOKUP($A496, 'L &amp; T'!A:A, 'L &amp; T'!B:B, "")</f>
        <v>1866.2</v>
      </c>
    </row>
    <row r="497" spans="1:8" x14ac:dyDescent="0.3">
      <c r="A497" s="1">
        <v>44558</v>
      </c>
      <c r="B497" s="4">
        <f>_xlfn.XLOOKUP($A497, 'Nifty 50'!A:A, 'Nifty 50'!B:B, "")</f>
        <v>17233.25</v>
      </c>
      <c r="C497" s="4">
        <f>_xlfn.XLOOKUP($A497, Reliance!A:A, Reliance!B:B, "")</f>
        <v>1088.7</v>
      </c>
      <c r="D497" s="4">
        <f>_xlfn.XLOOKUP($A497, HDFC!A:A, HDFC!B:B, "")</f>
        <v>728.59</v>
      </c>
      <c r="E497" s="4">
        <f>_xlfn.XLOOKUP($A497, ITC!A:A, ITC!B:B, "")</f>
        <v>220.05</v>
      </c>
      <c r="F497" s="4">
        <f>_xlfn.XLOOKUP($A497, TCS!A:A, TCS!B:B, "")</f>
        <v>3706.55</v>
      </c>
      <c r="G497" s="4">
        <f>_xlfn.XLOOKUP($A497, Infosys!A:A, Infosys!B:B,"")</f>
        <v>1888</v>
      </c>
      <c r="H497" s="4">
        <f>_xlfn.XLOOKUP($A497, 'L &amp; T'!A:A, 'L &amp; T'!B:B, "")</f>
        <v>1899.5</v>
      </c>
    </row>
    <row r="498" spans="1:8" x14ac:dyDescent="0.3">
      <c r="A498" s="1">
        <v>44559</v>
      </c>
      <c r="B498" s="4">
        <f>_xlfn.XLOOKUP($A498, 'Nifty 50'!A:A, 'Nifty 50'!B:B, "")</f>
        <v>17213.599999999999</v>
      </c>
      <c r="C498" s="4">
        <f>_xlfn.XLOOKUP($A498, Reliance!A:A, Reliance!B:B, "")</f>
        <v>1090.57</v>
      </c>
      <c r="D498" s="4">
        <f>_xlfn.XLOOKUP($A498, HDFC!A:A, HDFC!B:B, "")</f>
        <v>725.12</v>
      </c>
      <c r="E498" s="4">
        <f>_xlfn.XLOOKUP($A498, ITC!A:A, ITC!B:B, "")</f>
        <v>216.75</v>
      </c>
      <c r="F498" s="4">
        <f>_xlfn.XLOOKUP($A498, TCS!A:A, TCS!B:B, "")</f>
        <v>3694.7</v>
      </c>
      <c r="G498" s="4">
        <f>_xlfn.XLOOKUP($A498, Infosys!A:A, Infosys!B:B,"")</f>
        <v>1885.55</v>
      </c>
      <c r="H498" s="4">
        <f>_xlfn.XLOOKUP($A498, 'L &amp; T'!A:A, 'L &amp; T'!B:B, "")</f>
        <v>1894.85</v>
      </c>
    </row>
    <row r="499" spans="1:8" x14ac:dyDescent="0.3">
      <c r="A499" s="1">
        <v>44560</v>
      </c>
      <c r="B499" s="4">
        <f>_xlfn.XLOOKUP($A499, 'Nifty 50'!A:A, 'Nifty 50'!B:B, "")</f>
        <v>17203.95</v>
      </c>
      <c r="C499" s="4">
        <f>_xlfn.XLOOKUP($A499, Reliance!A:A, Reliance!B:B, "")</f>
        <v>1070.8699999999999</v>
      </c>
      <c r="D499" s="4">
        <f>_xlfn.XLOOKUP($A499, HDFC!A:A, HDFC!B:B, "")</f>
        <v>728.94</v>
      </c>
      <c r="E499" s="4">
        <f>_xlfn.XLOOKUP($A499, ITC!A:A, ITC!B:B, "")</f>
        <v>216</v>
      </c>
      <c r="F499" s="4">
        <f>_xlfn.XLOOKUP($A499, TCS!A:A, TCS!B:B, "")</f>
        <v>3733.75</v>
      </c>
      <c r="G499" s="4">
        <f>_xlfn.XLOOKUP($A499, Infosys!A:A, Infosys!B:B,"")</f>
        <v>1892.85</v>
      </c>
      <c r="H499" s="4">
        <f>_xlfn.XLOOKUP($A499, 'L &amp; T'!A:A, 'L &amp; T'!B:B, "")</f>
        <v>1885.7</v>
      </c>
    </row>
    <row r="500" spans="1:8" x14ac:dyDescent="0.3">
      <c r="A500" s="1">
        <v>44561</v>
      </c>
      <c r="B500" s="4">
        <f>_xlfn.XLOOKUP($A500, 'Nifty 50'!A:A, 'Nifty 50'!B:B, "")</f>
        <v>17354.05</v>
      </c>
      <c r="C500" s="4">
        <f>_xlfn.XLOOKUP($A500, Reliance!A:A, Reliance!B:B, "")</f>
        <v>1074.97</v>
      </c>
      <c r="D500" s="4">
        <f>_xlfn.XLOOKUP($A500, HDFC!A:A, HDFC!B:B, "")</f>
        <v>737.86</v>
      </c>
      <c r="E500" s="4">
        <f>_xlfn.XLOOKUP($A500, ITC!A:A, ITC!B:B, "")</f>
        <v>218.05</v>
      </c>
      <c r="F500" s="4">
        <f>_xlfn.XLOOKUP($A500, TCS!A:A, TCS!B:B, "")</f>
        <v>3738.35</v>
      </c>
      <c r="G500" s="4">
        <f>_xlfn.XLOOKUP($A500, Infosys!A:A, Infosys!B:B,"")</f>
        <v>1887.75</v>
      </c>
      <c r="H500" s="4">
        <f>_xlfn.XLOOKUP($A500, 'L &amp; T'!A:A, 'L &amp; T'!B:B, "")</f>
        <v>1895.9</v>
      </c>
    </row>
    <row r="501" spans="1:8" x14ac:dyDescent="0.3">
      <c r="A501" s="1">
        <v>44564</v>
      </c>
      <c r="B501" s="4">
        <f>_xlfn.XLOOKUP($A501, 'Nifty 50'!A:A, 'Nifty 50'!B:B, "")</f>
        <v>17625.7</v>
      </c>
      <c r="C501" s="4">
        <f>_xlfn.XLOOKUP($A501, Reliance!A:A, Reliance!B:B, "")</f>
        <v>1091.18</v>
      </c>
      <c r="D501" s="4">
        <f>_xlfn.XLOOKUP($A501, HDFC!A:A, HDFC!B:B, "")</f>
        <v>757.94</v>
      </c>
      <c r="E501" s="4">
        <f>_xlfn.XLOOKUP($A501, ITC!A:A, ITC!B:B, "")</f>
        <v>219.1</v>
      </c>
      <c r="F501" s="4">
        <f>_xlfn.XLOOKUP($A501, TCS!A:A, TCS!B:B, "")</f>
        <v>3817.75</v>
      </c>
      <c r="G501" s="4">
        <f>_xlfn.XLOOKUP($A501, Infosys!A:A, Infosys!B:B,"")</f>
        <v>1898.45</v>
      </c>
      <c r="H501" s="4">
        <f>_xlfn.XLOOKUP($A501, 'L &amp; T'!A:A, 'L &amp; T'!B:B, "")</f>
        <v>1922.85</v>
      </c>
    </row>
    <row r="502" spans="1:8" x14ac:dyDescent="0.3">
      <c r="A502" s="1">
        <v>44565</v>
      </c>
      <c r="B502" s="4">
        <f>_xlfn.XLOOKUP($A502, 'Nifty 50'!A:A, 'Nifty 50'!B:B, "")</f>
        <v>17805.25</v>
      </c>
      <c r="C502" s="4">
        <f>_xlfn.XLOOKUP($A502, Reliance!A:A, Reliance!B:B, "")</f>
        <v>1115.8</v>
      </c>
      <c r="D502" s="4">
        <f>_xlfn.XLOOKUP($A502, HDFC!A:A, HDFC!B:B, "")</f>
        <v>762.38</v>
      </c>
      <c r="E502" s="4">
        <f>_xlfn.XLOOKUP($A502, ITC!A:A, ITC!B:B, "")</f>
        <v>220.25</v>
      </c>
      <c r="F502" s="4">
        <f>_xlfn.XLOOKUP($A502, TCS!A:A, TCS!B:B, "")</f>
        <v>3884.75</v>
      </c>
      <c r="G502" s="4">
        <f>_xlfn.XLOOKUP($A502, Infosys!A:A, Infosys!B:B,"")</f>
        <v>1899.15</v>
      </c>
      <c r="H502" s="4">
        <f>_xlfn.XLOOKUP($A502, 'L &amp; T'!A:A, 'L &amp; T'!B:B, "")</f>
        <v>1937.55</v>
      </c>
    </row>
    <row r="503" spans="1:8" x14ac:dyDescent="0.3">
      <c r="A503" s="1">
        <v>44566</v>
      </c>
      <c r="B503" s="4">
        <f>_xlfn.XLOOKUP($A503, 'Nifty 50'!A:A, 'Nifty 50'!B:B, "")</f>
        <v>17925.25</v>
      </c>
      <c r="C503" s="4">
        <f>_xlfn.XLOOKUP($A503, Reliance!A:A, Reliance!B:B, "")</f>
        <v>1121.02</v>
      </c>
      <c r="D503" s="4">
        <f>_xlfn.XLOOKUP($A503, HDFC!A:A, HDFC!B:B, "")</f>
        <v>780.48</v>
      </c>
      <c r="E503" s="4">
        <f>_xlfn.XLOOKUP($A503, ITC!A:A, ITC!B:B, "")</f>
        <v>220.55</v>
      </c>
      <c r="F503" s="4">
        <f>_xlfn.XLOOKUP($A503, TCS!A:A, TCS!B:B, "")</f>
        <v>3860.95</v>
      </c>
      <c r="G503" s="4">
        <f>_xlfn.XLOOKUP($A503, Infosys!A:A, Infosys!B:B,"")</f>
        <v>1844.65</v>
      </c>
      <c r="H503" s="4">
        <f>_xlfn.XLOOKUP($A503, 'L &amp; T'!A:A, 'L &amp; T'!B:B, "")</f>
        <v>1948.6</v>
      </c>
    </row>
    <row r="504" spans="1:8" x14ac:dyDescent="0.3">
      <c r="A504" s="1">
        <v>44567</v>
      </c>
      <c r="B504" s="4">
        <f>_xlfn.XLOOKUP($A504, 'Nifty 50'!A:A, 'Nifty 50'!B:B, "")</f>
        <v>17745.900000000001</v>
      </c>
      <c r="C504" s="4">
        <f>_xlfn.XLOOKUP($A504, Reliance!A:A, Reliance!B:B, "")</f>
        <v>1096.92</v>
      </c>
      <c r="D504" s="4">
        <f>_xlfn.XLOOKUP($A504, HDFC!A:A, HDFC!B:B, "")</f>
        <v>767.96</v>
      </c>
      <c r="E504" s="4">
        <f>_xlfn.XLOOKUP($A504, ITC!A:A, ITC!B:B, "")</f>
        <v>218.7</v>
      </c>
      <c r="F504" s="4">
        <f>_xlfn.XLOOKUP($A504, TCS!A:A, TCS!B:B, "")</f>
        <v>3807.45</v>
      </c>
      <c r="G504" s="4">
        <f>_xlfn.XLOOKUP($A504, Infosys!A:A, Infosys!B:B,"")</f>
        <v>1817.8</v>
      </c>
      <c r="H504" s="4">
        <f>_xlfn.XLOOKUP($A504, 'L &amp; T'!A:A, 'L &amp; T'!B:B, "")</f>
        <v>1924.5</v>
      </c>
    </row>
    <row r="505" spans="1:8" x14ac:dyDescent="0.3">
      <c r="A505" s="1">
        <v>44568</v>
      </c>
      <c r="B505" s="4">
        <f>_xlfn.XLOOKUP($A505, 'Nifty 50'!A:A, 'Nifty 50'!B:B, "")</f>
        <v>17812.7</v>
      </c>
      <c r="C505" s="4">
        <f>_xlfn.XLOOKUP($A505, Reliance!A:A, Reliance!B:B, "")</f>
        <v>1105.77</v>
      </c>
      <c r="D505" s="4">
        <f>_xlfn.XLOOKUP($A505, HDFC!A:A, HDFC!B:B, "")</f>
        <v>773.35</v>
      </c>
      <c r="E505" s="4">
        <f>_xlfn.XLOOKUP($A505, ITC!A:A, ITC!B:B, "")</f>
        <v>218.4</v>
      </c>
      <c r="F505" s="4">
        <f>_xlfn.XLOOKUP($A505, TCS!A:A, TCS!B:B, "")</f>
        <v>3853.5</v>
      </c>
      <c r="G505" s="4">
        <f>_xlfn.XLOOKUP($A505, Infosys!A:A, Infosys!B:B,"")</f>
        <v>1814.3</v>
      </c>
      <c r="H505" s="4">
        <f>_xlfn.XLOOKUP($A505, 'L &amp; T'!A:A, 'L &amp; T'!B:B, "")</f>
        <v>1904.9</v>
      </c>
    </row>
    <row r="506" spans="1:8" x14ac:dyDescent="0.3">
      <c r="A506" s="1">
        <v>44571</v>
      </c>
      <c r="B506" s="4">
        <f>_xlfn.XLOOKUP($A506, 'Nifty 50'!A:A, 'Nifty 50'!B:B, "")</f>
        <v>18003.3</v>
      </c>
      <c r="C506" s="4">
        <f>_xlfn.XLOOKUP($A506, Reliance!A:A, Reliance!B:B, "")</f>
        <v>1106.68</v>
      </c>
      <c r="D506" s="4">
        <f>_xlfn.XLOOKUP($A506, HDFC!A:A, HDFC!B:B, "")</f>
        <v>777.64</v>
      </c>
      <c r="E506" s="4">
        <f>_xlfn.XLOOKUP($A506, ITC!A:A, ITC!B:B, "")</f>
        <v>223.3</v>
      </c>
      <c r="F506" s="4">
        <f>_xlfn.XLOOKUP($A506, TCS!A:A, TCS!B:B, "")</f>
        <v>3879.85</v>
      </c>
      <c r="G506" s="4">
        <f>_xlfn.XLOOKUP($A506, Infosys!A:A, Infosys!B:B,"")</f>
        <v>1850.75</v>
      </c>
      <c r="H506" s="4">
        <f>_xlfn.XLOOKUP($A506, 'L &amp; T'!A:A, 'L &amp; T'!B:B, "")</f>
        <v>1953.1</v>
      </c>
    </row>
    <row r="507" spans="1:8" x14ac:dyDescent="0.3">
      <c r="A507" s="1">
        <v>44572</v>
      </c>
      <c r="B507" s="4">
        <f>_xlfn.XLOOKUP($A507, 'Nifty 50'!A:A, 'Nifty 50'!B:B, "")</f>
        <v>18055.75</v>
      </c>
      <c r="C507" s="4">
        <f>_xlfn.XLOOKUP($A507, Reliance!A:A, Reliance!B:B, "")</f>
        <v>1114.6500000000001</v>
      </c>
      <c r="D507" s="4">
        <f>_xlfn.XLOOKUP($A507, HDFC!A:A, HDFC!B:B, "")</f>
        <v>781.01</v>
      </c>
      <c r="E507" s="4">
        <f>_xlfn.XLOOKUP($A507, ITC!A:A, ITC!B:B, "")</f>
        <v>221.95</v>
      </c>
      <c r="F507" s="4">
        <f>_xlfn.XLOOKUP($A507, TCS!A:A, TCS!B:B, "")</f>
        <v>3915.9</v>
      </c>
      <c r="G507" s="4">
        <f>_xlfn.XLOOKUP($A507, Infosys!A:A, Infosys!B:B,"")</f>
        <v>1855.6</v>
      </c>
      <c r="H507" s="4">
        <f>_xlfn.XLOOKUP($A507, 'L &amp; T'!A:A, 'L &amp; T'!B:B, "")</f>
        <v>1961.15</v>
      </c>
    </row>
    <row r="508" spans="1:8" x14ac:dyDescent="0.3">
      <c r="A508" s="1">
        <v>44573</v>
      </c>
      <c r="B508" s="4">
        <f>_xlfn.XLOOKUP($A508, 'Nifty 50'!A:A, 'Nifty 50'!B:B, "")</f>
        <v>18212.349999999999</v>
      </c>
      <c r="C508" s="4">
        <f>_xlfn.XLOOKUP($A508, Reliance!A:A, Reliance!B:B, "")</f>
        <v>1144.4000000000001</v>
      </c>
      <c r="D508" s="4">
        <f>_xlfn.XLOOKUP($A508, HDFC!A:A, HDFC!B:B, "")</f>
        <v>776.39</v>
      </c>
      <c r="E508" s="4">
        <f>_xlfn.XLOOKUP($A508, ITC!A:A, ITC!B:B, "")</f>
        <v>222.75</v>
      </c>
      <c r="F508" s="4">
        <f>_xlfn.XLOOKUP($A508, TCS!A:A, TCS!B:B, "")</f>
        <v>3859.9</v>
      </c>
      <c r="G508" s="4">
        <f>_xlfn.XLOOKUP($A508, Infosys!A:A, Infosys!B:B,"")</f>
        <v>1877.45</v>
      </c>
      <c r="H508" s="4">
        <f>_xlfn.XLOOKUP($A508, 'L &amp; T'!A:A, 'L &amp; T'!B:B, "")</f>
        <v>1974.2</v>
      </c>
    </row>
    <row r="509" spans="1:8" x14ac:dyDescent="0.3">
      <c r="A509" s="1">
        <v>44574</v>
      </c>
      <c r="B509" s="4">
        <f>_xlfn.XLOOKUP($A509, 'Nifty 50'!A:A, 'Nifty 50'!B:B, "")</f>
        <v>18257.8</v>
      </c>
      <c r="C509" s="4">
        <f>_xlfn.XLOOKUP($A509, Reliance!A:A, Reliance!B:B, "")</f>
        <v>1150.8499999999999</v>
      </c>
      <c r="D509" s="4">
        <f>_xlfn.XLOOKUP($A509, HDFC!A:A, HDFC!B:B, "")</f>
        <v>762.1</v>
      </c>
      <c r="E509" s="4">
        <f>_xlfn.XLOOKUP($A509, ITC!A:A, ITC!B:B, "")</f>
        <v>223.95</v>
      </c>
      <c r="F509" s="4">
        <f>_xlfn.XLOOKUP($A509, TCS!A:A, TCS!B:B, "")</f>
        <v>3897.9</v>
      </c>
      <c r="G509" s="4">
        <f>_xlfn.XLOOKUP($A509, Infosys!A:A, Infosys!B:B,"")</f>
        <v>1896.8</v>
      </c>
      <c r="H509" s="4">
        <f>_xlfn.XLOOKUP($A509, 'L &amp; T'!A:A, 'L &amp; T'!B:B, "")</f>
        <v>2018.4</v>
      </c>
    </row>
    <row r="510" spans="1:8" x14ac:dyDescent="0.3">
      <c r="A510" s="1">
        <v>44575</v>
      </c>
      <c r="B510" s="4">
        <f>_xlfn.XLOOKUP($A510, 'Nifty 50'!A:A, 'Nifty 50'!B:B, "")</f>
        <v>18255.75</v>
      </c>
      <c r="C510" s="4">
        <f>_xlfn.XLOOKUP($A510, Reliance!A:A, Reliance!B:B, "")</f>
        <v>1152.53</v>
      </c>
      <c r="D510" s="4">
        <f>_xlfn.XLOOKUP($A510, HDFC!A:A, HDFC!B:B, "")</f>
        <v>770.66</v>
      </c>
      <c r="E510" s="4">
        <f>_xlfn.XLOOKUP($A510, ITC!A:A, ITC!B:B, "")</f>
        <v>222.6</v>
      </c>
      <c r="F510" s="4">
        <f>_xlfn.XLOOKUP($A510, TCS!A:A, TCS!B:B, "")</f>
        <v>3968.15</v>
      </c>
      <c r="G510" s="4">
        <f>_xlfn.XLOOKUP($A510, Infosys!A:A, Infosys!B:B,"")</f>
        <v>1929.35</v>
      </c>
      <c r="H510" s="4">
        <f>_xlfn.XLOOKUP($A510, 'L &amp; T'!A:A, 'L &amp; T'!B:B, "")</f>
        <v>2044.75</v>
      </c>
    </row>
    <row r="511" spans="1:8" x14ac:dyDescent="0.3">
      <c r="A511" s="1">
        <v>44578</v>
      </c>
      <c r="B511" s="4">
        <f>_xlfn.XLOOKUP($A511, 'Nifty 50'!A:A, 'Nifty 50'!B:B, "")</f>
        <v>18308.099999999999</v>
      </c>
      <c r="C511" s="4">
        <f>_xlfn.XLOOKUP($A511, Reliance!A:A, Reliance!B:B, "")</f>
        <v>1158.54</v>
      </c>
      <c r="D511" s="4">
        <f>_xlfn.XLOOKUP($A511, HDFC!A:A, HDFC!B:B, "")</f>
        <v>758.86</v>
      </c>
      <c r="E511" s="4">
        <f>_xlfn.XLOOKUP($A511, ITC!A:A, ITC!B:B, "")</f>
        <v>224.6</v>
      </c>
      <c r="F511" s="4">
        <f>_xlfn.XLOOKUP($A511, TCS!A:A, TCS!B:B, "")</f>
        <v>4019.15</v>
      </c>
      <c r="G511" s="4">
        <f>_xlfn.XLOOKUP($A511, Infosys!A:A, Infosys!B:B,"")</f>
        <v>1939.5</v>
      </c>
      <c r="H511" s="4">
        <f>_xlfn.XLOOKUP($A511, 'L &amp; T'!A:A, 'L &amp; T'!B:B, "")</f>
        <v>2069.4</v>
      </c>
    </row>
    <row r="512" spans="1:8" x14ac:dyDescent="0.3">
      <c r="A512" s="1">
        <v>44579</v>
      </c>
      <c r="B512" s="4">
        <f>_xlfn.XLOOKUP($A512, 'Nifty 50'!A:A, 'Nifty 50'!B:B, "")</f>
        <v>18113.05</v>
      </c>
      <c r="C512" s="4">
        <f>_xlfn.XLOOKUP($A512, Reliance!A:A, Reliance!B:B, "")</f>
        <v>1144.72</v>
      </c>
      <c r="D512" s="4">
        <f>_xlfn.XLOOKUP($A512, HDFC!A:A, HDFC!B:B, "")</f>
        <v>762.73</v>
      </c>
      <c r="E512" s="4">
        <f>_xlfn.XLOOKUP($A512, ITC!A:A, ITC!B:B, "")</f>
        <v>220.75</v>
      </c>
      <c r="F512" s="4">
        <f>_xlfn.XLOOKUP($A512, TCS!A:A, TCS!B:B, "")</f>
        <v>3990.6</v>
      </c>
      <c r="G512" s="4">
        <f>_xlfn.XLOOKUP($A512, Infosys!A:A, Infosys!B:B,"")</f>
        <v>1920.75</v>
      </c>
      <c r="H512" s="4">
        <f>_xlfn.XLOOKUP($A512, 'L &amp; T'!A:A, 'L &amp; T'!B:B, "")</f>
        <v>2022.2</v>
      </c>
    </row>
    <row r="513" spans="1:8" x14ac:dyDescent="0.3">
      <c r="A513" s="1">
        <v>44580</v>
      </c>
      <c r="B513" s="4">
        <f>_xlfn.XLOOKUP($A513, 'Nifty 50'!A:A, 'Nifty 50'!B:B, "")</f>
        <v>17938.400000000001</v>
      </c>
      <c r="C513" s="4">
        <f>_xlfn.XLOOKUP($A513, Reliance!A:A, Reliance!B:B, "")</f>
        <v>1144.6300000000001</v>
      </c>
      <c r="D513" s="4">
        <f>_xlfn.XLOOKUP($A513, HDFC!A:A, HDFC!B:B, "")</f>
        <v>757.34</v>
      </c>
      <c r="E513" s="4">
        <f>_xlfn.XLOOKUP($A513, ITC!A:A, ITC!B:B, "")</f>
        <v>220.35</v>
      </c>
      <c r="F513" s="4">
        <f>_xlfn.XLOOKUP($A513, TCS!A:A, TCS!B:B, "")</f>
        <v>3914.65</v>
      </c>
      <c r="G513" s="4">
        <f>_xlfn.XLOOKUP($A513, Infosys!A:A, Infosys!B:B,"")</f>
        <v>1867.05</v>
      </c>
      <c r="H513" s="4">
        <f>_xlfn.XLOOKUP($A513, 'L &amp; T'!A:A, 'L &amp; T'!B:B, "")</f>
        <v>2020.9</v>
      </c>
    </row>
    <row r="514" spans="1:8" x14ac:dyDescent="0.3">
      <c r="A514" s="1">
        <v>44581</v>
      </c>
      <c r="B514" s="4">
        <f>_xlfn.XLOOKUP($A514, 'Nifty 50'!A:A, 'Nifty 50'!B:B, "")</f>
        <v>17757</v>
      </c>
      <c r="C514" s="4">
        <f>_xlfn.XLOOKUP($A514, Reliance!A:A, Reliance!B:B, "")</f>
        <v>1124.5899999999999</v>
      </c>
      <c r="D514" s="4">
        <f>_xlfn.XLOOKUP($A514, HDFC!A:A, HDFC!B:B, "")</f>
        <v>752.63</v>
      </c>
      <c r="E514" s="4">
        <f>_xlfn.XLOOKUP($A514, ITC!A:A, ITC!B:B, "")</f>
        <v>218.75</v>
      </c>
      <c r="F514" s="4">
        <f>_xlfn.XLOOKUP($A514, TCS!A:A, TCS!B:B, "")</f>
        <v>3826.55</v>
      </c>
      <c r="G514" s="4">
        <f>_xlfn.XLOOKUP($A514, Infosys!A:A, Infosys!B:B,"")</f>
        <v>1823.7</v>
      </c>
      <c r="H514" s="4">
        <f>_xlfn.XLOOKUP($A514, 'L &amp; T'!A:A, 'L &amp; T'!B:B, "")</f>
        <v>2003.5</v>
      </c>
    </row>
    <row r="515" spans="1:8" x14ac:dyDescent="0.3">
      <c r="A515" s="1">
        <v>44582</v>
      </c>
      <c r="B515" s="4">
        <f>_xlfn.XLOOKUP($A515, 'Nifty 50'!A:A, 'Nifty 50'!B:B, "")</f>
        <v>17617.150000000001</v>
      </c>
      <c r="C515" s="4">
        <f>_xlfn.XLOOKUP($A515, Reliance!A:A, Reliance!B:B, "")</f>
        <v>1124.77</v>
      </c>
      <c r="D515" s="4">
        <f>_xlfn.XLOOKUP($A515, HDFC!A:A, HDFC!B:B, "")</f>
        <v>758.91</v>
      </c>
      <c r="E515" s="4">
        <f>_xlfn.XLOOKUP($A515, ITC!A:A, ITC!B:B, "")</f>
        <v>217.05</v>
      </c>
      <c r="F515" s="4">
        <f>_xlfn.XLOOKUP($A515, TCS!A:A, TCS!B:B, "")</f>
        <v>3833.5</v>
      </c>
      <c r="G515" s="4">
        <f>_xlfn.XLOOKUP($A515, Infosys!A:A, Infosys!B:B,"")</f>
        <v>1785.7</v>
      </c>
      <c r="H515" s="4">
        <f>_xlfn.XLOOKUP($A515, 'L &amp; T'!A:A, 'L &amp; T'!B:B, "")</f>
        <v>1956.05</v>
      </c>
    </row>
    <row r="516" spans="1:8" x14ac:dyDescent="0.3">
      <c r="A516" s="1">
        <v>44585</v>
      </c>
      <c r="B516" s="4">
        <f>_xlfn.XLOOKUP($A516, 'Nifty 50'!A:A, 'Nifty 50'!B:B, "")</f>
        <v>17149.099999999999</v>
      </c>
      <c r="C516" s="4">
        <f>_xlfn.XLOOKUP($A516, Reliance!A:A, Reliance!B:B, "")</f>
        <v>1079.4000000000001</v>
      </c>
      <c r="D516" s="4">
        <f>_xlfn.XLOOKUP($A516, HDFC!A:A, HDFC!B:B, "")</f>
        <v>741.48</v>
      </c>
      <c r="E516" s="4">
        <f>_xlfn.XLOOKUP($A516, ITC!A:A, ITC!B:B, "")</f>
        <v>211.8</v>
      </c>
      <c r="F516" s="4">
        <f>_xlfn.XLOOKUP($A516, TCS!A:A, TCS!B:B, "")</f>
        <v>3771.35</v>
      </c>
      <c r="G516" s="4">
        <f>_xlfn.XLOOKUP($A516, Infosys!A:A, Infosys!B:B,"")</f>
        <v>1736.8</v>
      </c>
      <c r="H516" s="4">
        <f>_xlfn.XLOOKUP($A516, 'L &amp; T'!A:A, 'L &amp; T'!B:B, "")</f>
        <v>1899.9</v>
      </c>
    </row>
    <row r="517" spans="1:8" x14ac:dyDescent="0.3">
      <c r="A517" s="1">
        <v>44586</v>
      </c>
      <c r="B517" s="4">
        <f>_xlfn.XLOOKUP($A517, 'Nifty 50'!A:A, 'Nifty 50'!B:B, "")</f>
        <v>17277.95</v>
      </c>
      <c r="C517" s="4">
        <f>_xlfn.XLOOKUP($A517, Reliance!A:A, Reliance!B:B, "")</f>
        <v>1077.29</v>
      </c>
      <c r="D517" s="4">
        <f>_xlfn.XLOOKUP($A517, HDFC!A:A, HDFC!B:B, "")</f>
        <v>742.18</v>
      </c>
      <c r="E517" s="4">
        <f>_xlfn.XLOOKUP($A517, ITC!A:A, ITC!B:B, "")</f>
        <v>214.3</v>
      </c>
      <c r="F517" s="4">
        <f>_xlfn.XLOOKUP($A517, TCS!A:A, TCS!B:B, "")</f>
        <v>3769.9</v>
      </c>
      <c r="G517" s="4">
        <f>_xlfn.XLOOKUP($A517, Infosys!A:A, Infosys!B:B,"")</f>
        <v>1722.15</v>
      </c>
      <c r="H517" s="4">
        <f>_xlfn.XLOOKUP($A517, 'L &amp; T'!A:A, 'L &amp; T'!B:B, "")</f>
        <v>1925.3</v>
      </c>
    </row>
    <row r="518" spans="1:8" x14ac:dyDescent="0.3">
      <c r="A518" s="1">
        <v>44588</v>
      </c>
      <c r="B518" s="4">
        <f>_xlfn.XLOOKUP($A518, 'Nifty 50'!A:A, 'Nifty 50'!B:B, "")</f>
        <v>17110.150000000001</v>
      </c>
      <c r="C518" s="4">
        <f>_xlfn.XLOOKUP($A518, Reliance!A:A, Reliance!B:B, "")</f>
        <v>1061.33</v>
      </c>
      <c r="D518" s="4">
        <f>_xlfn.XLOOKUP($A518, HDFC!A:A, HDFC!B:B, "")</f>
        <v>735.64</v>
      </c>
      <c r="E518" s="4">
        <f>_xlfn.XLOOKUP($A518, ITC!A:A, ITC!B:B, "")</f>
        <v>214.6</v>
      </c>
      <c r="F518" s="4">
        <f>_xlfn.XLOOKUP($A518, TCS!A:A, TCS!B:B, "")</f>
        <v>3649.25</v>
      </c>
      <c r="G518" s="4">
        <f>_xlfn.XLOOKUP($A518, Infosys!A:A, Infosys!B:B,"")</f>
        <v>1678.6</v>
      </c>
      <c r="H518" s="4">
        <f>_xlfn.XLOOKUP($A518, 'L &amp; T'!A:A, 'L &amp; T'!B:B, "")</f>
        <v>1910.85</v>
      </c>
    </row>
    <row r="519" spans="1:8" x14ac:dyDescent="0.3">
      <c r="A519" s="1">
        <v>44589</v>
      </c>
      <c r="B519" s="4">
        <f>_xlfn.XLOOKUP($A519, 'Nifty 50'!A:A, 'Nifty 50'!B:B, "")</f>
        <v>17101.95</v>
      </c>
      <c r="C519" s="4">
        <f>_xlfn.XLOOKUP($A519, Reliance!A:A, Reliance!B:B, "")</f>
        <v>1060.31</v>
      </c>
      <c r="D519" s="4">
        <f>_xlfn.XLOOKUP($A519, HDFC!A:A, HDFC!B:B, "")</f>
        <v>729.81</v>
      </c>
      <c r="E519" s="4">
        <f>_xlfn.XLOOKUP($A519, ITC!A:A, ITC!B:B, "")</f>
        <v>217.6</v>
      </c>
      <c r="F519" s="4">
        <f>_xlfn.XLOOKUP($A519, TCS!A:A, TCS!B:B, "")</f>
        <v>3690.05</v>
      </c>
      <c r="G519" s="4">
        <f>_xlfn.XLOOKUP($A519, Infosys!A:A, Infosys!B:B,"")</f>
        <v>1686.2</v>
      </c>
      <c r="H519" s="4">
        <f>_xlfn.XLOOKUP($A519, 'L &amp; T'!A:A, 'L &amp; T'!B:B, "")</f>
        <v>1897.55</v>
      </c>
    </row>
    <row r="520" spans="1:8" x14ac:dyDescent="0.3">
      <c r="A520" s="1">
        <v>44592</v>
      </c>
      <c r="B520" s="4">
        <f>_xlfn.XLOOKUP($A520, 'Nifty 50'!A:A, 'Nifty 50'!B:B, "")</f>
        <v>17339.849999999999</v>
      </c>
      <c r="C520" s="4">
        <f>_xlfn.XLOOKUP($A520, Reliance!A:A, Reliance!B:B, "")</f>
        <v>1083.3499999999999</v>
      </c>
      <c r="D520" s="4">
        <f>_xlfn.XLOOKUP($A520, HDFC!A:A, HDFC!B:B, "")</f>
        <v>741.01</v>
      </c>
      <c r="E520" s="4">
        <f>_xlfn.XLOOKUP($A520, ITC!A:A, ITC!B:B, "")</f>
        <v>220.2</v>
      </c>
      <c r="F520" s="4">
        <f>_xlfn.XLOOKUP($A520, TCS!A:A, TCS!B:B, "")</f>
        <v>3736.25</v>
      </c>
      <c r="G520" s="4">
        <f>_xlfn.XLOOKUP($A520, Infosys!A:A, Infosys!B:B,"")</f>
        <v>1736.2</v>
      </c>
      <c r="H520" s="4">
        <f>_xlfn.XLOOKUP($A520, 'L &amp; T'!A:A, 'L &amp; T'!B:B, "")</f>
        <v>1909.2</v>
      </c>
    </row>
    <row r="521" spans="1:8" x14ac:dyDescent="0.3">
      <c r="A521" s="1">
        <v>44593</v>
      </c>
      <c r="B521" s="4">
        <f>_xlfn.XLOOKUP($A521, 'Nifty 50'!A:A, 'Nifty 50'!B:B, "")</f>
        <v>17576.849999999999</v>
      </c>
      <c r="C521" s="4">
        <f>_xlfn.XLOOKUP($A521, Reliance!A:A, Reliance!B:B, "")</f>
        <v>1079.76</v>
      </c>
      <c r="D521" s="4">
        <f>_xlfn.XLOOKUP($A521, HDFC!A:A, HDFC!B:B, "")</f>
        <v>746.64</v>
      </c>
      <c r="E521" s="4">
        <f>_xlfn.XLOOKUP($A521, ITC!A:A, ITC!B:B, "")</f>
        <v>227.75</v>
      </c>
      <c r="F521" s="4">
        <f>_xlfn.XLOOKUP($A521, TCS!A:A, TCS!B:B, "")</f>
        <v>3800.65</v>
      </c>
      <c r="G521" s="4">
        <f>_xlfn.XLOOKUP($A521, Infosys!A:A, Infosys!B:B,"")</f>
        <v>1772.05</v>
      </c>
      <c r="H521" s="4">
        <f>_xlfn.XLOOKUP($A521, 'L &amp; T'!A:A, 'L &amp; T'!B:B, "")</f>
        <v>1990.5</v>
      </c>
    </row>
    <row r="522" spans="1:8" x14ac:dyDescent="0.3">
      <c r="A522" s="1">
        <v>44594</v>
      </c>
      <c r="B522" s="4">
        <f>_xlfn.XLOOKUP($A522, 'Nifty 50'!A:A, 'Nifty 50'!B:B, "")</f>
        <v>17780</v>
      </c>
      <c r="C522" s="4">
        <f>_xlfn.XLOOKUP($A522, Reliance!A:A, Reliance!B:B, "")</f>
        <v>1081.96</v>
      </c>
      <c r="D522" s="4">
        <f>_xlfn.XLOOKUP($A522, HDFC!A:A, HDFC!B:B, "")</f>
        <v>763.7</v>
      </c>
      <c r="E522" s="4">
        <f>_xlfn.XLOOKUP($A522, ITC!A:A, ITC!B:B, "")</f>
        <v>232.15</v>
      </c>
      <c r="F522" s="4">
        <f>_xlfn.XLOOKUP($A522, TCS!A:A, TCS!B:B, "")</f>
        <v>3856.2</v>
      </c>
      <c r="G522" s="4">
        <f>_xlfn.XLOOKUP($A522, Infosys!A:A, Infosys!B:B,"")</f>
        <v>1787.1</v>
      </c>
      <c r="H522" s="4">
        <f>_xlfn.XLOOKUP($A522, 'L &amp; T'!A:A, 'L &amp; T'!B:B, "")</f>
        <v>1982.7</v>
      </c>
    </row>
    <row r="523" spans="1:8" x14ac:dyDescent="0.3">
      <c r="A523" s="1">
        <v>44595</v>
      </c>
      <c r="B523" s="4">
        <f>_xlfn.XLOOKUP($A523, 'Nifty 50'!A:A, 'Nifty 50'!B:B, "")</f>
        <v>17560.2</v>
      </c>
      <c r="C523" s="4">
        <f>_xlfn.XLOOKUP($A523, Reliance!A:A, Reliance!B:B, "")</f>
        <v>1067.98</v>
      </c>
      <c r="D523" s="4">
        <f>_xlfn.XLOOKUP($A523, HDFC!A:A, HDFC!B:B, "")</f>
        <v>755.79</v>
      </c>
      <c r="E523" s="4">
        <f>_xlfn.XLOOKUP($A523, ITC!A:A, ITC!B:B, "")</f>
        <v>234.45</v>
      </c>
      <c r="F523" s="4">
        <f>_xlfn.XLOOKUP($A523, TCS!A:A, TCS!B:B, "")</f>
        <v>3824.6</v>
      </c>
      <c r="G523" s="4">
        <f>_xlfn.XLOOKUP($A523, Infosys!A:A, Infosys!B:B,"")</f>
        <v>1738.55</v>
      </c>
      <c r="H523" s="4">
        <f>_xlfn.XLOOKUP($A523, 'L &amp; T'!A:A, 'L &amp; T'!B:B, "")</f>
        <v>1933.65</v>
      </c>
    </row>
    <row r="524" spans="1:8" x14ac:dyDescent="0.3">
      <c r="A524" s="1">
        <v>44596</v>
      </c>
      <c r="B524" s="4">
        <f>_xlfn.XLOOKUP($A524, 'Nifty 50'!A:A, 'Nifty 50'!B:B, "")</f>
        <v>17516.3</v>
      </c>
      <c r="C524" s="4">
        <f>_xlfn.XLOOKUP($A524, Reliance!A:A, Reliance!B:B, "")</f>
        <v>1058.25</v>
      </c>
      <c r="D524" s="4">
        <f>_xlfn.XLOOKUP($A524, HDFC!A:A, HDFC!B:B, "")</f>
        <v>760.11</v>
      </c>
      <c r="E524" s="4">
        <f>_xlfn.XLOOKUP($A524, ITC!A:A, ITC!B:B, "")</f>
        <v>234.3</v>
      </c>
      <c r="F524" s="4">
        <f>_xlfn.XLOOKUP($A524, TCS!A:A, TCS!B:B, "")</f>
        <v>3814.9</v>
      </c>
      <c r="G524" s="4">
        <f>_xlfn.XLOOKUP($A524, Infosys!A:A, Infosys!B:B,"")</f>
        <v>1741.1</v>
      </c>
      <c r="H524" s="4">
        <f>_xlfn.XLOOKUP($A524, 'L &amp; T'!A:A, 'L &amp; T'!B:B, "")</f>
        <v>1947.95</v>
      </c>
    </row>
    <row r="525" spans="1:8" x14ac:dyDescent="0.3">
      <c r="A525" s="1">
        <v>44599</v>
      </c>
      <c r="B525" s="4">
        <f>_xlfn.XLOOKUP($A525, 'Nifty 50'!A:A, 'Nifty 50'!B:B, "")</f>
        <v>17213.599999999999</v>
      </c>
      <c r="C525" s="4">
        <f>_xlfn.XLOOKUP($A525, Reliance!A:A, Reliance!B:B, "")</f>
        <v>1051.8</v>
      </c>
      <c r="D525" s="4">
        <f>_xlfn.XLOOKUP($A525, HDFC!A:A, HDFC!B:B, "")</f>
        <v>732.25</v>
      </c>
      <c r="E525" s="4">
        <f>_xlfn.XLOOKUP($A525, ITC!A:A, ITC!B:B, "")</f>
        <v>230.2</v>
      </c>
      <c r="F525" s="4">
        <f>_xlfn.XLOOKUP($A525, TCS!A:A, TCS!B:B, "")</f>
        <v>3779</v>
      </c>
      <c r="G525" s="4">
        <f>_xlfn.XLOOKUP($A525, Infosys!A:A, Infosys!B:B,"")</f>
        <v>1715</v>
      </c>
      <c r="H525" s="4">
        <f>_xlfn.XLOOKUP($A525, 'L &amp; T'!A:A, 'L &amp; T'!B:B, "")</f>
        <v>1884.5</v>
      </c>
    </row>
    <row r="526" spans="1:8" x14ac:dyDescent="0.3">
      <c r="A526" s="1">
        <v>44600</v>
      </c>
      <c r="B526" s="4">
        <f>_xlfn.XLOOKUP($A526, 'Nifty 50'!A:A, 'Nifty 50'!B:B, "")</f>
        <v>17266.75</v>
      </c>
      <c r="C526" s="4">
        <f>_xlfn.XLOOKUP($A526, Reliance!A:A, Reliance!B:B, "")</f>
        <v>1069.48</v>
      </c>
      <c r="D526" s="4">
        <f>_xlfn.XLOOKUP($A526, HDFC!A:A, HDFC!B:B, "")</f>
        <v>729.11</v>
      </c>
      <c r="E526" s="4">
        <f>_xlfn.XLOOKUP($A526, ITC!A:A, ITC!B:B, "")</f>
        <v>231.25</v>
      </c>
      <c r="F526" s="4">
        <f>_xlfn.XLOOKUP($A526, TCS!A:A, TCS!B:B, "")</f>
        <v>3743.45</v>
      </c>
      <c r="G526" s="4">
        <f>_xlfn.XLOOKUP($A526, Infosys!A:A, Infosys!B:B,"")</f>
        <v>1717.3</v>
      </c>
      <c r="H526" s="4">
        <f>_xlfn.XLOOKUP($A526, 'L &amp; T'!A:A, 'L &amp; T'!B:B, "")</f>
        <v>1875.6</v>
      </c>
    </row>
    <row r="527" spans="1:8" x14ac:dyDescent="0.3">
      <c r="A527" s="1">
        <v>44601</v>
      </c>
      <c r="B527" s="4">
        <f>_xlfn.XLOOKUP($A527, 'Nifty 50'!A:A, 'Nifty 50'!B:B, "")</f>
        <v>17463.8</v>
      </c>
      <c r="C527" s="4">
        <f>_xlfn.XLOOKUP($A527, Reliance!A:A, Reliance!B:B, "")</f>
        <v>1081.94</v>
      </c>
      <c r="D527" s="4">
        <f>_xlfn.XLOOKUP($A527, HDFC!A:A, HDFC!B:B, "")</f>
        <v>746.94</v>
      </c>
      <c r="E527" s="4">
        <f>_xlfn.XLOOKUP($A527, ITC!A:A, ITC!B:B, "")</f>
        <v>230.15</v>
      </c>
      <c r="F527" s="4">
        <f>_xlfn.XLOOKUP($A527, TCS!A:A, TCS!B:B, "")</f>
        <v>3760.55</v>
      </c>
      <c r="G527" s="4">
        <f>_xlfn.XLOOKUP($A527, Infosys!A:A, Infosys!B:B,"")</f>
        <v>1737.3</v>
      </c>
      <c r="H527" s="4">
        <f>_xlfn.XLOOKUP($A527, 'L &amp; T'!A:A, 'L &amp; T'!B:B, "")</f>
        <v>1888.8</v>
      </c>
    </row>
    <row r="528" spans="1:8" x14ac:dyDescent="0.3">
      <c r="A528" s="1">
        <v>44602</v>
      </c>
      <c r="B528" s="4">
        <f>_xlfn.XLOOKUP($A528, 'Nifty 50'!A:A, 'Nifty 50'!B:B, "")</f>
        <v>17605.849999999999</v>
      </c>
      <c r="C528" s="4">
        <f>_xlfn.XLOOKUP($A528, Reliance!A:A, Reliance!B:B, "")</f>
        <v>1080.83</v>
      </c>
      <c r="D528" s="4">
        <f>_xlfn.XLOOKUP($A528, HDFC!A:A, HDFC!B:B, "")</f>
        <v>760.66</v>
      </c>
      <c r="E528" s="4">
        <f>_xlfn.XLOOKUP($A528, ITC!A:A, ITC!B:B, "")</f>
        <v>232.25</v>
      </c>
      <c r="F528" s="4">
        <f>_xlfn.XLOOKUP($A528, TCS!A:A, TCS!B:B, "")</f>
        <v>3770.35</v>
      </c>
      <c r="G528" s="4">
        <f>_xlfn.XLOOKUP($A528, Infosys!A:A, Infosys!B:B,"")</f>
        <v>1769.6</v>
      </c>
      <c r="H528" s="4">
        <f>_xlfn.XLOOKUP($A528, 'L &amp; T'!A:A, 'L &amp; T'!B:B, "")</f>
        <v>1901</v>
      </c>
    </row>
    <row r="529" spans="1:8" x14ac:dyDescent="0.3">
      <c r="A529" s="1">
        <v>44603</v>
      </c>
      <c r="B529" s="4">
        <f>_xlfn.XLOOKUP($A529, 'Nifty 50'!A:A, 'Nifty 50'!B:B, "")</f>
        <v>17374.75</v>
      </c>
      <c r="C529" s="4">
        <f>_xlfn.XLOOKUP($A529, Reliance!A:A, Reliance!B:B, "")</f>
        <v>1078.72</v>
      </c>
      <c r="D529" s="4">
        <f>_xlfn.XLOOKUP($A529, HDFC!A:A, HDFC!B:B, "")</f>
        <v>757.54</v>
      </c>
      <c r="E529" s="4">
        <f>_xlfn.XLOOKUP($A529, ITC!A:A, ITC!B:B, "")</f>
        <v>232.45</v>
      </c>
      <c r="F529" s="4">
        <f>_xlfn.XLOOKUP($A529, TCS!A:A, TCS!B:B, "")</f>
        <v>3694.95</v>
      </c>
      <c r="G529" s="4">
        <f>_xlfn.XLOOKUP($A529, Infosys!A:A, Infosys!B:B,"")</f>
        <v>1721.35</v>
      </c>
      <c r="H529" s="4">
        <f>_xlfn.XLOOKUP($A529, 'L &amp; T'!A:A, 'L &amp; T'!B:B, "")</f>
        <v>1871.25</v>
      </c>
    </row>
    <row r="530" spans="1:8" x14ac:dyDescent="0.3">
      <c r="A530" s="1">
        <v>44606</v>
      </c>
      <c r="B530" s="4">
        <f>_xlfn.XLOOKUP($A530, 'Nifty 50'!A:A, 'Nifty 50'!B:B, "")</f>
        <v>16842.8</v>
      </c>
      <c r="C530" s="4">
        <f>_xlfn.XLOOKUP($A530, Reliance!A:A, Reliance!B:B, "")</f>
        <v>1061.54</v>
      </c>
      <c r="D530" s="4">
        <f>_xlfn.XLOOKUP($A530, HDFC!A:A, HDFC!B:B, "")</f>
        <v>735.02</v>
      </c>
      <c r="E530" s="4">
        <f>_xlfn.XLOOKUP($A530, ITC!A:A, ITC!B:B, "")</f>
        <v>219.45</v>
      </c>
      <c r="F530" s="4">
        <f>_xlfn.XLOOKUP($A530, TCS!A:A, TCS!B:B, "")</f>
        <v>3733.75</v>
      </c>
      <c r="G530" s="4">
        <f>_xlfn.XLOOKUP($A530, Infosys!A:A, Infosys!B:B,"")</f>
        <v>1682.2</v>
      </c>
      <c r="H530" s="4">
        <f>_xlfn.XLOOKUP($A530, 'L &amp; T'!A:A, 'L &amp; T'!B:B, "")</f>
        <v>1799</v>
      </c>
    </row>
    <row r="531" spans="1:8" x14ac:dyDescent="0.3">
      <c r="A531" s="1">
        <v>44607</v>
      </c>
      <c r="B531" s="4">
        <f>_xlfn.XLOOKUP($A531, 'Nifty 50'!A:A, 'Nifty 50'!B:B, "")</f>
        <v>17352.45</v>
      </c>
      <c r="C531" s="4">
        <f>_xlfn.XLOOKUP($A531, Reliance!A:A, Reliance!B:B, "")</f>
        <v>1097.58</v>
      </c>
      <c r="D531" s="4">
        <f>_xlfn.XLOOKUP($A531, HDFC!A:A, HDFC!B:B, "")</f>
        <v>757.02</v>
      </c>
      <c r="E531" s="4">
        <f>_xlfn.XLOOKUP($A531, ITC!A:A, ITC!B:B, "")</f>
        <v>223</v>
      </c>
      <c r="F531" s="4">
        <f>_xlfn.XLOOKUP($A531, TCS!A:A, TCS!B:B, "")</f>
        <v>3817.8</v>
      </c>
      <c r="G531" s="4">
        <f>_xlfn.XLOOKUP($A531, Infosys!A:A, Infosys!B:B,"")</f>
        <v>1738.25</v>
      </c>
      <c r="H531" s="4">
        <f>_xlfn.XLOOKUP($A531, 'L &amp; T'!A:A, 'L &amp; T'!B:B, "")</f>
        <v>1876.05</v>
      </c>
    </row>
    <row r="532" spans="1:8" x14ac:dyDescent="0.3">
      <c r="A532" s="1">
        <v>44608</v>
      </c>
      <c r="B532" s="4">
        <f>_xlfn.XLOOKUP($A532, 'Nifty 50'!A:A, 'Nifty 50'!B:B, "")</f>
        <v>17322.2</v>
      </c>
      <c r="C532" s="4">
        <f>_xlfn.XLOOKUP($A532, Reliance!A:A, Reliance!B:B, "")</f>
        <v>1095.31</v>
      </c>
      <c r="D532" s="4">
        <f>_xlfn.XLOOKUP($A532, HDFC!A:A, HDFC!B:B, "")</f>
        <v>755.99</v>
      </c>
      <c r="E532" s="4">
        <f>_xlfn.XLOOKUP($A532, ITC!A:A, ITC!B:B, "")</f>
        <v>222.75</v>
      </c>
      <c r="F532" s="4">
        <f>_xlfn.XLOOKUP($A532, TCS!A:A, TCS!B:B, "")</f>
        <v>3813.1</v>
      </c>
      <c r="G532" s="4">
        <f>_xlfn.XLOOKUP($A532, Infosys!A:A, Infosys!B:B,"")</f>
        <v>1733.3</v>
      </c>
      <c r="H532" s="4">
        <f>_xlfn.XLOOKUP($A532, 'L &amp; T'!A:A, 'L &amp; T'!B:B, "")</f>
        <v>1860.7</v>
      </c>
    </row>
    <row r="533" spans="1:8" x14ac:dyDescent="0.3">
      <c r="A533" s="1">
        <v>44609</v>
      </c>
      <c r="B533" s="4">
        <f>_xlfn.XLOOKUP($A533, 'Nifty 50'!A:A, 'Nifty 50'!B:B, "")</f>
        <v>17304.599999999999</v>
      </c>
      <c r="C533" s="4">
        <f>_xlfn.XLOOKUP($A533, Reliance!A:A, Reliance!B:B, "")</f>
        <v>1109.18</v>
      </c>
      <c r="D533" s="4">
        <f>_xlfn.XLOOKUP($A533, HDFC!A:A, HDFC!B:B, "")</f>
        <v>751.38</v>
      </c>
      <c r="E533" s="4">
        <f>_xlfn.XLOOKUP($A533, ITC!A:A, ITC!B:B, "")</f>
        <v>222.65</v>
      </c>
      <c r="F533" s="4">
        <f>_xlfn.XLOOKUP($A533, TCS!A:A, TCS!B:B, "")</f>
        <v>3784.2</v>
      </c>
      <c r="G533" s="4">
        <f>_xlfn.XLOOKUP($A533, Infosys!A:A, Infosys!B:B,"")</f>
        <v>1724.8</v>
      </c>
      <c r="H533" s="4">
        <f>_xlfn.XLOOKUP($A533, 'L &amp; T'!A:A, 'L &amp; T'!B:B, "")</f>
        <v>1868.7</v>
      </c>
    </row>
    <row r="534" spans="1:8" x14ac:dyDescent="0.3">
      <c r="A534" s="1">
        <v>44610</v>
      </c>
      <c r="B534" s="4">
        <f>_xlfn.XLOOKUP($A534, 'Nifty 50'!A:A, 'Nifty 50'!B:B, "")</f>
        <v>17276.3</v>
      </c>
      <c r="C534" s="4">
        <f>_xlfn.XLOOKUP($A534, Reliance!A:A, Reliance!B:B, "")</f>
        <v>1100.51</v>
      </c>
      <c r="D534" s="4">
        <f>_xlfn.XLOOKUP($A534, HDFC!A:A, HDFC!B:B, "")</f>
        <v>754.3</v>
      </c>
      <c r="E534" s="4">
        <f>_xlfn.XLOOKUP($A534, ITC!A:A, ITC!B:B, "")</f>
        <v>221.9</v>
      </c>
      <c r="F534" s="4">
        <f>_xlfn.XLOOKUP($A534, TCS!A:A, TCS!B:B, "")</f>
        <v>3793.9</v>
      </c>
      <c r="G534" s="4">
        <f>_xlfn.XLOOKUP($A534, Infosys!A:A, Infosys!B:B,"")</f>
        <v>1706.95</v>
      </c>
      <c r="H534" s="4">
        <f>_xlfn.XLOOKUP($A534, 'L &amp; T'!A:A, 'L &amp; T'!B:B, "")</f>
        <v>1883.1</v>
      </c>
    </row>
    <row r="535" spans="1:8" x14ac:dyDescent="0.3">
      <c r="A535" s="1">
        <v>44613</v>
      </c>
      <c r="B535" s="4">
        <f>_xlfn.XLOOKUP($A535, 'Nifty 50'!A:A, 'Nifty 50'!B:B, "")</f>
        <v>17206.650000000001</v>
      </c>
      <c r="C535" s="4">
        <f>_xlfn.XLOOKUP($A535, Reliance!A:A, Reliance!B:B, "")</f>
        <v>1089.3900000000001</v>
      </c>
      <c r="D535" s="4">
        <f>_xlfn.XLOOKUP($A535, HDFC!A:A, HDFC!B:B, "")</f>
        <v>759.16</v>
      </c>
      <c r="E535" s="4">
        <f>_xlfn.XLOOKUP($A535, ITC!A:A, ITC!B:B, "")</f>
        <v>218</v>
      </c>
      <c r="F535" s="4">
        <f>_xlfn.XLOOKUP($A535, TCS!A:A, TCS!B:B, "")</f>
        <v>3719.4</v>
      </c>
      <c r="G535" s="4">
        <f>_xlfn.XLOOKUP($A535, Infosys!A:A, Infosys!B:B,"")</f>
        <v>1730.7</v>
      </c>
      <c r="H535" s="4">
        <f>_xlfn.XLOOKUP($A535, 'L &amp; T'!A:A, 'L &amp; T'!B:B, "")</f>
        <v>1863.95</v>
      </c>
    </row>
    <row r="536" spans="1:8" x14ac:dyDescent="0.3">
      <c r="A536" s="1">
        <v>44614</v>
      </c>
      <c r="B536" s="4">
        <f>_xlfn.XLOOKUP($A536, 'Nifty 50'!A:A, 'Nifty 50'!B:B, "")</f>
        <v>17092.2</v>
      </c>
      <c r="C536" s="4">
        <f>_xlfn.XLOOKUP($A536, Reliance!A:A, Reliance!B:B, "")</f>
        <v>1084.44</v>
      </c>
      <c r="D536" s="4">
        <f>_xlfn.XLOOKUP($A536, HDFC!A:A, HDFC!B:B, "")</f>
        <v>753.48</v>
      </c>
      <c r="E536" s="4">
        <f>_xlfn.XLOOKUP($A536, ITC!A:A, ITC!B:B, "")</f>
        <v>214.85</v>
      </c>
      <c r="F536" s="4">
        <f>_xlfn.XLOOKUP($A536, TCS!A:A, TCS!B:B, "")</f>
        <v>3586.4</v>
      </c>
      <c r="G536" s="4">
        <f>_xlfn.XLOOKUP($A536, Infosys!A:A, Infosys!B:B,"")</f>
        <v>1734.35</v>
      </c>
      <c r="H536" s="4">
        <f>_xlfn.XLOOKUP($A536, 'L &amp; T'!A:A, 'L &amp; T'!B:B, "")</f>
        <v>1844.45</v>
      </c>
    </row>
    <row r="537" spans="1:8" x14ac:dyDescent="0.3">
      <c r="A537" s="1">
        <v>44615</v>
      </c>
      <c r="B537" s="4">
        <f>_xlfn.XLOOKUP($A537, 'Nifty 50'!A:A, 'Nifty 50'!B:B, "")</f>
        <v>17063.25</v>
      </c>
      <c r="C537" s="4">
        <f>_xlfn.XLOOKUP($A537, Reliance!A:A, Reliance!B:B, "")</f>
        <v>1077.6500000000001</v>
      </c>
      <c r="D537" s="4">
        <f>_xlfn.XLOOKUP($A537, HDFC!A:A, HDFC!B:B, "")</f>
        <v>748.59</v>
      </c>
      <c r="E537" s="4">
        <f>_xlfn.XLOOKUP($A537, ITC!A:A, ITC!B:B, "")</f>
        <v>215.95</v>
      </c>
      <c r="F537" s="4">
        <f>_xlfn.XLOOKUP($A537, TCS!A:A, TCS!B:B, "")</f>
        <v>3563.8</v>
      </c>
      <c r="G537" s="4">
        <f>_xlfn.XLOOKUP($A537, Infosys!A:A, Infosys!B:B,"")</f>
        <v>1742.85</v>
      </c>
      <c r="H537" s="4">
        <f>_xlfn.XLOOKUP($A537, 'L &amp; T'!A:A, 'L &amp; T'!B:B, "")</f>
        <v>1820.3</v>
      </c>
    </row>
    <row r="538" spans="1:8" x14ac:dyDescent="0.3">
      <c r="A538" s="1">
        <v>44616</v>
      </c>
      <c r="B538" s="4">
        <f>_xlfn.XLOOKUP($A538, 'Nifty 50'!A:A, 'Nifty 50'!B:B, "")</f>
        <v>16247.95</v>
      </c>
      <c r="C538" s="4">
        <f>_xlfn.XLOOKUP($A538, Reliance!A:A, Reliance!B:B, "")</f>
        <v>1023.95</v>
      </c>
      <c r="D538" s="4">
        <f>_xlfn.XLOOKUP($A538, HDFC!A:A, HDFC!B:B, "")</f>
        <v>707.94</v>
      </c>
      <c r="E538" s="4">
        <f>_xlfn.XLOOKUP($A538, ITC!A:A, ITC!B:B, "")</f>
        <v>208.5</v>
      </c>
      <c r="F538" s="4">
        <f>_xlfn.XLOOKUP($A538, TCS!A:A, TCS!B:B, "")</f>
        <v>3401.65</v>
      </c>
      <c r="G538" s="4">
        <f>_xlfn.XLOOKUP($A538, Infosys!A:A, Infosys!B:B,"")</f>
        <v>1678.15</v>
      </c>
      <c r="H538" s="4">
        <f>_xlfn.XLOOKUP($A538, 'L &amp; T'!A:A, 'L &amp; T'!B:B, "")</f>
        <v>1757.35</v>
      </c>
    </row>
    <row r="539" spans="1:8" x14ac:dyDescent="0.3">
      <c r="A539" s="1">
        <v>44617</v>
      </c>
      <c r="B539" s="4">
        <f>_xlfn.XLOOKUP($A539, 'Nifty 50'!A:A, 'Nifty 50'!B:B, "")</f>
        <v>16658.400000000001</v>
      </c>
      <c r="C539" s="4">
        <f>_xlfn.XLOOKUP($A539, Reliance!A:A, Reliance!B:B, "")</f>
        <v>1036.75</v>
      </c>
      <c r="D539" s="4">
        <f>_xlfn.XLOOKUP($A539, HDFC!A:A, HDFC!B:B, "")</f>
        <v>726.24</v>
      </c>
      <c r="E539" s="4">
        <f>_xlfn.XLOOKUP($A539, ITC!A:A, ITC!B:B, "")</f>
        <v>213.95</v>
      </c>
      <c r="F539" s="4">
        <f>_xlfn.XLOOKUP($A539, TCS!A:A, TCS!B:B, "")</f>
        <v>3520.75</v>
      </c>
      <c r="G539" s="4">
        <f>_xlfn.XLOOKUP($A539, Infosys!A:A, Infosys!B:B,"")</f>
        <v>1694.6</v>
      </c>
      <c r="H539" s="4">
        <f>_xlfn.XLOOKUP($A539, 'L &amp; T'!A:A, 'L &amp; T'!B:B, "")</f>
        <v>1777.05</v>
      </c>
    </row>
    <row r="540" spans="1:8" x14ac:dyDescent="0.3">
      <c r="A540" s="1">
        <v>44620</v>
      </c>
      <c r="B540" s="4">
        <f>_xlfn.XLOOKUP($A540, 'Nifty 50'!A:A, 'Nifty 50'!B:B, "")</f>
        <v>16793.900000000001</v>
      </c>
      <c r="C540" s="4">
        <f>_xlfn.XLOOKUP($A540, Reliance!A:A, Reliance!B:B, "")</f>
        <v>1071.07</v>
      </c>
      <c r="D540" s="4">
        <f>_xlfn.XLOOKUP($A540, HDFC!A:A, HDFC!B:B, "")</f>
        <v>711.36</v>
      </c>
      <c r="E540" s="4">
        <f>_xlfn.XLOOKUP($A540, ITC!A:A, ITC!B:B, "")</f>
        <v>215.85</v>
      </c>
      <c r="F540" s="4">
        <f>_xlfn.XLOOKUP($A540, TCS!A:A, TCS!B:B, "")</f>
        <v>3554.2</v>
      </c>
      <c r="G540" s="4">
        <f>_xlfn.XLOOKUP($A540, Infosys!A:A, Infosys!B:B,"")</f>
        <v>1715.6</v>
      </c>
      <c r="H540" s="4">
        <f>_xlfn.XLOOKUP($A540, 'L &amp; T'!A:A, 'L &amp; T'!B:B, "")</f>
        <v>1816.75</v>
      </c>
    </row>
    <row r="541" spans="1:8" x14ac:dyDescent="0.3">
      <c r="A541" s="1">
        <v>44622</v>
      </c>
      <c r="B541" s="4">
        <f>_xlfn.XLOOKUP($A541, 'Nifty 50'!A:A, 'Nifty 50'!B:B, "")</f>
        <v>16605.95</v>
      </c>
      <c r="C541" s="4">
        <f>_xlfn.XLOOKUP($A541, Reliance!A:A, Reliance!B:B, "")</f>
        <v>1088.77</v>
      </c>
      <c r="D541" s="4">
        <f>_xlfn.XLOOKUP($A541, HDFC!A:A, HDFC!B:B, "")</f>
        <v>685.42</v>
      </c>
      <c r="E541" s="4">
        <f>_xlfn.XLOOKUP($A541, ITC!A:A, ITC!B:B, "")</f>
        <v>215.3</v>
      </c>
      <c r="F541" s="4">
        <f>_xlfn.XLOOKUP($A541, TCS!A:A, TCS!B:B, "")</f>
        <v>3546.15</v>
      </c>
      <c r="G541" s="4">
        <f>_xlfn.XLOOKUP($A541, Infosys!A:A, Infosys!B:B,"")</f>
        <v>1702.8</v>
      </c>
      <c r="H541" s="4">
        <f>_xlfn.XLOOKUP($A541, 'L &amp; T'!A:A, 'L &amp; T'!B:B, "")</f>
        <v>1784.5</v>
      </c>
    </row>
    <row r="542" spans="1:8" x14ac:dyDescent="0.3">
      <c r="A542" s="1">
        <v>44623</v>
      </c>
      <c r="B542" s="4">
        <f>_xlfn.XLOOKUP($A542, 'Nifty 50'!A:A, 'Nifty 50'!B:B, "")</f>
        <v>16498.05</v>
      </c>
      <c r="C542" s="4">
        <f>_xlfn.XLOOKUP($A542, Reliance!A:A, Reliance!B:B, "")</f>
        <v>1079.58</v>
      </c>
      <c r="D542" s="4">
        <f>_xlfn.XLOOKUP($A542, HDFC!A:A, HDFC!B:B, "")</f>
        <v>683.8</v>
      </c>
      <c r="E542" s="4">
        <f>_xlfn.XLOOKUP($A542, ITC!A:A, ITC!B:B, "")</f>
        <v>219.4</v>
      </c>
      <c r="F542" s="4">
        <f>_xlfn.XLOOKUP($A542, TCS!A:A, TCS!B:B, "")</f>
        <v>3544.4</v>
      </c>
      <c r="G542" s="4">
        <f>_xlfn.XLOOKUP($A542, Infosys!A:A, Infosys!B:B,"")</f>
        <v>1720.85</v>
      </c>
      <c r="H542" s="4">
        <f>_xlfn.XLOOKUP($A542, 'L &amp; T'!A:A, 'L &amp; T'!B:B, "")</f>
        <v>1752.3</v>
      </c>
    </row>
    <row r="543" spans="1:8" x14ac:dyDescent="0.3">
      <c r="A543" s="1">
        <v>44624</v>
      </c>
      <c r="B543" s="4">
        <f>_xlfn.XLOOKUP($A543, 'Nifty 50'!A:A, 'Nifty 50'!B:B, "")</f>
        <v>16245.35</v>
      </c>
      <c r="C543" s="4">
        <f>_xlfn.XLOOKUP($A543, Reliance!A:A, Reliance!B:B, "")</f>
        <v>1055.6400000000001</v>
      </c>
      <c r="D543" s="4">
        <f>_xlfn.XLOOKUP($A543, HDFC!A:A, HDFC!B:B, "")</f>
        <v>681.55</v>
      </c>
      <c r="E543" s="4">
        <f>_xlfn.XLOOKUP($A543, ITC!A:A, ITC!B:B, "")</f>
        <v>225.5</v>
      </c>
      <c r="F543" s="4">
        <f>_xlfn.XLOOKUP($A543, TCS!A:A, TCS!B:B, "")</f>
        <v>3524.35</v>
      </c>
      <c r="G543" s="4">
        <f>_xlfn.XLOOKUP($A543, Infosys!A:A, Infosys!B:B,"")</f>
        <v>1723.3</v>
      </c>
      <c r="H543" s="4">
        <f>_xlfn.XLOOKUP($A543, 'L &amp; T'!A:A, 'L &amp; T'!B:B, "")</f>
        <v>1711.75</v>
      </c>
    </row>
    <row r="544" spans="1:8" x14ac:dyDescent="0.3">
      <c r="A544" s="1">
        <v>44627</v>
      </c>
      <c r="B544" s="4">
        <f>_xlfn.XLOOKUP($A544, 'Nifty 50'!A:A, 'Nifty 50'!B:B, "")</f>
        <v>15863.15</v>
      </c>
      <c r="C544" s="4">
        <f>_xlfn.XLOOKUP($A544, Reliance!A:A, Reliance!B:B, "")</f>
        <v>1016.6</v>
      </c>
      <c r="D544" s="4">
        <f>_xlfn.XLOOKUP($A544, HDFC!A:A, HDFC!B:B, "")</f>
        <v>660.76</v>
      </c>
      <c r="E544" s="4">
        <f>_xlfn.XLOOKUP($A544, ITC!A:A, ITC!B:B, "")</f>
        <v>224.95</v>
      </c>
      <c r="F544" s="4">
        <f>_xlfn.XLOOKUP($A544, TCS!A:A, TCS!B:B, "")</f>
        <v>3484.9</v>
      </c>
      <c r="G544" s="4">
        <f>_xlfn.XLOOKUP($A544, Infosys!A:A, Infosys!B:B,"")</f>
        <v>1739.85</v>
      </c>
      <c r="H544" s="4">
        <f>_xlfn.XLOOKUP($A544, 'L &amp; T'!A:A, 'L &amp; T'!B:B, "")</f>
        <v>1634.45</v>
      </c>
    </row>
    <row r="545" spans="1:8" x14ac:dyDescent="0.3">
      <c r="A545" s="1">
        <v>44628</v>
      </c>
      <c r="B545" s="4">
        <f>_xlfn.XLOOKUP($A545, 'Nifty 50'!A:A, 'Nifty 50'!B:B, "")</f>
        <v>16013.45</v>
      </c>
      <c r="C545" s="4">
        <f>_xlfn.XLOOKUP($A545, Reliance!A:A, Reliance!B:B, "")</f>
        <v>1014.76</v>
      </c>
      <c r="D545" s="4">
        <f>_xlfn.XLOOKUP($A545, HDFC!A:A, HDFC!B:B, "")</f>
        <v>662.25</v>
      </c>
      <c r="E545" s="4">
        <f>_xlfn.XLOOKUP($A545, ITC!A:A, ITC!B:B, "")</f>
        <v>226.9</v>
      </c>
      <c r="F545" s="4">
        <f>_xlfn.XLOOKUP($A545, TCS!A:A, TCS!B:B, "")</f>
        <v>3599.95</v>
      </c>
      <c r="G545" s="4">
        <f>_xlfn.XLOOKUP($A545, Infosys!A:A, Infosys!B:B,"")</f>
        <v>1778.2</v>
      </c>
      <c r="H545" s="4">
        <f>_xlfn.XLOOKUP($A545, 'L &amp; T'!A:A, 'L &amp; T'!B:B, "")</f>
        <v>1658.5</v>
      </c>
    </row>
    <row r="546" spans="1:8" x14ac:dyDescent="0.3">
      <c r="A546" s="1">
        <v>44629</v>
      </c>
      <c r="B546" s="4">
        <f>_xlfn.XLOOKUP($A546, 'Nifty 50'!A:A, 'Nifty 50'!B:B, "")</f>
        <v>16345.35</v>
      </c>
      <c r="C546" s="4">
        <f>_xlfn.XLOOKUP($A546, Reliance!A:A, Reliance!B:B, "")</f>
        <v>1068.5999999999999</v>
      </c>
      <c r="D546" s="4">
        <f>_xlfn.XLOOKUP($A546, HDFC!A:A, HDFC!B:B, "")</f>
        <v>683.87</v>
      </c>
      <c r="E546" s="4">
        <f>_xlfn.XLOOKUP($A546, ITC!A:A, ITC!B:B, "")</f>
        <v>229.25</v>
      </c>
      <c r="F546" s="4">
        <f>_xlfn.XLOOKUP($A546, TCS!A:A, TCS!B:B, "")</f>
        <v>3632.6</v>
      </c>
      <c r="G546" s="4">
        <f>_xlfn.XLOOKUP($A546, Infosys!A:A, Infosys!B:B,"")</f>
        <v>1813.35</v>
      </c>
      <c r="H546" s="4">
        <f>_xlfn.XLOOKUP($A546, 'L &amp; T'!A:A, 'L &amp; T'!B:B, "")</f>
        <v>1690.95</v>
      </c>
    </row>
    <row r="547" spans="1:8" x14ac:dyDescent="0.3">
      <c r="A547" s="1">
        <v>44630</v>
      </c>
      <c r="B547" s="4">
        <f>_xlfn.XLOOKUP($A547, 'Nifty 50'!A:A, 'Nifty 50'!B:B, "")</f>
        <v>16594.900000000001</v>
      </c>
      <c r="C547" s="4">
        <f>_xlfn.XLOOKUP($A547, Reliance!A:A, Reliance!B:B, "")</f>
        <v>1085.9100000000001</v>
      </c>
      <c r="D547" s="4">
        <f>_xlfn.XLOOKUP($A547, HDFC!A:A, HDFC!B:B, "")</f>
        <v>694.62</v>
      </c>
      <c r="E547" s="4">
        <f>_xlfn.XLOOKUP($A547, ITC!A:A, ITC!B:B, "")</f>
        <v>232</v>
      </c>
      <c r="F547" s="4">
        <f>_xlfn.XLOOKUP($A547, TCS!A:A, TCS!B:B, "")</f>
        <v>3620.95</v>
      </c>
      <c r="G547" s="4">
        <f>_xlfn.XLOOKUP($A547, Infosys!A:A, Infosys!B:B,"")</f>
        <v>1825.9</v>
      </c>
      <c r="H547" s="4">
        <f>_xlfn.XLOOKUP($A547, 'L &amp; T'!A:A, 'L &amp; T'!B:B, "")</f>
        <v>1728.2</v>
      </c>
    </row>
    <row r="548" spans="1:8" x14ac:dyDescent="0.3">
      <c r="A548" s="1">
        <v>44631</v>
      </c>
      <c r="B548" s="4">
        <f>_xlfn.XLOOKUP($A548, 'Nifty 50'!A:A, 'Nifty 50'!B:B, "")</f>
        <v>16630.45</v>
      </c>
      <c r="C548" s="4">
        <f>_xlfn.XLOOKUP($A548, Reliance!A:A, Reliance!B:B, "")</f>
        <v>1089.04</v>
      </c>
      <c r="D548" s="4">
        <f>_xlfn.XLOOKUP($A548, HDFC!A:A, HDFC!B:B, "")</f>
        <v>696.67</v>
      </c>
      <c r="E548" s="4">
        <f>_xlfn.XLOOKUP($A548, ITC!A:A, ITC!B:B, "")</f>
        <v>236.35</v>
      </c>
      <c r="F548" s="4">
        <f>_xlfn.XLOOKUP($A548, TCS!A:A, TCS!B:B, "")</f>
        <v>3599.15</v>
      </c>
      <c r="G548" s="4">
        <f>_xlfn.XLOOKUP($A548, Infosys!A:A, Infosys!B:B,"")</f>
        <v>1822</v>
      </c>
      <c r="H548" s="4">
        <f>_xlfn.XLOOKUP($A548, 'L &amp; T'!A:A, 'L &amp; T'!B:B, "")</f>
        <v>1728.65</v>
      </c>
    </row>
    <row r="549" spans="1:8" x14ac:dyDescent="0.3">
      <c r="A549" s="1">
        <v>44634</v>
      </c>
      <c r="B549" s="4">
        <f>_xlfn.XLOOKUP($A549, 'Nifty 50'!A:A, 'Nifty 50'!B:B, "")</f>
        <v>16871.3</v>
      </c>
      <c r="C549" s="4">
        <f>_xlfn.XLOOKUP($A549, Reliance!A:A, Reliance!B:B, "")</f>
        <v>1097.99</v>
      </c>
      <c r="D549" s="4">
        <f>_xlfn.XLOOKUP($A549, HDFC!A:A, HDFC!B:B, "")</f>
        <v>719.48</v>
      </c>
      <c r="E549" s="4">
        <f>_xlfn.XLOOKUP($A549, ITC!A:A, ITC!B:B, "")</f>
        <v>239</v>
      </c>
      <c r="F549" s="4">
        <f>_xlfn.XLOOKUP($A549, TCS!A:A, TCS!B:B, "")</f>
        <v>3643</v>
      </c>
      <c r="G549" s="4">
        <f>_xlfn.XLOOKUP($A549, Infosys!A:A, Infosys!B:B,"")</f>
        <v>1890.7</v>
      </c>
      <c r="H549" s="4">
        <f>_xlfn.XLOOKUP($A549, 'L &amp; T'!A:A, 'L &amp; T'!B:B, "")</f>
        <v>1746.75</v>
      </c>
    </row>
    <row r="550" spans="1:8" x14ac:dyDescent="0.3">
      <c r="A550" s="1">
        <v>44635</v>
      </c>
      <c r="B550" s="4">
        <f>_xlfn.XLOOKUP($A550, 'Nifty 50'!A:A, 'Nifty 50'!B:B, "")</f>
        <v>16663</v>
      </c>
      <c r="C550" s="4">
        <f>_xlfn.XLOOKUP($A550, Reliance!A:A, Reliance!B:B, "")</f>
        <v>1072.8399999999999</v>
      </c>
      <c r="D550" s="4">
        <f>_xlfn.XLOOKUP($A550, HDFC!A:A, HDFC!B:B, "")</f>
        <v>710.23</v>
      </c>
      <c r="E550" s="4">
        <f>_xlfn.XLOOKUP($A550, ITC!A:A, ITC!B:B, "")</f>
        <v>237.85</v>
      </c>
      <c r="F550" s="4">
        <f>_xlfn.XLOOKUP($A550, TCS!A:A, TCS!B:B, "")</f>
        <v>3593.9</v>
      </c>
      <c r="G550" s="4">
        <f>_xlfn.XLOOKUP($A550, Infosys!A:A, Infosys!B:B,"")</f>
        <v>1839.3</v>
      </c>
      <c r="H550" s="4">
        <f>_xlfn.XLOOKUP($A550, 'L &amp; T'!A:A, 'L &amp; T'!B:B, "")</f>
        <v>1743.45</v>
      </c>
    </row>
    <row r="551" spans="1:8" x14ac:dyDescent="0.3">
      <c r="A551" s="1">
        <v>44636</v>
      </c>
      <c r="B551" s="4">
        <f>_xlfn.XLOOKUP($A551, 'Nifty 50'!A:A, 'Nifty 50'!B:B, "")</f>
        <v>16975.349999999999</v>
      </c>
      <c r="C551" s="4">
        <f>_xlfn.XLOOKUP($A551, Reliance!A:A, Reliance!B:B, "")</f>
        <v>1090.95</v>
      </c>
      <c r="D551" s="4">
        <f>_xlfn.XLOOKUP($A551, HDFC!A:A, HDFC!B:B, "")</f>
        <v>722.28</v>
      </c>
      <c r="E551" s="4">
        <f>_xlfn.XLOOKUP($A551, ITC!A:A, ITC!B:B, "")</f>
        <v>242.6</v>
      </c>
      <c r="F551" s="4">
        <f>_xlfn.XLOOKUP($A551, TCS!A:A, TCS!B:B, "")</f>
        <v>3655.9</v>
      </c>
      <c r="G551" s="4">
        <f>_xlfn.XLOOKUP($A551, Infosys!A:A, Infosys!B:B,"")</f>
        <v>1889.4</v>
      </c>
      <c r="H551" s="4">
        <f>_xlfn.XLOOKUP($A551, 'L &amp; T'!A:A, 'L &amp; T'!B:B, "")</f>
        <v>1756.2</v>
      </c>
    </row>
    <row r="552" spans="1:8" x14ac:dyDescent="0.3">
      <c r="A552" s="1">
        <v>44637</v>
      </c>
      <c r="B552" s="4">
        <f>_xlfn.XLOOKUP($A552, 'Nifty 50'!A:A, 'Nifty 50'!B:B, "")</f>
        <v>17287.05</v>
      </c>
      <c r="C552" s="4">
        <f>_xlfn.XLOOKUP($A552, Reliance!A:A, Reliance!B:B, "")</f>
        <v>1126.52</v>
      </c>
      <c r="D552" s="4">
        <f>_xlfn.XLOOKUP($A552, HDFC!A:A, HDFC!B:B, "")</f>
        <v>738.19</v>
      </c>
      <c r="E552" s="4">
        <f>_xlfn.XLOOKUP($A552, ITC!A:A, ITC!B:B, "")</f>
        <v>244.9</v>
      </c>
      <c r="F552" s="4">
        <f>_xlfn.XLOOKUP($A552, TCS!A:A, TCS!B:B, "")</f>
        <v>3672.75</v>
      </c>
      <c r="G552" s="4">
        <f>_xlfn.XLOOKUP($A552, Infosys!A:A, Infosys!B:B,"")</f>
        <v>1854.6</v>
      </c>
      <c r="H552" s="4">
        <f>_xlfn.XLOOKUP($A552, 'L &amp; T'!A:A, 'L &amp; T'!B:B, "")</f>
        <v>1787.9</v>
      </c>
    </row>
    <row r="553" spans="1:8" x14ac:dyDescent="0.3">
      <c r="A553" s="1">
        <v>44641</v>
      </c>
      <c r="B553" s="4">
        <f>_xlfn.XLOOKUP($A553, 'Nifty 50'!A:A, 'Nifty 50'!B:B, "")</f>
        <v>17117.599999999999</v>
      </c>
      <c r="C553" s="4">
        <f>_xlfn.XLOOKUP($A553, Reliance!A:A, Reliance!B:B, "")</f>
        <v>1120.03</v>
      </c>
      <c r="D553" s="4">
        <f>_xlfn.XLOOKUP($A553, HDFC!A:A, HDFC!B:B, "")</f>
        <v>741.41</v>
      </c>
      <c r="E553" s="4">
        <f>_xlfn.XLOOKUP($A553, ITC!A:A, ITC!B:B, "")</f>
        <v>244.5</v>
      </c>
      <c r="F553" s="4">
        <f>_xlfn.XLOOKUP($A553, TCS!A:A, TCS!B:B, "")</f>
        <v>3626.7</v>
      </c>
      <c r="G553" s="4">
        <f>_xlfn.XLOOKUP($A553, Infosys!A:A, Infosys!B:B,"")</f>
        <v>1853.05</v>
      </c>
      <c r="H553" s="4">
        <f>_xlfn.XLOOKUP($A553, 'L &amp; T'!A:A, 'L &amp; T'!B:B, "")</f>
        <v>1756.3</v>
      </c>
    </row>
    <row r="554" spans="1:8" x14ac:dyDescent="0.3">
      <c r="A554" s="1">
        <v>44642</v>
      </c>
      <c r="B554" s="4">
        <f>_xlfn.XLOOKUP($A554, 'Nifty 50'!A:A, 'Nifty 50'!B:B, "")</f>
        <v>17315.5</v>
      </c>
      <c r="C554" s="4">
        <f>_xlfn.XLOOKUP($A554, Reliance!A:A, Reliance!B:B, "")</f>
        <v>1148.96</v>
      </c>
      <c r="D554" s="4">
        <f>_xlfn.XLOOKUP($A554, HDFC!A:A, HDFC!B:B, "")</f>
        <v>745.22</v>
      </c>
      <c r="E554" s="4">
        <f>_xlfn.XLOOKUP($A554, ITC!A:A, ITC!B:B, "")</f>
        <v>249.75</v>
      </c>
      <c r="F554" s="4">
        <f>_xlfn.XLOOKUP($A554, TCS!A:A, TCS!B:B, "")</f>
        <v>3700.95</v>
      </c>
      <c r="G554" s="4">
        <f>_xlfn.XLOOKUP($A554, Infosys!A:A, Infosys!B:B,"")</f>
        <v>1887.4</v>
      </c>
      <c r="H554" s="4">
        <f>_xlfn.XLOOKUP($A554, 'L &amp; T'!A:A, 'L &amp; T'!B:B, "")</f>
        <v>1774.05</v>
      </c>
    </row>
    <row r="555" spans="1:8" x14ac:dyDescent="0.3">
      <c r="A555" s="1">
        <v>44643</v>
      </c>
      <c r="B555" s="4">
        <f>_xlfn.XLOOKUP($A555, 'Nifty 50'!A:A, 'Nifty 50'!B:B, "")</f>
        <v>17245.650000000001</v>
      </c>
      <c r="C555" s="4">
        <f>_xlfn.XLOOKUP($A555, Reliance!A:A, Reliance!B:B, "")</f>
        <v>1152.6199999999999</v>
      </c>
      <c r="D555" s="4">
        <f>_xlfn.XLOOKUP($A555, HDFC!A:A, HDFC!B:B, "")</f>
        <v>737.79</v>
      </c>
      <c r="E555" s="4">
        <f>_xlfn.XLOOKUP($A555, ITC!A:A, ITC!B:B, "")</f>
        <v>252</v>
      </c>
      <c r="F555" s="4">
        <f>_xlfn.XLOOKUP($A555, TCS!A:A, TCS!B:B, "")</f>
        <v>3712.4</v>
      </c>
      <c r="G555" s="4">
        <f>_xlfn.XLOOKUP($A555, Infosys!A:A, Infosys!B:B,"")</f>
        <v>1872.4</v>
      </c>
      <c r="H555" s="4">
        <f>_xlfn.XLOOKUP($A555, 'L &amp; T'!A:A, 'L &amp; T'!B:B, "")</f>
        <v>1767.25</v>
      </c>
    </row>
    <row r="556" spans="1:8" x14ac:dyDescent="0.3">
      <c r="A556" s="1">
        <v>44644</v>
      </c>
      <c r="B556" s="4">
        <f>_xlfn.XLOOKUP($A556, 'Nifty 50'!A:A, 'Nifty 50'!B:B, "")</f>
        <v>17222.75</v>
      </c>
      <c r="C556" s="4">
        <f>_xlfn.XLOOKUP($A556, Reliance!A:A, Reliance!B:B, "")</f>
        <v>1170.53</v>
      </c>
      <c r="D556" s="4">
        <f>_xlfn.XLOOKUP($A556, HDFC!A:A, HDFC!B:B, "")</f>
        <v>719.53</v>
      </c>
      <c r="E556" s="4">
        <f>_xlfn.XLOOKUP($A556, ITC!A:A, ITC!B:B, "")</f>
        <v>254.85</v>
      </c>
      <c r="F556" s="4">
        <f>_xlfn.XLOOKUP($A556, TCS!A:A, TCS!B:B, "")</f>
        <v>3749.85</v>
      </c>
      <c r="G556" s="4">
        <f>_xlfn.XLOOKUP($A556, Infosys!A:A, Infosys!B:B,"")</f>
        <v>1886.7</v>
      </c>
      <c r="H556" s="4">
        <f>_xlfn.XLOOKUP($A556, 'L &amp; T'!A:A, 'L &amp; T'!B:B, "")</f>
        <v>1771.55</v>
      </c>
    </row>
    <row r="557" spans="1:8" x14ac:dyDescent="0.3">
      <c r="A557" s="1">
        <v>44645</v>
      </c>
      <c r="B557" s="4">
        <f>_xlfn.XLOOKUP($A557, 'Nifty 50'!A:A, 'Nifty 50'!B:B, "")</f>
        <v>17153</v>
      </c>
      <c r="C557" s="4">
        <f>_xlfn.XLOOKUP($A557, Reliance!A:A, Reliance!B:B, "")</f>
        <v>1178.33</v>
      </c>
      <c r="D557" s="4">
        <f>_xlfn.XLOOKUP($A557, HDFC!A:A, HDFC!B:B, "")</f>
        <v>713.67</v>
      </c>
      <c r="E557" s="4">
        <f>_xlfn.XLOOKUP($A557, ITC!A:A, ITC!B:B, "")</f>
        <v>253.35</v>
      </c>
      <c r="F557" s="4">
        <f>_xlfn.XLOOKUP($A557, TCS!A:A, TCS!B:B, "")</f>
        <v>3707.45</v>
      </c>
      <c r="G557" s="4">
        <f>_xlfn.XLOOKUP($A557, Infosys!A:A, Infosys!B:B,"")</f>
        <v>1876.55</v>
      </c>
      <c r="H557" s="4">
        <f>_xlfn.XLOOKUP($A557, 'L &amp; T'!A:A, 'L &amp; T'!B:B, "")</f>
        <v>1751.1</v>
      </c>
    </row>
    <row r="558" spans="1:8" x14ac:dyDescent="0.3">
      <c r="A558" s="1">
        <v>44648</v>
      </c>
      <c r="B558" s="4">
        <f>_xlfn.XLOOKUP($A558, 'Nifty 50'!A:A, 'Nifty 50'!B:B, "")</f>
        <v>17222</v>
      </c>
      <c r="C558" s="4">
        <f>_xlfn.XLOOKUP($A558, Reliance!A:A, Reliance!B:B, "")</f>
        <v>1190.18</v>
      </c>
      <c r="D558" s="4">
        <f>_xlfn.XLOOKUP($A558, HDFC!A:A, HDFC!B:B, "")</f>
        <v>714.62</v>
      </c>
      <c r="E558" s="4">
        <f>_xlfn.XLOOKUP($A558, ITC!A:A, ITC!B:B, "")</f>
        <v>257.05</v>
      </c>
      <c r="F558" s="4">
        <f>_xlfn.XLOOKUP($A558, TCS!A:A, TCS!B:B, "")</f>
        <v>3707.7</v>
      </c>
      <c r="G558" s="4">
        <f>_xlfn.XLOOKUP($A558, Infosys!A:A, Infosys!B:B,"")</f>
        <v>1873.9</v>
      </c>
      <c r="H558" s="4">
        <f>_xlfn.XLOOKUP($A558, 'L &amp; T'!A:A, 'L &amp; T'!B:B, "")</f>
        <v>1741.6</v>
      </c>
    </row>
    <row r="559" spans="1:8" x14ac:dyDescent="0.3">
      <c r="A559" s="1">
        <v>44649</v>
      </c>
      <c r="B559" s="4">
        <f>_xlfn.XLOOKUP($A559, 'Nifty 50'!A:A, 'Nifty 50'!B:B, "")</f>
        <v>17325.3</v>
      </c>
      <c r="C559" s="4">
        <f>_xlfn.XLOOKUP($A559, Reliance!A:A, Reliance!B:B, "")</f>
        <v>1190.45</v>
      </c>
      <c r="D559" s="4">
        <f>_xlfn.XLOOKUP($A559, HDFC!A:A, HDFC!B:B, "")</f>
        <v>724.1</v>
      </c>
      <c r="E559" s="4">
        <f>_xlfn.XLOOKUP($A559, ITC!A:A, ITC!B:B, "")</f>
        <v>254.6</v>
      </c>
      <c r="F559" s="4">
        <f>_xlfn.XLOOKUP($A559, TCS!A:A, TCS!B:B, "")</f>
        <v>3705.35</v>
      </c>
      <c r="G559" s="4">
        <f>_xlfn.XLOOKUP($A559, Infosys!A:A, Infosys!B:B,"")</f>
        <v>1886</v>
      </c>
      <c r="H559" s="4">
        <f>_xlfn.XLOOKUP($A559, 'L &amp; T'!A:A, 'L &amp; T'!B:B, "")</f>
        <v>1746.65</v>
      </c>
    </row>
    <row r="560" spans="1:8" x14ac:dyDescent="0.3">
      <c r="A560" s="1">
        <v>44650</v>
      </c>
      <c r="B560" s="4">
        <f>_xlfn.XLOOKUP($A560, 'Nifty 50'!A:A, 'Nifty 50'!B:B, "")</f>
        <v>17498.25</v>
      </c>
      <c r="C560" s="4">
        <f>_xlfn.XLOOKUP($A560, Reliance!A:A, Reliance!B:B, "")</f>
        <v>1213.33</v>
      </c>
      <c r="D560" s="4">
        <f>_xlfn.XLOOKUP($A560, HDFC!A:A, HDFC!B:B, "")</f>
        <v>736.64</v>
      </c>
      <c r="E560" s="4">
        <f>_xlfn.XLOOKUP($A560, ITC!A:A, ITC!B:B, "")</f>
        <v>249.2</v>
      </c>
      <c r="F560" s="4">
        <f>_xlfn.XLOOKUP($A560, TCS!A:A, TCS!B:B, "")</f>
        <v>3731.55</v>
      </c>
      <c r="G560" s="4">
        <f>_xlfn.XLOOKUP($A560, Infosys!A:A, Infosys!B:B,"")</f>
        <v>1903.95</v>
      </c>
      <c r="H560" s="4">
        <f>_xlfn.XLOOKUP($A560, 'L &amp; T'!A:A, 'L &amp; T'!B:B, "")</f>
        <v>1773.6</v>
      </c>
    </row>
    <row r="561" spans="1:8" x14ac:dyDescent="0.3">
      <c r="A561" s="1">
        <v>44651</v>
      </c>
      <c r="B561" s="4">
        <f>_xlfn.XLOOKUP($A561, 'Nifty 50'!A:A, 'Nifty 50'!B:B, "")</f>
        <v>17464.75</v>
      </c>
      <c r="C561" s="4">
        <f>_xlfn.XLOOKUP($A561, Reliance!A:A, Reliance!B:B, "")</f>
        <v>1195.99</v>
      </c>
      <c r="D561" s="4">
        <f>_xlfn.XLOOKUP($A561, HDFC!A:A, HDFC!B:B, "")</f>
        <v>733.35</v>
      </c>
      <c r="E561" s="4">
        <f>_xlfn.XLOOKUP($A561, ITC!A:A, ITC!B:B, "")</f>
        <v>250.65</v>
      </c>
      <c r="F561" s="4">
        <f>_xlfn.XLOOKUP($A561, TCS!A:A, TCS!B:B, "")</f>
        <v>3739.95</v>
      </c>
      <c r="G561" s="4">
        <f>_xlfn.XLOOKUP($A561, Infosys!A:A, Infosys!B:B,"")</f>
        <v>1906.85</v>
      </c>
      <c r="H561" s="4">
        <f>_xlfn.XLOOKUP($A561, 'L &amp; T'!A:A, 'L &amp; T'!B:B, "")</f>
        <v>1767.65</v>
      </c>
    </row>
    <row r="562" spans="1:8" x14ac:dyDescent="0.3">
      <c r="A562" s="1">
        <v>44652</v>
      </c>
      <c r="B562" s="4">
        <f>_xlfn.XLOOKUP($A562, 'Nifty 50'!A:A, 'Nifty 50'!B:B, "")</f>
        <v>17670.45</v>
      </c>
      <c r="C562" s="4">
        <f>_xlfn.XLOOKUP($A562, Reliance!A:A, Reliance!B:B, "")</f>
        <v>1205.57</v>
      </c>
      <c r="D562" s="4">
        <f>_xlfn.XLOOKUP($A562, HDFC!A:A, HDFC!B:B, "")</f>
        <v>751.13</v>
      </c>
      <c r="E562" s="4">
        <f>_xlfn.XLOOKUP($A562, ITC!A:A, ITC!B:B, "")</f>
        <v>253.3</v>
      </c>
      <c r="F562" s="4">
        <f>_xlfn.XLOOKUP($A562, TCS!A:A, TCS!B:B, "")</f>
        <v>3758.75</v>
      </c>
      <c r="G562" s="4">
        <f>_xlfn.XLOOKUP($A562, Infosys!A:A, Infosys!B:B,"")</f>
        <v>1903.55</v>
      </c>
      <c r="H562" s="4">
        <f>_xlfn.XLOOKUP($A562, 'L &amp; T'!A:A, 'L &amp; T'!B:B, "")</f>
        <v>1790.1</v>
      </c>
    </row>
    <row r="563" spans="1:8" x14ac:dyDescent="0.3">
      <c r="A563" s="1">
        <v>44655</v>
      </c>
      <c r="B563" s="4">
        <f>_xlfn.XLOOKUP($A563, 'Nifty 50'!A:A, 'Nifty 50'!B:B, "")</f>
        <v>18053.400000000001</v>
      </c>
      <c r="C563" s="4">
        <f>_xlfn.XLOOKUP($A563, Reliance!A:A, Reliance!B:B, "")</f>
        <v>1209.1300000000001</v>
      </c>
      <c r="D563" s="4">
        <f>_xlfn.XLOOKUP($A563, HDFC!A:A, HDFC!B:B, "")</f>
        <v>826.34</v>
      </c>
      <c r="E563" s="4">
        <f>_xlfn.XLOOKUP($A563, ITC!A:A, ITC!B:B, "")</f>
        <v>255.45</v>
      </c>
      <c r="F563" s="4">
        <f>_xlfn.XLOOKUP($A563, TCS!A:A, TCS!B:B, "")</f>
        <v>3770.35</v>
      </c>
      <c r="G563" s="4">
        <f>_xlfn.XLOOKUP($A563, Infosys!A:A, Infosys!B:B,"")</f>
        <v>1882.95</v>
      </c>
      <c r="H563" s="4">
        <f>_xlfn.XLOOKUP($A563, 'L &amp; T'!A:A, 'L &amp; T'!B:B, "")</f>
        <v>1826.35</v>
      </c>
    </row>
    <row r="564" spans="1:8" x14ac:dyDescent="0.3">
      <c r="A564" s="1">
        <v>44656</v>
      </c>
      <c r="B564" s="4">
        <f>_xlfn.XLOOKUP($A564, 'Nifty 50'!A:A, 'Nifty 50'!B:B, "")</f>
        <v>17957.400000000001</v>
      </c>
      <c r="C564" s="4">
        <f>_xlfn.XLOOKUP($A564, Reliance!A:A, Reliance!B:B, "")</f>
        <v>1192.04</v>
      </c>
      <c r="D564" s="4">
        <f>_xlfn.XLOOKUP($A564, HDFC!A:A, HDFC!B:B, "")</f>
        <v>802.13</v>
      </c>
      <c r="E564" s="4">
        <f>_xlfn.XLOOKUP($A564, ITC!A:A, ITC!B:B, "")</f>
        <v>259.45</v>
      </c>
      <c r="F564" s="4">
        <f>_xlfn.XLOOKUP($A564, TCS!A:A, TCS!B:B, "")</f>
        <v>3814.8</v>
      </c>
      <c r="G564" s="4">
        <f>_xlfn.XLOOKUP($A564, Infosys!A:A, Infosys!B:B,"")</f>
        <v>1861.1</v>
      </c>
      <c r="H564" s="4">
        <f>_xlfn.XLOOKUP($A564, 'L &amp; T'!A:A, 'L &amp; T'!B:B, "")</f>
        <v>1836.05</v>
      </c>
    </row>
    <row r="565" spans="1:8" x14ac:dyDescent="0.3">
      <c r="A565" s="1">
        <v>44657</v>
      </c>
      <c r="B565" s="4">
        <f>_xlfn.XLOOKUP($A565, 'Nifty 50'!A:A, 'Nifty 50'!B:B, "")</f>
        <v>17807.650000000001</v>
      </c>
      <c r="C565" s="4">
        <f>_xlfn.XLOOKUP($A565, Reliance!A:A, Reliance!B:B, "")</f>
        <v>1188.8599999999999</v>
      </c>
      <c r="D565" s="4">
        <f>_xlfn.XLOOKUP($A565, HDFC!A:A, HDFC!B:B, "")</f>
        <v>773.5</v>
      </c>
      <c r="E565" s="4">
        <f>_xlfn.XLOOKUP($A565, ITC!A:A, ITC!B:B, "")</f>
        <v>259.60000000000002</v>
      </c>
      <c r="F565" s="4">
        <f>_xlfn.XLOOKUP($A565, TCS!A:A, TCS!B:B, "")</f>
        <v>3755.35</v>
      </c>
      <c r="G565" s="4">
        <f>_xlfn.XLOOKUP($A565, Infosys!A:A, Infosys!B:B,"")</f>
        <v>1828.85</v>
      </c>
      <c r="H565" s="4">
        <f>_xlfn.XLOOKUP($A565, 'L &amp; T'!A:A, 'L &amp; T'!B:B, "")</f>
        <v>1852.8</v>
      </c>
    </row>
    <row r="566" spans="1:8" x14ac:dyDescent="0.3">
      <c r="A566" s="1">
        <v>44658</v>
      </c>
      <c r="B566" s="4">
        <f>_xlfn.XLOOKUP($A566, 'Nifty 50'!A:A, 'Nifty 50'!B:B, "")</f>
        <v>17639.55</v>
      </c>
      <c r="C566" s="4">
        <f>_xlfn.XLOOKUP($A566, Reliance!A:A, Reliance!B:B, "")</f>
        <v>1167.8900000000001</v>
      </c>
      <c r="D566" s="4">
        <f>_xlfn.XLOOKUP($A566, HDFC!A:A, HDFC!B:B, "")</f>
        <v>756.49</v>
      </c>
      <c r="E566" s="4">
        <f>_xlfn.XLOOKUP($A566, ITC!A:A, ITC!B:B, "")</f>
        <v>256.64999999999998</v>
      </c>
      <c r="F566" s="4">
        <f>_xlfn.XLOOKUP($A566, TCS!A:A, TCS!B:B, "")</f>
        <v>3684.15</v>
      </c>
      <c r="G566" s="4">
        <f>_xlfn.XLOOKUP($A566, Infosys!A:A, Infosys!B:B,"")</f>
        <v>1811</v>
      </c>
      <c r="H566" s="4">
        <f>_xlfn.XLOOKUP($A566, 'L &amp; T'!A:A, 'L &amp; T'!B:B, "")</f>
        <v>1826.3</v>
      </c>
    </row>
    <row r="567" spans="1:8" x14ac:dyDescent="0.3">
      <c r="A567" s="1">
        <v>44659</v>
      </c>
      <c r="B567" s="4">
        <f>_xlfn.XLOOKUP($A567, 'Nifty 50'!A:A, 'Nifty 50'!B:B, "")</f>
        <v>17784.349999999999</v>
      </c>
      <c r="C567" s="4">
        <f>_xlfn.XLOOKUP($A567, Reliance!A:A, Reliance!B:B, "")</f>
        <v>1187.32</v>
      </c>
      <c r="D567" s="4">
        <f>_xlfn.XLOOKUP($A567, HDFC!A:A, HDFC!B:B, "")</f>
        <v>755.45</v>
      </c>
      <c r="E567" s="4">
        <f>_xlfn.XLOOKUP($A567, ITC!A:A, ITC!B:B, "")</f>
        <v>266.16000000000003</v>
      </c>
      <c r="F567" s="4">
        <f>_xlfn.XLOOKUP($A567, TCS!A:A, TCS!B:B, "")</f>
        <v>3685.65</v>
      </c>
      <c r="G567" s="4">
        <f>_xlfn.XLOOKUP($A567, Infosys!A:A, Infosys!B:B,"")</f>
        <v>1814.6</v>
      </c>
      <c r="H567" s="4">
        <f>_xlfn.XLOOKUP($A567, 'L &amp; T'!A:A, 'L &amp; T'!B:B, "")</f>
        <v>1830.75</v>
      </c>
    </row>
    <row r="568" spans="1:8" x14ac:dyDescent="0.3">
      <c r="A568" s="1">
        <v>44662</v>
      </c>
      <c r="B568" s="4">
        <f>_xlfn.XLOOKUP($A568, 'Nifty 50'!A:A, 'Nifty 50'!B:B, "")</f>
        <v>17674.95</v>
      </c>
      <c r="C568" s="4">
        <f>_xlfn.XLOOKUP($A568, Reliance!A:A, Reliance!B:B, "")</f>
        <v>1184.8499999999999</v>
      </c>
      <c r="D568" s="4">
        <f>_xlfn.XLOOKUP($A568, HDFC!A:A, HDFC!B:B, "")</f>
        <v>746.22</v>
      </c>
      <c r="E568" s="4">
        <f>_xlfn.XLOOKUP($A568, ITC!A:A, ITC!B:B, "")</f>
        <v>267.5</v>
      </c>
      <c r="F568" s="4">
        <f>_xlfn.XLOOKUP($A568, TCS!A:A, TCS!B:B, "")</f>
        <v>3696.4</v>
      </c>
      <c r="G568" s="4">
        <f>_xlfn.XLOOKUP($A568, Infosys!A:A, Infosys!B:B,"")</f>
        <v>1766.55</v>
      </c>
      <c r="H568" s="4">
        <f>_xlfn.XLOOKUP($A568, 'L &amp; T'!A:A, 'L &amp; T'!B:B, "")</f>
        <v>1781.5</v>
      </c>
    </row>
    <row r="569" spans="1:8" x14ac:dyDescent="0.3">
      <c r="A569" s="1">
        <v>44663</v>
      </c>
      <c r="B569" s="4">
        <f>_xlfn.XLOOKUP($A569, 'Nifty 50'!A:A, 'Nifty 50'!B:B, "")</f>
        <v>17530.3</v>
      </c>
      <c r="C569" s="4">
        <f>_xlfn.XLOOKUP($A569, Reliance!A:A, Reliance!B:B, "")</f>
        <v>1162.54</v>
      </c>
      <c r="D569" s="4">
        <f>_xlfn.XLOOKUP($A569, HDFC!A:A, HDFC!B:B, "")</f>
        <v>744.9</v>
      </c>
      <c r="E569" s="4">
        <f>_xlfn.XLOOKUP($A569, ITC!A:A, ITC!B:B, "")</f>
        <v>263.18</v>
      </c>
      <c r="F569" s="4">
        <f>_xlfn.XLOOKUP($A569, TCS!A:A, TCS!B:B, "")</f>
        <v>3691.1</v>
      </c>
      <c r="G569" s="4">
        <f>_xlfn.XLOOKUP($A569, Infosys!A:A, Infosys!B:B,"")</f>
        <v>1742.45</v>
      </c>
      <c r="H569" s="4">
        <f>_xlfn.XLOOKUP($A569, 'L &amp; T'!A:A, 'L &amp; T'!B:B, "")</f>
        <v>1747.7</v>
      </c>
    </row>
    <row r="570" spans="1:8" x14ac:dyDescent="0.3">
      <c r="A570" s="1">
        <v>44664</v>
      </c>
      <c r="B570" s="4">
        <f>_xlfn.XLOOKUP($A570, 'Nifty 50'!A:A, 'Nifty 50'!B:B, "")</f>
        <v>17475.650000000001</v>
      </c>
      <c r="C570" s="4">
        <f>_xlfn.XLOOKUP($A570, Reliance!A:A, Reliance!B:B, "")</f>
        <v>1158.27</v>
      </c>
      <c r="D570" s="4">
        <f>_xlfn.XLOOKUP($A570, HDFC!A:A, HDFC!B:B, "")</f>
        <v>730.66</v>
      </c>
      <c r="E570" s="4">
        <f>_xlfn.XLOOKUP($A570, ITC!A:A, ITC!B:B, "")</f>
        <v>269.55</v>
      </c>
      <c r="F570" s="4">
        <f>_xlfn.XLOOKUP($A570, TCS!A:A, TCS!B:B, "")</f>
        <v>3661.95</v>
      </c>
      <c r="G570" s="4">
        <f>_xlfn.XLOOKUP($A570, Infosys!A:A, Infosys!B:B,"")</f>
        <v>1748.55</v>
      </c>
      <c r="H570" s="4">
        <f>_xlfn.XLOOKUP($A570, 'L &amp; T'!A:A, 'L &amp; T'!B:B, "")</f>
        <v>1760.8</v>
      </c>
    </row>
    <row r="571" spans="1:8" x14ac:dyDescent="0.3">
      <c r="A571" s="1">
        <v>44669</v>
      </c>
      <c r="B571" s="4">
        <f>_xlfn.XLOOKUP($A571, 'Nifty 50'!A:A, 'Nifty 50'!B:B, "")</f>
        <v>17173.650000000001</v>
      </c>
      <c r="C571" s="4">
        <f>_xlfn.XLOOKUP($A571, Reliance!A:A, Reliance!B:B, "")</f>
        <v>1154.73</v>
      </c>
      <c r="D571" s="4">
        <f>_xlfn.XLOOKUP($A571, HDFC!A:A, HDFC!B:B, "")</f>
        <v>695.99</v>
      </c>
      <c r="E571" s="4">
        <f>_xlfn.XLOOKUP($A571, ITC!A:A, ITC!B:B, "")</f>
        <v>268.45</v>
      </c>
      <c r="F571" s="4">
        <f>_xlfn.XLOOKUP($A571, TCS!A:A, TCS!B:B, "")</f>
        <v>3528.05</v>
      </c>
      <c r="G571" s="4">
        <f>_xlfn.XLOOKUP($A571, Infosys!A:A, Infosys!B:B,"")</f>
        <v>1621.4</v>
      </c>
      <c r="H571" s="4">
        <f>_xlfn.XLOOKUP($A571, 'L &amp; T'!A:A, 'L &amp; T'!B:B, "")</f>
        <v>1738.35</v>
      </c>
    </row>
    <row r="572" spans="1:8" x14ac:dyDescent="0.3">
      <c r="A572" s="1">
        <v>44670</v>
      </c>
      <c r="B572" s="4">
        <f>_xlfn.XLOOKUP($A572, 'Nifty 50'!A:A, 'Nifty 50'!B:B, "")</f>
        <v>16958.650000000001</v>
      </c>
      <c r="C572" s="4">
        <f>_xlfn.XLOOKUP($A572, Reliance!A:A, Reliance!B:B, "")</f>
        <v>1198.74</v>
      </c>
      <c r="D572" s="4">
        <f>_xlfn.XLOOKUP($A572, HDFC!A:A, HDFC!B:B, "")</f>
        <v>669.43</v>
      </c>
      <c r="E572" s="4">
        <f>_xlfn.XLOOKUP($A572, ITC!A:A, ITC!B:B, "")</f>
        <v>261.55</v>
      </c>
      <c r="F572" s="4">
        <f>_xlfn.XLOOKUP($A572, TCS!A:A, TCS!B:B, "")</f>
        <v>3471.9</v>
      </c>
      <c r="G572" s="4">
        <f>_xlfn.XLOOKUP($A572, Infosys!A:A, Infosys!B:B,"")</f>
        <v>1562</v>
      </c>
      <c r="H572" s="4">
        <f>_xlfn.XLOOKUP($A572, 'L &amp; T'!A:A, 'L &amp; T'!B:B, "")</f>
        <v>1705.75</v>
      </c>
    </row>
    <row r="573" spans="1:8" x14ac:dyDescent="0.3">
      <c r="A573" s="1">
        <v>44671</v>
      </c>
      <c r="B573" s="4">
        <f>_xlfn.XLOOKUP($A573, 'Nifty 50'!A:A, 'Nifty 50'!B:B, "")</f>
        <v>17136.55</v>
      </c>
      <c r="C573" s="4">
        <f>_xlfn.XLOOKUP($A573, Reliance!A:A, Reliance!B:B, "")</f>
        <v>1233.98</v>
      </c>
      <c r="D573" s="4">
        <f>_xlfn.XLOOKUP($A573, HDFC!A:A, HDFC!B:B, "")</f>
        <v>675.47</v>
      </c>
      <c r="E573" s="4">
        <f>_xlfn.XLOOKUP($A573, ITC!A:A, ITC!B:B, "")</f>
        <v>259.55</v>
      </c>
      <c r="F573" s="4">
        <f>_xlfn.XLOOKUP($A573, TCS!A:A, TCS!B:B, "")</f>
        <v>3556.8</v>
      </c>
      <c r="G573" s="4">
        <f>_xlfn.XLOOKUP($A573, Infosys!A:A, Infosys!B:B,"")</f>
        <v>1587.7</v>
      </c>
      <c r="H573" s="4">
        <f>_xlfn.XLOOKUP($A573, 'L &amp; T'!A:A, 'L &amp; T'!B:B, "")</f>
        <v>1691.6</v>
      </c>
    </row>
    <row r="574" spans="1:8" x14ac:dyDescent="0.3">
      <c r="A574" s="1">
        <v>44672</v>
      </c>
      <c r="B574" s="4">
        <f>_xlfn.XLOOKUP($A574, 'Nifty 50'!A:A, 'Nifty 50'!B:B, "")</f>
        <v>17392.599999999999</v>
      </c>
      <c r="C574" s="4">
        <f>_xlfn.XLOOKUP($A574, Reliance!A:A, Reliance!B:B, "")</f>
        <v>1262.8800000000001</v>
      </c>
      <c r="D574" s="4">
        <f>_xlfn.XLOOKUP($A574, HDFC!A:A, HDFC!B:B, "")</f>
        <v>685.47</v>
      </c>
      <c r="E574" s="4">
        <f>_xlfn.XLOOKUP($A574, ITC!A:A, ITC!B:B, "")</f>
        <v>260.39999999999998</v>
      </c>
      <c r="F574" s="4">
        <f>_xlfn.XLOOKUP($A574, TCS!A:A, TCS!B:B, "")</f>
        <v>3628.65</v>
      </c>
      <c r="G574" s="4">
        <f>_xlfn.XLOOKUP($A574, Infosys!A:A, Infosys!B:B,"")</f>
        <v>1618.8</v>
      </c>
      <c r="H574" s="4">
        <f>_xlfn.XLOOKUP($A574, 'L &amp; T'!A:A, 'L &amp; T'!B:B, "")</f>
        <v>1714.5</v>
      </c>
    </row>
    <row r="575" spans="1:8" x14ac:dyDescent="0.3">
      <c r="A575" s="1">
        <v>44673</v>
      </c>
      <c r="B575" s="4">
        <f>_xlfn.XLOOKUP($A575, 'Nifty 50'!A:A, 'Nifty 50'!B:B, "")</f>
        <v>17171.95</v>
      </c>
      <c r="C575" s="4">
        <f>_xlfn.XLOOKUP($A575, Reliance!A:A, Reliance!B:B, "")</f>
        <v>1252.3</v>
      </c>
      <c r="D575" s="4">
        <f>_xlfn.XLOOKUP($A575, HDFC!A:A, HDFC!B:B, "")</f>
        <v>676.12</v>
      </c>
      <c r="E575" s="4">
        <f>_xlfn.XLOOKUP($A575, ITC!A:A, ITC!B:B, "")</f>
        <v>261.10000000000002</v>
      </c>
      <c r="F575" s="4">
        <f>_xlfn.XLOOKUP($A575, TCS!A:A, TCS!B:B, "")</f>
        <v>3612.55</v>
      </c>
      <c r="G575" s="4">
        <f>_xlfn.XLOOKUP($A575, Infosys!A:A, Infosys!B:B,"")</f>
        <v>1585.45</v>
      </c>
      <c r="H575" s="4">
        <f>_xlfn.XLOOKUP($A575, 'L &amp; T'!A:A, 'L &amp; T'!B:B, "")</f>
        <v>1694.35</v>
      </c>
    </row>
    <row r="576" spans="1:8" x14ac:dyDescent="0.3">
      <c r="A576" s="1">
        <v>44676</v>
      </c>
      <c r="B576" s="4">
        <f>_xlfn.XLOOKUP($A576, 'Nifty 50'!A:A, 'Nifty 50'!B:B, "")</f>
        <v>16953.95</v>
      </c>
      <c r="C576" s="4">
        <f>_xlfn.XLOOKUP($A576, Reliance!A:A, Reliance!B:B, "")</f>
        <v>1223.3399999999999</v>
      </c>
      <c r="D576" s="4">
        <f>_xlfn.XLOOKUP($A576, HDFC!A:A, HDFC!B:B, "")</f>
        <v>681.18</v>
      </c>
      <c r="E576" s="4">
        <f>_xlfn.XLOOKUP($A576, ITC!A:A, ITC!B:B, "")</f>
        <v>255.25</v>
      </c>
      <c r="F576" s="4">
        <f>_xlfn.XLOOKUP($A576, TCS!A:A, TCS!B:B, "")</f>
        <v>3548.2</v>
      </c>
      <c r="G576" s="4">
        <f>_xlfn.XLOOKUP($A576, Infosys!A:A, Infosys!B:B,"")</f>
        <v>1561.1</v>
      </c>
      <c r="H576" s="4">
        <f>_xlfn.XLOOKUP($A576, 'L &amp; T'!A:A, 'L &amp; T'!B:B, "")</f>
        <v>1657.35</v>
      </c>
    </row>
    <row r="577" spans="1:8" x14ac:dyDescent="0.3">
      <c r="A577" s="1">
        <v>44677</v>
      </c>
      <c r="B577" s="4">
        <f>_xlfn.XLOOKUP($A577, 'Nifty 50'!A:A, 'Nifty 50'!B:B, "")</f>
        <v>17200.8</v>
      </c>
      <c r="C577" s="4">
        <f>_xlfn.XLOOKUP($A577, Reliance!A:A, Reliance!B:B, "")</f>
        <v>1259.95</v>
      </c>
      <c r="D577" s="4">
        <f>_xlfn.XLOOKUP($A577, HDFC!A:A, HDFC!B:B, "")</f>
        <v>684.32</v>
      </c>
      <c r="E577" s="4">
        <f>_xlfn.XLOOKUP($A577, ITC!A:A, ITC!B:B, "")</f>
        <v>258.95</v>
      </c>
      <c r="F577" s="4">
        <f>_xlfn.XLOOKUP($A577, TCS!A:A, TCS!B:B, "")</f>
        <v>3546.3</v>
      </c>
      <c r="G577" s="4">
        <f>_xlfn.XLOOKUP($A577, Infosys!A:A, Infosys!B:B,"")</f>
        <v>1581</v>
      </c>
      <c r="H577" s="4">
        <f>_xlfn.XLOOKUP($A577, 'L &amp; T'!A:A, 'L &amp; T'!B:B, "")</f>
        <v>1699.95</v>
      </c>
    </row>
    <row r="578" spans="1:8" x14ac:dyDescent="0.3">
      <c r="A578" s="1">
        <v>44678</v>
      </c>
      <c r="B578" s="4">
        <f>_xlfn.XLOOKUP($A578, 'Nifty 50'!A:A, 'Nifty 50'!B:B, "")</f>
        <v>17038.400000000001</v>
      </c>
      <c r="C578" s="4">
        <f>_xlfn.XLOOKUP($A578, Reliance!A:A, Reliance!B:B, "")</f>
        <v>1261.18</v>
      </c>
      <c r="D578" s="4">
        <f>_xlfn.XLOOKUP($A578, HDFC!A:A, HDFC!B:B, "")</f>
        <v>684.57</v>
      </c>
      <c r="E578" s="4">
        <f>_xlfn.XLOOKUP($A578, ITC!A:A, ITC!B:B, "")</f>
        <v>257.5</v>
      </c>
      <c r="F578" s="4">
        <f>_xlfn.XLOOKUP($A578, TCS!A:A, TCS!B:B, "")</f>
        <v>3561.2</v>
      </c>
      <c r="G578" s="4">
        <f>_xlfn.XLOOKUP($A578, Infosys!A:A, Infosys!B:B,"")</f>
        <v>1552.8</v>
      </c>
      <c r="H578" s="4">
        <f>_xlfn.XLOOKUP($A578, 'L &amp; T'!A:A, 'L &amp; T'!B:B, "")</f>
        <v>1677.05</v>
      </c>
    </row>
    <row r="579" spans="1:8" x14ac:dyDescent="0.3">
      <c r="A579" s="1">
        <v>44679</v>
      </c>
      <c r="B579" s="4">
        <f>_xlfn.XLOOKUP($A579, 'Nifty 50'!A:A, 'Nifty 50'!B:B, "")</f>
        <v>17245.05</v>
      </c>
      <c r="C579" s="4">
        <f>_xlfn.XLOOKUP($A579, Reliance!A:A, Reliance!B:B, "")</f>
        <v>1280.01</v>
      </c>
      <c r="D579" s="4">
        <f>_xlfn.XLOOKUP($A579, HDFC!A:A, HDFC!B:B, "")</f>
        <v>683.97</v>
      </c>
      <c r="E579" s="4">
        <f>_xlfn.XLOOKUP($A579, ITC!A:A, ITC!B:B, "")</f>
        <v>261.10000000000002</v>
      </c>
      <c r="F579" s="4">
        <f>_xlfn.XLOOKUP($A579, TCS!A:A, TCS!B:B, "")</f>
        <v>3584.3</v>
      </c>
      <c r="G579" s="4">
        <f>_xlfn.XLOOKUP($A579, Infosys!A:A, Infosys!B:B,"")</f>
        <v>1582.6</v>
      </c>
      <c r="H579" s="4">
        <f>_xlfn.XLOOKUP($A579, 'L &amp; T'!A:A, 'L &amp; T'!B:B, "")</f>
        <v>1719.25</v>
      </c>
    </row>
    <row r="580" spans="1:8" x14ac:dyDescent="0.3">
      <c r="A580" s="1">
        <v>44680</v>
      </c>
      <c r="B580" s="4">
        <f>_xlfn.XLOOKUP($A580, 'Nifty 50'!A:A, 'Nifty 50'!B:B, "")</f>
        <v>17102.55</v>
      </c>
      <c r="C580" s="4">
        <f>_xlfn.XLOOKUP($A580, Reliance!A:A, Reliance!B:B, "")</f>
        <v>1266.58</v>
      </c>
      <c r="D580" s="4">
        <f>_xlfn.XLOOKUP($A580, HDFC!A:A, HDFC!B:B, "")</f>
        <v>690.58</v>
      </c>
      <c r="E580" s="4">
        <f>_xlfn.XLOOKUP($A580, ITC!A:A, ITC!B:B, "")</f>
        <v>259.55</v>
      </c>
      <c r="F580" s="4">
        <f>_xlfn.XLOOKUP($A580, TCS!A:A, TCS!B:B, "")</f>
        <v>3546.7</v>
      </c>
      <c r="G580" s="4">
        <f>_xlfn.XLOOKUP($A580, Infosys!A:A, Infosys!B:B,"")</f>
        <v>1567.55</v>
      </c>
      <c r="H580" s="4">
        <f>_xlfn.XLOOKUP($A580, 'L &amp; T'!A:A, 'L &amp; T'!B:B, "")</f>
        <v>1694.35</v>
      </c>
    </row>
    <row r="581" spans="1:8" x14ac:dyDescent="0.3">
      <c r="A581" s="1">
        <v>44683</v>
      </c>
      <c r="B581" s="4">
        <f>_xlfn.XLOOKUP($A581, 'Nifty 50'!A:A, 'Nifty 50'!B:B, "")</f>
        <v>17069.099999999999</v>
      </c>
      <c r="C581" s="4">
        <f>_xlfn.XLOOKUP($A581, Reliance!A:A, Reliance!B:B, "")</f>
        <v>1262.1300000000001</v>
      </c>
      <c r="D581" s="4">
        <f>_xlfn.XLOOKUP($A581, HDFC!A:A, HDFC!B:B, "")</f>
        <v>700.11</v>
      </c>
      <c r="E581" s="4">
        <f>_xlfn.XLOOKUP($A581, ITC!A:A, ITC!B:B, "")</f>
        <v>263.14999999999998</v>
      </c>
      <c r="F581" s="4">
        <f>_xlfn.XLOOKUP($A581, TCS!A:A, TCS!B:B, "")</f>
        <v>3542.4</v>
      </c>
      <c r="G581" s="4">
        <f>_xlfn.XLOOKUP($A581, Infosys!A:A, Infosys!B:B,"")</f>
        <v>1541</v>
      </c>
      <c r="H581" s="4">
        <f>_xlfn.XLOOKUP($A581, 'L &amp; T'!A:A, 'L &amp; T'!B:B, "")</f>
        <v>1679.45</v>
      </c>
    </row>
    <row r="582" spans="1:8" x14ac:dyDescent="0.3">
      <c r="A582" s="1">
        <v>44685</v>
      </c>
      <c r="B582" s="4">
        <f>_xlfn.XLOOKUP($A582, 'Nifty 50'!A:A, 'Nifty 50'!B:B, "")</f>
        <v>16677.599999999999</v>
      </c>
      <c r="C582" s="4">
        <f>_xlfn.XLOOKUP($A582, Reliance!A:A, Reliance!B:B, "")</f>
        <v>1222.73</v>
      </c>
      <c r="D582" s="4">
        <f>_xlfn.XLOOKUP($A582, HDFC!A:A, HDFC!B:B, "")</f>
        <v>676.32</v>
      </c>
      <c r="E582" s="4">
        <f>_xlfn.XLOOKUP($A582, ITC!A:A, ITC!B:B, "")</f>
        <v>259.75</v>
      </c>
      <c r="F582" s="4">
        <f>_xlfn.XLOOKUP($A582, TCS!A:A, TCS!B:B, "")</f>
        <v>3479.75</v>
      </c>
      <c r="G582" s="4">
        <f>_xlfn.XLOOKUP($A582, Infosys!A:A, Infosys!B:B,"")</f>
        <v>1535.55</v>
      </c>
      <c r="H582" s="4">
        <f>_xlfn.XLOOKUP($A582, 'L &amp; T'!A:A, 'L &amp; T'!B:B, "")</f>
        <v>1633.95</v>
      </c>
    </row>
    <row r="583" spans="1:8" x14ac:dyDescent="0.3">
      <c r="A583" s="1">
        <v>44686</v>
      </c>
      <c r="B583" s="4">
        <f>_xlfn.XLOOKUP($A583, 'Nifty 50'!A:A, 'Nifty 50'!B:B, "")</f>
        <v>16682.650000000001</v>
      </c>
      <c r="C583" s="4">
        <f>_xlfn.XLOOKUP($A583, Reliance!A:A, Reliance!B:B, "")</f>
        <v>1198.78</v>
      </c>
      <c r="D583" s="4">
        <f>_xlfn.XLOOKUP($A583, HDFC!A:A, HDFC!B:B, "")</f>
        <v>674.8</v>
      </c>
      <c r="E583" s="4">
        <f>_xlfn.XLOOKUP($A583, ITC!A:A, ITC!B:B, "")</f>
        <v>262.05</v>
      </c>
      <c r="F583" s="4">
        <f>_xlfn.XLOOKUP($A583, TCS!A:A, TCS!B:B, "")</f>
        <v>3513.4</v>
      </c>
      <c r="G583" s="4">
        <f>_xlfn.XLOOKUP($A583, Infosys!A:A, Infosys!B:B,"")</f>
        <v>1585.15</v>
      </c>
      <c r="H583" s="4">
        <f>_xlfn.XLOOKUP($A583, 'L &amp; T'!A:A, 'L &amp; T'!B:B, "")</f>
        <v>1637.65</v>
      </c>
    </row>
    <row r="584" spans="1:8" x14ac:dyDescent="0.3">
      <c r="A584" s="1">
        <v>44687</v>
      </c>
      <c r="B584" s="4">
        <f>_xlfn.XLOOKUP($A584, 'Nifty 50'!A:A, 'Nifty 50'!B:B, "")</f>
        <v>16411.25</v>
      </c>
      <c r="C584" s="4">
        <f>_xlfn.XLOOKUP($A584, Reliance!A:A, Reliance!B:B, "")</f>
        <v>1189.5899999999999</v>
      </c>
      <c r="D584" s="4">
        <f>_xlfn.XLOOKUP($A584, HDFC!A:A, HDFC!B:B, "")</f>
        <v>657.16</v>
      </c>
      <c r="E584" s="4">
        <f>_xlfn.XLOOKUP($A584, ITC!A:A, ITC!B:B, "")</f>
        <v>266.64999999999998</v>
      </c>
      <c r="F584" s="4">
        <f>_xlfn.XLOOKUP($A584, TCS!A:A, TCS!B:B, "")</f>
        <v>3432.6</v>
      </c>
      <c r="G584" s="4">
        <f>_xlfn.XLOOKUP($A584, Infosys!A:A, Infosys!B:B,"")</f>
        <v>1542.85</v>
      </c>
      <c r="H584" s="4">
        <f>_xlfn.XLOOKUP($A584, 'L &amp; T'!A:A, 'L &amp; T'!B:B, "")</f>
        <v>1622.45</v>
      </c>
    </row>
    <row r="585" spans="1:8" x14ac:dyDescent="0.3">
      <c r="A585" s="1">
        <v>44690</v>
      </c>
      <c r="B585" s="4">
        <f>_xlfn.XLOOKUP($A585, 'Nifty 50'!A:A, 'Nifty 50'!B:B, "")</f>
        <v>16301.85</v>
      </c>
      <c r="C585" s="4">
        <f>_xlfn.XLOOKUP($A585, Reliance!A:A, Reliance!B:B, "")</f>
        <v>1143.1300000000001</v>
      </c>
      <c r="D585" s="4">
        <f>_xlfn.XLOOKUP($A585, HDFC!A:A, HDFC!B:B, "")</f>
        <v>658.29</v>
      </c>
      <c r="E585" s="4">
        <f>_xlfn.XLOOKUP($A585, ITC!A:A, ITC!B:B, "")</f>
        <v>261.33999999999997</v>
      </c>
      <c r="F585" s="4">
        <f>_xlfn.XLOOKUP($A585, TCS!A:A, TCS!B:B, "")</f>
        <v>3445.1</v>
      </c>
      <c r="G585" s="4">
        <f>_xlfn.XLOOKUP($A585, Infosys!A:A, Infosys!B:B,"")</f>
        <v>1570.35</v>
      </c>
      <c r="H585" s="4">
        <f>_xlfn.XLOOKUP($A585, 'L &amp; T'!A:A, 'L &amp; T'!B:B, "")</f>
        <v>1616.15</v>
      </c>
    </row>
    <row r="586" spans="1:8" x14ac:dyDescent="0.3">
      <c r="A586" s="1">
        <v>44691</v>
      </c>
      <c r="B586" s="4">
        <f>_xlfn.XLOOKUP($A586, 'Nifty 50'!A:A, 'Nifty 50'!B:B, "")</f>
        <v>16240.05</v>
      </c>
      <c r="C586" s="4">
        <f>_xlfn.XLOOKUP($A586, Reliance!A:A, Reliance!B:B, "")</f>
        <v>1123.32</v>
      </c>
      <c r="D586" s="4">
        <f>_xlfn.XLOOKUP($A586, HDFC!A:A, HDFC!B:B, "")</f>
        <v>668.86</v>
      </c>
      <c r="E586" s="4">
        <f>_xlfn.XLOOKUP($A586, ITC!A:A, ITC!B:B, "")</f>
        <v>259.75</v>
      </c>
      <c r="F586" s="4">
        <f>_xlfn.XLOOKUP($A586, TCS!A:A, TCS!B:B, "")</f>
        <v>3438.75</v>
      </c>
      <c r="G586" s="4">
        <f>_xlfn.XLOOKUP($A586, Infosys!A:A, Infosys!B:B,"")</f>
        <v>1553</v>
      </c>
      <c r="H586" s="4">
        <f>_xlfn.XLOOKUP($A586, 'L &amp; T'!A:A, 'L &amp; T'!B:B, "")</f>
        <v>1607.95</v>
      </c>
    </row>
    <row r="587" spans="1:8" x14ac:dyDescent="0.3">
      <c r="A587" s="1">
        <v>44692</v>
      </c>
      <c r="B587" s="4">
        <f>_xlfn.XLOOKUP($A587, 'Nifty 50'!A:A, 'Nifty 50'!B:B, "")</f>
        <v>16167.1</v>
      </c>
      <c r="C587" s="4">
        <f>_xlfn.XLOOKUP($A587, Reliance!A:A, Reliance!B:B, "")</f>
        <v>1111.81</v>
      </c>
      <c r="D587" s="4">
        <f>_xlfn.XLOOKUP($A587, HDFC!A:A, HDFC!B:B, "")</f>
        <v>672.63</v>
      </c>
      <c r="E587" s="4">
        <f>_xlfn.XLOOKUP($A587, ITC!A:A, ITC!B:B, "")</f>
        <v>254.09</v>
      </c>
      <c r="F587" s="4">
        <f>_xlfn.XLOOKUP($A587, TCS!A:A, TCS!B:B, "")</f>
        <v>3412</v>
      </c>
      <c r="G587" s="4">
        <f>_xlfn.XLOOKUP($A587, Infosys!A:A, Infosys!B:B,"")</f>
        <v>1526.75</v>
      </c>
      <c r="H587" s="4">
        <f>_xlfn.XLOOKUP($A587, 'L &amp; T'!A:A, 'L &amp; T'!B:B, "")</f>
        <v>1570.8</v>
      </c>
    </row>
    <row r="588" spans="1:8" x14ac:dyDescent="0.3">
      <c r="A588" s="1">
        <v>44693</v>
      </c>
      <c r="B588" s="4">
        <f>_xlfn.XLOOKUP($A588, 'Nifty 50'!A:A, 'Nifty 50'!B:B, "")</f>
        <v>15808</v>
      </c>
      <c r="C588" s="4">
        <f>_xlfn.XLOOKUP($A588, Reliance!A:A, Reliance!B:B, "")</f>
        <v>1089.1600000000001</v>
      </c>
      <c r="D588" s="4">
        <f>_xlfn.XLOOKUP($A588, HDFC!A:A, HDFC!B:B, "")</f>
        <v>649.91</v>
      </c>
      <c r="E588" s="4">
        <f>_xlfn.XLOOKUP($A588, ITC!A:A, ITC!B:B, "")</f>
        <v>251.35</v>
      </c>
      <c r="F588" s="4">
        <f>_xlfn.XLOOKUP($A588, TCS!A:A, TCS!B:B, "")</f>
        <v>3408.65</v>
      </c>
      <c r="G588" s="4">
        <f>_xlfn.XLOOKUP($A588, Infosys!A:A, Infosys!B:B,"")</f>
        <v>1508.8</v>
      </c>
      <c r="H588" s="4">
        <f>_xlfn.XLOOKUP($A588, 'L &amp; T'!A:A, 'L &amp; T'!B:B, "")</f>
        <v>1526.15</v>
      </c>
    </row>
    <row r="589" spans="1:8" x14ac:dyDescent="0.3">
      <c r="A589" s="1">
        <v>44694</v>
      </c>
      <c r="B589" s="4">
        <f>_xlfn.XLOOKUP($A589, 'Nifty 50'!A:A, 'Nifty 50'!B:B, "")</f>
        <v>15782.15</v>
      </c>
      <c r="C589" s="4">
        <f>_xlfn.XLOOKUP($A589, Reliance!A:A, Reliance!B:B, "")</f>
        <v>1101.51</v>
      </c>
      <c r="D589" s="4">
        <f>_xlfn.XLOOKUP($A589, HDFC!A:A, HDFC!B:B, "")</f>
        <v>644.07000000000005</v>
      </c>
      <c r="E589" s="4">
        <f>_xlfn.XLOOKUP($A589, ITC!A:A, ITC!B:B, "")</f>
        <v>258.60000000000002</v>
      </c>
      <c r="F589" s="4">
        <f>_xlfn.XLOOKUP($A589, TCS!A:A, TCS!B:B, "")</f>
        <v>3414.9</v>
      </c>
      <c r="G589" s="4">
        <f>_xlfn.XLOOKUP($A589, Infosys!A:A, Infosys!B:B,"")</f>
        <v>1504.4</v>
      </c>
      <c r="H589" s="4">
        <f>_xlfn.XLOOKUP($A589, 'L &amp; T'!A:A, 'L &amp; T'!B:B, "")</f>
        <v>1534.5</v>
      </c>
    </row>
    <row r="590" spans="1:8" x14ac:dyDescent="0.3">
      <c r="A590" s="1">
        <v>44697</v>
      </c>
      <c r="B590" s="4">
        <f>_xlfn.XLOOKUP($A590, 'Nifty 50'!A:A, 'Nifty 50'!B:B, "")</f>
        <v>15842.3</v>
      </c>
      <c r="C590" s="4">
        <f>_xlfn.XLOOKUP($A590, Reliance!A:A, Reliance!B:B, "")</f>
        <v>1101.78</v>
      </c>
      <c r="D590" s="4">
        <f>_xlfn.XLOOKUP($A590, HDFC!A:A, HDFC!B:B, "")</f>
        <v>650.92999999999995</v>
      </c>
      <c r="E590" s="4">
        <f>_xlfn.XLOOKUP($A590, ITC!A:A, ITC!B:B, "")</f>
        <v>254.1</v>
      </c>
      <c r="F590" s="4">
        <f>_xlfn.XLOOKUP($A590, TCS!A:A, TCS!B:B, "")</f>
        <v>3376.8</v>
      </c>
      <c r="G590" s="4">
        <f>_xlfn.XLOOKUP($A590, Infosys!A:A, Infosys!B:B,"")</f>
        <v>1489.1</v>
      </c>
      <c r="H590" s="4">
        <f>_xlfn.XLOOKUP($A590, 'L &amp; T'!A:A, 'L &amp; T'!B:B, "")</f>
        <v>1542.9</v>
      </c>
    </row>
    <row r="591" spans="1:8" x14ac:dyDescent="0.3">
      <c r="A591" s="1">
        <v>44698</v>
      </c>
      <c r="B591" s="4">
        <f>_xlfn.XLOOKUP($A591, 'Nifty 50'!A:A, 'Nifty 50'!B:B, "")</f>
        <v>16259.3</v>
      </c>
      <c r="C591" s="4">
        <f>_xlfn.XLOOKUP($A591, Reliance!A:A, Reliance!B:B, "")</f>
        <v>1148.06</v>
      </c>
      <c r="D591" s="4">
        <f>_xlfn.XLOOKUP($A591, HDFC!A:A, HDFC!B:B, "")</f>
        <v>655.37</v>
      </c>
      <c r="E591" s="4">
        <f>_xlfn.XLOOKUP($A591, ITC!A:A, ITC!B:B, "")</f>
        <v>264.7</v>
      </c>
      <c r="F591" s="4">
        <f>_xlfn.XLOOKUP($A591, TCS!A:A, TCS!B:B, "")</f>
        <v>3451.6</v>
      </c>
      <c r="G591" s="4">
        <f>_xlfn.XLOOKUP($A591, Infosys!A:A, Infosys!B:B,"")</f>
        <v>1509.94</v>
      </c>
      <c r="H591" s="4">
        <f>_xlfn.XLOOKUP($A591, 'L &amp; T'!A:A, 'L &amp; T'!B:B, "")</f>
        <v>1604.1</v>
      </c>
    </row>
    <row r="592" spans="1:8" x14ac:dyDescent="0.3">
      <c r="A592" s="1">
        <v>44699</v>
      </c>
      <c r="B592" s="4">
        <f>_xlfn.XLOOKUP($A592, 'Nifty 50'!A:A, 'Nifty 50'!B:B, "")</f>
        <v>16240.3</v>
      </c>
      <c r="C592" s="4">
        <f>_xlfn.XLOOKUP($A592, Reliance!A:A, Reliance!B:B, "")</f>
        <v>1152.23</v>
      </c>
      <c r="D592" s="4">
        <f>_xlfn.XLOOKUP($A592, HDFC!A:A, HDFC!B:B, "")</f>
        <v>655.32000000000005</v>
      </c>
      <c r="E592" s="4">
        <f>_xlfn.XLOOKUP($A592, ITC!A:A, ITC!B:B, "")</f>
        <v>266.8</v>
      </c>
      <c r="F592" s="4">
        <f>_xlfn.XLOOKUP($A592, TCS!A:A, TCS!B:B, "")</f>
        <v>3448.8</v>
      </c>
      <c r="G592" s="4">
        <f>_xlfn.XLOOKUP($A592, Infosys!A:A, Infosys!B:B,"")</f>
        <v>1500.74</v>
      </c>
      <c r="H592" s="4">
        <f>_xlfn.XLOOKUP($A592, 'L &amp; T'!A:A, 'L &amp; T'!B:B, "")</f>
        <v>1572.5</v>
      </c>
    </row>
    <row r="593" spans="1:8" x14ac:dyDescent="0.3">
      <c r="A593" s="1">
        <v>44700</v>
      </c>
      <c r="B593" s="4">
        <f>_xlfn.XLOOKUP($A593, 'Nifty 50'!A:A, 'Nifty 50'!B:B, "")</f>
        <v>15809.4</v>
      </c>
      <c r="C593" s="4">
        <f>_xlfn.XLOOKUP($A593, Reliance!A:A, Reliance!B:B, "")</f>
        <v>1125.68</v>
      </c>
      <c r="D593" s="4">
        <f>_xlfn.XLOOKUP($A593, HDFC!A:A, HDFC!B:B, "")</f>
        <v>641.92999999999995</v>
      </c>
      <c r="E593" s="4">
        <f>_xlfn.XLOOKUP($A593, ITC!A:A, ITC!B:B, "")</f>
        <v>273.95999999999998</v>
      </c>
      <c r="F593" s="4">
        <f>_xlfn.XLOOKUP($A593, TCS!A:A, TCS!B:B, "")</f>
        <v>3261.95</v>
      </c>
      <c r="G593" s="4">
        <f>_xlfn.XLOOKUP($A593, Infosys!A:A, Infosys!B:B,"")</f>
        <v>1419.15</v>
      </c>
      <c r="H593" s="4">
        <f>_xlfn.XLOOKUP($A593, 'L &amp; T'!A:A, 'L &amp; T'!B:B, "")</f>
        <v>1547.95</v>
      </c>
    </row>
    <row r="594" spans="1:8" x14ac:dyDescent="0.3">
      <c r="A594" s="1">
        <v>44701</v>
      </c>
      <c r="B594" s="4">
        <f>_xlfn.XLOOKUP($A594, 'Nifty 50'!A:A, 'Nifty 50'!B:B, "")</f>
        <v>16266.15</v>
      </c>
      <c r="C594" s="4">
        <f>_xlfn.XLOOKUP($A594, Reliance!A:A, Reliance!B:B, "")</f>
        <v>1191.32</v>
      </c>
      <c r="D594" s="4">
        <f>_xlfn.XLOOKUP($A594, HDFC!A:A, HDFC!B:B, "")</f>
        <v>658.84</v>
      </c>
      <c r="E594" s="4">
        <f>_xlfn.XLOOKUP($A594, ITC!A:A, ITC!B:B, "")</f>
        <v>278.29000000000002</v>
      </c>
      <c r="F594" s="4">
        <f>_xlfn.XLOOKUP($A594, TCS!A:A, TCS!B:B, "")</f>
        <v>3293</v>
      </c>
      <c r="G594" s="4">
        <f>_xlfn.XLOOKUP($A594, Infosys!A:A, Infosys!B:B,"")</f>
        <v>1446.99</v>
      </c>
      <c r="H594" s="4">
        <f>_xlfn.XLOOKUP($A594, 'L &amp; T'!A:A, 'L &amp; T'!B:B, "")</f>
        <v>1610.1</v>
      </c>
    </row>
    <row r="595" spans="1:8" x14ac:dyDescent="0.3">
      <c r="A595" s="1">
        <v>44704</v>
      </c>
      <c r="B595" s="4">
        <f>_xlfn.XLOOKUP($A595, 'Nifty 50'!A:A, 'Nifty 50'!B:B, "")</f>
        <v>16214.7</v>
      </c>
      <c r="C595" s="4">
        <f>_xlfn.XLOOKUP($A595, Reliance!A:A, Reliance!B:B, "")</f>
        <v>1183.3499999999999</v>
      </c>
      <c r="D595" s="4">
        <f>_xlfn.XLOOKUP($A595, HDFC!A:A, HDFC!B:B, "")</f>
        <v>650.38</v>
      </c>
      <c r="E595" s="4">
        <f>_xlfn.XLOOKUP($A595, ITC!A:A, ITC!B:B, "")</f>
        <v>272.82</v>
      </c>
      <c r="F595" s="4">
        <f>_xlfn.XLOOKUP($A595, TCS!A:A, TCS!B:B, "")</f>
        <v>3321.75</v>
      </c>
      <c r="G595" s="4">
        <f>_xlfn.XLOOKUP($A595, Infosys!A:A, Infosys!B:B,"")</f>
        <v>1460.17</v>
      </c>
      <c r="H595" s="4">
        <f>_xlfn.XLOOKUP($A595, 'L &amp; T'!A:A, 'L &amp; T'!B:B, "")</f>
        <v>1644.15</v>
      </c>
    </row>
    <row r="596" spans="1:8" x14ac:dyDescent="0.3">
      <c r="A596" s="1">
        <v>44705</v>
      </c>
      <c r="B596" s="4">
        <f>_xlfn.XLOOKUP($A596, 'Nifty 50'!A:A, 'Nifty 50'!B:B, "")</f>
        <v>16125.15</v>
      </c>
      <c r="C596" s="4">
        <f>_xlfn.XLOOKUP($A596, Reliance!A:A, Reliance!B:B, "")</f>
        <v>1187.4100000000001</v>
      </c>
      <c r="D596" s="4">
        <f>_xlfn.XLOOKUP($A596, HDFC!A:A, HDFC!B:B, "")</f>
        <v>657.84</v>
      </c>
      <c r="E596" s="4">
        <f>_xlfn.XLOOKUP($A596, ITC!A:A, ITC!B:B, "")</f>
        <v>269.19</v>
      </c>
      <c r="F596" s="4">
        <f>_xlfn.XLOOKUP($A596, TCS!A:A, TCS!B:B, "")</f>
        <v>3288</v>
      </c>
      <c r="G596" s="4">
        <f>_xlfn.XLOOKUP($A596, Infosys!A:A, Infosys!B:B,"")</f>
        <v>1432.93</v>
      </c>
      <c r="H596" s="4">
        <f>_xlfn.XLOOKUP($A596, 'L &amp; T'!A:A, 'L &amp; T'!B:B, "")</f>
        <v>1626.3</v>
      </c>
    </row>
    <row r="597" spans="1:8" x14ac:dyDescent="0.3">
      <c r="A597" s="1">
        <v>44706</v>
      </c>
      <c r="B597" s="4">
        <f>_xlfn.XLOOKUP($A597, 'Nifty 50'!A:A, 'Nifty 50'!B:B, "")</f>
        <v>16025.8</v>
      </c>
      <c r="C597" s="4">
        <f>_xlfn.XLOOKUP($A597, Reliance!A:A, Reliance!B:B, "")</f>
        <v>1185.6600000000001</v>
      </c>
      <c r="D597" s="4">
        <f>_xlfn.XLOOKUP($A597, HDFC!A:A, HDFC!B:B, "")</f>
        <v>662.75</v>
      </c>
      <c r="E597" s="4">
        <f>_xlfn.XLOOKUP($A597, ITC!A:A, ITC!B:B, "")</f>
        <v>271.02999999999997</v>
      </c>
      <c r="F597" s="4">
        <f>_xlfn.XLOOKUP($A597, TCS!A:A, TCS!B:B, "")</f>
        <v>3167.65</v>
      </c>
      <c r="G597" s="4">
        <f>_xlfn.XLOOKUP($A597, Infosys!A:A, Infosys!B:B,"")</f>
        <v>1402.55</v>
      </c>
      <c r="H597" s="4">
        <f>_xlfn.XLOOKUP($A597, 'L &amp; T'!A:A, 'L &amp; T'!B:B, "")</f>
        <v>1574.75</v>
      </c>
    </row>
    <row r="598" spans="1:8" x14ac:dyDescent="0.3">
      <c r="A598" s="1">
        <v>44707</v>
      </c>
      <c r="B598" s="4">
        <f>_xlfn.XLOOKUP($A598, 'Nifty 50'!A:A, 'Nifty 50'!B:B, "")</f>
        <v>16170.15</v>
      </c>
      <c r="C598" s="4">
        <f>_xlfn.XLOOKUP($A598, Reliance!A:A, Reliance!B:B, "")</f>
        <v>1174.3599999999999</v>
      </c>
      <c r="D598" s="4">
        <f>_xlfn.XLOOKUP($A598, HDFC!A:A, HDFC!B:B, "")</f>
        <v>681.65</v>
      </c>
      <c r="E598" s="4">
        <f>_xlfn.XLOOKUP($A598, ITC!A:A, ITC!B:B, "")</f>
        <v>265.07</v>
      </c>
      <c r="F598" s="4">
        <f>_xlfn.XLOOKUP($A598, TCS!A:A, TCS!B:B, "")</f>
        <v>3226.95</v>
      </c>
      <c r="G598" s="4">
        <f>_xlfn.XLOOKUP($A598, Infosys!A:A, Infosys!B:B,"")</f>
        <v>1415.97</v>
      </c>
      <c r="H598" s="4">
        <f>_xlfn.XLOOKUP($A598, 'L &amp; T'!A:A, 'L &amp; T'!B:B, "")</f>
        <v>1564.55</v>
      </c>
    </row>
    <row r="599" spans="1:8" x14ac:dyDescent="0.3">
      <c r="A599" s="1">
        <v>44708</v>
      </c>
      <c r="B599" s="4">
        <f>_xlfn.XLOOKUP($A599, 'Nifty 50'!A:A, 'Nifty 50'!B:B, "")</f>
        <v>16352.45</v>
      </c>
      <c r="C599" s="4">
        <f>_xlfn.XLOOKUP($A599, Reliance!A:A, Reliance!B:B, "")</f>
        <v>1168.9100000000001</v>
      </c>
      <c r="D599" s="4">
        <f>_xlfn.XLOOKUP($A599, HDFC!A:A, HDFC!B:B, "")</f>
        <v>694.3</v>
      </c>
      <c r="E599" s="4">
        <f>_xlfn.XLOOKUP($A599, ITC!A:A, ITC!B:B, "")</f>
        <v>267.55</v>
      </c>
      <c r="F599" s="4">
        <f>_xlfn.XLOOKUP($A599, TCS!A:A, TCS!B:B, "")</f>
        <v>3261.3</v>
      </c>
      <c r="G599" s="4">
        <f>_xlfn.XLOOKUP($A599, Infosys!A:A, Infosys!B:B,"")</f>
        <v>1453.16</v>
      </c>
      <c r="H599" s="4">
        <f>_xlfn.XLOOKUP($A599, 'L &amp; T'!A:A, 'L &amp; T'!B:B, "")</f>
        <v>1596.7</v>
      </c>
    </row>
    <row r="600" spans="1:8" x14ac:dyDescent="0.3">
      <c r="A600" s="1">
        <v>44711</v>
      </c>
      <c r="B600" s="4">
        <f>_xlfn.XLOOKUP($A600, 'Nifty 50'!A:A, 'Nifty 50'!B:B, "")</f>
        <v>16661.400000000001</v>
      </c>
      <c r="C600" s="4">
        <f>_xlfn.XLOOKUP($A600, Reliance!A:A, Reliance!B:B, "")</f>
        <v>1209.6300000000001</v>
      </c>
      <c r="D600" s="4">
        <f>_xlfn.XLOOKUP($A600, HDFC!A:A, HDFC!B:B, "")</f>
        <v>699.04</v>
      </c>
      <c r="E600" s="4">
        <f>_xlfn.XLOOKUP($A600, ITC!A:A, ITC!B:B, "")</f>
        <v>267.39999999999998</v>
      </c>
      <c r="F600" s="4">
        <f>_xlfn.XLOOKUP($A600, TCS!A:A, TCS!B:B, "")</f>
        <v>3375.25</v>
      </c>
      <c r="G600" s="4">
        <f>_xlfn.XLOOKUP($A600, Infosys!A:A, Infosys!B:B,"")</f>
        <v>1518.24</v>
      </c>
      <c r="H600" s="4">
        <f>_xlfn.XLOOKUP($A600, 'L &amp; T'!A:A, 'L &amp; T'!B:B, "")</f>
        <v>1657.11</v>
      </c>
    </row>
    <row r="601" spans="1:8" x14ac:dyDescent="0.3">
      <c r="A601" s="1">
        <v>44712</v>
      </c>
      <c r="B601" s="4">
        <f>_xlfn.XLOOKUP($A601, 'Nifty 50'!A:A, 'Nifty 50'!B:B, "")</f>
        <v>16584.55</v>
      </c>
      <c r="C601" s="4">
        <f>_xlfn.XLOOKUP($A601, Reliance!A:A, Reliance!B:B, "")</f>
        <v>1195.04</v>
      </c>
      <c r="D601" s="4">
        <f>_xlfn.XLOOKUP($A601, HDFC!A:A, HDFC!B:B, "")</f>
        <v>692.75</v>
      </c>
      <c r="E601" s="4">
        <f>_xlfn.XLOOKUP($A601, ITC!A:A, ITC!B:B, "")</f>
        <v>268.99</v>
      </c>
      <c r="F601" s="4">
        <f>_xlfn.XLOOKUP($A601, TCS!A:A, TCS!B:B, "")</f>
        <v>3364.35</v>
      </c>
      <c r="G601" s="4">
        <f>_xlfn.XLOOKUP($A601, Infosys!A:A, Infosys!B:B,"")</f>
        <v>1495.17</v>
      </c>
      <c r="H601" s="4">
        <f>_xlfn.XLOOKUP($A601, 'L &amp; T'!A:A, 'L &amp; T'!B:B, "")</f>
        <v>1650.78</v>
      </c>
    </row>
    <row r="602" spans="1:8" x14ac:dyDescent="0.3">
      <c r="A602" s="1">
        <v>44713</v>
      </c>
      <c r="B602" s="4">
        <f>_xlfn.XLOOKUP($A602, 'Nifty 50'!A:A, 'Nifty 50'!B:B, "")</f>
        <v>16522.75</v>
      </c>
      <c r="C602" s="4">
        <f>_xlfn.XLOOKUP($A602, Reliance!A:A, Reliance!B:B, "")</f>
        <v>1195.42</v>
      </c>
      <c r="D602" s="4">
        <f>_xlfn.XLOOKUP($A602, HDFC!A:A, HDFC!B:B, "")</f>
        <v>695.69</v>
      </c>
      <c r="E602" s="4">
        <f>_xlfn.XLOOKUP($A602, ITC!A:A, ITC!B:B, "")</f>
        <v>270.18</v>
      </c>
      <c r="F602" s="4">
        <f>_xlfn.XLOOKUP($A602, TCS!A:A, TCS!B:B, "")</f>
        <v>3355.2</v>
      </c>
      <c r="G602" s="4">
        <f>_xlfn.XLOOKUP($A602, Infosys!A:A, Infosys!B:B,"")</f>
        <v>1470.26</v>
      </c>
      <c r="H602" s="4">
        <f>_xlfn.XLOOKUP($A602, 'L &amp; T'!A:A, 'L &amp; T'!B:B, "")</f>
        <v>1644.29</v>
      </c>
    </row>
    <row r="603" spans="1:8" x14ac:dyDescent="0.3">
      <c r="A603" s="1">
        <v>44714</v>
      </c>
      <c r="B603" s="4">
        <f>_xlfn.XLOOKUP($A603, 'Nifty 50'!A:A, 'Nifty 50'!B:B, "")</f>
        <v>16628</v>
      </c>
      <c r="C603" s="4">
        <f>_xlfn.XLOOKUP($A603, Reliance!A:A, Reliance!B:B, "")</f>
        <v>1236.6400000000001</v>
      </c>
      <c r="D603" s="4">
        <f>_xlfn.XLOOKUP($A603, HDFC!A:A, HDFC!B:B, "")</f>
        <v>690.83</v>
      </c>
      <c r="E603" s="4">
        <f>_xlfn.XLOOKUP($A603, ITC!A:A, ITC!B:B, "")</f>
        <v>271.83</v>
      </c>
      <c r="F603" s="4">
        <f>_xlfn.XLOOKUP($A603, TCS!A:A, TCS!B:B, "")</f>
        <v>3423</v>
      </c>
      <c r="G603" s="4">
        <f>_xlfn.XLOOKUP($A603, Infosys!A:A, Infosys!B:B,"")</f>
        <v>1499.55</v>
      </c>
      <c r="H603" s="4">
        <f>_xlfn.XLOOKUP($A603, 'L &amp; T'!A:A, 'L &amp; T'!B:B, "")</f>
        <v>1633.47</v>
      </c>
    </row>
    <row r="604" spans="1:8" x14ac:dyDescent="0.3">
      <c r="A604" s="1">
        <v>44715</v>
      </c>
      <c r="B604" s="4">
        <f>_xlfn.XLOOKUP($A604, 'Nifty 50'!A:A, 'Nifty 50'!B:B, "")</f>
        <v>16584.3</v>
      </c>
      <c r="C604" s="4">
        <f>_xlfn.XLOOKUP($A604, Reliance!A:A, Reliance!B:B, "")</f>
        <v>1261.7</v>
      </c>
      <c r="D604" s="4">
        <f>_xlfn.XLOOKUP($A604, HDFC!A:A, HDFC!B:B, "")</f>
        <v>688.44</v>
      </c>
      <c r="E604" s="4">
        <f>_xlfn.XLOOKUP($A604, ITC!A:A, ITC!B:B, "")</f>
        <v>271.02999999999997</v>
      </c>
      <c r="F604" s="4">
        <f>_xlfn.XLOOKUP($A604, TCS!A:A, TCS!B:B, "")</f>
        <v>3440.15</v>
      </c>
      <c r="G604" s="4">
        <f>_xlfn.XLOOKUP($A604, Infosys!A:A, Infosys!B:B,"")</f>
        <v>1513.17</v>
      </c>
      <c r="H604" s="4">
        <f>_xlfn.XLOOKUP($A604, 'L &amp; T'!A:A, 'L &amp; T'!B:B, "")</f>
        <v>1648.33</v>
      </c>
    </row>
    <row r="605" spans="1:8" x14ac:dyDescent="0.3">
      <c r="A605" s="1">
        <v>44718</v>
      </c>
      <c r="B605" s="4">
        <f>_xlfn.XLOOKUP($A605, 'Nifty 50'!A:A, 'Nifty 50'!B:B, "")</f>
        <v>16569.55</v>
      </c>
      <c r="C605" s="4">
        <f>_xlfn.XLOOKUP($A605, Reliance!A:A, Reliance!B:B, "")</f>
        <v>1256.27</v>
      </c>
      <c r="D605" s="4">
        <f>_xlfn.XLOOKUP($A605, HDFC!A:A, HDFC!B:B, "")</f>
        <v>687.51</v>
      </c>
      <c r="E605" s="4">
        <f>_xlfn.XLOOKUP($A605, ITC!A:A, ITC!B:B, "")</f>
        <v>273.12</v>
      </c>
      <c r="F605" s="4">
        <f>_xlfn.XLOOKUP($A605, TCS!A:A, TCS!B:B, "")</f>
        <v>3430.95</v>
      </c>
      <c r="G605" s="4">
        <f>_xlfn.XLOOKUP($A605, Infosys!A:A, Infosys!B:B,"")</f>
        <v>1521.48</v>
      </c>
      <c r="H605" s="4">
        <f>_xlfn.XLOOKUP($A605, 'L &amp; T'!A:A, 'L &amp; T'!B:B, "")</f>
        <v>1636.51</v>
      </c>
    </row>
    <row r="606" spans="1:8" x14ac:dyDescent="0.3">
      <c r="A606" s="1">
        <v>44719</v>
      </c>
      <c r="B606" s="4">
        <f>_xlfn.XLOOKUP($A606, 'Nifty 50'!A:A, 'Nifty 50'!B:B, "")</f>
        <v>16416.349999999999</v>
      </c>
      <c r="C606" s="4">
        <f>_xlfn.XLOOKUP($A606, Reliance!A:A, Reliance!B:B, "")</f>
        <v>1258.6300000000001</v>
      </c>
      <c r="D606" s="4">
        <f>_xlfn.XLOOKUP($A606, HDFC!A:A, HDFC!B:B, "")</f>
        <v>679.61</v>
      </c>
      <c r="E606" s="4">
        <f>_xlfn.XLOOKUP($A606, ITC!A:A, ITC!B:B, "")</f>
        <v>272.22000000000003</v>
      </c>
      <c r="F606" s="4">
        <f>_xlfn.XLOOKUP($A606, TCS!A:A, TCS!B:B, "")</f>
        <v>3362.7</v>
      </c>
      <c r="G606" s="4">
        <f>_xlfn.XLOOKUP($A606, Infosys!A:A, Infosys!B:B,"")</f>
        <v>1498.26</v>
      </c>
      <c r="H606" s="4">
        <f>_xlfn.XLOOKUP($A606, 'L &amp; T'!A:A, 'L &amp; T'!B:B, "")</f>
        <v>1585.87</v>
      </c>
    </row>
    <row r="607" spans="1:8" x14ac:dyDescent="0.3">
      <c r="A607" s="1">
        <v>44720</v>
      </c>
      <c r="B607" s="4">
        <f>_xlfn.XLOOKUP($A607, 'Nifty 50'!A:A, 'Nifty 50'!B:B, "")</f>
        <v>16356.25</v>
      </c>
      <c r="C607" s="4">
        <f>_xlfn.XLOOKUP($A607, Reliance!A:A, Reliance!B:B, "")</f>
        <v>1236.53</v>
      </c>
      <c r="D607" s="4">
        <f>_xlfn.XLOOKUP($A607, HDFC!A:A, HDFC!B:B, "")</f>
        <v>682</v>
      </c>
      <c r="E607" s="4">
        <f>_xlfn.XLOOKUP($A607, ITC!A:A, ITC!B:B, "")</f>
        <v>266.26</v>
      </c>
      <c r="F607" s="4">
        <f>_xlfn.XLOOKUP($A607, TCS!A:A, TCS!B:B, "")</f>
        <v>3404.15</v>
      </c>
      <c r="G607" s="4">
        <f>_xlfn.XLOOKUP($A607, Infosys!A:A, Infosys!B:B,"")</f>
        <v>1491.59</v>
      </c>
      <c r="H607" s="4">
        <f>_xlfn.XLOOKUP($A607, 'L &amp; T'!A:A, 'L &amp; T'!B:B, "")</f>
        <v>1580.98</v>
      </c>
    </row>
    <row r="608" spans="1:8" x14ac:dyDescent="0.3">
      <c r="A608" s="1">
        <v>44721</v>
      </c>
      <c r="B608" s="4">
        <f>_xlfn.XLOOKUP($A608, 'Nifty 50'!A:A, 'Nifty 50'!B:B, "")</f>
        <v>16478.099999999999</v>
      </c>
      <c r="C608" s="4">
        <f>_xlfn.XLOOKUP($A608, Reliance!A:A, Reliance!B:B, "")</f>
        <v>1270.44</v>
      </c>
      <c r="D608" s="4">
        <f>_xlfn.XLOOKUP($A608, HDFC!A:A, HDFC!B:B, "")</f>
        <v>687.14</v>
      </c>
      <c r="E608" s="4">
        <f>_xlfn.XLOOKUP($A608, ITC!A:A, ITC!B:B, "")</f>
        <v>269.19</v>
      </c>
      <c r="F608" s="4">
        <f>_xlfn.XLOOKUP($A608, TCS!A:A, TCS!B:B, "")</f>
        <v>3427.1</v>
      </c>
      <c r="G608" s="4">
        <f>_xlfn.XLOOKUP($A608, Infosys!A:A, Infosys!B:B,"")</f>
        <v>1506.51</v>
      </c>
      <c r="H608" s="4">
        <f>_xlfn.XLOOKUP($A608, 'L &amp; T'!A:A, 'L &amp; T'!B:B, "")</f>
        <v>1591.51</v>
      </c>
    </row>
    <row r="609" spans="1:8" x14ac:dyDescent="0.3">
      <c r="A609" s="1">
        <v>44722</v>
      </c>
      <c r="B609" s="4">
        <f>_xlfn.XLOOKUP($A609, 'Nifty 50'!A:A, 'Nifty 50'!B:B, "")</f>
        <v>16201.8</v>
      </c>
      <c r="C609" s="4">
        <f>_xlfn.XLOOKUP($A609, Reliance!A:A, Reliance!B:B, "")</f>
        <v>1232.08</v>
      </c>
      <c r="D609" s="4">
        <f>_xlfn.XLOOKUP($A609, HDFC!A:A, HDFC!B:B, "")</f>
        <v>673.87</v>
      </c>
      <c r="E609" s="4">
        <f>_xlfn.XLOOKUP($A609, ITC!A:A, ITC!B:B, "")</f>
        <v>268.5</v>
      </c>
      <c r="F609" s="4">
        <f>_xlfn.XLOOKUP($A609, TCS!A:A, TCS!B:B, "")</f>
        <v>3359.9</v>
      </c>
      <c r="G609" s="4">
        <f>_xlfn.XLOOKUP($A609, Infosys!A:A, Infosys!B:B,"")</f>
        <v>1468.52</v>
      </c>
      <c r="H609" s="4">
        <f>_xlfn.XLOOKUP($A609, 'L &amp; T'!A:A, 'L &amp; T'!B:B, "")</f>
        <v>1581.53</v>
      </c>
    </row>
    <row r="610" spans="1:8" x14ac:dyDescent="0.3">
      <c r="A610" s="1">
        <v>44725</v>
      </c>
      <c r="B610" s="4">
        <f>_xlfn.XLOOKUP($A610, 'Nifty 50'!A:A, 'Nifty 50'!B:B, "")</f>
        <v>15774.4</v>
      </c>
      <c r="C610" s="4">
        <f>_xlfn.XLOOKUP($A610, Reliance!A:A, Reliance!B:B, "")</f>
        <v>1208.77</v>
      </c>
      <c r="D610" s="4">
        <f>_xlfn.XLOOKUP($A610, HDFC!A:A, HDFC!B:B, "")</f>
        <v>661.65</v>
      </c>
      <c r="E610" s="4">
        <f>_xlfn.XLOOKUP($A610, ITC!A:A, ITC!B:B, "")</f>
        <v>263.02999999999997</v>
      </c>
      <c r="F610" s="4">
        <f>_xlfn.XLOOKUP($A610, TCS!A:A, TCS!B:B, "")</f>
        <v>3219.6</v>
      </c>
      <c r="G610" s="4">
        <f>_xlfn.XLOOKUP($A610, Infosys!A:A, Infosys!B:B,"")</f>
        <v>1416.52</v>
      </c>
      <c r="H610" s="4">
        <f>_xlfn.XLOOKUP($A610, 'L &amp; T'!A:A, 'L &amp; T'!B:B, "")</f>
        <v>1528.6</v>
      </c>
    </row>
    <row r="611" spans="1:8" x14ac:dyDescent="0.3">
      <c r="A611" s="1">
        <v>44726</v>
      </c>
      <c r="B611" s="4">
        <f>_xlfn.XLOOKUP($A611, 'Nifty 50'!A:A, 'Nifty 50'!B:B, "")</f>
        <v>15732.1</v>
      </c>
      <c r="C611" s="4">
        <f>_xlfn.XLOOKUP($A611, Reliance!A:A, Reliance!B:B, "")</f>
        <v>1192.97</v>
      </c>
      <c r="D611" s="4">
        <f>_xlfn.XLOOKUP($A611, HDFC!A:A, HDFC!B:B, "")</f>
        <v>654.37</v>
      </c>
      <c r="E611" s="4">
        <f>_xlfn.XLOOKUP($A611, ITC!A:A, ITC!B:B, "")</f>
        <v>263.83</v>
      </c>
      <c r="F611" s="4">
        <f>_xlfn.XLOOKUP($A611, TCS!A:A, TCS!B:B, "")</f>
        <v>3210.55</v>
      </c>
      <c r="G611" s="4">
        <f>_xlfn.XLOOKUP($A611, Infosys!A:A, Infosys!B:B,"")</f>
        <v>1432.48</v>
      </c>
      <c r="H611" s="4">
        <f>_xlfn.XLOOKUP($A611, 'L &amp; T'!A:A, 'L &amp; T'!B:B, "")</f>
        <v>1541.18</v>
      </c>
    </row>
    <row r="612" spans="1:8" x14ac:dyDescent="0.3">
      <c r="A612" s="1">
        <v>44727</v>
      </c>
      <c r="B612" s="4">
        <f>_xlfn.XLOOKUP($A612, 'Nifty 50'!A:A, 'Nifty 50'!B:B, "")</f>
        <v>15692.15</v>
      </c>
      <c r="C612" s="4">
        <f>_xlfn.XLOOKUP($A612, Reliance!A:A, Reliance!B:B, "")</f>
        <v>1178.54</v>
      </c>
      <c r="D612" s="4">
        <f>_xlfn.XLOOKUP($A612, HDFC!A:A, HDFC!B:B, "")</f>
        <v>652.1</v>
      </c>
      <c r="E612" s="4">
        <f>_xlfn.XLOOKUP($A612, ITC!A:A, ITC!B:B, "")</f>
        <v>261.79000000000002</v>
      </c>
      <c r="F612" s="4">
        <f>_xlfn.XLOOKUP($A612, TCS!A:A, TCS!B:B, "")</f>
        <v>3206.3</v>
      </c>
      <c r="G612" s="4">
        <f>_xlfn.XLOOKUP($A612, Infosys!A:A, Infosys!B:B,"")</f>
        <v>1414.23</v>
      </c>
      <c r="H612" s="4">
        <f>_xlfn.XLOOKUP($A612, 'L &amp; T'!A:A, 'L &amp; T'!B:B, "")</f>
        <v>1556.84</v>
      </c>
    </row>
    <row r="613" spans="1:8" x14ac:dyDescent="0.3">
      <c r="A613" s="1">
        <v>44728</v>
      </c>
      <c r="B613" s="4">
        <f>_xlfn.XLOOKUP($A613, 'Nifty 50'!A:A, 'Nifty 50'!B:B, "")</f>
        <v>15360.6</v>
      </c>
      <c r="C613" s="4">
        <f>_xlfn.XLOOKUP($A613, Reliance!A:A, Reliance!B:B, "")</f>
        <v>1162.06</v>
      </c>
      <c r="D613" s="4">
        <f>_xlfn.XLOOKUP($A613, HDFC!A:A, HDFC!B:B, "")</f>
        <v>639.05999999999995</v>
      </c>
      <c r="E613" s="4">
        <f>_xlfn.XLOOKUP($A613, ITC!A:A, ITC!B:B, "")</f>
        <v>259.10000000000002</v>
      </c>
      <c r="F613" s="4">
        <f>_xlfn.XLOOKUP($A613, TCS!A:A, TCS!B:B, "")</f>
        <v>3142</v>
      </c>
      <c r="G613" s="4">
        <f>_xlfn.XLOOKUP($A613, Infosys!A:A, Infosys!B:B,"")</f>
        <v>1389.37</v>
      </c>
      <c r="H613" s="4">
        <f>_xlfn.XLOOKUP($A613, 'L &amp; T'!A:A, 'L &amp; T'!B:B, "")</f>
        <v>1523.96</v>
      </c>
    </row>
    <row r="614" spans="1:8" x14ac:dyDescent="0.3">
      <c r="A614" s="1">
        <v>44729</v>
      </c>
      <c r="B614" s="4">
        <f>_xlfn.XLOOKUP($A614, 'Nifty 50'!A:A, 'Nifty 50'!B:B, "")</f>
        <v>15293.5</v>
      </c>
      <c r="C614" s="4">
        <f>_xlfn.XLOOKUP($A614, Reliance!A:A, Reliance!B:B, "")</f>
        <v>1175.68</v>
      </c>
      <c r="D614" s="4">
        <f>_xlfn.XLOOKUP($A614, HDFC!A:A, HDFC!B:B, "")</f>
        <v>643.27</v>
      </c>
      <c r="E614" s="4">
        <f>_xlfn.XLOOKUP($A614, ITC!A:A, ITC!B:B, "")</f>
        <v>261.69</v>
      </c>
      <c r="F614" s="4">
        <f>_xlfn.XLOOKUP($A614, TCS!A:A, TCS!B:B, "")</f>
        <v>3088.9</v>
      </c>
      <c r="G614" s="4">
        <f>_xlfn.XLOOKUP($A614, Infosys!A:A, Infosys!B:B,"")</f>
        <v>1379.53</v>
      </c>
      <c r="H614" s="4">
        <f>_xlfn.XLOOKUP($A614, 'L &amp; T'!A:A, 'L &amp; T'!B:B, "")</f>
        <v>1486.6</v>
      </c>
    </row>
    <row r="615" spans="1:8" x14ac:dyDescent="0.3">
      <c r="A615" s="1">
        <v>44732</v>
      </c>
      <c r="B615" s="4">
        <f>_xlfn.XLOOKUP($A615, 'Nifty 50'!A:A, 'Nifty 50'!B:B, "")</f>
        <v>15350.15</v>
      </c>
      <c r="C615" s="4">
        <f>_xlfn.XLOOKUP($A615, Reliance!A:A, Reliance!B:B, "")</f>
        <v>1154.3699999999999</v>
      </c>
      <c r="D615" s="4">
        <f>_xlfn.XLOOKUP($A615, HDFC!A:A, HDFC!B:B, "")</f>
        <v>659.43</v>
      </c>
      <c r="E615" s="4">
        <f>_xlfn.XLOOKUP($A615, ITC!A:A, ITC!B:B, "")</f>
        <v>262.48</v>
      </c>
      <c r="F615" s="4">
        <f>_xlfn.XLOOKUP($A615, TCS!A:A, TCS!B:B, "")</f>
        <v>3112.4</v>
      </c>
      <c r="G615" s="4">
        <f>_xlfn.XLOOKUP($A615, Infosys!A:A, Infosys!B:B,"")</f>
        <v>1406.22</v>
      </c>
      <c r="H615" s="4">
        <f>_xlfn.XLOOKUP($A615, 'L &amp; T'!A:A, 'L &amp; T'!B:B, "")</f>
        <v>1468.49</v>
      </c>
    </row>
    <row r="616" spans="1:8" x14ac:dyDescent="0.3">
      <c r="A616" s="1">
        <v>44733</v>
      </c>
      <c r="B616" s="4">
        <f>_xlfn.XLOOKUP($A616, 'Nifty 50'!A:A, 'Nifty 50'!B:B, "")</f>
        <v>15638.8</v>
      </c>
      <c r="C616" s="4">
        <f>_xlfn.XLOOKUP($A616, Reliance!A:A, Reliance!B:B, "")</f>
        <v>1173</v>
      </c>
      <c r="D616" s="4">
        <f>_xlfn.XLOOKUP($A616, HDFC!A:A, HDFC!B:B, "")</f>
        <v>666.62</v>
      </c>
      <c r="E616" s="4">
        <f>_xlfn.XLOOKUP($A616, ITC!A:A, ITC!B:B, "")</f>
        <v>268.25</v>
      </c>
      <c r="F616" s="4">
        <f>_xlfn.XLOOKUP($A616, TCS!A:A, TCS!B:B, "")</f>
        <v>3133.66</v>
      </c>
      <c r="G616" s="4">
        <f>_xlfn.XLOOKUP($A616, Infosys!A:A, Infosys!B:B,"")</f>
        <v>1441.78</v>
      </c>
      <c r="H616" s="4">
        <f>_xlfn.XLOOKUP($A616, 'L &amp; T'!A:A, 'L &amp; T'!B:B, "")</f>
        <v>1496.92</v>
      </c>
    </row>
    <row r="617" spans="1:8" x14ac:dyDescent="0.3">
      <c r="A617" s="1">
        <v>44734</v>
      </c>
      <c r="B617" s="4">
        <f>_xlfn.XLOOKUP($A617, 'Nifty 50'!A:A, 'Nifty 50'!B:B, "")</f>
        <v>15413.3</v>
      </c>
      <c r="C617" s="4">
        <f>_xlfn.XLOOKUP($A617, Reliance!A:A, Reliance!B:B, "")</f>
        <v>1137.3699999999999</v>
      </c>
      <c r="D617" s="4">
        <f>_xlfn.XLOOKUP($A617, HDFC!A:A, HDFC!B:B, "")</f>
        <v>663.47</v>
      </c>
      <c r="E617" s="4">
        <f>_xlfn.XLOOKUP($A617, ITC!A:A, ITC!B:B, "")</f>
        <v>263.68</v>
      </c>
      <c r="F617" s="4">
        <f>_xlfn.XLOOKUP($A617, TCS!A:A, TCS!B:B, "")</f>
        <v>3144.39</v>
      </c>
      <c r="G617" s="4">
        <f>_xlfn.XLOOKUP($A617, Infosys!A:A, Infosys!B:B,"")</f>
        <v>1429.2</v>
      </c>
      <c r="H617" s="4">
        <f>_xlfn.XLOOKUP($A617, 'L &amp; T'!A:A, 'L &amp; T'!B:B, "")</f>
        <v>1475.42</v>
      </c>
    </row>
    <row r="618" spans="1:8" x14ac:dyDescent="0.3">
      <c r="A618" s="1">
        <v>44735</v>
      </c>
      <c r="B618" s="4">
        <f>_xlfn.XLOOKUP($A618, 'Nifty 50'!A:A, 'Nifty 50'!B:B, "")</f>
        <v>15556.65</v>
      </c>
      <c r="C618" s="4">
        <f>_xlfn.XLOOKUP($A618, Reliance!A:A, Reliance!B:B, "")</f>
        <v>1118.9100000000001</v>
      </c>
      <c r="D618" s="4">
        <f>_xlfn.XLOOKUP($A618, HDFC!A:A, HDFC!B:B, "")</f>
        <v>665.92</v>
      </c>
      <c r="E618" s="4">
        <f>_xlfn.XLOOKUP($A618, ITC!A:A, ITC!B:B, "")</f>
        <v>263.87</v>
      </c>
      <c r="F618" s="4">
        <f>_xlfn.XLOOKUP($A618, TCS!A:A, TCS!B:B, "")</f>
        <v>3228.15</v>
      </c>
      <c r="G618" s="4">
        <f>_xlfn.XLOOKUP($A618, Infosys!A:A, Infosys!B:B,"")</f>
        <v>1444.31</v>
      </c>
      <c r="H618" s="4">
        <f>_xlfn.XLOOKUP($A618, 'L &amp; T'!A:A, 'L &amp; T'!B:B, "")</f>
        <v>1490.94</v>
      </c>
    </row>
    <row r="619" spans="1:8" x14ac:dyDescent="0.3">
      <c r="A619" s="1">
        <v>44736</v>
      </c>
      <c r="B619" s="4">
        <f>_xlfn.XLOOKUP($A619, 'Nifty 50'!A:A, 'Nifty 50'!B:B, "")</f>
        <v>15699.25</v>
      </c>
      <c r="C619" s="4">
        <f>_xlfn.XLOOKUP($A619, Reliance!A:A, Reliance!B:B, "")</f>
        <v>1134.8499999999999</v>
      </c>
      <c r="D619" s="4">
        <f>_xlfn.XLOOKUP($A619, HDFC!A:A, HDFC!B:B, "")</f>
        <v>675.22</v>
      </c>
      <c r="E619" s="4">
        <f>_xlfn.XLOOKUP($A619, ITC!A:A, ITC!B:B, "")</f>
        <v>264.22000000000003</v>
      </c>
      <c r="F619" s="4">
        <f>_xlfn.XLOOKUP($A619, TCS!A:A, TCS!B:B, "")</f>
        <v>3212.83</v>
      </c>
      <c r="G619" s="4">
        <f>_xlfn.XLOOKUP($A619, Infosys!A:A, Infosys!B:B,"")</f>
        <v>1433.02</v>
      </c>
      <c r="H619" s="4">
        <f>_xlfn.XLOOKUP($A619, 'L &amp; T'!A:A, 'L &amp; T'!B:B, "")</f>
        <v>1491.49</v>
      </c>
    </row>
    <row r="620" spans="1:8" x14ac:dyDescent="0.3">
      <c r="A620" s="1">
        <v>44739</v>
      </c>
      <c r="B620" s="4">
        <f>_xlfn.XLOOKUP($A620, 'Nifty 50'!A:A, 'Nifty 50'!B:B, "")</f>
        <v>15832.05</v>
      </c>
      <c r="C620" s="4">
        <f>_xlfn.XLOOKUP($A620, Reliance!A:A, Reliance!B:B, "")</f>
        <v>1131.49</v>
      </c>
      <c r="D620" s="4">
        <f>_xlfn.XLOOKUP($A620, HDFC!A:A, HDFC!B:B, "")</f>
        <v>676.44</v>
      </c>
      <c r="E620" s="4">
        <f>_xlfn.XLOOKUP($A620, ITC!A:A, ITC!B:B, "")</f>
        <v>268.3</v>
      </c>
      <c r="F620" s="4">
        <f>_xlfn.XLOOKUP($A620, TCS!A:A, TCS!B:B, "")</f>
        <v>3233.91</v>
      </c>
      <c r="G620" s="4">
        <f>_xlfn.XLOOKUP($A620, Infosys!A:A, Infosys!B:B,"")</f>
        <v>1466.34</v>
      </c>
      <c r="H620" s="4">
        <f>_xlfn.XLOOKUP($A620, 'L &amp; T'!A:A, 'L &amp; T'!B:B, "")</f>
        <v>1532.34</v>
      </c>
    </row>
    <row r="621" spans="1:8" x14ac:dyDescent="0.3">
      <c r="A621" s="1">
        <v>44740</v>
      </c>
      <c r="B621" s="4">
        <f>_xlfn.XLOOKUP($A621, 'Nifty 50'!A:A, 'Nifty 50'!B:B, "")</f>
        <v>15850.2</v>
      </c>
      <c r="C621" s="4">
        <f>_xlfn.XLOOKUP($A621, Reliance!A:A, Reliance!B:B, "")</f>
        <v>1147.4000000000001</v>
      </c>
      <c r="D621" s="4">
        <f>_xlfn.XLOOKUP($A621, HDFC!A:A, HDFC!B:B, "")</f>
        <v>671.28</v>
      </c>
      <c r="E621" s="4">
        <f>_xlfn.XLOOKUP($A621, ITC!A:A, ITC!B:B, "")</f>
        <v>270.18</v>
      </c>
      <c r="F621" s="4">
        <f>_xlfn.XLOOKUP($A621, TCS!A:A, TCS!B:B, "")</f>
        <v>3237.27</v>
      </c>
      <c r="G621" s="4">
        <f>_xlfn.XLOOKUP($A621, Infosys!A:A, Infosys!B:B,"")</f>
        <v>1471.85</v>
      </c>
      <c r="H621" s="4">
        <f>_xlfn.XLOOKUP($A621, 'L &amp; T'!A:A, 'L &amp; T'!B:B, "")</f>
        <v>1548.01</v>
      </c>
    </row>
    <row r="622" spans="1:8" x14ac:dyDescent="0.3">
      <c r="A622" s="1">
        <v>44741</v>
      </c>
      <c r="B622" s="4">
        <f>_xlfn.XLOOKUP($A622, 'Nifty 50'!A:A, 'Nifty 50'!B:B, "")</f>
        <v>15799.1</v>
      </c>
      <c r="C622" s="4">
        <f>_xlfn.XLOOKUP($A622, Reliance!A:A, Reliance!B:B, "")</f>
        <v>1171.21</v>
      </c>
      <c r="D622" s="4">
        <f>_xlfn.XLOOKUP($A622, HDFC!A:A, HDFC!B:B, "")</f>
        <v>670.31</v>
      </c>
      <c r="E622" s="4">
        <f>_xlfn.XLOOKUP($A622, ITC!A:A, ITC!B:B, "")</f>
        <v>272.37</v>
      </c>
      <c r="F622" s="4">
        <f>_xlfn.XLOOKUP($A622, TCS!A:A, TCS!B:B, "")</f>
        <v>3210.3</v>
      </c>
      <c r="G622" s="4">
        <f>_xlfn.XLOOKUP($A622, Infosys!A:A, Infosys!B:B,"")</f>
        <v>1455.05</v>
      </c>
      <c r="H622" s="4">
        <f>_xlfn.XLOOKUP($A622, 'L &amp; T'!A:A, 'L &amp; T'!B:B, "")</f>
        <v>1544.42</v>
      </c>
    </row>
    <row r="623" spans="1:8" x14ac:dyDescent="0.3">
      <c r="A623" s="1">
        <v>44742</v>
      </c>
      <c r="B623" s="4">
        <f>_xlfn.XLOOKUP($A623, 'Nifty 50'!A:A, 'Nifty 50'!B:B, "")</f>
        <v>15780.25</v>
      </c>
      <c r="C623" s="4">
        <f>_xlfn.XLOOKUP($A623, Reliance!A:A, Reliance!B:B, "")</f>
        <v>1178.24</v>
      </c>
      <c r="D623" s="4">
        <f>_xlfn.XLOOKUP($A623, HDFC!A:A, HDFC!B:B, "")</f>
        <v>672.33</v>
      </c>
      <c r="E623" s="4">
        <f>_xlfn.XLOOKUP($A623, ITC!A:A, ITC!B:B, "")</f>
        <v>271.83</v>
      </c>
      <c r="F623" s="4">
        <f>_xlfn.XLOOKUP($A623, TCS!A:A, TCS!B:B, "")</f>
        <v>3187.47</v>
      </c>
      <c r="G623" s="4">
        <f>_xlfn.XLOOKUP($A623, Infosys!A:A, Infosys!B:B,"")</f>
        <v>1453.71</v>
      </c>
      <c r="H623" s="4">
        <f>_xlfn.XLOOKUP($A623, 'L &amp; T'!A:A, 'L &amp; T'!B:B, "")</f>
        <v>1554.74</v>
      </c>
    </row>
    <row r="624" spans="1:8" x14ac:dyDescent="0.3">
      <c r="A624" s="1">
        <v>44743</v>
      </c>
      <c r="B624" s="4">
        <f>_xlfn.XLOOKUP($A624, 'Nifty 50'!A:A, 'Nifty 50'!B:B, "")</f>
        <v>15752.05</v>
      </c>
      <c r="C624" s="4">
        <f>_xlfn.XLOOKUP($A624, Reliance!A:A, Reliance!B:B, "")</f>
        <v>1093.3800000000001</v>
      </c>
      <c r="D624" s="4">
        <f>_xlfn.XLOOKUP($A624, HDFC!A:A, HDFC!B:B, "")</f>
        <v>675.2</v>
      </c>
      <c r="E624" s="4">
        <f>_xlfn.XLOOKUP($A624, ITC!A:A, ITC!B:B, "")</f>
        <v>282.61</v>
      </c>
      <c r="F624" s="4">
        <f>_xlfn.XLOOKUP($A624, TCS!A:A, TCS!B:B, "")</f>
        <v>3234.3</v>
      </c>
      <c r="G624" s="4">
        <f>_xlfn.XLOOKUP($A624, Infosys!A:A, Infosys!B:B,"")</f>
        <v>1471.11</v>
      </c>
      <c r="H624" s="4">
        <f>_xlfn.XLOOKUP($A624, 'L &amp; T'!A:A, 'L &amp; T'!B:B, "")</f>
        <v>1568.61</v>
      </c>
    </row>
    <row r="625" spans="1:8" x14ac:dyDescent="0.3">
      <c r="A625" s="1">
        <v>44746</v>
      </c>
      <c r="B625" s="4">
        <f>_xlfn.XLOOKUP($A625, 'Nifty 50'!A:A, 'Nifty 50'!B:B, "")</f>
        <v>15835.35</v>
      </c>
      <c r="C625" s="4">
        <f>_xlfn.XLOOKUP($A625, Reliance!A:A, Reliance!B:B, "")</f>
        <v>1095.6500000000001</v>
      </c>
      <c r="D625" s="4">
        <f>_xlfn.XLOOKUP($A625, HDFC!A:A, HDFC!B:B, "")</f>
        <v>676.14</v>
      </c>
      <c r="E625" s="4">
        <f>_xlfn.XLOOKUP($A625, ITC!A:A, ITC!B:B, "")</f>
        <v>290.11</v>
      </c>
      <c r="F625" s="4">
        <f>_xlfn.XLOOKUP($A625, TCS!A:A, TCS!B:B, "")</f>
        <v>3156.2</v>
      </c>
      <c r="G625" s="4">
        <f>_xlfn.XLOOKUP($A625, Infosys!A:A, Infosys!B:B,"")</f>
        <v>1479.66</v>
      </c>
      <c r="H625" s="4">
        <f>_xlfn.XLOOKUP($A625, 'L &amp; T'!A:A, 'L &amp; T'!B:B, "")</f>
        <v>1578.14</v>
      </c>
    </row>
    <row r="626" spans="1:8" x14ac:dyDescent="0.3">
      <c r="A626" s="1">
        <v>44747</v>
      </c>
      <c r="B626" s="4">
        <f>_xlfn.XLOOKUP($A626, 'Nifty 50'!A:A, 'Nifty 50'!B:B, "")</f>
        <v>15810.85</v>
      </c>
      <c r="C626" s="4">
        <f>_xlfn.XLOOKUP($A626, Reliance!A:A, Reliance!B:B, "")</f>
        <v>1104.52</v>
      </c>
      <c r="D626" s="4">
        <f>_xlfn.XLOOKUP($A626, HDFC!A:A, HDFC!B:B, "")</f>
        <v>674.62</v>
      </c>
      <c r="E626" s="4">
        <f>_xlfn.XLOOKUP($A626, ITC!A:A, ITC!B:B, "")</f>
        <v>285.14</v>
      </c>
      <c r="F626" s="4">
        <f>_xlfn.XLOOKUP($A626, TCS!A:A, TCS!B:B, "")</f>
        <v>3137.91</v>
      </c>
      <c r="G626" s="4">
        <f>_xlfn.XLOOKUP($A626, Infosys!A:A, Infosys!B:B,"")</f>
        <v>1467.68</v>
      </c>
      <c r="H626" s="4">
        <f>_xlfn.XLOOKUP($A626, 'L &amp; T'!A:A, 'L &amp; T'!B:B, "")</f>
        <v>1561.38</v>
      </c>
    </row>
    <row r="627" spans="1:8" x14ac:dyDescent="0.3">
      <c r="A627" s="1">
        <v>44748</v>
      </c>
      <c r="B627" s="4">
        <f>_xlfn.XLOOKUP($A627, 'Nifty 50'!A:A, 'Nifty 50'!B:B, "")</f>
        <v>15989.8</v>
      </c>
      <c r="C627" s="4">
        <f>_xlfn.XLOOKUP($A627, Reliance!A:A, Reliance!B:B, "")</f>
        <v>1094.81</v>
      </c>
      <c r="D627" s="4">
        <f>_xlfn.XLOOKUP($A627, HDFC!A:A, HDFC!B:B, "")</f>
        <v>683.92</v>
      </c>
      <c r="E627" s="4">
        <f>_xlfn.XLOOKUP($A627, ITC!A:A, ITC!B:B, "")</f>
        <v>287.52999999999997</v>
      </c>
      <c r="F627" s="4">
        <f>_xlfn.XLOOKUP($A627, TCS!A:A, TCS!B:B, "")</f>
        <v>3181.27</v>
      </c>
      <c r="G627" s="4">
        <f>_xlfn.XLOOKUP($A627, Infosys!A:A, Infosys!B:B,"")</f>
        <v>1483.29</v>
      </c>
      <c r="H627" s="4">
        <f>_xlfn.XLOOKUP($A627, 'L &amp; T'!A:A, 'L &amp; T'!B:B, "")</f>
        <v>1552.65</v>
      </c>
    </row>
    <row r="628" spans="1:8" x14ac:dyDescent="0.3">
      <c r="A628" s="1">
        <v>44749</v>
      </c>
      <c r="B628" s="4">
        <f>_xlfn.XLOOKUP($A628, 'Nifty 50'!A:A, 'Nifty 50'!B:B, "")</f>
        <v>16132.9</v>
      </c>
      <c r="C628" s="4">
        <f>_xlfn.XLOOKUP($A628, Reliance!A:A, Reliance!B:B, "")</f>
        <v>1084.03</v>
      </c>
      <c r="D628" s="4">
        <f>_xlfn.XLOOKUP($A628, HDFC!A:A, HDFC!B:B, "")</f>
        <v>696.17</v>
      </c>
      <c r="E628" s="4">
        <f>_xlfn.XLOOKUP($A628, ITC!A:A, ITC!B:B, "")</f>
        <v>290.16000000000003</v>
      </c>
      <c r="F628" s="4">
        <f>_xlfn.XLOOKUP($A628, TCS!A:A, TCS!B:B, "")</f>
        <v>3207.71</v>
      </c>
      <c r="G628" s="4">
        <f>_xlfn.XLOOKUP($A628, Infosys!A:A, Infosys!B:B,"")</f>
        <v>1490.3</v>
      </c>
      <c r="H628" s="4">
        <f>_xlfn.XLOOKUP($A628, 'L &amp; T'!A:A, 'L &amp; T'!B:B, "")</f>
        <v>1607.47</v>
      </c>
    </row>
    <row r="629" spans="1:8" x14ac:dyDescent="0.3">
      <c r="A629" s="1">
        <v>44750</v>
      </c>
      <c r="B629" s="4">
        <f>_xlfn.XLOOKUP($A629, 'Nifty 50'!A:A, 'Nifty 50'!B:B, "")</f>
        <v>16220.6</v>
      </c>
      <c r="C629" s="4">
        <f>_xlfn.XLOOKUP($A629, Reliance!A:A, Reliance!B:B, "")</f>
        <v>1085.53</v>
      </c>
      <c r="D629" s="4">
        <f>_xlfn.XLOOKUP($A629, HDFC!A:A, HDFC!B:B, "")</f>
        <v>696.82</v>
      </c>
      <c r="E629" s="4">
        <f>_xlfn.XLOOKUP($A629, ITC!A:A, ITC!B:B, "")</f>
        <v>291.26</v>
      </c>
      <c r="F629" s="4">
        <f>_xlfn.XLOOKUP($A629, TCS!A:A, TCS!B:B, "")</f>
        <v>3185.86</v>
      </c>
      <c r="G629" s="4">
        <f>_xlfn.XLOOKUP($A629, Infosys!A:A, Infosys!B:B,"")</f>
        <v>1505.96</v>
      </c>
      <c r="H629" s="4">
        <f>_xlfn.XLOOKUP($A629, 'L &amp; T'!A:A, 'L &amp; T'!B:B, "")</f>
        <v>1683.65</v>
      </c>
    </row>
    <row r="630" spans="1:8" x14ac:dyDescent="0.3">
      <c r="A630" s="1">
        <v>44753</v>
      </c>
      <c r="B630" s="4">
        <f>_xlfn.XLOOKUP($A630, 'Nifty 50'!A:A, 'Nifty 50'!B:B, "")</f>
        <v>16216</v>
      </c>
      <c r="C630" s="4">
        <f>_xlfn.XLOOKUP($A630, Reliance!A:A, Reliance!B:B, "")</f>
        <v>1100.28</v>
      </c>
      <c r="D630" s="4">
        <f>_xlfn.XLOOKUP($A630, HDFC!A:A, HDFC!B:B, "")</f>
        <v>701.33</v>
      </c>
      <c r="E630" s="4">
        <f>_xlfn.XLOOKUP($A630, ITC!A:A, ITC!B:B, "")</f>
        <v>293.19</v>
      </c>
      <c r="F630" s="4">
        <f>_xlfn.XLOOKUP($A630, TCS!A:A, TCS!B:B, "")</f>
        <v>3037.9</v>
      </c>
      <c r="G630" s="4">
        <f>_xlfn.XLOOKUP($A630, Infosys!A:A, Infosys!B:B,"")</f>
        <v>1464.89</v>
      </c>
      <c r="H630" s="4">
        <f>_xlfn.XLOOKUP($A630, 'L &amp; T'!A:A, 'L &amp; T'!B:B, "")</f>
        <v>1659.26</v>
      </c>
    </row>
    <row r="631" spans="1:8" x14ac:dyDescent="0.3">
      <c r="A631" s="1">
        <v>44754</v>
      </c>
      <c r="B631" s="4">
        <f>_xlfn.XLOOKUP($A631, 'Nifty 50'!A:A, 'Nifty 50'!B:B, "")</f>
        <v>16058.3</v>
      </c>
      <c r="C631" s="4">
        <f>_xlfn.XLOOKUP($A631, Reliance!A:A, Reliance!B:B, "")</f>
        <v>1098.71</v>
      </c>
      <c r="D631" s="4">
        <f>_xlfn.XLOOKUP($A631, HDFC!A:A, HDFC!B:B, "")</f>
        <v>694.17</v>
      </c>
      <c r="E631" s="4">
        <f>_xlfn.XLOOKUP($A631, ITC!A:A, ITC!B:B, "")</f>
        <v>290.91000000000003</v>
      </c>
      <c r="F631" s="4">
        <f>_xlfn.XLOOKUP($A631, TCS!A:A, TCS!B:B, "")</f>
        <v>3009.51</v>
      </c>
      <c r="G631" s="4">
        <f>_xlfn.XLOOKUP($A631, Infosys!A:A, Infosys!B:B,"")</f>
        <v>1430.54</v>
      </c>
      <c r="H631" s="4">
        <f>_xlfn.XLOOKUP($A631, 'L &amp; T'!A:A, 'L &amp; T'!B:B, "")</f>
        <v>1650.03</v>
      </c>
    </row>
    <row r="632" spans="1:8" x14ac:dyDescent="0.3">
      <c r="A632" s="1">
        <v>44755</v>
      </c>
      <c r="B632" s="4">
        <f>_xlfn.XLOOKUP($A632, 'Nifty 50'!A:A, 'Nifty 50'!B:B, "")</f>
        <v>15966.65</v>
      </c>
      <c r="C632" s="4">
        <f>_xlfn.XLOOKUP($A632, Reliance!A:A, Reliance!B:B, "")</f>
        <v>1079.24</v>
      </c>
      <c r="D632" s="4">
        <f>_xlfn.XLOOKUP($A632, HDFC!A:A, HDFC!B:B, "")</f>
        <v>677.24</v>
      </c>
      <c r="E632" s="4">
        <f>_xlfn.XLOOKUP($A632, ITC!A:A, ITC!B:B, "")</f>
        <v>292.25</v>
      </c>
      <c r="F632" s="4">
        <f>_xlfn.XLOOKUP($A632, TCS!A:A, TCS!B:B, "")</f>
        <v>2964.68</v>
      </c>
      <c r="G632" s="4">
        <f>_xlfn.XLOOKUP($A632, Infosys!A:A, Infosys!B:B,"")</f>
        <v>1436.35</v>
      </c>
      <c r="H632" s="4">
        <f>_xlfn.XLOOKUP($A632, 'L &amp; T'!A:A, 'L &amp; T'!B:B, "")</f>
        <v>1643.54</v>
      </c>
    </row>
    <row r="633" spans="1:8" x14ac:dyDescent="0.3">
      <c r="A633" s="1">
        <v>44756</v>
      </c>
      <c r="B633" s="4">
        <f>_xlfn.XLOOKUP($A633, 'Nifty 50'!A:A, 'Nifty 50'!B:B, "")</f>
        <v>15938.65</v>
      </c>
      <c r="C633" s="4">
        <f>_xlfn.XLOOKUP($A633, Reliance!A:A, Reliance!B:B, "")</f>
        <v>1088.1400000000001</v>
      </c>
      <c r="D633" s="4">
        <f>_xlfn.XLOOKUP($A633, HDFC!A:A, HDFC!B:B, "")</f>
        <v>673.85</v>
      </c>
      <c r="E633" s="4">
        <f>_xlfn.XLOOKUP($A633, ITC!A:A, ITC!B:B, "")</f>
        <v>289.07</v>
      </c>
      <c r="F633" s="4">
        <f>_xlfn.XLOOKUP($A633, TCS!A:A, TCS!B:B, "")</f>
        <v>2925.66</v>
      </c>
      <c r="G633" s="4">
        <f>_xlfn.XLOOKUP($A633, Infosys!A:A, Infosys!B:B,"")</f>
        <v>1420.84</v>
      </c>
      <c r="H633" s="4">
        <f>_xlfn.XLOOKUP($A633, 'L &amp; T'!A:A, 'L &amp; T'!B:B, "")</f>
        <v>1642.45</v>
      </c>
    </row>
    <row r="634" spans="1:8" x14ac:dyDescent="0.3">
      <c r="A634" s="1">
        <v>44757</v>
      </c>
      <c r="B634" s="4">
        <f>_xlfn.XLOOKUP($A634, 'Nifty 50'!A:A, 'Nifty 50'!B:B, "")</f>
        <v>16049.2</v>
      </c>
      <c r="C634" s="4">
        <f>_xlfn.XLOOKUP($A634, Reliance!A:A, Reliance!B:B, "")</f>
        <v>1090.25</v>
      </c>
      <c r="D634" s="4">
        <f>_xlfn.XLOOKUP($A634, HDFC!A:A, HDFC!B:B, "")</f>
        <v>679.33</v>
      </c>
      <c r="E634" s="4">
        <f>_xlfn.XLOOKUP($A634, ITC!A:A, ITC!B:B, "")</f>
        <v>291.75</v>
      </c>
      <c r="F634" s="4">
        <f>_xlfn.XLOOKUP($A634, TCS!A:A, TCS!B:B, "")</f>
        <v>2921.61</v>
      </c>
      <c r="G634" s="4">
        <f>_xlfn.XLOOKUP($A634, Infosys!A:A, Infosys!B:B,"")</f>
        <v>1422.33</v>
      </c>
      <c r="H634" s="4">
        <f>_xlfn.XLOOKUP($A634, 'L &amp; T'!A:A, 'L &amp; T'!B:B, "")</f>
        <v>1681.06</v>
      </c>
    </row>
    <row r="635" spans="1:8" x14ac:dyDescent="0.3">
      <c r="A635" s="1">
        <v>44760</v>
      </c>
      <c r="B635" s="4">
        <f>_xlfn.XLOOKUP($A635, 'Nifty 50'!A:A, 'Nifty 50'!B:B, "")</f>
        <v>16278.5</v>
      </c>
      <c r="C635" s="4">
        <f>_xlfn.XLOOKUP($A635, Reliance!A:A, Reliance!B:B, "")</f>
        <v>1099.53</v>
      </c>
      <c r="D635" s="4">
        <f>_xlfn.XLOOKUP($A635, HDFC!A:A, HDFC!B:B, "")</f>
        <v>672.1</v>
      </c>
      <c r="E635" s="4">
        <f>_xlfn.XLOOKUP($A635, ITC!A:A, ITC!B:B, "")</f>
        <v>293.49</v>
      </c>
      <c r="F635" s="4">
        <f>_xlfn.XLOOKUP($A635, TCS!A:A, TCS!B:B, "")</f>
        <v>2988.83</v>
      </c>
      <c r="G635" s="4">
        <f>_xlfn.XLOOKUP($A635, Infosys!A:A, Infosys!B:B,"")</f>
        <v>1481.55</v>
      </c>
      <c r="H635" s="4">
        <f>_xlfn.XLOOKUP($A635, 'L &amp; T'!A:A, 'L &amp; T'!B:B, "")</f>
        <v>1723.76</v>
      </c>
    </row>
    <row r="636" spans="1:8" x14ac:dyDescent="0.3">
      <c r="A636" s="1">
        <v>44761</v>
      </c>
      <c r="B636" s="4">
        <f>_xlfn.XLOOKUP($A636, 'Nifty 50'!A:A, 'Nifty 50'!B:B, "")</f>
        <v>16340.55</v>
      </c>
      <c r="C636" s="4">
        <f>_xlfn.XLOOKUP($A636, Reliance!A:A, Reliance!B:B, "")</f>
        <v>1106.27</v>
      </c>
      <c r="D636" s="4">
        <f>_xlfn.XLOOKUP($A636, HDFC!A:A, HDFC!B:B, "")</f>
        <v>672.35</v>
      </c>
      <c r="E636" s="4">
        <f>_xlfn.XLOOKUP($A636, ITC!A:A, ITC!B:B, "")</f>
        <v>292.8</v>
      </c>
      <c r="F636" s="4">
        <f>_xlfn.XLOOKUP($A636, TCS!A:A, TCS!B:B, "")</f>
        <v>2999.32</v>
      </c>
      <c r="G636" s="4">
        <f>_xlfn.XLOOKUP($A636, Infosys!A:A, Infosys!B:B,"")</f>
        <v>1475.83</v>
      </c>
      <c r="H636" s="4">
        <f>_xlfn.XLOOKUP($A636, 'L &amp; T'!A:A, 'L &amp; T'!B:B, "")</f>
        <v>1725.91</v>
      </c>
    </row>
    <row r="637" spans="1:8" x14ac:dyDescent="0.3">
      <c r="A637" s="1">
        <v>44762</v>
      </c>
      <c r="B637" s="4">
        <f>_xlfn.XLOOKUP($A637, 'Nifty 50'!A:A, 'Nifty 50'!B:B, "")</f>
        <v>16520.849999999999</v>
      </c>
      <c r="C637" s="4">
        <f>_xlfn.XLOOKUP($A637, Reliance!A:A, Reliance!B:B, "")</f>
        <v>1136.19</v>
      </c>
      <c r="D637" s="4">
        <f>_xlfn.XLOOKUP($A637, HDFC!A:A, HDFC!B:B, "")</f>
        <v>680.83</v>
      </c>
      <c r="E637" s="4">
        <f>_xlfn.XLOOKUP($A637, ITC!A:A, ITC!B:B, "")</f>
        <v>296.37</v>
      </c>
      <c r="F637" s="4">
        <f>_xlfn.XLOOKUP($A637, TCS!A:A, TCS!B:B, "")</f>
        <v>3087.66</v>
      </c>
      <c r="G637" s="4">
        <f>_xlfn.XLOOKUP($A637, Infosys!A:A, Infosys!B:B,"")</f>
        <v>1506.81</v>
      </c>
      <c r="H637" s="4">
        <f>_xlfn.XLOOKUP($A637, 'L &amp; T'!A:A, 'L &amp; T'!B:B, "")</f>
        <v>1736.04</v>
      </c>
    </row>
    <row r="638" spans="1:8" x14ac:dyDescent="0.3">
      <c r="A638" s="1">
        <v>44763</v>
      </c>
      <c r="B638" s="4">
        <f>_xlfn.XLOOKUP($A638, 'Nifty 50'!A:A, 'Nifty 50'!B:B, "")</f>
        <v>16605.25</v>
      </c>
      <c r="C638" s="4">
        <f>_xlfn.XLOOKUP($A638, Reliance!A:A, Reliance!B:B, "")</f>
        <v>1128.5999999999999</v>
      </c>
      <c r="D638" s="4">
        <f>_xlfn.XLOOKUP($A638, HDFC!A:A, HDFC!B:B, "")</f>
        <v>678.69</v>
      </c>
      <c r="E638" s="4">
        <f>_xlfn.XLOOKUP($A638, ITC!A:A, ITC!B:B, "")</f>
        <v>297.72000000000003</v>
      </c>
      <c r="F638" s="4">
        <f>_xlfn.XLOOKUP($A638, TCS!A:A, TCS!B:B, "")</f>
        <v>3099.85</v>
      </c>
      <c r="G638" s="4">
        <f>_xlfn.XLOOKUP($A638, Infosys!A:A, Infosys!B:B,"")</f>
        <v>1524.31</v>
      </c>
      <c r="H638" s="4">
        <f>_xlfn.XLOOKUP($A638, 'L &amp; T'!A:A, 'L &amp; T'!B:B, "")</f>
        <v>1761.18</v>
      </c>
    </row>
    <row r="639" spans="1:8" x14ac:dyDescent="0.3">
      <c r="A639" s="1">
        <v>44764</v>
      </c>
      <c r="B639" s="4">
        <f>_xlfn.XLOOKUP($A639, 'Nifty 50'!A:A, 'Nifty 50'!B:B, "")</f>
        <v>16719.45</v>
      </c>
      <c r="C639" s="4">
        <f>_xlfn.XLOOKUP($A639, Reliance!A:A, Reliance!B:B, "")</f>
        <v>1136.23</v>
      </c>
      <c r="D639" s="4">
        <f>_xlfn.XLOOKUP($A639, HDFC!A:A, HDFC!B:B, "")</f>
        <v>694.52</v>
      </c>
      <c r="E639" s="4">
        <f>_xlfn.XLOOKUP($A639, ITC!A:A, ITC!B:B, "")</f>
        <v>298.70999999999998</v>
      </c>
      <c r="F639" s="4">
        <f>_xlfn.XLOOKUP($A639, TCS!A:A, TCS!B:B, "")</f>
        <v>3093.71</v>
      </c>
      <c r="G639" s="4">
        <f>_xlfn.XLOOKUP($A639, Infosys!A:A, Infosys!B:B,"")</f>
        <v>1497.86</v>
      </c>
      <c r="H639" s="4">
        <f>_xlfn.XLOOKUP($A639, 'L &amp; T'!A:A, 'L &amp; T'!B:B, "")</f>
        <v>1763.77</v>
      </c>
    </row>
    <row r="640" spans="1:8" x14ac:dyDescent="0.3">
      <c r="A640" s="1">
        <v>44767</v>
      </c>
      <c r="B640" s="4">
        <f>_xlfn.XLOOKUP($A640, 'Nifty 50'!A:A, 'Nifty 50'!B:B, "")</f>
        <v>16631</v>
      </c>
      <c r="C640" s="4">
        <f>_xlfn.XLOOKUP($A640, Reliance!A:A, Reliance!B:B, "")</f>
        <v>1098.69</v>
      </c>
      <c r="D640" s="4">
        <f>_xlfn.XLOOKUP($A640, HDFC!A:A, HDFC!B:B, "")</f>
        <v>696.57</v>
      </c>
      <c r="E640" s="4">
        <f>_xlfn.XLOOKUP($A640, ITC!A:A, ITC!B:B, "")</f>
        <v>299.26</v>
      </c>
      <c r="F640" s="4">
        <f>_xlfn.XLOOKUP($A640, TCS!A:A, TCS!B:B, "")</f>
        <v>3089.56</v>
      </c>
      <c r="G640" s="4">
        <f>_xlfn.XLOOKUP($A640, Infosys!A:A, Infosys!B:B,"")</f>
        <v>1495.17</v>
      </c>
      <c r="H640" s="4">
        <f>_xlfn.XLOOKUP($A640, 'L &amp; T'!A:A, 'L &amp; T'!B:B, "")</f>
        <v>1778.44</v>
      </c>
    </row>
    <row r="641" spans="1:8" x14ac:dyDescent="0.3">
      <c r="A641" s="1">
        <v>44768</v>
      </c>
      <c r="B641" s="4">
        <f>_xlfn.XLOOKUP($A641, 'Nifty 50'!A:A, 'Nifty 50'!B:B, "")</f>
        <v>16483.849999999999</v>
      </c>
      <c r="C641" s="4">
        <f>_xlfn.XLOOKUP($A641, Reliance!A:A, Reliance!B:B, "")</f>
        <v>1099.19</v>
      </c>
      <c r="D641" s="4">
        <f>_xlfn.XLOOKUP($A641, HDFC!A:A, HDFC!B:B, "")</f>
        <v>695.15</v>
      </c>
      <c r="E641" s="4">
        <f>_xlfn.XLOOKUP($A641, ITC!A:A, ITC!B:B, "")</f>
        <v>300.60000000000002</v>
      </c>
      <c r="F641" s="4">
        <f>_xlfn.XLOOKUP($A641, TCS!A:A, TCS!B:B, "")</f>
        <v>3039.95</v>
      </c>
      <c r="G641" s="4">
        <f>_xlfn.XLOOKUP($A641, Infosys!A:A, Infosys!B:B,"")</f>
        <v>1443.02</v>
      </c>
      <c r="H641" s="4">
        <f>_xlfn.XLOOKUP($A641, 'L &amp; T'!A:A, 'L &amp; T'!B:B, "")</f>
        <v>1747.31</v>
      </c>
    </row>
    <row r="642" spans="1:8" x14ac:dyDescent="0.3">
      <c r="A642" s="1">
        <v>44769</v>
      </c>
      <c r="B642" s="4">
        <f>_xlfn.XLOOKUP($A642, 'Nifty 50'!A:A, 'Nifty 50'!B:B, "")</f>
        <v>16641.8</v>
      </c>
      <c r="C642" s="4">
        <f>_xlfn.XLOOKUP($A642, Reliance!A:A, Reliance!B:B, "")</f>
        <v>1098.1500000000001</v>
      </c>
      <c r="D642" s="4">
        <f>_xlfn.XLOOKUP($A642, HDFC!A:A, HDFC!B:B, "")</f>
        <v>700.46</v>
      </c>
      <c r="E642" s="4">
        <f>_xlfn.XLOOKUP($A642, ITC!A:A, ITC!B:B, "")</f>
        <v>302.29000000000002</v>
      </c>
      <c r="F642" s="4">
        <f>_xlfn.XLOOKUP($A642, TCS!A:A, TCS!B:B, "")</f>
        <v>3111.12</v>
      </c>
      <c r="G642" s="4">
        <f>_xlfn.XLOOKUP($A642, Infosys!A:A, Infosys!B:B,"")</f>
        <v>1462.81</v>
      </c>
      <c r="H642" s="4">
        <f>_xlfn.XLOOKUP($A642, 'L &amp; T'!A:A, 'L &amp; T'!B:B, "")</f>
        <v>1792.61</v>
      </c>
    </row>
    <row r="643" spans="1:8" x14ac:dyDescent="0.3">
      <c r="A643" s="1">
        <v>44770</v>
      </c>
      <c r="B643" s="4">
        <f>_xlfn.XLOOKUP($A643, 'Nifty 50'!A:A, 'Nifty 50'!B:B, "")</f>
        <v>16929.599999999999</v>
      </c>
      <c r="C643" s="4">
        <f>_xlfn.XLOOKUP($A643, Reliance!A:A, Reliance!B:B, "")</f>
        <v>1115.3499999999999</v>
      </c>
      <c r="D643" s="4">
        <f>_xlfn.XLOOKUP($A643, HDFC!A:A, HDFC!B:B, "")</f>
        <v>706.67</v>
      </c>
      <c r="E643" s="4">
        <f>_xlfn.XLOOKUP($A643, ITC!A:A, ITC!B:B, "")</f>
        <v>301.58999999999997</v>
      </c>
      <c r="F643" s="4">
        <f>_xlfn.XLOOKUP($A643, TCS!A:A, TCS!B:B, "")</f>
        <v>3181.03</v>
      </c>
      <c r="G643" s="4">
        <f>_xlfn.XLOOKUP($A643, Infosys!A:A, Infosys!B:B,"")</f>
        <v>1508.9</v>
      </c>
      <c r="H643" s="4">
        <f>_xlfn.XLOOKUP($A643, 'L &amp; T'!A:A, 'L &amp; T'!B:B, "")</f>
        <v>1797.2</v>
      </c>
    </row>
    <row r="644" spans="1:8" x14ac:dyDescent="0.3">
      <c r="A644" s="1">
        <v>44771</v>
      </c>
      <c r="B644" s="4">
        <f>_xlfn.XLOOKUP($A644, 'Nifty 50'!A:A, 'Nifty 50'!B:B, "")</f>
        <v>17158.25</v>
      </c>
      <c r="C644" s="4">
        <f>_xlfn.XLOOKUP($A644, Reliance!A:A, Reliance!B:B, "")</f>
        <v>1139.1099999999999</v>
      </c>
      <c r="D644" s="4">
        <f>_xlfn.XLOOKUP($A644, HDFC!A:A, HDFC!B:B, "")</f>
        <v>715.32</v>
      </c>
      <c r="E644" s="4">
        <f>_xlfn.XLOOKUP($A644, ITC!A:A, ITC!B:B, "")</f>
        <v>301.19</v>
      </c>
      <c r="F644" s="4">
        <f>_xlfn.XLOOKUP($A644, TCS!A:A, TCS!B:B, "")</f>
        <v>3221.42</v>
      </c>
      <c r="G644" s="4">
        <f>_xlfn.XLOOKUP($A644, Infosys!A:A, Infosys!B:B,"")</f>
        <v>1541.02</v>
      </c>
      <c r="H644" s="4">
        <f>_xlfn.XLOOKUP($A644, 'L &amp; T'!A:A, 'L &amp; T'!B:B, "")</f>
        <v>1803.98</v>
      </c>
    </row>
    <row r="645" spans="1:8" x14ac:dyDescent="0.3">
      <c r="A645" s="1">
        <v>44774</v>
      </c>
      <c r="B645" s="4">
        <f>_xlfn.XLOOKUP($A645, 'Nifty 50'!A:A, 'Nifty 50'!B:B, "")</f>
        <v>17340.05</v>
      </c>
      <c r="C645" s="4">
        <f>_xlfn.XLOOKUP($A645, Reliance!A:A, Reliance!B:B, "")</f>
        <v>1168.8</v>
      </c>
      <c r="D645" s="4">
        <f>_xlfn.XLOOKUP($A645, HDFC!A:A, HDFC!B:B, "")</f>
        <v>721.28</v>
      </c>
      <c r="E645" s="4">
        <f>_xlfn.XLOOKUP($A645, ITC!A:A, ITC!B:B, "")</f>
        <v>305.62</v>
      </c>
      <c r="F645" s="4">
        <f>_xlfn.XLOOKUP($A645, TCS!A:A, TCS!B:B, "")</f>
        <v>3218.39</v>
      </c>
      <c r="G645" s="4">
        <f>_xlfn.XLOOKUP($A645, Infosys!A:A, Infosys!B:B,"")</f>
        <v>1542.36</v>
      </c>
      <c r="H645" s="4">
        <f>_xlfn.XLOOKUP($A645, 'L &amp; T'!A:A, 'L &amp; T'!B:B, "")</f>
        <v>1810.62</v>
      </c>
    </row>
    <row r="646" spans="1:8" x14ac:dyDescent="0.3">
      <c r="A646" s="1">
        <v>44775</v>
      </c>
      <c r="B646" s="4">
        <f>_xlfn.XLOOKUP($A646, 'Nifty 50'!A:A, 'Nifty 50'!B:B, "")</f>
        <v>17345.45</v>
      </c>
      <c r="C646" s="4">
        <f>_xlfn.XLOOKUP($A646, Reliance!A:A, Reliance!B:B, "")</f>
        <v>1173.25</v>
      </c>
      <c r="D646" s="4">
        <f>_xlfn.XLOOKUP($A646, HDFC!A:A, HDFC!B:B, "")</f>
        <v>713.35</v>
      </c>
      <c r="E646" s="4">
        <f>_xlfn.XLOOKUP($A646, ITC!A:A, ITC!B:B, "")</f>
        <v>308.05</v>
      </c>
      <c r="F646" s="4">
        <f>_xlfn.XLOOKUP($A646, TCS!A:A, TCS!B:B, "")</f>
        <v>3211.56</v>
      </c>
      <c r="G646" s="4">
        <f>_xlfn.XLOOKUP($A646, Infosys!A:A, Infosys!B:B,"")</f>
        <v>1534.95</v>
      </c>
      <c r="H646" s="4">
        <f>_xlfn.XLOOKUP($A646, 'L &amp; T'!A:A, 'L &amp; T'!B:B, "")</f>
        <v>1789.02</v>
      </c>
    </row>
    <row r="647" spans="1:8" x14ac:dyDescent="0.3">
      <c r="A647" s="1">
        <v>44776</v>
      </c>
      <c r="B647" s="4">
        <f>_xlfn.XLOOKUP($A647, 'Nifty 50'!A:A, 'Nifty 50'!B:B, "")</f>
        <v>17388.150000000001</v>
      </c>
      <c r="C647" s="4">
        <f>_xlfn.XLOOKUP($A647, Reliance!A:A, Reliance!B:B, "")</f>
        <v>1183.0999999999999</v>
      </c>
      <c r="D647" s="4">
        <f>_xlfn.XLOOKUP($A647, HDFC!A:A, HDFC!B:B, "")</f>
        <v>715.02</v>
      </c>
      <c r="E647" s="4">
        <f>_xlfn.XLOOKUP($A647, ITC!A:A, ITC!B:B, "")</f>
        <v>306.26</v>
      </c>
      <c r="F647" s="4">
        <f>_xlfn.XLOOKUP($A647, TCS!A:A, TCS!B:B, "")</f>
        <v>3258.1</v>
      </c>
      <c r="G647" s="4">
        <f>_xlfn.XLOOKUP($A647, Infosys!A:A, Infosys!B:B,"")</f>
        <v>1557.32</v>
      </c>
      <c r="H647" s="4">
        <f>_xlfn.XLOOKUP($A647, 'L &amp; T'!A:A, 'L &amp; T'!B:B, "")</f>
        <v>1785.77</v>
      </c>
    </row>
    <row r="648" spans="1:8" x14ac:dyDescent="0.3">
      <c r="A648" s="1">
        <v>44777</v>
      </c>
      <c r="B648" s="4">
        <f>_xlfn.XLOOKUP($A648, 'Nifty 50'!A:A, 'Nifty 50'!B:B, "")</f>
        <v>17382</v>
      </c>
      <c r="C648" s="4">
        <f>_xlfn.XLOOKUP($A648, Reliance!A:A, Reliance!B:B, "")</f>
        <v>1167.46</v>
      </c>
      <c r="D648" s="4">
        <f>_xlfn.XLOOKUP($A648, HDFC!A:A, HDFC!B:B, "")</f>
        <v>714.17</v>
      </c>
      <c r="E648" s="4">
        <f>_xlfn.XLOOKUP($A648, ITC!A:A, ITC!B:B, "")</f>
        <v>307.61</v>
      </c>
      <c r="F648" s="4">
        <f>_xlfn.XLOOKUP($A648, TCS!A:A, TCS!B:B, "")</f>
        <v>3273.18</v>
      </c>
      <c r="G648" s="4">
        <f>_xlfn.XLOOKUP($A648, Infosys!A:A, Infosys!B:B,"")</f>
        <v>1590.93</v>
      </c>
      <c r="H648" s="4">
        <f>_xlfn.XLOOKUP($A648, 'L &amp; T'!A:A, 'L &amp; T'!B:B, "")</f>
        <v>1776.09</v>
      </c>
    </row>
    <row r="649" spans="1:8" x14ac:dyDescent="0.3">
      <c r="A649" s="1">
        <v>44778</v>
      </c>
      <c r="B649" s="4">
        <f>_xlfn.XLOOKUP($A649, 'Nifty 50'!A:A, 'Nifty 50'!B:B, "")</f>
        <v>17397.5</v>
      </c>
      <c r="C649" s="4">
        <f>_xlfn.XLOOKUP($A649, Reliance!A:A, Reliance!B:B, "")</f>
        <v>1150.26</v>
      </c>
      <c r="D649" s="4">
        <f>_xlfn.XLOOKUP($A649, HDFC!A:A, HDFC!B:B, "")</f>
        <v>711.75</v>
      </c>
      <c r="E649" s="4">
        <f>_xlfn.XLOOKUP($A649, ITC!A:A, ITC!B:B, "")</f>
        <v>308.95</v>
      </c>
      <c r="F649" s="4">
        <f>_xlfn.XLOOKUP($A649, TCS!A:A, TCS!B:B, "")</f>
        <v>3283.03</v>
      </c>
      <c r="G649" s="4">
        <f>_xlfn.XLOOKUP($A649, Infosys!A:A, Infosys!B:B,"")</f>
        <v>1607.59</v>
      </c>
      <c r="H649" s="4">
        <f>_xlfn.XLOOKUP($A649, 'L &amp; T'!A:A, 'L &amp; T'!B:B, "")</f>
        <v>1783.43</v>
      </c>
    </row>
    <row r="650" spans="1:8" x14ac:dyDescent="0.3">
      <c r="A650" s="1">
        <v>44781</v>
      </c>
      <c r="B650" s="4">
        <f>_xlfn.XLOOKUP($A650, 'Nifty 50'!A:A, 'Nifty 50'!B:B, "")</f>
        <v>17525.099999999999</v>
      </c>
      <c r="C650" s="4">
        <f>_xlfn.XLOOKUP($A650, Reliance!A:A, Reliance!B:B, "")</f>
        <v>1165.31</v>
      </c>
      <c r="D650" s="4">
        <f>_xlfn.XLOOKUP($A650, HDFC!A:A, HDFC!B:B, "")</f>
        <v>729.21</v>
      </c>
      <c r="E650" s="4">
        <f>_xlfn.XLOOKUP($A650, ITC!A:A, ITC!B:B, "")</f>
        <v>311.23</v>
      </c>
      <c r="F650" s="4">
        <f>_xlfn.XLOOKUP($A650, TCS!A:A, TCS!B:B, "")</f>
        <v>3292.2</v>
      </c>
      <c r="G650" s="4">
        <f>_xlfn.XLOOKUP($A650, Infosys!A:A, Infosys!B:B,"")</f>
        <v>1610.32</v>
      </c>
      <c r="H650" s="4">
        <f>_xlfn.XLOOKUP($A650, 'L &amp; T'!A:A, 'L &amp; T'!B:B, "")</f>
        <v>1825.53</v>
      </c>
    </row>
    <row r="651" spans="1:8" x14ac:dyDescent="0.3">
      <c r="A651" s="1">
        <v>44783</v>
      </c>
      <c r="B651" s="4">
        <f>_xlfn.XLOOKUP($A651, 'Nifty 50'!A:A, 'Nifty 50'!B:B, "")</f>
        <v>17534.75</v>
      </c>
      <c r="C651" s="4">
        <f>_xlfn.XLOOKUP($A651, Reliance!A:A, Reliance!B:B, "")</f>
        <v>1172.27</v>
      </c>
      <c r="D651" s="4">
        <f>_xlfn.XLOOKUP($A651, HDFC!A:A, HDFC!B:B, "")</f>
        <v>731.33</v>
      </c>
      <c r="E651" s="4">
        <f>_xlfn.XLOOKUP($A651, ITC!A:A, ITC!B:B, "")</f>
        <v>309.3</v>
      </c>
      <c r="F651" s="4">
        <f>_xlfn.XLOOKUP($A651, TCS!A:A, TCS!B:B, "")</f>
        <v>3272.49</v>
      </c>
      <c r="G651" s="4">
        <f>_xlfn.XLOOKUP($A651, Infosys!A:A, Infosys!B:B,"")</f>
        <v>1593.47</v>
      </c>
      <c r="H651" s="4">
        <f>_xlfn.XLOOKUP($A651, 'L &amp; T'!A:A, 'L &amp; T'!B:B, "")</f>
        <v>1850.98</v>
      </c>
    </row>
    <row r="652" spans="1:8" x14ac:dyDescent="0.3">
      <c r="A652" s="1">
        <v>44784</v>
      </c>
      <c r="B652" s="4">
        <f>_xlfn.XLOOKUP($A652, 'Nifty 50'!A:A, 'Nifty 50'!B:B, "")</f>
        <v>17659</v>
      </c>
      <c r="C652" s="4">
        <f>_xlfn.XLOOKUP($A652, Reliance!A:A, Reliance!B:B, "")</f>
        <v>1176.18</v>
      </c>
      <c r="D652" s="4">
        <f>_xlfn.XLOOKUP($A652, HDFC!A:A, HDFC!B:B, "")</f>
        <v>741.01</v>
      </c>
      <c r="E652" s="4">
        <f>_xlfn.XLOOKUP($A652, ITC!A:A, ITC!B:B, "")</f>
        <v>304.38</v>
      </c>
      <c r="F652" s="4">
        <f>_xlfn.XLOOKUP($A652, TCS!A:A, TCS!B:B, "")</f>
        <v>3339.08</v>
      </c>
      <c r="G652" s="4">
        <f>_xlfn.XLOOKUP($A652, Infosys!A:A, Infosys!B:B,"")</f>
        <v>1610.87</v>
      </c>
      <c r="H652" s="4">
        <f>_xlfn.XLOOKUP($A652, 'L &amp; T'!A:A, 'L &amp; T'!B:B, "")</f>
        <v>1862.95</v>
      </c>
    </row>
    <row r="653" spans="1:8" x14ac:dyDescent="0.3">
      <c r="A653" s="1">
        <v>44785</v>
      </c>
      <c r="B653" s="4">
        <f>_xlfn.XLOOKUP($A653, 'Nifty 50'!A:A, 'Nifty 50'!B:B, "")</f>
        <v>17698.150000000001</v>
      </c>
      <c r="C653" s="4">
        <f>_xlfn.XLOOKUP($A653, Reliance!A:A, Reliance!B:B, "")</f>
        <v>1195.2</v>
      </c>
      <c r="D653" s="4">
        <f>_xlfn.XLOOKUP($A653, HDFC!A:A, HDFC!B:B, "")</f>
        <v>740.73</v>
      </c>
      <c r="E653" s="4">
        <f>_xlfn.XLOOKUP($A653, ITC!A:A, ITC!B:B, "")</f>
        <v>306.66000000000003</v>
      </c>
      <c r="F653" s="4">
        <f>_xlfn.XLOOKUP($A653, TCS!A:A, TCS!B:B, "")</f>
        <v>3318.64</v>
      </c>
      <c r="G653" s="4">
        <f>_xlfn.XLOOKUP($A653, Infosys!A:A, Infosys!B:B,"")</f>
        <v>1585.17</v>
      </c>
      <c r="H653" s="4">
        <f>_xlfn.XLOOKUP($A653, 'L &amp; T'!A:A, 'L &amp; T'!B:B, "")</f>
        <v>1842.3</v>
      </c>
    </row>
    <row r="654" spans="1:8" x14ac:dyDescent="0.3">
      <c r="A654" s="1">
        <v>44789</v>
      </c>
      <c r="B654" s="4">
        <f>_xlfn.XLOOKUP($A654, 'Nifty 50'!A:A, 'Nifty 50'!B:B, "")</f>
        <v>17825.25</v>
      </c>
      <c r="C654" s="4">
        <f>_xlfn.XLOOKUP($A654, Reliance!A:A, Reliance!B:B, "")</f>
        <v>1203.5</v>
      </c>
      <c r="D654" s="4">
        <f>_xlfn.XLOOKUP($A654, HDFC!A:A, HDFC!B:B, "")</f>
        <v>749.21</v>
      </c>
      <c r="E654" s="4">
        <f>_xlfn.XLOOKUP($A654, ITC!A:A, ITC!B:B, "")</f>
        <v>308.64999999999998</v>
      </c>
      <c r="F654" s="4">
        <f>_xlfn.XLOOKUP($A654, TCS!A:A, TCS!B:B, "")</f>
        <v>3310</v>
      </c>
      <c r="G654" s="4">
        <f>_xlfn.XLOOKUP($A654, Infosys!A:A, Infosys!B:B,"")</f>
        <v>1587.5</v>
      </c>
      <c r="H654" s="4">
        <f>_xlfn.XLOOKUP($A654, 'L &amp; T'!A:A, 'L &amp; T'!B:B, "")</f>
        <v>1844.74</v>
      </c>
    </row>
    <row r="655" spans="1:8" x14ac:dyDescent="0.3">
      <c r="A655" s="1">
        <v>44790</v>
      </c>
      <c r="B655" s="4">
        <f>_xlfn.XLOOKUP($A655, 'Nifty 50'!A:A, 'Nifty 50'!B:B, "")</f>
        <v>17944.25</v>
      </c>
      <c r="C655" s="4">
        <f>_xlfn.XLOOKUP($A655, Reliance!A:A, Reliance!B:B, "")</f>
        <v>1209.79</v>
      </c>
      <c r="D655" s="4">
        <f>_xlfn.XLOOKUP($A655, HDFC!A:A, HDFC!B:B, "")</f>
        <v>753.08</v>
      </c>
      <c r="E655" s="4">
        <f>_xlfn.XLOOKUP($A655, ITC!A:A, ITC!B:B, "")</f>
        <v>310.64</v>
      </c>
      <c r="F655" s="4">
        <f>_xlfn.XLOOKUP($A655, TCS!A:A, TCS!B:B, "")</f>
        <v>3318.2</v>
      </c>
      <c r="G655" s="4">
        <f>_xlfn.XLOOKUP($A655, Infosys!A:A, Infosys!B:B,"")</f>
        <v>1597.25</v>
      </c>
      <c r="H655" s="4">
        <f>_xlfn.XLOOKUP($A655, 'L &amp; T'!A:A, 'L &amp; T'!B:B, "")</f>
        <v>1851.53</v>
      </c>
    </row>
    <row r="656" spans="1:8" x14ac:dyDescent="0.3">
      <c r="A656" s="1">
        <v>44791</v>
      </c>
      <c r="B656" s="4">
        <f>_xlfn.XLOOKUP($A656, 'Nifty 50'!A:A, 'Nifty 50'!B:B, "")</f>
        <v>17956.5</v>
      </c>
      <c r="C656" s="4">
        <f>_xlfn.XLOOKUP($A656, Reliance!A:A, Reliance!B:B, "")</f>
        <v>1208.04</v>
      </c>
      <c r="D656" s="4">
        <f>_xlfn.XLOOKUP($A656, HDFC!A:A, HDFC!B:B, "")</f>
        <v>753.97</v>
      </c>
      <c r="E656" s="4">
        <f>_xlfn.XLOOKUP($A656, ITC!A:A, ITC!B:B, "")</f>
        <v>313.72000000000003</v>
      </c>
      <c r="F656" s="4">
        <f>_xlfn.XLOOKUP($A656, TCS!A:A, TCS!B:B, "")</f>
        <v>3298.83</v>
      </c>
      <c r="G656" s="4">
        <f>_xlfn.XLOOKUP($A656, Infosys!A:A, Infosys!B:B,"")</f>
        <v>1574.08</v>
      </c>
      <c r="H656" s="4">
        <f>_xlfn.XLOOKUP($A656, 'L &amp; T'!A:A, 'L &amp; T'!B:B, "")</f>
        <v>1890.29</v>
      </c>
    </row>
    <row r="657" spans="1:8" x14ac:dyDescent="0.3">
      <c r="A657" s="1">
        <v>44792</v>
      </c>
      <c r="B657" s="4">
        <f>_xlfn.XLOOKUP($A657, 'Nifty 50'!A:A, 'Nifty 50'!B:B, "")</f>
        <v>17758.45</v>
      </c>
      <c r="C657" s="4">
        <f>_xlfn.XLOOKUP($A657, Reliance!A:A, Reliance!B:B, "")</f>
        <v>1186.5</v>
      </c>
      <c r="D657" s="4">
        <f>_xlfn.XLOOKUP($A657, HDFC!A:A, HDFC!B:B, "")</f>
        <v>744.67</v>
      </c>
      <c r="E657" s="4">
        <f>_xlfn.XLOOKUP($A657, ITC!A:A, ITC!B:B, "")</f>
        <v>310.08999999999997</v>
      </c>
      <c r="F657" s="4">
        <f>_xlfn.XLOOKUP($A657, TCS!A:A, TCS!B:B, "")</f>
        <v>3303.22</v>
      </c>
      <c r="G657" s="4">
        <f>_xlfn.XLOOKUP($A657, Infosys!A:A, Infosys!B:B,"")</f>
        <v>1588.15</v>
      </c>
      <c r="H657" s="4">
        <f>_xlfn.XLOOKUP($A657, 'L &amp; T'!A:A, 'L &amp; T'!B:B, "")</f>
        <v>1931.69</v>
      </c>
    </row>
    <row r="658" spans="1:8" x14ac:dyDescent="0.3">
      <c r="A658" s="1">
        <v>44795</v>
      </c>
      <c r="B658" s="4">
        <f>_xlfn.XLOOKUP($A658, 'Nifty 50'!A:A, 'Nifty 50'!B:B, "")</f>
        <v>17490.7</v>
      </c>
      <c r="C658" s="4">
        <f>_xlfn.XLOOKUP($A658, Reliance!A:A, Reliance!B:B, "")</f>
        <v>1183.21</v>
      </c>
      <c r="D658" s="4">
        <f>_xlfn.XLOOKUP($A658, HDFC!A:A, HDFC!B:B, "")</f>
        <v>733.35</v>
      </c>
      <c r="E658" s="4">
        <f>_xlfn.XLOOKUP($A658, ITC!A:A, ITC!B:B, "")</f>
        <v>312.48</v>
      </c>
      <c r="F658" s="4">
        <f>_xlfn.XLOOKUP($A658, TCS!A:A, TCS!B:B, "")</f>
        <v>3272.78</v>
      </c>
      <c r="G658" s="4">
        <f>_xlfn.XLOOKUP($A658, Infosys!A:A, Infosys!B:B,"")</f>
        <v>1566.82</v>
      </c>
      <c r="H658" s="4">
        <f>_xlfn.XLOOKUP($A658, 'L &amp; T'!A:A, 'L &amp; T'!B:B, "")</f>
        <v>1876.42</v>
      </c>
    </row>
    <row r="659" spans="1:8" x14ac:dyDescent="0.3">
      <c r="A659" s="1">
        <v>44796</v>
      </c>
      <c r="B659" s="4">
        <f>_xlfn.XLOOKUP($A659, 'Nifty 50'!A:A, 'Nifty 50'!B:B, "")</f>
        <v>17577.5</v>
      </c>
      <c r="C659" s="4">
        <f>_xlfn.XLOOKUP($A659, Reliance!A:A, Reliance!B:B, "")</f>
        <v>1201.46</v>
      </c>
      <c r="D659" s="4">
        <f>_xlfn.XLOOKUP($A659, HDFC!A:A, HDFC!B:B, "")</f>
        <v>731.08</v>
      </c>
      <c r="E659" s="4">
        <f>_xlfn.XLOOKUP($A659, ITC!A:A, ITC!B:B, "")</f>
        <v>313.97000000000003</v>
      </c>
      <c r="F659" s="4">
        <f>_xlfn.XLOOKUP($A659, TCS!A:A, TCS!B:B, "")</f>
        <v>3204.54</v>
      </c>
      <c r="G659" s="4">
        <f>_xlfn.XLOOKUP($A659, Infosys!A:A, Infosys!B:B,"")</f>
        <v>1533.76</v>
      </c>
      <c r="H659" s="4">
        <f>_xlfn.XLOOKUP($A659, 'L &amp; T'!A:A, 'L &amp; T'!B:B, "")</f>
        <v>1872.83</v>
      </c>
    </row>
    <row r="660" spans="1:8" x14ac:dyDescent="0.3">
      <c r="A660" s="1">
        <v>44797</v>
      </c>
      <c r="B660" s="4">
        <f>_xlfn.XLOOKUP($A660, 'Nifty 50'!A:A, 'Nifty 50'!B:B, "")</f>
        <v>17604.95</v>
      </c>
      <c r="C660" s="4">
        <f>_xlfn.XLOOKUP($A660, Reliance!A:A, Reliance!B:B, "")</f>
        <v>1198.26</v>
      </c>
      <c r="D660" s="4">
        <f>_xlfn.XLOOKUP($A660, HDFC!A:A, HDFC!B:B, "")</f>
        <v>734.6</v>
      </c>
      <c r="E660" s="4">
        <f>_xlfn.XLOOKUP($A660, ITC!A:A, ITC!B:B, "")</f>
        <v>312.18</v>
      </c>
      <c r="F660" s="4">
        <f>_xlfn.XLOOKUP($A660, TCS!A:A, TCS!B:B, "")</f>
        <v>3176</v>
      </c>
      <c r="G660" s="4">
        <f>_xlfn.XLOOKUP($A660, Infosys!A:A, Infosys!B:B,"")</f>
        <v>1528.88</v>
      </c>
      <c r="H660" s="4">
        <f>_xlfn.XLOOKUP($A660, 'L &amp; T'!A:A, 'L &amp; T'!B:B, "")</f>
        <v>1889.09</v>
      </c>
    </row>
    <row r="661" spans="1:8" x14ac:dyDescent="0.3">
      <c r="A661" s="1">
        <v>44798</v>
      </c>
      <c r="B661" s="4">
        <f>_xlfn.XLOOKUP($A661, 'Nifty 50'!A:A, 'Nifty 50'!B:B, "")</f>
        <v>17522.45</v>
      </c>
      <c r="C661" s="4">
        <f>_xlfn.XLOOKUP($A661, Reliance!A:A, Reliance!B:B, "")</f>
        <v>1194.77</v>
      </c>
      <c r="D661" s="4">
        <f>_xlfn.XLOOKUP($A661, HDFC!A:A, HDFC!B:B, "")</f>
        <v>730.61</v>
      </c>
      <c r="E661" s="4">
        <f>_xlfn.XLOOKUP($A661, ITC!A:A, ITC!B:B, "")</f>
        <v>310.44</v>
      </c>
      <c r="F661" s="4">
        <f>_xlfn.XLOOKUP($A661, TCS!A:A, TCS!B:B, "")</f>
        <v>3139.76</v>
      </c>
      <c r="G661" s="4">
        <f>_xlfn.XLOOKUP($A661, Infosys!A:A, Infosys!B:B,"")</f>
        <v>1509.64</v>
      </c>
      <c r="H661" s="4">
        <f>_xlfn.XLOOKUP($A661, 'L &amp; T'!A:A, 'L &amp; T'!B:B, "")</f>
        <v>1873.68</v>
      </c>
    </row>
    <row r="662" spans="1:8" x14ac:dyDescent="0.3">
      <c r="A662" s="1">
        <v>44799</v>
      </c>
      <c r="B662" s="4">
        <f>_xlfn.XLOOKUP($A662, 'Nifty 50'!A:A, 'Nifty 50'!B:B, "")</f>
        <v>17558.900000000001</v>
      </c>
      <c r="C662" s="4">
        <f>_xlfn.XLOOKUP($A662, Reliance!A:A, Reliance!B:B, "")</f>
        <v>1188.3900000000001</v>
      </c>
      <c r="D662" s="4">
        <f>_xlfn.XLOOKUP($A662, HDFC!A:A, HDFC!B:B, "")</f>
        <v>730.73</v>
      </c>
      <c r="E662" s="4">
        <f>_xlfn.XLOOKUP($A662, ITC!A:A, ITC!B:B, "")</f>
        <v>310.98</v>
      </c>
      <c r="F662" s="4">
        <f>_xlfn.XLOOKUP($A662, TCS!A:A, TCS!B:B, "")</f>
        <v>3143.66</v>
      </c>
      <c r="G662" s="4">
        <f>_xlfn.XLOOKUP($A662, Infosys!A:A, Infosys!B:B,"")</f>
        <v>1513.02</v>
      </c>
      <c r="H662" s="4">
        <f>_xlfn.XLOOKUP($A662, 'L &amp; T'!A:A, 'L &amp; T'!B:B, "")</f>
        <v>1901.11</v>
      </c>
    </row>
    <row r="663" spans="1:8" x14ac:dyDescent="0.3">
      <c r="A663" s="1">
        <v>44802</v>
      </c>
      <c r="B663" s="4">
        <f>_xlfn.XLOOKUP($A663, 'Nifty 50'!A:A, 'Nifty 50'!B:B, "")</f>
        <v>17312.900000000001</v>
      </c>
      <c r="C663" s="4">
        <f>_xlfn.XLOOKUP($A663, Reliance!A:A, Reliance!B:B, "")</f>
        <v>1179.1500000000001</v>
      </c>
      <c r="D663" s="4">
        <f>_xlfn.XLOOKUP($A663, HDFC!A:A, HDFC!B:B, "")</f>
        <v>717.91</v>
      </c>
      <c r="E663" s="4">
        <f>_xlfn.XLOOKUP($A663, ITC!A:A, ITC!B:B, "")</f>
        <v>311.63</v>
      </c>
      <c r="F663" s="4">
        <f>_xlfn.XLOOKUP($A663, TCS!A:A, TCS!B:B, "")</f>
        <v>3056.2</v>
      </c>
      <c r="G663" s="4">
        <f>_xlfn.XLOOKUP($A663, Infosys!A:A, Infosys!B:B,"")</f>
        <v>1453.56</v>
      </c>
      <c r="H663" s="4">
        <f>_xlfn.XLOOKUP($A663, 'L &amp; T'!A:A, 'L &amp; T'!B:B, "")</f>
        <v>1877.27</v>
      </c>
    </row>
    <row r="664" spans="1:8" x14ac:dyDescent="0.3">
      <c r="A664" s="1">
        <v>44803</v>
      </c>
      <c r="B664" s="4">
        <f>_xlfn.XLOOKUP($A664, 'Nifty 50'!A:A, 'Nifty 50'!B:B, "")</f>
        <v>17759.3</v>
      </c>
      <c r="C664" s="4">
        <f>_xlfn.XLOOKUP($A664, Reliance!A:A, Reliance!B:B, "")</f>
        <v>1197.44</v>
      </c>
      <c r="D664" s="4">
        <f>_xlfn.XLOOKUP($A664, HDFC!A:A, HDFC!B:B, "")</f>
        <v>741.21</v>
      </c>
      <c r="E664" s="4">
        <f>_xlfn.XLOOKUP($A664, ITC!A:A, ITC!B:B, "")</f>
        <v>318.54000000000002</v>
      </c>
      <c r="F664" s="4">
        <f>_xlfn.XLOOKUP($A664, TCS!A:A, TCS!B:B, "")</f>
        <v>3132.88</v>
      </c>
      <c r="G664" s="4">
        <f>_xlfn.XLOOKUP($A664, Infosys!A:A, Infosys!B:B,"")</f>
        <v>1484.58</v>
      </c>
      <c r="H664" s="4">
        <f>_xlfn.XLOOKUP($A664, 'L &amp; T'!A:A, 'L &amp; T'!B:B, "")</f>
        <v>1918.17</v>
      </c>
    </row>
    <row r="665" spans="1:8" x14ac:dyDescent="0.3">
      <c r="A665" s="1">
        <v>44805</v>
      </c>
      <c r="B665" s="4">
        <f>_xlfn.XLOOKUP($A665, 'Nifty 50'!A:A, 'Nifty 50'!B:B, "")</f>
        <v>17542.8</v>
      </c>
      <c r="C665" s="4">
        <f>_xlfn.XLOOKUP($A665, Reliance!A:A, Reliance!B:B, "")</f>
        <v>1162.24</v>
      </c>
      <c r="D665" s="4">
        <f>_xlfn.XLOOKUP($A665, HDFC!A:A, HDFC!B:B, "")</f>
        <v>734.25</v>
      </c>
      <c r="E665" s="4">
        <f>_xlfn.XLOOKUP($A665, ITC!A:A, ITC!B:B, "")</f>
        <v>315.64999999999998</v>
      </c>
      <c r="F665" s="4">
        <f>_xlfn.XLOOKUP($A665, TCS!A:A, TCS!B:B, "")</f>
        <v>3055.37</v>
      </c>
      <c r="G665" s="4">
        <f>_xlfn.XLOOKUP($A665, Infosys!A:A, Infosys!B:B,"")</f>
        <v>1455.99</v>
      </c>
      <c r="H665" s="4">
        <f>_xlfn.XLOOKUP($A665, 'L &amp; T'!A:A, 'L &amp; T'!B:B, "")</f>
        <v>1908.65</v>
      </c>
    </row>
    <row r="666" spans="1:8" x14ac:dyDescent="0.3">
      <c r="A666" s="1">
        <v>44806</v>
      </c>
      <c r="B666" s="4">
        <f>_xlfn.XLOOKUP($A666, 'Nifty 50'!A:A, 'Nifty 50'!B:B, "")</f>
        <v>17539.45</v>
      </c>
      <c r="C666" s="4">
        <f>_xlfn.XLOOKUP($A666, Reliance!A:A, Reliance!B:B, "")</f>
        <v>1148.67</v>
      </c>
      <c r="D666" s="4">
        <f>_xlfn.XLOOKUP($A666, HDFC!A:A, HDFC!B:B, "")</f>
        <v>740.91</v>
      </c>
      <c r="E666" s="4">
        <f>_xlfn.XLOOKUP($A666, ITC!A:A, ITC!B:B, "")</f>
        <v>321.17</v>
      </c>
      <c r="F666" s="4">
        <f>_xlfn.XLOOKUP($A666, TCS!A:A, TCS!B:B, "")</f>
        <v>3054.1</v>
      </c>
      <c r="G666" s="4">
        <f>_xlfn.XLOOKUP($A666, Infosys!A:A, Infosys!B:B,"")</f>
        <v>1444.86</v>
      </c>
      <c r="H666" s="4">
        <f>_xlfn.XLOOKUP($A666, 'L &amp; T'!A:A, 'L &amp; T'!B:B, "")</f>
        <v>1936.13</v>
      </c>
    </row>
    <row r="667" spans="1:8" x14ac:dyDescent="0.3">
      <c r="A667" s="1">
        <v>44809</v>
      </c>
      <c r="B667" s="4">
        <f>_xlfn.XLOOKUP($A667, 'Nifty 50'!A:A, 'Nifty 50'!B:B, "")</f>
        <v>17665.8</v>
      </c>
      <c r="C667" s="4">
        <f>_xlfn.XLOOKUP($A667, Reliance!A:A, Reliance!B:B, "")</f>
        <v>1166.51</v>
      </c>
      <c r="D667" s="4">
        <f>_xlfn.XLOOKUP($A667, HDFC!A:A, HDFC!B:B, "")</f>
        <v>745.67</v>
      </c>
      <c r="E667" s="4">
        <f>_xlfn.XLOOKUP($A667, ITC!A:A, ITC!B:B, "")</f>
        <v>326.83999999999997</v>
      </c>
      <c r="F667" s="4">
        <f>_xlfn.XLOOKUP($A667, TCS!A:A, TCS!B:B, "")</f>
        <v>3057.02</v>
      </c>
      <c r="G667" s="4">
        <f>_xlfn.XLOOKUP($A667, Infosys!A:A, Infosys!B:B,"")</f>
        <v>1453.11</v>
      </c>
      <c r="H667" s="4">
        <f>_xlfn.XLOOKUP($A667, 'L &amp; T'!A:A, 'L &amp; T'!B:B, "")</f>
        <v>1963.92</v>
      </c>
    </row>
    <row r="668" spans="1:8" x14ac:dyDescent="0.3">
      <c r="A668" s="1">
        <v>44810</v>
      </c>
      <c r="B668" s="4">
        <f>_xlfn.XLOOKUP($A668, 'Nifty 50'!A:A, 'Nifty 50'!B:B, "")</f>
        <v>17655.599999999999</v>
      </c>
      <c r="C668" s="4">
        <f>_xlfn.XLOOKUP($A668, Reliance!A:A, Reliance!B:B, "")</f>
        <v>1178.79</v>
      </c>
      <c r="D668" s="4">
        <f>_xlfn.XLOOKUP($A668, HDFC!A:A, HDFC!B:B, "")</f>
        <v>742.83</v>
      </c>
      <c r="E668" s="4">
        <f>_xlfn.XLOOKUP($A668, ITC!A:A, ITC!B:B, "")</f>
        <v>325.14999999999998</v>
      </c>
      <c r="F668" s="4">
        <f>_xlfn.XLOOKUP($A668, TCS!A:A, TCS!B:B, "")</f>
        <v>3050.83</v>
      </c>
      <c r="G668" s="4">
        <f>_xlfn.XLOOKUP($A668, Infosys!A:A, Infosys!B:B,"")</f>
        <v>1446.95</v>
      </c>
      <c r="H668" s="4">
        <f>_xlfn.XLOOKUP($A668, 'L &amp; T'!A:A, 'L &amp; T'!B:B, "")</f>
        <v>1957.89</v>
      </c>
    </row>
    <row r="669" spans="1:8" x14ac:dyDescent="0.3">
      <c r="A669" s="1">
        <v>44811</v>
      </c>
      <c r="B669" s="4">
        <f>_xlfn.XLOOKUP($A669, 'Nifty 50'!A:A, 'Nifty 50'!B:B, "")</f>
        <v>17624.400000000001</v>
      </c>
      <c r="C669" s="4">
        <f>_xlfn.XLOOKUP($A669, Reliance!A:A, Reliance!B:B, "")</f>
        <v>1171.93</v>
      </c>
      <c r="D669" s="4">
        <f>_xlfn.XLOOKUP($A669, HDFC!A:A, HDFC!B:B, "")</f>
        <v>739.31</v>
      </c>
      <c r="E669" s="4">
        <f>_xlfn.XLOOKUP($A669, ITC!A:A, ITC!B:B, "")</f>
        <v>324.10000000000002</v>
      </c>
      <c r="F669" s="4">
        <f>_xlfn.XLOOKUP($A669, TCS!A:A, TCS!B:B, "")</f>
        <v>3072.83</v>
      </c>
      <c r="G669" s="4">
        <f>_xlfn.XLOOKUP($A669, Infosys!A:A, Infosys!B:B,"")</f>
        <v>1449.48</v>
      </c>
      <c r="H669" s="4">
        <f>_xlfn.XLOOKUP($A669, 'L &amp; T'!A:A, 'L &amp; T'!B:B, "")</f>
        <v>1953.69</v>
      </c>
    </row>
    <row r="670" spans="1:8" x14ac:dyDescent="0.3">
      <c r="A670" s="1">
        <v>44812</v>
      </c>
      <c r="B670" s="4">
        <f>_xlfn.XLOOKUP($A670, 'Nifty 50'!A:A, 'Nifty 50'!B:B, "")</f>
        <v>17798.75</v>
      </c>
      <c r="C670" s="4">
        <f>_xlfn.XLOOKUP($A670, Reliance!A:A, Reliance!B:B, "")</f>
        <v>1173.5899999999999</v>
      </c>
      <c r="D670" s="4">
        <f>_xlfn.XLOOKUP($A670, HDFC!A:A, HDFC!B:B, "")</f>
        <v>746.94</v>
      </c>
      <c r="E670" s="4">
        <f>_xlfn.XLOOKUP($A670, ITC!A:A, ITC!B:B, "")</f>
        <v>327.88</v>
      </c>
      <c r="F670" s="4">
        <f>_xlfn.XLOOKUP($A670, TCS!A:A, TCS!B:B, "")</f>
        <v>3092.39</v>
      </c>
      <c r="G670" s="4">
        <f>_xlfn.XLOOKUP($A670, Infosys!A:A, Infosys!B:B,"")</f>
        <v>1467.63</v>
      </c>
      <c r="H670" s="4">
        <f>_xlfn.XLOOKUP($A670, 'L &amp; T'!A:A, 'L &amp; T'!B:B, "")</f>
        <v>1969.96</v>
      </c>
    </row>
    <row r="671" spans="1:8" x14ac:dyDescent="0.3">
      <c r="A671" s="1">
        <v>44813</v>
      </c>
      <c r="B671" s="4">
        <f>_xlfn.XLOOKUP($A671, 'Nifty 50'!A:A, 'Nifty 50'!B:B, "")</f>
        <v>17833.349999999999</v>
      </c>
      <c r="C671" s="4">
        <f>_xlfn.XLOOKUP($A671, Reliance!A:A, Reliance!B:B, "")</f>
        <v>1166.28</v>
      </c>
      <c r="D671" s="4">
        <f>_xlfn.XLOOKUP($A671, HDFC!A:A, HDFC!B:B, "")</f>
        <v>747.44</v>
      </c>
      <c r="E671" s="4">
        <f>_xlfn.XLOOKUP($A671, ITC!A:A, ITC!B:B, "")</f>
        <v>328.48</v>
      </c>
      <c r="F671" s="4">
        <f>_xlfn.XLOOKUP($A671, TCS!A:A, TCS!B:B, "")</f>
        <v>3139.22</v>
      </c>
      <c r="G671" s="4">
        <f>_xlfn.XLOOKUP($A671, Infosys!A:A, Infosys!B:B,"")</f>
        <v>1503.18</v>
      </c>
      <c r="H671" s="4">
        <f>_xlfn.XLOOKUP($A671, 'L &amp; T'!A:A, 'L &amp; T'!B:B, "")</f>
        <v>1945.36</v>
      </c>
    </row>
    <row r="672" spans="1:8" x14ac:dyDescent="0.3">
      <c r="A672" s="1">
        <v>44816</v>
      </c>
      <c r="B672" s="4">
        <f>_xlfn.XLOOKUP($A672, 'Nifty 50'!A:A, 'Nifty 50'!B:B, "")</f>
        <v>17936.349999999999</v>
      </c>
      <c r="C672" s="4">
        <f>_xlfn.XLOOKUP($A672, Reliance!A:A, Reliance!B:B, "")</f>
        <v>1179.33</v>
      </c>
      <c r="D672" s="4">
        <f>_xlfn.XLOOKUP($A672, HDFC!A:A, HDFC!B:B, "")</f>
        <v>744.92</v>
      </c>
      <c r="E672" s="4">
        <f>_xlfn.XLOOKUP($A672, ITC!A:A, ITC!B:B, "")</f>
        <v>328.87</v>
      </c>
      <c r="F672" s="4">
        <f>_xlfn.XLOOKUP($A672, TCS!A:A, TCS!B:B, "")</f>
        <v>3163.91</v>
      </c>
      <c r="G672" s="4">
        <f>_xlfn.XLOOKUP($A672, Infosys!A:A, Infosys!B:B,"")</f>
        <v>1527.59</v>
      </c>
      <c r="H672" s="4">
        <f>_xlfn.XLOOKUP($A672, 'L &amp; T'!A:A, 'L &amp; T'!B:B, "")</f>
        <v>1957.49</v>
      </c>
    </row>
    <row r="673" spans="1:8" x14ac:dyDescent="0.3">
      <c r="A673" s="1">
        <v>44817</v>
      </c>
      <c r="B673" s="4">
        <f>_xlfn.XLOOKUP($A673, 'Nifty 50'!A:A, 'Nifty 50'!B:B, "")</f>
        <v>18070.05</v>
      </c>
      <c r="C673" s="4">
        <f>_xlfn.XLOOKUP($A673, Reliance!A:A, Reliance!B:B, "")</f>
        <v>1189.18</v>
      </c>
      <c r="D673" s="4">
        <f>_xlfn.XLOOKUP($A673, HDFC!A:A, HDFC!B:B, "")</f>
        <v>754.67</v>
      </c>
      <c r="E673" s="4">
        <f>_xlfn.XLOOKUP($A673, ITC!A:A, ITC!B:B, "")</f>
        <v>332.35</v>
      </c>
      <c r="F673" s="4">
        <f>_xlfn.XLOOKUP($A673, TCS!A:A, TCS!B:B, "")</f>
        <v>3150.64</v>
      </c>
      <c r="G673" s="4">
        <f>_xlfn.XLOOKUP($A673, Infosys!A:A, Infosys!B:B,"")</f>
        <v>1536.29</v>
      </c>
      <c r="H673" s="4">
        <f>_xlfn.XLOOKUP($A673, 'L &amp; T'!A:A, 'L &amp; T'!B:B, "")</f>
        <v>1986.87</v>
      </c>
    </row>
    <row r="674" spans="1:8" x14ac:dyDescent="0.3">
      <c r="A674" s="1">
        <v>44818</v>
      </c>
      <c r="B674" s="4">
        <f>_xlfn.XLOOKUP($A674, 'Nifty 50'!A:A, 'Nifty 50'!B:B, "")</f>
        <v>18003.75</v>
      </c>
      <c r="C674" s="4">
        <f>_xlfn.XLOOKUP($A674, Reliance!A:A, Reliance!B:B, "")</f>
        <v>1174.93</v>
      </c>
      <c r="D674" s="4">
        <f>_xlfn.XLOOKUP($A674, HDFC!A:A, HDFC!B:B, "")</f>
        <v>762.43</v>
      </c>
      <c r="E674" s="4">
        <f>_xlfn.XLOOKUP($A674, ITC!A:A, ITC!B:B, "")</f>
        <v>333.3</v>
      </c>
      <c r="F674" s="4">
        <f>_xlfn.XLOOKUP($A674, TCS!A:A, TCS!B:B, "")</f>
        <v>3044.34</v>
      </c>
      <c r="G674" s="4">
        <f>_xlfn.XLOOKUP($A674, Infosys!A:A, Infosys!B:B,"")</f>
        <v>1467.13</v>
      </c>
      <c r="H674" s="4">
        <f>_xlfn.XLOOKUP($A674, 'L &amp; T'!A:A, 'L &amp; T'!B:B, "")</f>
        <v>1949.5</v>
      </c>
    </row>
    <row r="675" spans="1:8" x14ac:dyDescent="0.3">
      <c r="A675" s="1">
        <v>44819</v>
      </c>
      <c r="B675" s="4">
        <f>_xlfn.XLOOKUP($A675, 'Nifty 50'!A:A, 'Nifty 50'!B:B, "")</f>
        <v>17877.400000000001</v>
      </c>
      <c r="C675" s="4">
        <f>_xlfn.XLOOKUP($A675, Reliance!A:A, Reliance!B:B, "")</f>
        <v>1163.29</v>
      </c>
      <c r="D675" s="4">
        <f>_xlfn.XLOOKUP($A675, HDFC!A:A, HDFC!B:B, "")</f>
        <v>758.46</v>
      </c>
      <c r="E675" s="4">
        <f>_xlfn.XLOOKUP($A675, ITC!A:A, ITC!B:B, "")</f>
        <v>332.05</v>
      </c>
      <c r="F675" s="4">
        <f>_xlfn.XLOOKUP($A675, TCS!A:A, TCS!B:B, "")</f>
        <v>3028.68</v>
      </c>
      <c r="G675" s="4">
        <f>_xlfn.XLOOKUP($A675, Infosys!A:A, Infosys!B:B,"")</f>
        <v>1424.77</v>
      </c>
      <c r="H675" s="4">
        <f>_xlfn.XLOOKUP($A675, 'L &amp; T'!A:A, 'L &amp; T'!B:B, "")</f>
        <v>1953.1</v>
      </c>
    </row>
    <row r="676" spans="1:8" x14ac:dyDescent="0.3">
      <c r="A676" s="1">
        <v>44820</v>
      </c>
      <c r="B676" s="4">
        <f>_xlfn.XLOOKUP($A676, 'Nifty 50'!A:A, 'Nifty 50'!B:B, "")</f>
        <v>17530.849999999999</v>
      </c>
      <c r="C676" s="4">
        <f>_xlfn.XLOOKUP($A676, Reliance!A:A, Reliance!B:B, "")</f>
        <v>1134.46</v>
      </c>
      <c r="D676" s="4">
        <f>_xlfn.XLOOKUP($A676, HDFC!A:A, HDFC!B:B, "")</f>
        <v>744.52</v>
      </c>
      <c r="E676" s="4">
        <f>_xlfn.XLOOKUP($A676, ITC!A:A, ITC!B:B, "")</f>
        <v>329.27</v>
      </c>
      <c r="F676" s="4">
        <f>_xlfn.XLOOKUP($A676, TCS!A:A, TCS!B:B, "")</f>
        <v>2935.36</v>
      </c>
      <c r="G676" s="4">
        <f>_xlfn.XLOOKUP($A676, Infosys!A:A, Infosys!B:B,"")</f>
        <v>1369.33</v>
      </c>
      <c r="H676" s="4">
        <f>_xlfn.XLOOKUP($A676, 'L &amp; T'!A:A, 'L &amp; T'!B:B, "")</f>
        <v>1915.68</v>
      </c>
    </row>
    <row r="677" spans="1:8" x14ac:dyDescent="0.3">
      <c r="A677" s="1">
        <v>44823</v>
      </c>
      <c r="B677" s="4">
        <f>_xlfn.XLOOKUP($A677, 'Nifty 50'!A:A, 'Nifty 50'!B:B, "")</f>
        <v>17622.25</v>
      </c>
      <c r="C677" s="4">
        <f>_xlfn.XLOOKUP($A677, Reliance!A:A, Reliance!B:B, "")</f>
        <v>1135.94</v>
      </c>
      <c r="D677" s="4">
        <f>_xlfn.XLOOKUP($A677, HDFC!A:A, HDFC!B:B, "")</f>
        <v>749.44</v>
      </c>
      <c r="E677" s="4">
        <f>_xlfn.XLOOKUP($A677, ITC!A:A, ITC!B:B, "")</f>
        <v>333.55</v>
      </c>
      <c r="F677" s="4">
        <f>_xlfn.XLOOKUP($A677, TCS!A:A, TCS!B:B, "")</f>
        <v>2954.98</v>
      </c>
      <c r="G677" s="4">
        <f>_xlfn.XLOOKUP($A677, Infosys!A:A, Infosys!B:B,"")</f>
        <v>1382.51</v>
      </c>
      <c r="H677" s="4">
        <f>_xlfn.XLOOKUP($A677, 'L &amp; T'!A:A, 'L &amp; T'!B:B, "")</f>
        <v>1906.4</v>
      </c>
    </row>
    <row r="678" spans="1:8" x14ac:dyDescent="0.3">
      <c r="A678" s="1">
        <v>44824</v>
      </c>
      <c r="B678" s="4">
        <f>_xlfn.XLOOKUP($A678, 'Nifty 50'!A:A, 'Nifty 50'!B:B, "")</f>
        <v>17816.25</v>
      </c>
      <c r="C678" s="4">
        <f>_xlfn.XLOOKUP($A678, Reliance!A:A, Reliance!B:B, "")</f>
        <v>1136.1199999999999</v>
      </c>
      <c r="D678" s="4">
        <f>_xlfn.XLOOKUP($A678, HDFC!A:A, HDFC!B:B, "")</f>
        <v>758.46</v>
      </c>
      <c r="E678" s="4">
        <f>_xlfn.XLOOKUP($A678, ITC!A:A, ITC!B:B, "")</f>
        <v>333.94</v>
      </c>
      <c r="F678" s="4">
        <f>_xlfn.XLOOKUP($A678, TCS!A:A, TCS!B:B, "")</f>
        <v>2966.19</v>
      </c>
      <c r="G678" s="4">
        <f>_xlfn.XLOOKUP($A678, Infosys!A:A, Infosys!B:B,"")</f>
        <v>1380.77</v>
      </c>
      <c r="H678" s="4">
        <f>_xlfn.XLOOKUP($A678, 'L &amp; T'!A:A, 'L &amp; T'!B:B, "")</f>
        <v>1928.35</v>
      </c>
    </row>
    <row r="679" spans="1:8" x14ac:dyDescent="0.3">
      <c r="A679" s="1">
        <v>44825</v>
      </c>
      <c r="B679" s="4">
        <f>_xlfn.XLOOKUP($A679, 'Nifty 50'!A:A, 'Nifty 50'!B:B, "")</f>
        <v>17718.349999999999</v>
      </c>
      <c r="C679" s="4">
        <f>_xlfn.XLOOKUP($A679, Reliance!A:A, Reliance!B:B, "")</f>
        <v>1139.25</v>
      </c>
      <c r="D679" s="4">
        <f>_xlfn.XLOOKUP($A679, HDFC!A:A, HDFC!B:B, "")</f>
        <v>757.29</v>
      </c>
      <c r="E679" s="4">
        <f>_xlfn.XLOOKUP($A679, ITC!A:A, ITC!B:B, "")</f>
        <v>338.86</v>
      </c>
      <c r="F679" s="4">
        <f>_xlfn.XLOOKUP($A679, TCS!A:A, TCS!B:B, "")</f>
        <v>2928.05</v>
      </c>
      <c r="G679" s="4">
        <f>_xlfn.XLOOKUP($A679, Infosys!A:A, Infosys!B:B,"")</f>
        <v>1369.53</v>
      </c>
      <c r="H679" s="4">
        <f>_xlfn.XLOOKUP($A679, 'L &amp; T'!A:A, 'L &amp; T'!B:B, "")</f>
        <v>1891.39</v>
      </c>
    </row>
    <row r="680" spans="1:8" x14ac:dyDescent="0.3">
      <c r="A680" s="1">
        <v>44826</v>
      </c>
      <c r="B680" s="4">
        <f>_xlfn.XLOOKUP($A680, 'Nifty 50'!A:A, 'Nifty 50'!B:B, "")</f>
        <v>17629.8</v>
      </c>
      <c r="C680" s="4">
        <f>_xlfn.XLOOKUP($A680, Reliance!A:A, Reliance!B:B, "")</f>
        <v>1128.51</v>
      </c>
      <c r="D680" s="4">
        <f>_xlfn.XLOOKUP($A680, HDFC!A:A, HDFC!B:B, "")</f>
        <v>741.16</v>
      </c>
      <c r="E680" s="4">
        <f>_xlfn.XLOOKUP($A680, ITC!A:A, ITC!B:B, "")</f>
        <v>342.94</v>
      </c>
      <c r="F680" s="4">
        <f>_xlfn.XLOOKUP($A680, TCS!A:A, TCS!B:B, "")</f>
        <v>2934.1</v>
      </c>
      <c r="G680" s="4">
        <f>_xlfn.XLOOKUP($A680, Infosys!A:A, Infosys!B:B,"")</f>
        <v>1360.28</v>
      </c>
      <c r="H680" s="4">
        <f>_xlfn.XLOOKUP($A680, 'L &amp; T'!A:A, 'L &amp; T'!B:B, "")</f>
        <v>1883.95</v>
      </c>
    </row>
    <row r="681" spans="1:8" x14ac:dyDescent="0.3">
      <c r="A681" s="1">
        <v>44827</v>
      </c>
      <c r="B681" s="4">
        <f>_xlfn.XLOOKUP($A681, 'Nifty 50'!A:A, 'Nifty 50'!B:B, "")</f>
        <v>17327.349999999999</v>
      </c>
      <c r="C681" s="4">
        <f>_xlfn.XLOOKUP($A681, Reliance!A:A, Reliance!B:B, "")</f>
        <v>1107.3599999999999</v>
      </c>
      <c r="D681" s="4">
        <f>_xlfn.XLOOKUP($A681, HDFC!A:A, HDFC!B:B, "")</f>
        <v>721.28</v>
      </c>
      <c r="E681" s="4">
        <f>_xlfn.XLOOKUP($A681, ITC!A:A, ITC!B:B, "")</f>
        <v>344.28</v>
      </c>
      <c r="F681" s="4">
        <f>_xlfn.XLOOKUP($A681, TCS!A:A, TCS!B:B, "")</f>
        <v>2909.36</v>
      </c>
      <c r="G681" s="4">
        <f>_xlfn.XLOOKUP($A681, Infosys!A:A, Infosys!B:B,"")</f>
        <v>1357.8</v>
      </c>
      <c r="H681" s="4">
        <f>_xlfn.XLOOKUP($A681, 'L &amp; T'!A:A, 'L &amp; T'!B:B, "")</f>
        <v>1852.67</v>
      </c>
    </row>
    <row r="682" spans="1:8" x14ac:dyDescent="0.3">
      <c r="A682" s="1">
        <v>44830</v>
      </c>
      <c r="B682" s="4">
        <f>_xlfn.XLOOKUP($A682, 'Nifty 50'!A:A, 'Nifty 50'!B:B, "")</f>
        <v>17016.3</v>
      </c>
      <c r="C682" s="4">
        <f>_xlfn.XLOOKUP($A682, Reliance!A:A, Reliance!B:B, "")</f>
        <v>1079.1500000000001</v>
      </c>
      <c r="D682" s="4">
        <f>_xlfn.XLOOKUP($A682, HDFC!A:A, HDFC!B:B, "")</f>
        <v>711.55</v>
      </c>
      <c r="E682" s="4">
        <f>_xlfn.XLOOKUP($A682, ITC!A:A, ITC!B:B, "")</f>
        <v>330.56</v>
      </c>
      <c r="F682" s="4">
        <f>_xlfn.XLOOKUP($A682, TCS!A:A, TCS!B:B, "")</f>
        <v>2921.41</v>
      </c>
      <c r="G682" s="4">
        <f>_xlfn.XLOOKUP($A682, Infosys!A:A, Infosys!B:B,"")</f>
        <v>1372.52</v>
      </c>
      <c r="H682" s="4">
        <f>_xlfn.XLOOKUP($A682, 'L &amp; T'!A:A, 'L &amp; T'!B:B, "")</f>
        <v>1847.28</v>
      </c>
    </row>
    <row r="683" spans="1:8" x14ac:dyDescent="0.3">
      <c r="A683" s="1">
        <v>44831</v>
      </c>
      <c r="B683" s="4">
        <f>_xlfn.XLOOKUP($A683, 'Nifty 50'!A:A, 'Nifty 50'!B:B, "")</f>
        <v>17007.400000000001</v>
      </c>
      <c r="C683" s="4">
        <f>_xlfn.XLOOKUP($A683, Reliance!A:A, Reliance!B:B, "")</f>
        <v>1087.73</v>
      </c>
      <c r="D683" s="4">
        <f>_xlfn.XLOOKUP($A683, HDFC!A:A, HDFC!B:B, "")</f>
        <v>705.17</v>
      </c>
      <c r="E683" s="4">
        <f>_xlfn.XLOOKUP($A683, ITC!A:A, ITC!B:B, "")</f>
        <v>332.8</v>
      </c>
      <c r="F683" s="4">
        <f>_xlfn.XLOOKUP($A683, TCS!A:A, TCS!B:B, "")</f>
        <v>2943.9</v>
      </c>
      <c r="G683" s="4">
        <f>_xlfn.XLOOKUP($A683, Infosys!A:A, Infosys!B:B,"")</f>
        <v>1385.74</v>
      </c>
      <c r="H683" s="4">
        <f>_xlfn.XLOOKUP($A683, 'L &amp; T'!A:A, 'L &amp; T'!B:B, "")</f>
        <v>1837.06</v>
      </c>
    </row>
    <row r="684" spans="1:8" x14ac:dyDescent="0.3">
      <c r="A684" s="1">
        <v>44832</v>
      </c>
      <c r="B684" s="4">
        <f>_xlfn.XLOOKUP($A684, 'Nifty 50'!A:A, 'Nifty 50'!B:B, "")</f>
        <v>16858.599999999999</v>
      </c>
      <c r="C684" s="4">
        <f>_xlfn.XLOOKUP($A684, Reliance!A:A, Reliance!B:B, "")</f>
        <v>1058.77</v>
      </c>
      <c r="D684" s="4">
        <f>_xlfn.XLOOKUP($A684, HDFC!A:A, HDFC!B:B, "")</f>
        <v>693.05</v>
      </c>
      <c r="E684" s="4">
        <f>_xlfn.XLOOKUP($A684, ITC!A:A, ITC!B:B, "")</f>
        <v>322.95999999999998</v>
      </c>
      <c r="F684" s="4">
        <f>_xlfn.XLOOKUP($A684, TCS!A:A, TCS!B:B, "")</f>
        <v>2961.66</v>
      </c>
      <c r="G684" s="4">
        <f>_xlfn.XLOOKUP($A684, Infosys!A:A, Infosys!B:B,"")</f>
        <v>1386.88</v>
      </c>
      <c r="H684" s="4">
        <f>_xlfn.XLOOKUP($A684, 'L &amp; T'!A:A, 'L &amp; T'!B:B, "")</f>
        <v>1831.32</v>
      </c>
    </row>
    <row r="685" spans="1:8" x14ac:dyDescent="0.3">
      <c r="A685" s="1">
        <v>44833</v>
      </c>
      <c r="B685" s="4">
        <f>_xlfn.XLOOKUP($A685, 'Nifty 50'!A:A, 'Nifty 50'!B:B, "")</f>
        <v>16818.099999999999</v>
      </c>
      <c r="C685" s="4">
        <f>_xlfn.XLOOKUP($A685, Reliance!A:A, Reliance!B:B, "")</f>
        <v>1055.52</v>
      </c>
      <c r="D685" s="4">
        <f>_xlfn.XLOOKUP($A685, HDFC!A:A, HDFC!B:B, "")</f>
        <v>689.46</v>
      </c>
      <c r="E685" s="4">
        <f>_xlfn.XLOOKUP($A685, ITC!A:A, ITC!B:B, "")</f>
        <v>331.01</v>
      </c>
      <c r="F685" s="4">
        <f>_xlfn.XLOOKUP($A685, TCS!A:A, TCS!B:B, "")</f>
        <v>2924.24</v>
      </c>
      <c r="G685" s="4">
        <f>_xlfn.XLOOKUP($A685, Infosys!A:A, Infosys!B:B,"")</f>
        <v>1390.81</v>
      </c>
      <c r="H685" s="4">
        <f>_xlfn.XLOOKUP($A685, 'L &amp; T'!A:A, 'L &amp; T'!B:B, "")</f>
        <v>1811.42</v>
      </c>
    </row>
    <row r="686" spans="1:8" x14ac:dyDescent="0.3">
      <c r="A686" s="1">
        <v>44834</v>
      </c>
      <c r="B686" s="4">
        <f>_xlfn.XLOOKUP($A686, 'Nifty 50'!A:A, 'Nifty 50'!B:B, "")</f>
        <v>17094.349999999999</v>
      </c>
      <c r="C686" s="4">
        <f>_xlfn.XLOOKUP($A686, Reliance!A:A, Reliance!B:B, "")</f>
        <v>1079.33</v>
      </c>
      <c r="D686" s="4">
        <f>_xlfn.XLOOKUP($A686, HDFC!A:A, HDFC!B:B, "")</f>
        <v>708.91</v>
      </c>
      <c r="E686" s="4">
        <f>_xlfn.XLOOKUP($A686, ITC!A:A, ITC!B:B, "")</f>
        <v>330.17</v>
      </c>
      <c r="F686" s="4">
        <f>_xlfn.XLOOKUP($A686, TCS!A:A, TCS!B:B, "")</f>
        <v>2931.32</v>
      </c>
      <c r="G686" s="4">
        <f>_xlfn.XLOOKUP($A686, Infosys!A:A, Infosys!B:B,"")</f>
        <v>1405.53</v>
      </c>
      <c r="H686" s="4">
        <f>_xlfn.XLOOKUP($A686, 'L &amp; T'!A:A, 'L &amp; T'!B:B, "")</f>
        <v>1843.54</v>
      </c>
    </row>
    <row r="687" spans="1:8" x14ac:dyDescent="0.3">
      <c r="A687" s="1">
        <v>44837</v>
      </c>
      <c r="B687" s="4">
        <f>_xlfn.XLOOKUP($A687, 'Nifty 50'!A:A, 'Nifty 50'!B:B, "")</f>
        <v>16887.349999999999</v>
      </c>
      <c r="C687" s="4">
        <f>_xlfn.XLOOKUP($A687, Reliance!A:A, Reliance!B:B, "")</f>
        <v>1075.5899999999999</v>
      </c>
      <c r="D687" s="4">
        <f>_xlfn.XLOOKUP($A687, HDFC!A:A, HDFC!B:B, "")</f>
        <v>704.85</v>
      </c>
      <c r="E687" s="4">
        <f>_xlfn.XLOOKUP($A687, ITC!A:A, ITC!B:B, "")</f>
        <v>322.41000000000003</v>
      </c>
      <c r="F687" s="4">
        <f>_xlfn.XLOOKUP($A687, TCS!A:A, TCS!B:B, "")</f>
        <v>2912.19</v>
      </c>
      <c r="G687" s="4">
        <f>_xlfn.XLOOKUP($A687, Infosys!A:A, Infosys!B:B,"")</f>
        <v>1385.94</v>
      </c>
      <c r="H687" s="4">
        <f>_xlfn.XLOOKUP($A687, 'L &amp; T'!A:A, 'L &amp; T'!B:B, "")</f>
        <v>1815.21</v>
      </c>
    </row>
    <row r="688" spans="1:8" x14ac:dyDescent="0.3">
      <c r="A688" s="1">
        <v>44838</v>
      </c>
      <c r="B688" s="4">
        <f>_xlfn.XLOOKUP($A688, 'Nifty 50'!A:A, 'Nifty 50'!B:B, "")</f>
        <v>17274.3</v>
      </c>
      <c r="C688" s="4">
        <f>_xlfn.XLOOKUP($A688, Reliance!A:A, Reliance!B:B, "")</f>
        <v>1095.42</v>
      </c>
      <c r="D688" s="4">
        <f>_xlfn.XLOOKUP($A688, HDFC!A:A, HDFC!B:B, "")</f>
        <v>724.7</v>
      </c>
      <c r="E688" s="4">
        <f>_xlfn.XLOOKUP($A688, ITC!A:A, ITC!B:B, "")</f>
        <v>330.81</v>
      </c>
      <c r="F688" s="4">
        <f>_xlfn.XLOOKUP($A688, TCS!A:A, TCS!B:B, "")</f>
        <v>3015.8</v>
      </c>
      <c r="G688" s="4">
        <f>_xlfn.XLOOKUP($A688, Infosys!A:A, Infosys!B:B,"")</f>
        <v>1421.39</v>
      </c>
      <c r="H688" s="4">
        <f>_xlfn.XLOOKUP($A688, 'L &amp; T'!A:A, 'L &amp; T'!B:B, "")</f>
        <v>1867.34</v>
      </c>
    </row>
    <row r="689" spans="1:8" x14ac:dyDescent="0.3">
      <c r="A689" s="1">
        <v>44840</v>
      </c>
      <c r="B689" s="4">
        <f>_xlfn.XLOOKUP($A689, 'Nifty 50'!A:A, 'Nifty 50'!B:B, "")</f>
        <v>17331.8</v>
      </c>
      <c r="C689" s="4">
        <f>_xlfn.XLOOKUP($A689, Reliance!A:A, Reliance!B:B, "")</f>
        <v>1099.46</v>
      </c>
      <c r="D689" s="4">
        <f>_xlfn.XLOOKUP($A689, HDFC!A:A, HDFC!B:B, "")</f>
        <v>716.72</v>
      </c>
      <c r="E689" s="4">
        <f>_xlfn.XLOOKUP($A689, ITC!A:A, ITC!B:B, "")</f>
        <v>334.59</v>
      </c>
      <c r="F689" s="4">
        <f>_xlfn.XLOOKUP($A689, TCS!A:A, TCS!B:B, "")</f>
        <v>3026.34</v>
      </c>
      <c r="G689" s="4">
        <f>_xlfn.XLOOKUP($A689, Infosys!A:A, Infosys!B:B,"")</f>
        <v>1446.99</v>
      </c>
      <c r="H689" s="4">
        <f>_xlfn.XLOOKUP($A689, 'L &amp; T'!A:A, 'L &amp; T'!B:B, "")</f>
        <v>1908.65</v>
      </c>
    </row>
    <row r="690" spans="1:8" x14ac:dyDescent="0.3">
      <c r="A690" s="1">
        <v>44841</v>
      </c>
      <c r="B690" s="4">
        <f>_xlfn.XLOOKUP($A690, 'Nifty 50'!A:A, 'Nifty 50'!B:B, "")</f>
        <v>17314.650000000001</v>
      </c>
      <c r="C690" s="4">
        <f>_xlfn.XLOOKUP($A690, Reliance!A:A, Reliance!B:B, "")</f>
        <v>1104.1199999999999</v>
      </c>
      <c r="D690" s="4">
        <f>_xlfn.XLOOKUP($A690, HDFC!A:A, HDFC!B:B, "")</f>
        <v>713.62</v>
      </c>
      <c r="E690" s="4">
        <f>_xlfn.XLOOKUP($A690, ITC!A:A, ITC!B:B, "")</f>
        <v>332.05</v>
      </c>
      <c r="F690" s="4">
        <f>_xlfn.XLOOKUP($A690, TCS!A:A, TCS!B:B, "")</f>
        <v>2990.2</v>
      </c>
      <c r="G690" s="4">
        <f>_xlfn.XLOOKUP($A690, Infosys!A:A, Infosys!B:B,"")</f>
        <v>1443.07</v>
      </c>
      <c r="H690" s="4">
        <f>_xlfn.XLOOKUP($A690, 'L &amp; T'!A:A, 'L &amp; T'!B:B, "")</f>
        <v>1920.22</v>
      </c>
    </row>
    <row r="691" spans="1:8" x14ac:dyDescent="0.3">
      <c r="A691" s="1">
        <v>44844</v>
      </c>
      <c r="B691" s="4">
        <f>_xlfn.XLOOKUP($A691, 'Nifty 50'!A:A, 'Nifty 50'!B:B, "")</f>
        <v>17241</v>
      </c>
      <c r="C691" s="4">
        <f>_xlfn.XLOOKUP($A691, Reliance!A:A, Reliance!B:B, "")</f>
        <v>1092.06</v>
      </c>
      <c r="D691" s="4">
        <f>_xlfn.XLOOKUP($A691, HDFC!A:A, HDFC!B:B, "")</f>
        <v>705.74</v>
      </c>
      <c r="E691" s="4">
        <f>_xlfn.XLOOKUP($A691, ITC!A:A, ITC!B:B, "")</f>
        <v>325.83999999999997</v>
      </c>
      <c r="F691" s="4">
        <f>_xlfn.XLOOKUP($A691, TCS!A:A, TCS!B:B, "")</f>
        <v>3042.54</v>
      </c>
      <c r="G691" s="4">
        <f>_xlfn.XLOOKUP($A691, Infosys!A:A, Infosys!B:B,"")</f>
        <v>1454.45</v>
      </c>
      <c r="H691" s="4">
        <f>_xlfn.XLOOKUP($A691, 'L &amp; T'!A:A, 'L &amp; T'!B:B, "")</f>
        <v>1905.35</v>
      </c>
    </row>
    <row r="692" spans="1:8" x14ac:dyDescent="0.3">
      <c r="A692" s="1">
        <v>44845</v>
      </c>
      <c r="B692" s="4">
        <f>_xlfn.XLOOKUP($A692, 'Nifty 50'!A:A, 'Nifty 50'!B:B, "")</f>
        <v>16983.55</v>
      </c>
      <c r="C692" s="4">
        <f>_xlfn.XLOOKUP($A692, Reliance!A:A, Reliance!B:B, "")</f>
        <v>1070.32</v>
      </c>
      <c r="D692" s="4">
        <f>_xlfn.XLOOKUP($A692, HDFC!A:A, HDFC!B:B, "")</f>
        <v>698.59</v>
      </c>
      <c r="E692" s="4">
        <f>_xlfn.XLOOKUP($A692, ITC!A:A, ITC!B:B, "")</f>
        <v>324.3</v>
      </c>
      <c r="F692" s="4">
        <f>_xlfn.XLOOKUP($A692, TCS!A:A, TCS!B:B, "")</f>
        <v>2994.73</v>
      </c>
      <c r="G692" s="4">
        <f>_xlfn.XLOOKUP($A692, Infosys!A:A, Infosys!B:B,"")</f>
        <v>1415.82</v>
      </c>
      <c r="H692" s="4">
        <f>_xlfn.XLOOKUP($A692, 'L &amp; T'!A:A, 'L &amp; T'!B:B, "")</f>
        <v>1874.72</v>
      </c>
    </row>
    <row r="693" spans="1:8" x14ac:dyDescent="0.3">
      <c r="A693" s="1">
        <v>44846</v>
      </c>
      <c r="B693" s="4">
        <f>_xlfn.XLOOKUP($A693, 'Nifty 50'!A:A, 'Nifty 50'!B:B, "")</f>
        <v>17123.599999999999</v>
      </c>
      <c r="C693" s="4">
        <f>_xlfn.XLOOKUP($A693, Reliance!A:A, Reliance!B:B, "")</f>
        <v>1078.2</v>
      </c>
      <c r="D693" s="4">
        <f>_xlfn.XLOOKUP($A693, HDFC!A:A, HDFC!B:B, "")</f>
        <v>703.15</v>
      </c>
      <c r="E693" s="4">
        <f>_xlfn.XLOOKUP($A693, ITC!A:A, ITC!B:B, "")</f>
        <v>328.08</v>
      </c>
      <c r="F693" s="4">
        <f>_xlfn.XLOOKUP($A693, TCS!A:A, TCS!B:B, "")</f>
        <v>3025.17</v>
      </c>
      <c r="G693" s="4">
        <f>_xlfn.XLOOKUP($A693, Infosys!A:A, Infosys!B:B,"")</f>
        <v>1420.69</v>
      </c>
      <c r="H693" s="4">
        <f>_xlfn.XLOOKUP($A693, 'L &amp; T'!A:A, 'L &amp; T'!B:B, "")</f>
        <v>1906.95</v>
      </c>
    </row>
    <row r="694" spans="1:8" x14ac:dyDescent="0.3">
      <c r="A694" s="1">
        <v>44847</v>
      </c>
      <c r="B694" s="4">
        <f>_xlfn.XLOOKUP($A694, 'Nifty 50'!A:A, 'Nifty 50'!B:B, "")</f>
        <v>17014.349999999999</v>
      </c>
      <c r="C694" s="4">
        <f>_xlfn.XLOOKUP($A694, Reliance!A:A, Reliance!B:B, "")</f>
        <v>1081.6199999999999</v>
      </c>
      <c r="D694" s="4">
        <f>_xlfn.XLOOKUP($A694, HDFC!A:A, HDFC!B:B, "")</f>
        <v>695.07</v>
      </c>
      <c r="E694" s="4">
        <f>_xlfn.XLOOKUP($A694, ITC!A:A, ITC!B:B, "")</f>
        <v>326.64</v>
      </c>
      <c r="F694" s="4">
        <f>_xlfn.XLOOKUP($A694, TCS!A:A, TCS!B:B, "")</f>
        <v>3027.66</v>
      </c>
      <c r="G694" s="4">
        <f>_xlfn.XLOOKUP($A694, Infosys!A:A, Infosys!B:B,"")</f>
        <v>1411.94</v>
      </c>
      <c r="H694" s="4">
        <f>_xlfn.XLOOKUP($A694, 'L &amp; T'!A:A, 'L &amp; T'!B:B, "")</f>
        <v>1871.93</v>
      </c>
    </row>
    <row r="695" spans="1:8" x14ac:dyDescent="0.3">
      <c r="A695" s="1">
        <v>44848</v>
      </c>
      <c r="B695" s="4">
        <f>_xlfn.XLOOKUP($A695, 'Nifty 50'!A:A, 'Nifty 50'!B:B, "")</f>
        <v>17185.7</v>
      </c>
      <c r="C695" s="4">
        <f>_xlfn.XLOOKUP($A695, Reliance!A:A, Reliance!B:B, "")</f>
        <v>1076.1300000000001</v>
      </c>
      <c r="D695" s="4">
        <f>_xlfn.XLOOKUP($A695, HDFC!A:A, HDFC!B:B, "")</f>
        <v>717.71</v>
      </c>
      <c r="E695" s="4">
        <f>_xlfn.XLOOKUP($A695, ITC!A:A, ITC!B:B, "")</f>
        <v>330.07</v>
      </c>
      <c r="F695" s="4">
        <f>_xlfn.XLOOKUP($A695, TCS!A:A, TCS!B:B, "")</f>
        <v>3023.61</v>
      </c>
      <c r="G695" s="4">
        <f>_xlfn.XLOOKUP($A695, Infosys!A:A, Infosys!B:B,"")</f>
        <v>1465.99</v>
      </c>
      <c r="H695" s="4">
        <f>_xlfn.XLOOKUP($A695, 'L &amp; T'!A:A, 'L &amp; T'!B:B, "")</f>
        <v>1907.3</v>
      </c>
    </row>
    <row r="696" spans="1:8" x14ac:dyDescent="0.3">
      <c r="A696" s="1">
        <v>44851</v>
      </c>
      <c r="B696" s="4">
        <f>_xlfn.XLOOKUP($A696, 'Nifty 50'!A:A, 'Nifty 50'!B:B, "")</f>
        <v>17311.8</v>
      </c>
      <c r="C696" s="4">
        <f>_xlfn.XLOOKUP($A696, Reliance!A:A, Reliance!B:B, "")</f>
        <v>1093.4000000000001</v>
      </c>
      <c r="D696" s="4">
        <f>_xlfn.XLOOKUP($A696, HDFC!A:A, HDFC!B:B, "")</f>
        <v>721.48</v>
      </c>
      <c r="E696" s="4">
        <f>_xlfn.XLOOKUP($A696, ITC!A:A, ITC!B:B, "")</f>
        <v>330.22</v>
      </c>
      <c r="F696" s="4">
        <f>_xlfn.XLOOKUP($A696, TCS!A:A, TCS!B:B, "")</f>
        <v>3035.9</v>
      </c>
      <c r="G696" s="4">
        <f>_xlfn.XLOOKUP($A696, Infosys!A:A, Infosys!B:B,"")</f>
        <v>1481.6</v>
      </c>
      <c r="H696" s="4">
        <f>_xlfn.XLOOKUP($A696, 'L &amp; T'!A:A, 'L &amp; T'!B:B, "")</f>
        <v>1878.96</v>
      </c>
    </row>
    <row r="697" spans="1:8" x14ac:dyDescent="0.3">
      <c r="A697" s="1">
        <v>44852</v>
      </c>
      <c r="B697" s="4">
        <f>_xlfn.XLOOKUP($A697, 'Nifty 50'!A:A, 'Nifty 50'!B:B, "")</f>
        <v>17486.95</v>
      </c>
      <c r="C697" s="4">
        <f>_xlfn.XLOOKUP($A697, Reliance!A:A, Reliance!B:B, "")</f>
        <v>1112.69</v>
      </c>
      <c r="D697" s="4">
        <f>_xlfn.XLOOKUP($A697, HDFC!A:A, HDFC!B:B, "")</f>
        <v>720.13</v>
      </c>
      <c r="E697" s="4">
        <f>_xlfn.XLOOKUP($A697, ITC!A:A, ITC!B:B, "")</f>
        <v>338.22</v>
      </c>
      <c r="F697" s="4">
        <f>_xlfn.XLOOKUP($A697, TCS!A:A, TCS!B:B, "")</f>
        <v>3068.05</v>
      </c>
      <c r="G697" s="4">
        <f>_xlfn.XLOOKUP($A697, Infosys!A:A, Infosys!B:B,"")</f>
        <v>1495.27</v>
      </c>
      <c r="H697" s="4">
        <f>_xlfn.XLOOKUP($A697, 'L &amp; T'!A:A, 'L &amp; T'!B:B, "")</f>
        <v>1913.78</v>
      </c>
    </row>
    <row r="698" spans="1:8" x14ac:dyDescent="0.3">
      <c r="A698" s="1">
        <v>44853</v>
      </c>
      <c r="B698" s="4">
        <f>_xlfn.XLOOKUP($A698, 'Nifty 50'!A:A, 'Nifty 50'!B:B, "")</f>
        <v>17512.25</v>
      </c>
      <c r="C698" s="4">
        <f>_xlfn.XLOOKUP($A698, Reliance!A:A, Reliance!B:B, "")</f>
        <v>1132.05</v>
      </c>
      <c r="D698" s="4">
        <f>_xlfn.XLOOKUP($A698, HDFC!A:A, HDFC!B:B, "")</f>
        <v>727.51</v>
      </c>
      <c r="E698" s="4">
        <f>_xlfn.XLOOKUP($A698, ITC!A:A, ITC!B:B, "")</f>
        <v>344.23</v>
      </c>
      <c r="F698" s="4">
        <f>_xlfn.XLOOKUP($A698, TCS!A:A, TCS!B:B, "")</f>
        <v>3045.76</v>
      </c>
      <c r="G698" s="4">
        <f>_xlfn.XLOOKUP($A698, Infosys!A:A, Infosys!B:B,"")</f>
        <v>1477.13</v>
      </c>
      <c r="H698" s="4">
        <f>_xlfn.XLOOKUP($A698, 'L &amp; T'!A:A, 'L &amp; T'!B:B, "")</f>
        <v>1900.61</v>
      </c>
    </row>
    <row r="699" spans="1:8" x14ac:dyDescent="0.3">
      <c r="A699" s="1">
        <v>44854</v>
      </c>
      <c r="B699" s="4">
        <f>_xlfn.XLOOKUP($A699, 'Nifty 50'!A:A, 'Nifty 50'!B:B, "")</f>
        <v>17563.95</v>
      </c>
      <c r="C699" s="4">
        <f>_xlfn.XLOOKUP($A699, Reliance!A:A, Reliance!B:B, "")</f>
        <v>1135.0999999999999</v>
      </c>
      <c r="D699" s="4">
        <f>_xlfn.XLOOKUP($A699, HDFC!A:A, HDFC!B:B, "")</f>
        <v>722.6</v>
      </c>
      <c r="E699" s="4">
        <f>_xlfn.XLOOKUP($A699, ITC!A:A, ITC!B:B, "")</f>
        <v>347.56</v>
      </c>
      <c r="F699" s="4">
        <f>_xlfn.XLOOKUP($A699, TCS!A:A, TCS!B:B, "")</f>
        <v>3080.34</v>
      </c>
      <c r="G699" s="4">
        <f>_xlfn.XLOOKUP($A699, Infosys!A:A, Infosys!B:B,"")</f>
        <v>1492.49</v>
      </c>
      <c r="H699" s="4">
        <f>_xlfn.XLOOKUP($A699, 'L &amp; T'!A:A, 'L &amp; T'!B:B, "")</f>
        <v>1899.87</v>
      </c>
    </row>
    <row r="700" spans="1:8" x14ac:dyDescent="0.3">
      <c r="A700" s="1">
        <v>44855</v>
      </c>
      <c r="B700" s="4">
        <f>_xlfn.XLOOKUP($A700, 'Nifty 50'!A:A, 'Nifty 50'!B:B, "")</f>
        <v>17576.3</v>
      </c>
      <c r="C700" s="4">
        <f>_xlfn.XLOOKUP($A700, Reliance!A:A, Reliance!B:B, "")</f>
        <v>1121.93</v>
      </c>
      <c r="D700" s="4">
        <f>_xlfn.XLOOKUP($A700, HDFC!A:A, HDFC!B:B, "")</f>
        <v>717.51</v>
      </c>
      <c r="E700" s="4">
        <f>_xlfn.XLOOKUP($A700, ITC!A:A, ITC!B:B, "")</f>
        <v>343.48</v>
      </c>
      <c r="F700" s="4">
        <f>_xlfn.XLOOKUP($A700, TCS!A:A, TCS!B:B, "")</f>
        <v>3060.93</v>
      </c>
      <c r="G700" s="4">
        <f>_xlfn.XLOOKUP($A700, Infosys!A:A, Infosys!B:B,"")</f>
        <v>1492.09</v>
      </c>
      <c r="H700" s="4">
        <f>_xlfn.XLOOKUP($A700, 'L &amp; T'!A:A, 'L &amp; T'!B:B, "")</f>
        <v>1872.53</v>
      </c>
    </row>
    <row r="701" spans="1:8" x14ac:dyDescent="0.3">
      <c r="A701" s="1">
        <v>44858</v>
      </c>
      <c r="B701" s="4">
        <f>_xlfn.XLOOKUP($A701, 'Nifty 50'!A:A, 'Nifty 50'!B:B, "")</f>
        <v>17730.75</v>
      </c>
      <c r="C701" s="4">
        <f>_xlfn.XLOOKUP($A701, Reliance!A:A, Reliance!B:B, "")</f>
        <v>1125.68</v>
      </c>
      <c r="D701" s="4">
        <f>_xlfn.XLOOKUP($A701, HDFC!A:A, HDFC!B:B, "")</f>
        <v>728.71</v>
      </c>
      <c r="E701" s="4">
        <f>_xlfn.XLOOKUP($A701, ITC!A:A, ITC!B:B, "")</f>
        <v>345.57</v>
      </c>
      <c r="F701" s="4">
        <f>_xlfn.XLOOKUP($A701, TCS!A:A, TCS!B:B, "")</f>
        <v>3084.64</v>
      </c>
      <c r="G701" s="4">
        <f>_xlfn.XLOOKUP($A701, Infosys!A:A, Infosys!B:B,"")</f>
        <v>1509.34</v>
      </c>
      <c r="H701" s="4">
        <f>_xlfn.XLOOKUP($A701, 'L &amp; T'!A:A, 'L &amp; T'!B:B, "")</f>
        <v>1905.45</v>
      </c>
    </row>
    <row r="702" spans="1:8" x14ac:dyDescent="0.3">
      <c r="A702" s="1">
        <v>44859</v>
      </c>
      <c r="B702" s="4">
        <f>_xlfn.XLOOKUP($A702, 'Nifty 50'!A:A, 'Nifty 50'!B:B, "")</f>
        <v>17656.349999999999</v>
      </c>
      <c r="C702" s="4">
        <f>_xlfn.XLOOKUP($A702, Reliance!A:A, Reliance!B:B, "")</f>
        <v>1108.29</v>
      </c>
      <c r="D702" s="4">
        <f>_xlfn.XLOOKUP($A702, HDFC!A:A, HDFC!B:B, "")</f>
        <v>723.65</v>
      </c>
      <c r="E702" s="4">
        <f>_xlfn.XLOOKUP($A702, ITC!A:A, ITC!B:B, "")</f>
        <v>344.18</v>
      </c>
      <c r="F702" s="4">
        <f>_xlfn.XLOOKUP($A702, TCS!A:A, TCS!B:B, "")</f>
        <v>3085.03</v>
      </c>
      <c r="G702" s="4">
        <f>_xlfn.XLOOKUP($A702, Infosys!A:A, Infosys!B:B,"")</f>
        <v>1517.75</v>
      </c>
      <c r="H702" s="4">
        <f>_xlfn.XLOOKUP($A702, 'L &amp; T'!A:A, 'L &amp; T'!B:B, "")</f>
        <v>1944.71</v>
      </c>
    </row>
    <row r="703" spans="1:8" x14ac:dyDescent="0.3">
      <c r="A703" s="1">
        <v>44861</v>
      </c>
      <c r="B703" s="4">
        <f>_xlfn.XLOOKUP($A703, 'Nifty 50'!A:A, 'Nifty 50'!B:B, "")</f>
        <v>17736.95</v>
      </c>
      <c r="C703" s="4">
        <f>_xlfn.XLOOKUP($A703, Reliance!A:A, Reliance!B:B, "")</f>
        <v>1112.6500000000001</v>
      </c>
      <c r="D703" s="4">
        <f>_xlfn.XLOOKUP($A703, HDFC!A:A, HDFC!B:B, "")</f>
        <v>725.4</v>
      </c>
      <c r="E703" s="4">
        <f>_xlfn.XLOOKUP($A703, ITC!A:A, ITC!B:B, "")</f>
        <v>343.68</v>
      </c>
      <c r="F703" s="4">
        <f>_xlfn.XLOOKUP($A703, TCS!A:A, TCS!B:B, "")</f>
        <v>3080.44</v>
      </c>
      <c r="G703" s="4">
        <f>_xlfn.XLOOKUP($A703, Infosys!A:A, Infosys!B:B,"")</f>
        <v>1515.41</v>
      </c>
      <c r="H703" s="4">
        <f>_xlfn.XLOOKUP($A703, 'L &amp; T'!A:A, 'L &amp; T'!B:B, "")</f>
        <v>1959.63</v>
      </c>
    </row>
    <row r="704" spans="1:8" x14ac:dyDescent="0.3">
      <c r="A704" s="1">
        <v>44862</v>
      </c>
      <c r="B704" s="4">
        <f>_xlfn.XLOOKUP($A704, 'Nifty 50'!A:A, 'Nifty 50'!B:B, "")</f>
        <v>17786.8</v>
      </c>
      <c r="C704" s="4">
        <f>_xlfn.XLOOKUP($A704, Reliance!A:A, Reliance!B:B, "")</f>
        <v>1146.69</v>
      </c>
      <c r="D704" s="4">
        <f>_xlfn.XLOOKUP($A704, HDFC!A:A, HDFC!B:B, "")</f>
        <v>727.54</v>
      </c>
      <c r="E704" s="4">
        <f>_xlfn.XLOOKUP($A704, ITC!A:A, ITC!B:B, "")</f>
        <v>343.68</v>
      </c>
      <c r="F704" s="4">
        <f>_xlfn.XLOOKUP($A704, TCS!A:A, TCS!B:B, "")</f>
        <v>3086.15</v>
      </c>
      <c r="G704" s="4">
        <f>_xlfn.XLOOKUP($A704, Infosys!A:A, Infosys!B:B,"")</f>
        <v>1504.77</v>
      </c>
      <c r="H704" s="4">
        <f>_xlfn.XLOOKUP($A704, 'L &amp; T'!A:A, 'L &amp; T'!B:B, "")</f>
        <v>1970.61</v>
      </c>
    </row>
    <row r="705" spans="1:8" x14ac:dyDescent="0.3">
      <c r="A705" s="1">
        <v>44865</v>
      </c>
      <c r="B705" s="4">
        <f>_xlfn.XLOOKUP($A705, 'Nifty 50'!A:A, 'Nifty 50'!B:B, "")</f>
        <v>18012.2</v>
      </c>
      <c r="C705" s="4">
        <f>_xlfn.XLOOKUP($A705, Reliance!A:A, Reliance!B:B, "")</f>
        <v>1157.3399999999999</v>
      </c>
      <c r="D705" s="4">
        <f>_xlfn.XLOOKUP($A705, HDFC!A:A, HDFC!B:B, "")</f>
        <v>746.49</v>
      </c>
      <c r="E705" s="4">
        <f>_xlfn.XLOOKUP($A705, ITC!A:A, ITC!B:B, "")</f>
        <v>346.57</v>
      </c>
      <c r="F705" s="4">
        <f>_xlfn.XLOOKUP($A705, TCS!A:A, TCS!B:B, "")</f>
        <v>3115.32</v>
      </c>
      <c r="G705" s="4">
        <f>_xlfn.XLOOKUP($A705, Infosys!A:A, Infosys!B:B,"")</f>
        <v>1529.03</v>
      </c>
      <c r="H705" s="4">
        <f>_xlfn.XLOOKUP($A705, 'L &amp; T'!A:A, 'L &amp; T'!B:B, "")</f>
        <v>2018.55</v>
      </c>
    </row>
    <row r="706" spans="1:8" x14ac:dyDescent="0.3">
      <c r="A706" s="1">
        <v>44866</v>
      </c>
      <c r="B706" s="4">
        <f>_xlfn.XLOOKUP($A706, 'Nifty 50'!A:A, 'Nifty 50'!B:B, "")</f>
        <v>18145.400000000001</v>
      </c>
      <c r="C706" s="4">
        <f>_xlfn.XLOOKUP($A706, Reliance!A:A, Reliance!B:B, "")</f>
        <v>1148.3699999999999</v>
      </c>
      <c r="D706" s="4">
        <f>_xlfn.XLOOKUP($A706, HDFC!A:A, HDFC!B:B, "")</f>
        <v>754.75</v>
      </c>
      <c r="E706" s="4">
        <f>_xlfn.XLOOKUP($A706, ITC!A:A, ITC!B:B, "")</f>
        <v>347.36</v>
      </c>
      <c r="F706" s="4">
        <f>_xlfn.XLOOKUP($A706, TCS!A:A, TCS!B:B, "")</f>
        <v>3180.25</v>
      </c>
      <c r="G706" s="4">
        <f>_xlfn.XLOOKUP($A706, Infosys!A:A, Infosys!B:B,"")</f>
        <v>1564.19</v>
      </c>
      <c r="H706" s="4">
        <f>_xlfn.XLOOKUP($A706, 'L &amp; T'!A:A, 'L &amp; T'!B:B, "")</f>
        <v>2019.9</v>
      </c>
    </row>
    <row r="707" spans="1:8" x14ac:dyDescent="0.3">
      <c r="A707" s="1">
        <v>44867</v>
      </c>
      <c r="B707" s="4">
        <f>_xlfn.XLOOKUP($A707, 'Nifty 50'!A:A, 'Nifty 50'!B:B, "")</f>
        <v>18082.849999999999</v>
      </c>
      <c r="C707" s="4">
        <f>_xlfn.XLOOKUP($A707, Reliance!A:A, Reliance!B:B, "")</f>
        <v>1155.55</v>
      </c>
      <c r="D707" s="4">
        <f>_xlfn.XLOOKUP($A707, HDFC!A:A, HDFC!B:B, "")</f>
        <v>755.22</v>
      </c>
      <c r="E707" s="4">
        <f>_xlfn.XLOOKUP($A707, ITC!A:A, ITC!B:B, "")</f>
        <v>352.48</v>
      </c>
      <c r="F707" s="4">
        <f>_xlfn.XLOOKUP($A707, TCS!A:A, TCS!B:B, "")</f>
        <v>3162.69</v>
      </c>
      <c r="G707" s="4">
        <f>_xlfn.XLOOKUP($A707, Infosys!A:A, Infosys!B:B,"")</f>
        <v>1544.59</v>
      </c>
      <c r="H707" s="4">
        <f>_xlfn.XLOOKUP($A707, 'L &amp; T'!A:A, 'L &amp; T'!B:B, "")</f>
        <v>2008.77</v>
      </c>
    </row>
    <row r="708" spans="1:8" x14ac:dyDescent="0.3">
      <c r="A708" s="1">
        <v>44868</v>
      </c>
      <c r="B708" s="4">
        <f>_xlfn.XLOOKUP($A708, 'Nifty 50'!A:A, 'Nifty 50'!B:B, "")</f>
        <v>18052.7</v>
      </c>
      <c r="C708" s="4">
        <f>_xlfn.XLOOKUP($A708, Reliance!A:A, Reliance!B:B, "")</f>
        <v>1159.8599999999999</v>
      </c>
      <c r="D708" s="4">
        <f>_xlfn.XLOOKUP($A708, HDFC!A:A, HDFC!B:B, "")</f>
        <v>751.9</v>
      </c>
      <c r="E708" s="4">
        <f>_xlfn.XLOOKUP($A708, ITC!A:A, ITC!B:B, "")</f>
        <v>351.53</v>
      </c>
      <c r="F708" s="4">
        <f>_xlfn.XLOOKUP($A708, TCS!A:A, TCS!B:B, "")</f>
        <v>3128.59</v>
      </c>
      <c r="G708" s="4">
        <f>_xlfn.XLOOKUP($A708, Infosys!A:A, Infosys!B:B,"")</f>
        <v>1522.17</v>
      </c>
      <c r="H708" s="4">
        <f>_xlfn.XLOOKUP($A708, 'L &amp; T'!A:A, 'L &amp; T'!B:B, "")</f>
        <v>2004.18</v>
      </c>
    </row>
    <row r="709" spans="1:8" x14ac:dyDescent="0.3">
      <c r="A709" s="1">
        <v>44869</v>
      </c>
      <c r="B709" s="4">
        <f>_xlfn.XLOOKUP($A709, 'Nifty 50'!A:A, 'Nifty 50'!B:B, "")</f>
        <v>18117.150000000001</v>
      </c>
      <c r="C709" s="4">
        <f>_xlfn.XLOOKUP($A709, Reliance!A:A, Reliance!B:B, "")</f>
        <v>1176.93</v>
      </c>
      <c r="D709" s="4">
        <f>_xlfn.XLOOKUP($A709, HDFC!A:A, HDFC!B:B, "")</f>
        <v>746.72</v>
      </c>
      <c r="E709" s="4">
        <f>_xlfn.XLOOKUP($A709, ITC!A:A, ITC!B:B, "")</f>
        <v>351.43</v>
      </c>
      <c r="F709" s="4">
        <f>_xlfn.XLOOKUP($A709, TCS!A:A, TCS!B:B, "")</f>
        <v>3138.98</v>
      </c>
      <c r="G709" s="4">
        <f>_xlfn.XLOOKUP($A709, Infosys!A:A, Infosys!B:B,"")</f>
        <v>1505.52</v>
      </c>
      <c r="H709" s="4">
        <f>_xlfn.XLOOKUP($A709, 'L &amp; T'!A:A, 'L &amp; T'!B:B, "")</f>
        <v>2010.57</v>
      </c>
    </row>
    <row r="710" spans="1:8" x14ac:dyDescent="0.3">
      <c r="A710" s="1">
        <v>44872</v>
      </c>
      <c r="B710" s="4">
        <f>_xlfn.XLOOKUP($A710, 'Nifty 50'!A:A, 'Nifty 50'!B:B, "")</f>
        <v>18202.8</v>
      </c>
      <c r="C710" s="4">
        <f>_xlfn.XLOOKUP($A710, Reliance!A:A, Reliance!B:B, "")</f>
        <v>1183.21</v>
      </c>
      <c r="D710" s="4">
        <f>_xlfn.XLOOKUP($A710, HDFC!A:A, HDFC!B:B, "")</f>
        <v>752.53</v>
      </c>
      <c r="E710" s="4">
        <f>_xlfn.XLOOKUP($A710, ITC!A:A, ITC!B:B, "")</f>
        <v>351.34</v>
      </c>
      <c r="F710" s="4">
        <f>_xlfn.XLOOKUP($A710, TCS!A:A, TCS!B:B, "")</f>
        <v>3154.88</v>
      </c>
      <c r="G710" s="4">
        <f>_xlfn.XLOOKUP($A710, Infosys!A:A, Infosys!B:B,"")</f>
        <v>1499</v>
      </c>
      <c r="H710" s="4">
        <f>_xlfn.XLOOKUP($A710, 'L &amp; T'!A:A, 'L &amp; T'!B:B, "")</f>
        <v>2013.11</v>
      </c>
    </row>
    <row r="711" spans="1:8" x14ac:dyDescent="0.3">
      <c r="A711" s="1">
        <v>44874</v>
      </c>
      <c r="B711" s="4">
        <f>_xlfn.XLOOKUP($A711, 'Nifty 50'!A:A, 'Nifty 50'!B:B, "")</f>
        <v>18157</v>
      </c>
      <c r="C711" s="4">
        <f>_xlfn.XLOOKUP($A711, Reliance!A:A, Reliance!B:B, "")</f>
        <v>1182.03</v>
      </c>
      <c r="D711" s="4">
        <f>_xlfn.XLOOKUP($A711, HDFC!A:A, HDFC!B:B, "")</f>
        <v>752.3</v>
      </c>
      <c r="E711" s="4">
        <f>_xlfn.XLOOKUP($A711, ITC!A:A, ITC!B:B, "")</f>
        <v>358.49</v>
      </c>
      <c r="F711" s="4">
        <f>_xlfn.XLOOKUP($A711, TCS!A:A, TCS!B:B, "")</f>
        <v>3137.66</v>
      </c>
      <c r="G711" s="4">
        <f>_xlfn.XLOOKUP($A711, Infosys!A:A, Infosys!B:B,"")</f>
        <v>1502.73</v>
      </c>
      <c r="H711" s="4">
        <f>_xlfn.XLOOKUP($A711, 'L &amp; T'!A:A, 'L &amp; T'!B:B, "")</f>
        <v>1998.99</v>
      </c>
    </row>
    <row r="712" spans="1:8" x14ac:dyDescent="0.3">
      <c r="A712" s="1">
        <v>44875</v>
      </c>
      <c r="B712" s="4">
        <f>_xlfn.XLOOKUP($A712, 'Nifty 50'!A:A, 'Nifty 50'!B:B, "")</f>
        <v>18028.2</v>
      </c>
      <c r="C712" s="4">
        <f>_xlfn.XLOOKUP($A712, Reliance!A:A, Reliance!B:B, "")</f>
        <v>1167.73</v>
      </c>
      <c r="D712" s="4">
        <f>_xlfn.XLOOKUP($A712, HDFC!A:A, HDFC!B:B, "")</f>
        <v>760.48</v>
      </c>
      <c r="E712" s="4">
        <f>_xlfn.XLOOKUP($A712, ITC!A:A, ITC!B:B, "")</f>
        <v>353.82</v>
      </c>
      <c r="F712" s="4">
        <f>_xlfn.XLOOKUP($A712, TCS!A:A, TCS!B:B, "")</f>
        <v>3127.51</v>
      </c>
      <c r="G712" s="4">
        <f>_xlfn.XLOOKUP($A712, Infosys!A:A, Infosys!B:B,"")</f>
        <v>1493.53</v>
      </c>
      <c r="H712" s="4">
        <f>_xlfn.XLOOKUP($A712, 'L &amp; T'!A:A, 'L &amp; T'!B:B, "")</f>
        <v>1973.2</v>
      </c>
    </row>
    <row r="713" spans="1:8" x14ac:dyDescent="0.3">
      <c r="A713" s="1">
        <v>44876</v>
      </c>
      <c r="B713" s="4">
        <f>_xlfn.XLOOKUP($A713, 'Nifty 50'!A:A, 'Nifty 50'!B:B, "")</f>
        <v>18349.7</v>
      </c>
      <c r="C713" s="4">
        <f>_xlfn.XLOOKUP($A713, Reliance!A:A, Reliance!B:B, "")</f>
        <v>1194.6500000000001</v>
      </c>
      <c r="D713" s="4">
        <f>_xlfn.XLOOKUP($A713, HDFC!A:A, HDFC!B:B, "")</f>
        <v>803.58</v>
      </c>
      <c r="E713" s="4">
        <f>_xlfn.XLOOKUP($A713, ITC!A:A, ITC!B:B, "")</f>
        <v>354.17</v>
      </c>
      <c r="F713" s="4">
        <f>_xlfn.XLOOKUP($A713, TCS!A:A, TCS!B:B, "")</f>
        <v>3235.13</v>
      </c>
      <c r="G713" s="4">
        <f>_xlfn.XLOOKUP($A713, Infosys!A:A, Infosys!B:B,"")</f>
        <v>1561.3</v>
      </c>
      <c r="H713" s="4">
        <f>_xlfn.XLOOKUP($A713, 'L &amp; T'!A:A, 'L &amp; T'!B:B, "")</f>
        <v>2006.57</v>
      </c>
    </row>
    <row r="714" spans="1:8" x14ac:dyDescent="0.3">
      <c r="A714" s="1">
        <v>44879</v>
      </c>
      <c r="B714" s="4">
        <f>_xlfn.XLOOKUP($A714, 'Nifty 50'!A:A, 'Nifty 50'!B:B, "")</f>
        <v>18329.150000000001</v>
      </c>
      <c r="C714" s="4">
        <f>_xlfn.XLOOKUP($A714, Reliance!A:A, Reliance!B:B, "")</f>
        <v>1188.8599999999999</v>
      </c>
      <c r="D714" s="4">
        <f>_xlfn.XLOOKUP($A714, HDFC!A:A, HDFC!B:B, "")</f>
        <v>805.52</v>
      </c>
      <c r="E714" s="4">
        <f>_xlfn.XLOOKUP($A714, ITC!A:A, ITC!B:B, "")</f>
        <v>345.07</v>
      </c>
      <c r="F714" s="4">
        <f>_xlfn.XLOOKUP($A714, TCS!A:A, TCS!B:B, "")</f>
        <v>3254.2</v>
      </c>
      <c r="G714" s="4">
        <f>_xlfn.XLOOKUP($A714, Infosys!A:A, Infosys!B:B,"")</f>
        <v>1576.42</v>
      </c>
      <c r="H714" s="4">
        <f>_xlfn.XLOOKUP($A714, 'L &amp; T'!A:A, 'L &amp; T'!B:B, "")</f>
        <v>1995.3</v>
      </c>
    </row>
    <row r="715" spans="1:8" x14ac:dyDescent="0.3">
      <c r="A715" s="1">
        <v>44880</v>
      </c>
      <c r="B715" s="4">
        <f>_xlfn.XLOOKUP($A715, 'Nifty 50'!A:A, 'Nifty 50'!B:B, "")</f>
        <v>18403.400000000001</v>
      </c>
      <c r="C715" s="4">
        <f>_xlfn.XLOOKUP($A715, Reliance!A:A, Reliance!B:B, "")</f>
        <v>1183.53</v>
      </c>
      <c r="D715" s="4">
        <f>_xlfn.XLOOKUP($A715, HDFC!A:A, HDFC!B:B, "")</f>
        <v>807.49</v>
      </c>
      <c r="E715" s="4">
        <f>_xlfn.XLOOKUP($A715, ITC!A:A, ITC!B:B, "")</f>
        <v>343.14</v>
      </c>
      <c r="F715" s="4">
        <f>_xlfn.XLOOKUP($A715, TCS!A:A, TCS!B:B, "")</f>
        <v>3251.37</v>
      </c>
      <c r="G715" s="4">
        <f>_xlfn.XLOOKUP($A715, Infosys!A:A, Infosys!B:B,"")</f>
        <v>1585.07</v>
      </c>
      <c r="H715" s="4">
        <f>_xlfn.XLOOKUP($A715, 'L &amp; T'!A:A, 'L &amp; T'!B:B, "")</f>
        <v>1992.06</v>
      </c>
    </row>
    <row r="716" spans="1:8" x14ac:dyDescent="0.3">
      <c r="A716" s="1">
        <v>44881</v>
      </c>
      <c r="B716" s="4">
        <f>_xlfn.XLOOKUP($A716, 'Nifty 50'!A:A, 'Nifty 50'!B:B, "")</f>
        <v>18409.650000000001</v>
      </c>
      <c r="C716" s="4">
        <f>_xlfn.XLOOKUP($A716, Reliance!A:A, Reliance!B:B, "")</f>
        <v>1176.74</v>
      </c>
      <c r="D716" s="4">
        <f>_xlfn.XLOOKUP($A716, HDFC!A:A, HDFC!B:B, "")</f>
        <v>814.42</v>
      </c>
      <c r="E716" s="4">
        <f>_xlfn.XLOOKUP($A716, ITC!A:A, ITC!B:B, "")</f>
        <v>341.99</v>
      </c>
      <c r="F716" s="4">
        <f>_xlfn.XLOOKUP($A716, TCS!A:A, TCS!B:B, "")</f>
        <v>3273.56</v>
      </c>
      <c r="G716" s="4">
        <f>_xlfn.XLOOKUP($A716, Infosys!A:A, Infosys!B:B,"")</f>
        <v>1593.82</v>
      </c>
      <c r="H716" s="4">
        <f>_xlfn.XLOOKUP($A716, 'L &amp; T'!A:A, 'L &amp; T'!B:B, "")</f>
        <v>1999.09</v>
      </c>
    </row>
    <row r="717" spans="1:8" x14ac:dyDescent="0.3">
      <c r="A717" s="1">
        <v>44882</v>
      </c>
      <c r="B717" s="4">
        <f>_xlfn.XLOOKUP($A717, 'Nifty 50'!A:A, 'Nifty 50'!B:B, "")</f>
        <v>18343.900000000001</v>
      </c>
      <c r="C717" s="4">
        <f>_xlfn.XLOOKUP($A717, Reliance!A:A, Reliance!B:B, "")</f>
        <v>1179.79</v>
      </c>
      <c r="D717" s="4">
        <f>_xlfn.XLOOKUP($A717, HDFC!A:A, HDFC!B:B, "")</f>
        <v>807.07</v>
      </c>
      <c r="E717" s="4">
        <f>_xlfn.XLOOKUP($A717, ITC!A:A, ITC!B:B, "")</f>
        <v>341.6</v>
      </c>
      <c r="F717" s="4">
        <f>_xlfn.XLOOKUP($A717, TCS!A:A, TCS!B:B, "")</f>
        <v>3267.37</v>
      </c>
      <c r="G717" s="4">
        <f>_xlfn.XLOOKUP($A717, Infosys!A:A, Infosys!B:B,"")</f>
        <v>1578.5</v>
      </c>
      <c r="H717" s="4">
        <f>_xlfn.XLOOKUP($A717, 'L &amp; T'!A:A, 'L &amp; T'!B:B, "")</f>
        <v>2024.98</v>
      </c>
    </row>
    <row r="718" spans="1:8" x14ac:dyDescent="0.3">
      <c r="A718" s="1">
        <v>44883</v>
      </c>
      <c r="B718" s="4">
        <f>_xlfn.XLOOKUP($A718, 'Nifty 50'!A:A, 'Nifty 50'!B:B, "")</f>
        <v>18307.650000000001</v>
      </c>
      <c r="C718" s="4">
        <f>_xlfn.XLOOKUP($A718, Reliance!A:A, Reliance!B:B, "")</f>
        <v>1179.1500000000001</v>
      </c>
      <c r="D718" s="4">
        <f>_xlfn.XLOOKUP($A718, HDFC!A:A, HDFC!B:B, "")</f>
        <v>804.95</v>
      </c>
      <c r="E718" s="4">
        <f>_xlfn.XLOOKUP($A718, ITC!A:A, ITC!B:B, "")</f>
        <v>338.96</v>
      </c>
      <c r="F718" s="4">
        <f>_xlfn.XLOOKUP($A718, TCS!A:A, TCS!B:B, "")</f>
        <v>3261.96</v>
      </c>
      <c r="G718" s="4">
        <f>_xlfn.XLOOKUP($A718, Infosys!A:A, Infosys!B:B,"")</f>
        <v>1584.47</v>
      </c>
      <c r="H718" s="4">
        <f>_xlfn.XLOOKUP($A718, 'L &amp; T'!A:A, 'L &amp; T'!B:B, "")</f>
        <v>2019.9</v>
      </c>
    </row>
    <row r="719" spans="1:8" x14ac:dyDescent="0.3">
      <c r="A719" s="1">
        <v>44886</v>
      </c>
      <c r="B719" s="4">
        <f>_xlfn.XLOOKUP($A719, 'Nifty 50'!A:A, 'Nifty 50'!B:B, "")</f>
        <v>18159.95</v>
      </c>
      <c r="C719" s="4">
        <f>_xlfn.XLOOKUP($A719, Reliance!A:A, Reliance!B:B, "")</f>
        <v>1157.93</v>
      </c>
      <c r="D719" s="4">
        <f>_xlfn.XLOOKUP($A719, HDFC!A:A, HDFC!B:B, "")</f>
        <v>796.69</v>
      </c>
      <c r="E719" s="4">
        <f>_xlfn.XLOOKUP($A719, ITC!A:A, ITC!B:B, "")</f>
        <v>335.14</v>
      </c>
      <c r="F719" s="4">
        <f>_xlfn.XLOOKUP($A719, TCS!A:A, TCS!B:B, "")</f>
        <v>3203.47</v>
      </c>
      <c r="G719" s="4">
        <f>_xlfn.XLOOKUP($A719, Infosys!A:A, Infosys!B:B,"")</f>
        <v>1559.41</v>
      </c>
      <c r="H719" s="4">
        <f>_xlfn.XLOOKUP($A719, 'L &amp; T'!A:A, 'L &amp; T'!B:B, "")</f>
        <v>2006.92</v>
      </c>
    </row>
    <row r="720" spans="1:8" x14ac:dyDescent="0.3">
      <c r="A720" s="1">
        <v>44887</v>
      </c>
      <c r="B720" s="4">
        <f>_xlfn.XLOOKUP($A720, 'Nifty 50'!A:A, 'Nifty 50'!B:B, "")</f>
        <v>18244.2</v>
      </c>
      <c r="C720" s="4">
        <f>_xlfn.XLOOKUP($A720, Reliance!A:A, Reliance!B:B, "")</f>
        <v>1164.3499999999999</v>
      </c>
      <c r="D720" s="4">
        <f>_xlfn.XLOOKUP($A720, HDFC!A:A, HDFC!B:B, "")</f>
        <v>795.52</v>
      </c>
      <c r="E720" s="4">
        <f>_xlfn.XLOOKUP($A720, ITC!A:A, ITC!B:B, "")</f>
        <v>338.17</v>
      </c>
      <c r="F720" s="4">
        <f>_xlfn.XLOOKUP($A720, TCS!A:A, TCS!B:B, "")</f>
        <v>3234.15</v>
      </c>
      <c r="G720" s="4">
        <f>_xlfn.XLOOKUP($A720, Infosys!A:A, Infosys!B:B,"")</f>
        <v>1576.17</v>
      </c>
      <c r="H720" s="4">
        <f>_xlfn.XLOOKUP($A720, 'L &amp; T'!A:A, 'L &amp; T'!B:B, "")</f>
        <v>2025.23</v>
      </c>
    </row>
    <row r="721" spans="1:8" x14ac:dyDescent="0.3">
      <c r="A721" s="1">
        <v>44888</v>
      </c>
      <c r="B721" s="4">
        <f>_xlfn.XLOOKUP($A721, 'Nifty 50'!A:A, 'Nifty 50'!B:B, "")</f>
        <v>18267.25</v>
      </c>
      <c r="C721" s="4">
        <f>_xlfn.XLOOKUP($A721, Reliance!A:A, Reliance!B:B, "")</f>
        <v>1160.72</v>
      </c>
      <c r="D721" s="4">
        <f>_xlfn.XLOOKUP($A721, HDFC!A:A, HDFC!B:B, "")</f>
        <v>797.59</v>
      </c>
      <c r="E721" s="4">
        <f>_xlfn.XLOOKUP($A721, ITC!A:A, ITC!B:B, "")</f>
        <v>337.72</v>
      </c>
      <c r="F721" s="4">
        <f>_xlfn.XLOOKUP($A721, TCS!A:A, TCS!B:B, "")</f>
        <v>3227.66</v>
      </c>
      <c r="G721" s="4">
        <f>_xlfn.XLOOKUP($A721, Infosys!A:A, Infosys!B:B,"")</f>
        <v>1574.28</v>
      </c>
      <c r="H721" s="4">
        <f>_xlfn.XLOOKUP($A721, 'L &amp; T'!A:A, 'L &amp; T'!B:B, "")</f>
        <v>2020.44</v>
      </c>
    </row>
    <row r="722" spans="1:8" x14ac:dyDescent="0.3">
      <c r="A722" s="1">
        <v>44889</v>
      </c>
      <c r="B722" s="4">
        <f>_xlfn.XLOOKUP($A722, 'Nifty 50'!A:A, 'Nifty 50'!B:B, "")</f>
        <v>18484.099999999999</v>
      </c>
      <c r="C722" s="4">
        <f>_xlfn.XLOOKUP($A722, Reliance!A:A, Reliance!B:B, "")</f>
        <v>1170.73</v>
      </c>
      <c r="D722" s="4">
        <f>_xlfn.XLOOKUP($A722, HDFC!A:A, HDFC!B:B, "")</f>
        <v>810.56</v>
      </c>
      <c r="E722" s="4">
        <f>_xlfn.XLOOKUP($A722, ITC!A:A, ITC!B:B, "")</f>
        <v>338.66</v>
      </c>
      <c r="F722" s="4">
        <f>_xlfn.XLOOKUP($A722, TCS!A:A, TCS!B:B, "")</f>
        <v>3297.76</v>
      </c>
      <c r="G722" s="4">
        <f>_xlfn.XLOOKUP($A722, Infosys!A:A, Infosys!B:B,"")</f>
        <v>1620.67</v>
      </c>
      <c r="H722" s="4">
        <f>_xlfn.XLOOKUP($A722, 'L &amp; T'!A:A, 'L &amp; T'!B:B, "")</f>
        <v>2047.58</v>
      </c>
    </row>
    <row r="723" spans="1:8" x14ac:dyDescent="0.3">
      <c r="A723" s="1">
        <v>44890</v>
      </c>
      <c r="B723" s="4">
        <f>_xlfn.XLOOKUP($A723, 'Nifty 50'!A:A, 'Nifty 50'!B:B, "")</f>
        <v>18512.75</v>
      </c>
      <c r="C723" s="4">
        <f>_xlfn.XLOOKUP($A723, Reliance!A:A, Reliance!B:B, "")</f>
        <v>1188.21</v>
      </c>
      <c r="D723" s="4">
        <f>_xlfn.XLOOKUP($A723, HDFC!A:A, HDFC!B:B, "")</f>
        <v>806.82</v>
      </c>
      <c r="E723" s="4">
        <f>_xlfn.XLOOKUP($A723, ITC!A:A, ITC!B:B, "")</f>
        <v>338.22</v>
      </c>
      <c r="F723" s="4">
        <f>_xlfn.XLOOKUP($A723, TCS!A:A, TCS!B:B, "")</f>
        <v>3307.03</v>
      </c>
      <c r="G723" s="4">
        <f>_xlfn.XLOOKUP($A723, Infosys!A:A, Infosys!B:B,"")</f>
        <v>1626.48</v>
      </c>
      <c r="H723" s="4">
        <f>_xlfn.XLOOKUP($A723, 'L &amp; T'!A:A, 'L &amp; T'!B:B, "")</f>
        <v>2058.11</v>
      </c>
    </row>
    <row r="724" spans="1:8" x14ac:dyDescent="0.3">
      <c r="A724" s="1">
        <v>44893</v>
      </c>
      <c r="B724" s="4">
        <f>_xlfn.XLOOKUP($A724, 'Nifty 50'!A:A, 'Nifty 50'!B:B, "")</f>
        <v>18562.75</v>
      </c>
      <c r="C724" s="4">
        <f>_xlfn.XLOOKUP($A724, Reliance!A:A, Reliance!B:B, "")</f>
        <v>1229.04</v>
      </c>
      <c r="D724" s="4">
        <f>_xlfn.XLOOKUP($A724, HDFC!A:A, HDFC!B:B, "")</f>
        <v>798.14</v>
      </c>
      <c r="E724" s="4">
        <f>_xlfn.XLOOKUP($A724, ITC!A:A, ITC!B:B, "")</f>
        <v>337.97</v>
      </c>
      <c r="F724" s="4">
        <f>_xlfn.XLOOKUP($A724, TCS!A:A, TCS!B:B, "")</f>
        <v>3312.49</v>
      </c>
      <c r="G724" s="4">
        <f>_xlfn.XLOOKUP($A724, Infosys!A:A, Infosys!B:B,"")</f>
        <v>1614.3</v>
      </c>
      <c r="H724" s="4">
        <f>_xlfn.XLOOKUP($A724, 'L &amp; T'!A:A, 'L &amp; T'!B:B, "")</f>
        <v>2059.8000000000002</v>
      </c>
    </row>
    <row r="725" spans="1:8" x14ac:dyDescent="0.3">
      <c r="A725" s="1">
        <v>44894</v>
      </c>
      <c r="B725" s="4">
        <f>_xlfn.XLOOKUP($A725, 'Nifty 50'!A:A, 'Nifty 50'!B:B, "")</f>
        <v>18618.05</v>
      </c>
      <c r="C725" s="4">
        <f>_xlfn.XLOOKUP($A725, Reliance!A:A, Reliance!B:B, "")</f>
        <v>1231.1500000000001</v>
      </c>
      <c r="D725" s="4">
        <f>_xlfn.XLOOKUP($A725, HDFC!A:A, HDFC!B:B, "")</f>
        <v>796.94</v>
      </c>
      <c r="E725" s="4">
        <f>_xlfn.XLOOKUP($A725, ITC!A:A, ITC!B:B, "")</f>
        <v>340.2</v>
      </c>
      <c r="F725" s="4">
        <f>_xlfn.XLOOKUP($A725, TCS!A:A, TCS!B:B, "")</f>
        <v>3314.54</v>
      </c>
      <c r="G725" s="4">
        <f>_xlfn.XLOOKUP($A725, Infosys!A:A, Infosys!B:B,"")</f>
        <v>1619.92</v>
      </c>
      <c r="H725" s="4">
        <f>_xlfn.XLOOKUP($A725, 'L &amp; T'!A:A, 'L &amp; T'!B:B, "")</f>
        <v>2045.94</v>
      </c>
    </row>
    <row r="726" spans="1:8" x14ac:dyDescent="0.3">
      <c r="A726" s="1">
        <v>44895</v>
      </c>
      <c r="B726" s="4">
        <f>_xlfn.XLOOKUP($A726, 'Nifty 50'!A:A, 'Nifty 50'!B:B, "")</f>
        <v>18758.349999999999</v>
      </c>
      <c r="C726" s="4">
        <f>_xlfn.XLOOKUP($A726, Reliance!A:A, Reliance!B:B, "")</f>
        <v>1239.8399999999999</v>
      </c>
      <c r="D726" s="4">
        <f>_xlfn.XLOOKUP($A726, HDFC!A:A, HDFC!B:B, "")</f>
        <v>802.23</v>
      </c>
      <c r="E726" s="4">
        <f>_xlfn.XLOOKUP($A726, ITC!A:A, ITC!B:B, "")</f>
        <v>337.92</v>
      </c>
      <c r="F726" s="4">
        <f>_xlfn.XLOOKUP($A726, TCS!A:A, TCS!B:B, "")</f>
        <v>3308.15</v>
      </c>
      <c r="G726" s="4">
        <f>_xlfn.XLOOKUP($A726, Infosys!A:A, Infosys!B:B,"")</f>
        <v>1625.79</v>
      </c>
      <c r="H726" s="4">
        <f>_xlfn.XLOOKUP($A726, 'L &amp; T'!A:A, 'L &amp; T'!B:B, "")</f>
        <v>2070.1799999999998</v>
      </c>
    </row>
    <row r="727" spans="1:8" x14ac:dyDescent="0.3">
      <c r="A727" s="1">
        <v>44896</v>
      </c>
      <c r="B727" s="4">
        <f>_xlfn.XLOOKUP($A727, 'Nifty 50'!A:A, 'Nifty 50'!B:B, "")</f>
        <v>18812.5</v>
      </c>
      <c r="C727" s="4">
        <f>_xlfn.XLOOKUP($A727, Reliance!A:A, Reliance!B:B, "")</f>
        <v>1236.19</v>
      </c>
      <c r="D727" s="4">
        <f>_xlfn.XLOOKUP($A727, HDFC!A:A, HDFC!B:B, "")</f>
        <v>807.74</v>
      </c>
      <c r="E727" s="4">
        <f>_xlfn.XLOOKUP($A727, ITC!A:A, ITC!B:B, "")</f>
        <v>337.47</v>
      </c>
      <c r="F727" s="4">
        <f>_xlfn.XLOOKUP($A727, TCS!A:A, TCS!B:B, "")</f>
        <v>3390.93</v>
      </c>
      <c r="G727" s="4">
        <f>_xlfn.XLOOKUP($A727, Infosys!A:A, Infosys!B:B,"")</f>
        <v>1647.81</v>
      </c>
      <c r="H727" s="4">
        <f>_xlfn.XLOOKUP($A727, 'L &amp; T'!A:A, 'L &amp; T'!B:B, "")</f>
        <v>2099.5100000000002</v>
      </c>
    </row>
    <row r="728" spans="1:8" x14ac:dyDescent="0.3">
      <c r="A728" s="1">
        <v>44897</v>
      </c>
      <c r="B728" s="4">
        <f>_xlfn.XLOOKUP($A728, 'Nifty 50'!A:A, 'Nifty 50'!B:B, "")</f>
        <v>18696.099999999999</v>
      </c>
      <c r="C728" s="4">
        <f>_xlfn.XLOOKUP($A728, Reliance!A:A, Reliance!B:B, "")</f>
        <v>1235.6600000000001</v>
      </c>
      <c r="D728" s="4">
        <f>_xlfn.XLOOKUP($A728, HDFC!A:A, HDFC!B:B, "")</f>
        <v>801.56</v>
      </c>
      <c r="E728" s="4">
        <f>_xlfn.XLOOKUP($A728, ITC!A:A, ITC!B:B, "")</f>
        <v>335.09</v>
      </c>
      <c r="F728" s="4">
        <f>_xlfn.XLOOKUP($A728, TCS!A:A, TCS!B:B, "")</f>
        <v>3355.32</v>
      </c>
      <c r="G728" s="4">
        <f>_xlfn.XLOOKUP($A728, Infosys!A:A, Infosys!B:B,"")</f>
        <v>1628.72</v>
      </c>
      <c r="H728" s="4">
        <f>_xlfn.XLOOKUP($A728, 'L &amp; T'!A:A, 'L &amp; T'!B:B, "")</f>
        <v>2080.81</v>
      </c>
    </row>
    <row r="729" spans="1:8" x14ac:dyDescent="0.3">
      <c r="A729" s="1">
        <v>44900</v>
      </c>
      <c r="B729" s="4">
        <f>_xlfn.XLOOKUP($A729, 'Nifty 50'!A:A, 'Nifty 50'!B:B, "")</f>
        <v>18701.05</v>
      </c>
      <c r="C729" s="4">
        <f>_xlfn.XLOOKUP($A729, Reliance!A:A, Reliance!B:B, "")</f>
        <v>1217.6400000000001</v>
      </c>
      <c r="D729" s="4">
        <f>_xlfn.XLOOKUP($A729, HDFC!A:A, HDFC!B:B, "")</f>
        <v>804.47</v>
      </c>
      <c r="E729" s="4">
        <f>_xlfn.XLOOKUP($A729, ITC!A:A, ITC!B:B, "")</f>
        <v>334.69</v>
      </c>
      <c r="F729" s="4">
        <f>_xlfn.XLOOKUP($A729, TCS!A:A, TCS!B:B, "")</f>
        <v>3342.4</v>
      </c>
      <c r="G729" s="4">
        <f>_xlfn.XLOOKUP($A729, Infosys!A:A, Infosys!B:B,"")</f>
        <v>1630.56</v>
      </c>
      <c r="H729" s="4">
        <f>_xlfn.XLOOKUP($A729, 'L &amp; T'!A:A, 'L &amp; T'!B:B, "")</f>
        <v>2080.91</v>
      </c>
    </row>
    <row r="730" spans="1:8" x14ac:dyDescent="0.3">
      <c r="A730" s="1">
        <v>44901</v>
      </c>
      <c r="B730" s="4">
        <f>_xlfn.XLOOKUP($A730, 'Nifty 50'!A:A, 'Nifty 50'!B:B, "")</f>
        <v>18642.75</v>
      </c>
      <c r="C730" s="4">
        <f>_xlfn.XLOOKUP($A730, Reliance!A:A, Reliance!B:B, "")</f>
        <v>1221.1600000000001</v>
      </c>
      <c r="D730" s="4">
        <f>_xlfn.XLOOKUP($A730, HDFC!A:A, HDFC!B:B, "")</f>
        <v>803.58</v>
      </c>
      <c r="E730" s="4">
        <f>_xlfn.XLOOKUP($A730, ITC!A:A, ITC!B:B, "")</f>
        <v>335.23</v>
      </c>
      <c r="F730" s="4">
        <f>_xlfn.XLOOKUP($A730, TCS!A:A, TCS!B:B, "")</f>
        <v>3302.83</v>
      </c>
      <c r="G730" s="4">
        <f>_xlfn.XLOOKUP($A730, Infosys!A:A, Infosys!B:B,"")</f>
        <v>1603.86</v>
      </c>
      <c r="H730" s="4">
        <f>_xlfn.XLOOKUP($A730, 'L &amp; T'!A:A, 'L &amp; T'!B:B, "")</f>
        <v>2088.79</v>
      </c>
    </row>
    <row r="731" spans="1:8" x14ac:dyDescent="0.3">
      <c r="A731" s="1">
        <v>44902</v>
      </c>
      <c r="B731" s="4">
        <f>_xlfn.XLOOKUP($A731, 'Nifty 50'!A:A, 'Nifty 50'!B:B, "")</f>
        <v>18560.5</v>
      </c>
      <c r="C731" s="4">
        <f>_xlfn.XLOOKUP($A731, Reliance!A:A, Reliance!B:B, "")</f>
        <v>1203.1400000000001</v>
      </c>
      <c r="D731" s="4">
        <f>_xlfn.XLOOKUP($A731, HDFC!A:A, HDFC!B:B, "")</f>
        <v>803.23</v>
      </c>
      <c r="E731" s="4">
        <f>_xlfn.XLOOKUP($A731, ITC!A:A, ITC!B:B, "")</f>
        <v>338.02</v>
      </c>
      <c r="F731" s="4">
        <f>_xlfn.XLOOKUP($A731, TCS!A:A, TCS!B:B, "")</f>
        <v>3298.2</v>
      </c>
      <c r="G731" s="4">
        <f>_xlfn.XLOOKUP($A731, Infosys!A:A, Infosys!B:B,"")</f>
        <v>1596.5</v>
      </c>
      <c r="H731" s="4">
        <f>_xlfn.XLOOKUP($A731, 'L &amp; T'!A:A, 'L &amp; T'!B:B, "")</f>
        <v>2119.2199999999998</v>
      </c>
    </row>
    <row r="732" spans="1:8" x14ac:dyDescent="0.3">
      <c r="A732" s="1">
        <v>44903</v>
      </c>
      <c r="B732" s="4">
        <f>_xlfn.XLOOKUP($A732, 'Nifty 50'!A:A, 'Nifty 50'!B:B, "")</f>
        <v>18609.349999999999</v>
      </c>
      <c r="C732" s="4">
        <f>_xlfn.XLOOKUP($A732, Reliance!A:A, Reliance!B:B, "")</f>
        <v>1202.57</v>
      </c>
      <c r="D732" s="4">
        <f>_xlfn.XLOOKUP($A732, HDFC!A:A, HDFC!B:B, "")</f>
        <v>807.74</v>
      </c>
      <c r="E732" s="4">
        <f>_xlfn.XLOOKUP($A732, ITC!A:A, ITC!B:B, "")</f>
        <v>336.33</v>
      </c>
      <c r="F732" s="4">
        <f>_xlfn.XLOOKUP($A732, TCS!A:A, TCS!B:B, "")</f>
        <v>3268.88</v>
      </c>
      <c r="G732" s="4">
        <f>_xlfn.XLOOKUP($A732, Infosys!A:A, Infosys!B:B,"")</f>
        <v>1611.07</v>
      </c>
      <c r="H732" s="4">
        <f>_xlfn.XLOOKUP($A732, 'L &amp; T'!A:A, 'L &amp; T'!B:B, "")</f>
        <v>2162.8200000000002</v>
      </c>
    </row>
    <row r="733" spans="1:8" x14ac:dyDescent="0.3">
      <c r="A733" s="1">
        <v>44904</v>
      </c>
      <c r="B733" s="4">
        <f>_xlfn.XLOOKUP($A733, 'Nifty 50'!A:A, 'Nifty 50'!B:B, "")</f>
        <v>18496.599999999999</v>
      </c>
      <c r="C733" s="4">
        <f>_xlfn.XLOOKUP($A733, Reliance!A:A, Reliance!B:B, "")</f>
        <v>1184.3499999999999</v>
      </c>
      <c r="D733" s="4">
        <f>_xlfn.XLOOKUP($A733, HDFC!A:A, HDFC!B:B, "")</f>
        <v>813.5</v>
      </c>
      <c r="E733" s="4">
        <f>_xlfn.XLOOKUP($A733, ITC!A:A, ITC!B:B, "")</f>
        <v>339.31</v>
      </c>
      <c r="F733" s="4">
        <f>_xlfn.XLOOKUP($A733, TCS!A:A, TCS!B:B, "")</f>
        <v>3212.49</v>
      </c>
      <c r="G733" s="4">
        <f>_xlfn.XLOOKUP($A733, Infosys!A:A, Infosys!B:B,"")</f>
        <v>1560.51</v>
      </c>
      <c r="H733" s="4">
        <f>_xlfn.XLOOKUP($A733, 'L &amp; T'!A:A, 'L &amp; T'!B:B, "")</f>
        <v>2149.1999999999998</v>
      </c>
    </row>
    <row r="734" spans="1:8" x14ac:dyDescent="0.3">
      <c r="A734" s="1">
        <v>44907</v>
      </c>
      <c r="B734" s="4">
        <f>_xlfn.XLOOKUP($A734, 'Nifty 50'!A:A, 'Nifty 50'!B:B, "")</f>
        <v>18497.150000000001</v>
      </c>
      <c r="C734" s="4">
        <f>_xlfn.XLOOKUP($A734, Reliance!A:A, Reliance!B:B, "")</f>
        <v>1186.1600000000001</v>
      </c>
      <c r="D734" s="4">
        <f>_xlfn.XLOOKUP($A734, HDFC!A:A, HDFC!B:B, "")</f>
        <v>819.84</v>
      </c>
      <c r="E734" s="4">
        <f>_xlfn.XLOOKUP($A734, ITC!A:A, ITC!B:B, "")</f>
        <v>341.1</v>
      </c>
      <c r="F734" s="4">
        <f>_xlfn.XLOOKUP($A734, TCS!A:A, TCS!B:B, "")</f>
        <v>3206.34</v>
      </c>
      <c r="G734" s="4">
        <f>_xlfn.XLOOKUP($A734, Infosys!A:A, Infosys!B:B,"")</f>
        <v>1538.53</v>
      </c>
      <c r="H734" s="4">
        <f>_xlfn.XLOOKUP($A734, 'L &amp; T'!A:A, 'L &amp; T'!B:B, "")</f>
        <v>2158.83</v>
      </c>
    </row>
    <row r="735" spans="1:8" x14ac:dyDescent="0.3">
      <c r="A735" s="1">
        <v>44908</v>
      </c>
      <c r="B735" s="4">
        <f>_xlfn.XLOOKUP($A735, 'Nifty 50'!A:A, 'Nifty 50'!B:B, "")</f>
        <v>18608</v>
      </c>
      <c r="C735" s="4">
        <f>_xlfn.XLOOKUP($A735, Reliance!A:A, Reliance!B:B, "")</f>
        <v>1191.56</v>
      </c>
      <c r="D735" s="4">
        <f>_xlfn.XLOOKUP($A735, HDFC!A:A, HDFC!B:B, "")</f>
        <v>822.1</v>
      </c>
      <c r="E735" s="4">
        <f>_xlfn.XLOOKUP($A735, ITC!A:A, ITC!B:B, "")</f>
        <v>343.48</v>
      </c>
      <c r="F735" s="4">
        <f>_xlfn.XLOOKUP($A735, TCS!A:A, TCS!B:B, "")</f>
        <v>3250.88</v>
      </c>
      <c r="G735" s="4">
        <f>_xlfn.XLOOKUP($A735, Infosys!A:A, Infosys!B:B,"")</f>
        <v>1563.34</v>
      </c>
      <c r="H735" s="4">
        <f>_xlfn.XLOOKUP($A735, 'L &amp; T'!A:A, 'L &amp; T'!B:B, "")</f>
        <v>2168.0100000000002</v>
      </c>
    </row>
    <row r="736" spans="1:8" x14ac:dyDescent="0.3">
      <c r="A736" s="1">
        <v>44909</v>
      </c>
      <c r="B736" s="4">
        <f>_xlfn.XLOOKUP($A736, 'Nifty 50'!A:A, 'Nifty 50'!B:B, "")</f>
        <v>18660.3</v>
      </c>
      <c r="C736" s="4">
        <f>_xlfn.XLOOKUP($A736, Reliance!A:A, Reliance!B:B, "")</f>
        <v>1187.25</v>
      </c>
      <c r="D736" s="4">
        <f>_xlfn.XLOOKUP($A736, HDFC!A:A, HDFC!B:B, "")</f>
        <v>829.06</v>
      </c>
      <c r="E736" s="4">
        <f>_xlfn.XLOOKUP($A736, ITC!A:A, ITC!B:B, "")</f>
        <v>343.29</v>
      </c>
      <c r="F736" s="4">
        <f>_xlfn.XLOOKUP($A736, TCS!A:A, TCS!B:B, "")</f>
        <v>3283.32</v>
      </c>
      <c r="G736" s="4">
        <f>_xlfn.XLOOKUP($A736, Infosys!A:A, Infosys!B:B,"")</f>
        <v>1570.55</v>
      </c>
      <c r="H736" s="4">
        <f>_xlfn.XLOOKUP($A736, 'L &amp; T'!A:A, 'L &amp; T'!B:B, "")</f>
        <v>2190.5100000000002</v>
      </c>
    </row>
    <row r="737" spans="1:8" x14ac:dyDescent="0.3">
      <c r="A737" s="1">
        <v>44910</v>
      </c>
      <c r="B737" s="4">
        <f>_xlfn.XLOOKUP($A737, 'Nifty 50'!A:A, 'Nifty 50'!B:B, "")</f>
        <v>18414.900000000001</v>
      </c>
      <c r="C737" s="4">
        <f>_xlfn.XLOOKUP($A737, Reliance!A:A, Reliance!B:B, "")</f>
        <v>1170.3900000000001</v>
      </c>
      <c r="D737" s="4">
        <f>_xlfn.XLOOKUP($A737, HDFC!A:A, HDFC!B:B, "")</f>
        <v>813.87</v>
      </c>
      <c r="E737" s="4">
        <f>_xlfn.XLOOKUP($A737, ITC!A:A, ITC!B:B, "")</f>
        <v>336.77</v>
      </c>
      <c r="F737" s="4">
        <f>_xlfn.XLOOKUP($A737, TCS!A:A, TCS!B:B, "")</f>
        <v>3224.54</v>
      </c>
      <c r="G737" s="4">
        <f>_xlfn.XLOOKUP($A737, Infosys!A:A, Infosys!B:B,"")</f>
        <v>1531.87</v>
      </c>
      <c r="H737" s="4">
        <f>_xlfn.XLOOKUP($A737, 'L &amp; T'!A:A, 'L &amp; T'!B:B, "")</f>
        <v>2172.65</v>
      </c>
    </row>
    <row r="738" spans="1:8" x14ac:dyDescent="0.3">
      <c r="A738" s="1">
        <v>44911</v>
      </c>
      <c r="B738" s="4">
        <f>_xlfn.XLOOKUP($A738, 'Nifty 50'!A:A, 'Nifty 50'!B:B, "")</f>
        <v>18269</v>
      </c>
      <c r="C738" s="4">
        <f>_xlfn.XLOOKUP($A738, Reliance!A:A, Reliance!B:B, "")</f>
        <v>1164.5999999999999</v>
      </c>
      <c r="D738" s="4">
        <f>_xlfn.XLOOKUP($A738, HDFC!A:A, HDFC!B:B, "")</f>
        <v>817.79</v>
      </c>
      <c r="E738" s="4">
        <f>_xlfn.XLOOKUP($A738, ITC!A:A, ITC!B:B, "")</f>
        <v>333.05</v>
      </c>
      <c r="F738" s="4">
        <f>_xlfn.XLOOKUP($A738, TCS!A:A, TCS!B:B, "")</f>
        <v>3161.27</v>
      </c>
      <c r="G738" s="4">
        <f>_xlfn.XLOOKUP($A738, Infosys!A:A, Infosys!B:B,"")</f>
        <v>1513.67</v>
      </c>
      <c r="H738" s="4">
        <f>_xlfn.XLOOKUP($A738, 'L &amp; T'!A:A, 'L &amp; T'!B:B, "")</f>
        <v>2170.11</v>
      </c>
    </row>
    <row r="739" spans="1:8" x14ac:dyDescent="0.3">
      <c r="A739" s="1">
        <v>44914</v>
      </c>
      <c r="B739" s="4">
        <f>_xlfn.XLOOKUP($A739, 'Nifty 50'!A:A, 'Nifty 50'!B:B, "")</f>
        <v>18420.45</v>
      </c>
      <c r="C739" s="4">
        <f>_xlfn.XLOOKUP($A739, Reliance!A:A, Reliance!B:B, "")</f>
        <v>1179.9000000000001</v>
      </c>
      <c r="D739" s="4">
        <f>_xlfn.XLOOKUP($A739, HDFC!A:A, HDFC!B:B, "")</f>
        <v>820.33</v>
      </c>
      <c r="E739" s="4">
        <f>_xlfn.XLOOKUP($A739, ITC!A:A, ITC!B:B, "")</f>
        <v>320.14</v>
      </c>
      <c r="F739" s="4">
        <f>_xlfn.XLOOKUP($A739, TCS!A:A, TCS!B:B, "")</f>
        <v>3124</v>
      </c>
      <c r="G739" s="4">
        <f>_xlfn.XLOOKUP($A739, Infosys!A:A, Infosys!B:B,"")</f>
        <v>1498.9</v>
      </c>
      <c r="H739" s="4">
        <f>_xlfn.XLOOKUP($A739, 'L &amp; T'!A:A, 'L &amp; T'!B:B, "")</f>
        <v>2179.09</v>
      </c>
    </row>
    <row r="740" spans="1:8" x14ac:dyDescent="0.3">
      <c r="A740" s="1">
        <v>44915</v>
      </c>
      <c r="B740" s="4">
        <f>_xlfn.XLOOKUP($A740, 'Nifty 50'!A:A, 'Nifty 50'!B:B, "")</f>
        <v>18385.3</v>
      </c>
      <c r="C740" s="4">
        <f>_xlfn.XLOOKUP($A740, Reliance!A:A, Reliance!B:B, "")</f>
        <v>1190.1099999999999</v>
      </c>
      <c r="D740" s="4">
        <f>_xlfn.XLOOKUP($A740, HDFC!A:A, HDFC!B:B, "")</f>
        <v>814.67</v>
      </c>
      <c r="E740" s="4">
        <f>_xlfn.XLOOKUP($A740, ITC!A:A, ITC!B:B, "")</f>
        <v>319.82</v>
      </c>
      <c r="F740" s="4">
        <f>_xlfn.XLOOKUP($A740, TCS!A:A, TCS!B:B, "")</f>
        <v>3164.88</v>
      </c>
      <c r="G740" s="4">
        <f>_xlfn.XLOOKUP($A740, Infosys!A:A, Infosys!B:B,"")</f>
        <v>1498.85</v>
      </c>
      <c r="H740" s="4">
        <f>_xlfn.XLOOKUP($A740, 'L &amp; T'!A:A, 'L &amp; T'!B:B, "")</f>
        <v>2158.38</v>
      </c>
    </row>
    <row r="741" spans="1:8" x14ac:dyDescent="0.3">
      <c r="A741" s="1">
        <v>44916</v>
      </c>
      <c r="B741" s="4">
        <f>_xlfn.XLOOKUP($A741, 'Nifty 50'!A:A, 'Nifty 50'!B:B, "")</f>
        <v>18199.099999999999</v>
      </c>
      <c r="C741" s="4">
        <f>_xlfn.XLOOKUP($A741, Reliance!A:A, Reliance!B:B, "")</f>
        <v>1173.18</v>
      </c>
      <c r="D741" s="4">
        <f>_xlfn.XLOOKUP($A741, HDFC!A:A, HDFC!B:B, "")</f>
        <v>806.79</v>
      </c>
      <c r="E741" s="4">
        <f>_xlfn.XLOOKUP($A741, ITC!A:A, ITC!B:B, "")</f>
        <v>315.11</v>
      </c>
      <c r="F741" s="4">
        <f>_xlfn.XLOOKUP($A741, TCS!A:A, TCS!B:B, "")</f>
        <v>3188.88</v>
      </c>
      <c r="G741" s="4">
        <f>_xlfn.XLOOKUP($A741, Infosys!A:A, Infosys!B:B,"")</f>
        <v>1501.09</v>
      </c>
      <c r="H741" s="4">
        <f>_xlfn.XLOOKUP($A741, 'L &amp; T'!A:A, 'L &amp; T'!B:B, "")</f>
        <v>2141.4699999999998</v>
      </c>
    </row>
    <row r="742" spans="1:8" x14ac:dyDescent="0.3">
      <c r="A742" s="1">
        <v>44917</v>
      </c>
      <c r="B742" s="4">
        <f>_xlfn.XLOOKUP($A742, 'Nifty 50'!A:A, 'Nifty 50'!B:B, "")</f>
        <v>18127.349999999999</v>
      </c>
      <c r="C742" s="4">
        <f>_xlfn.XLOOKUP($A742, Reliance!A:A, Reliance!B:B, "")</f>
        <v>1170.1400000000001</v>
      </c>
      <c r="D742" s="4">
        <f>_xlfn.XLOOKUP($A742, HDFC!A:A, HDFC!B:B, "")</f>
        <v>804.02</v>
      </c>
      <c r="E742" s="4">
        <f>_xlfn.XLOOKUP($A742, ITC!A:A, ITC!B:B, "")</f>
        <v>312.58</v>
      </c>
      <c r="F742" s="4">
        <f>_xlfn.XLOOKUP($A742, TCS!A:A, TCS!B:B, "")</f>
        <v>3180.25</v>
      </c>
      <c r="G742" s="4">
        <f>_xlfn.XLOOKUP($A742, Infosys!A:A, Infosys!B:B,"")</f>
        <v>1513.52</v>
      </c>
      <c r="H742" s="4">
        <f>_xlfn.XLOOKUP($A742, 'L &amp; T'!A:A, 'L &amp; T'!B:B, "")</f>
        <v>2105.1999999999998</v>
      </c>
    </row>
    <row r="743" spans="1:8" x14ac:dyDescent="0.3">
      <c r="A743" s="1">
        <v>44918</v>
      </c>
      <c r="B743" s="4">
        <f>_xlfn.XLOOKUP($A743, 'Nifty 50'!A:A, 'Nifty 50'!B:B, "")</f>
        <v>17806.8</v>
      </c>
      <c r="C743" s="4">
        <f>_xlfn.XLOOKUP($A743, Reliance!A:A, Reliance!B:B, "")</f>
        <v>1135.82</v>
      </c>
      <c r="D743" s="4">
        <f>_xlfn.XLOOKUP($A743, HDFC!A:A, HDFC!B:B, "")</f>
        <v>796.84</v>
      </c>
      <c r="E743" s="4">
        <f>_xlfn.XLOOKUP($A743, ITC!A:A, ITC!B:B, "")</f>
        <v>307.17</v>
      </c>
      <c r="F743" s="4">
        <f>_xlfn.XLOOKUP($A743, TCS!A:A, TCS!B:B, "")</f>
        <v>3149.66</v>
      </c>
      <c r="G743" s="4">
        <f>_xlfn.XLOOKUP($A743, Infosys!A:A, Infosys!B:B,"")</f>
        <v>1488.71</v>
      </c>
      <c r="H743" s="4">
        <f>_xlfn.XLOOKUP($A743, 'L &amp; T'!A:A, 'L &amp; T'!B:B, "")</f>
        <v>2058.11</v>
      </c>
    </row>
    <row r="744" spans="1:8" x14ac:dyDescent="0.3">
      <c r="A744" s="1">
        <v>44921</v>
      </c>
      <c r="B744" s="4">
        <f>_xlfn.XLOOKUP($A744, 'Nifty 50'!A:A, 'Nifty 50'!B:B, "")</f>
        <v>18014.599999999999</v>
      </c>
      <c r="C744" s="4">
        <f>_xlfn.XLOOKUP($A744, Reliance!A:A, Reliance!B:B, "")</f>
        <v>1145.74</v>
      </c>
      <c r="D744" s="4">
        <f>_xlfn.XLOOKUP($A744, HDFC!A:A, HDFC!B:B, "")</f>
        <v>812.7</v>
      </c>
      <c r="E744" s="4">
        <f>_xlfn.XLOOKUP($A744, ITC!A:A, ITC!B:B, "")</f>
        <v>314.60000000000002</v>
      </c>
      <c r="F744" s="4">
        <f>_xlfn.XLOOKUP($A744, TCS!A:A, TCS!B:B, "")</f>
        <v>3173.61</v>
      </c>
      <c r="G744" s="4">
        <f>_xlfn.XLOOKUP($A744, Infosys!A:A, Infosys!B:B,"")</f>
        <v>1493.98</v>
      </c>
      <c r="H744" s="4">
        <f>_xlfn.XLOOKUP($A744, 'L &amp; T'!A:A, 'L &amp; T'!B:B, "")</f>
        <v>2086.34</v>
      </c>
    </row>
    <row r="745" spans="1:8" x14ac:dyDescent="0.3">
      <c r="A745" s="1">
        <v>44922</v>
      </c>
      <c r="B745" s="4">
        <f>_xlfn.XLOOKUP($A745, 'Nifty 50'!A:A, 'Nifty 50'!B:B, "")</f>
        <v>18132.3</v>
      </c>
      <c r="C745" s="4">
        <f>_xlfn.XLOOKUP($A745, Reliance!A:A, Reliance!B:B, "")</f>
        <v>1155.1099999999999</v>
      </c>
      <c r="D745" s="4">
        <f>_xlfn.XLOOKUP($A745, HDFC!A:A, HDFC!B:B, "")</f>
        <v>813.53</v>
      </c>
      <c r="E745" s="4">
        <f>_xlfn.XLOOKUP($A745, ITC!A:A, ITC!B:B, "")</f>
        <v>313.23</v>
      </c>
      <c r="F745" s="4">
        <f>_xlfn.XLOOKUP($A745, TCS!A:A, TCS!B:B, "")</f>
        <v>3180.05</v>
      </c>
      <c r="G745" s="4">
        <f>_xlfn.XLOOKUP($A745, Infosys!A:A, Infosys!B:B,"")</f>
        <v>1506.36</v>
      </c>
      <c r="H745" s="4">
        <f>_xlfn.XLOOKUP($A745, 'L &amp; T'!A:A, 'L &amp; T'!B:B, "")</f>
        <v>2119.3200000000002</v>
      </c>
    </row>
    <row r="746" spans="1:8" x14ac:dyDescent="0.3">
      <c r="A746" s="1">
        <v>44923</v>
      </c>
      <c r="B746" s="4">
        <f>_xlfn.XLOOKUP($A746, 'Nifty 50'!A:A, 'Nifty 50'!B:B, "")</f>
        <v>18122.5</v>
      </c>
      <c r="C746" s="4">
        <f>_xlfn.XLOOKUP($A746, Reliance!A:A, Reliance!B:B, "")</f>
        <v>1155</v>
      </c>
      <c r="D746" s="4">
        <f>_xlfn.XLOOKUP($A746, HDFC!A:A, HDFC!B:B, "")</f>
        <v>812.88</v>
      </c>
      <c r="E746" s="4">
        <f>_xlfn.XLOOKUP($A746, ITC!A:A, ITC!B:B, "")</f>
        <v>314.41000000000003</v>
      </c>
      <c r="F746" s="4">
        <f>_xlfn.XLOOKUP($A746, TCS!A:A, TCS!B:B, "")</f>
        <v>3177.71</v>
      </c>
      <c r="G746" s="4">
        <f>_xlfn.XLOOKUP($A746, Infosys!A:A, Infosys!B:B,"")</f>
        <v>1501.69</v>
      </c>
      <c r="H746" s="4">
        <f>_xlfn.XLOOKUP($A746, 'L &amp; T'!A:A, 'L &amp; T'!B:B, "")</f>
        <v>2116.33</v>
      </c>
    </row>
    <row r="747" spans="1:8" x14ac:dyDescent="0.3">
      <c r="A747" s="1">
        <v>44924</v>
      </c>
      <c r="B747" s="4">
        <f>_xlfn.XLOOKUP($A747, 'Nifty 50'!A:A, 'Nifty 50'!B:B, "")</f>
        <v>18191</v>
      </c>
      <c r="C747" s="4">
        <f>_xlfn.XLOOKUP($A747, Reliance!A:A, Reliance!B:B, "")</f>
        <v>1154.48</v>
      </c>
      <c r="D747" s="4">
        <f>_xlfn.XLOOKUP($A747, HDFC!A:A, HDFC!B:B, "")</f>
        <v>818.61</v>
      </c>
      <c r="E747" s="4">
        <f>_xlfn.XLOOKUP($A747, ITC!A:A, ITC!B:B, "")</f>
        <v>315.3</v>
      </c>
      <c r="F747" s="4">
        <f>_xlfn.XLOOKUP($A747, TCS!A:A, TCS!B:B, "")</f>
        <v>3189.08</v>
      </c>
      <c r="G747" s="4">
        <f>_xlfn.XLOOKUP($A747, Infosys!A:A, Infosys!B:B,"")</f>
        <v>1509.05</v>
      </c>
      <c r="H747" s="4">
        <f>_xlfn.XLOOKUP($A747, 'L &amp; T'!A:A, 'L &amp; T'!B:B, "")</f>
        <v>2106.15</v>
      </c>
    </row>
    <row r="748" spans="1:8" x14ac:dyDescent="0.3">
      <c r="A748" s="1">
        <v>44925</v>
      </c>
      <c r="B748" s="4">
        <f>_xlfn.XLOOKUP($A748, 'Nifty 50'!A:A, 'Nifty 50'!B:B, "")</f>
        <v>18105.3</v>
      </c>
      <c r="C748" s="4">
        <f>_xlfn.XLOOKUP($A748, Reliance!A:A, Reliance!B:B, "")</f>
        <v>1156.25</v>
      </c>
      <c r="D748" s="4">
        <f>_xlfn.XLOOKUP($A748, HDFC!A:A, HDFC!B:B, "")</f>
        <v>812.05</v>
      </c>
      <c r="E748" s="4">
        <f>_xlfn.XLOOKUP($A748, ITC!A:A, ITC!B:B, "")</f>
        <v>311.73</v>
      </c>
      <c r="F748" s="4">
        <f>_xlfn.XLOOKUP($A748, TCS!A:A, TCS!B:B, "")</f>
        <v>3177.32</v>
      </c>
      <c r="G748" s="4">
        <f>_xlfn.XLOOKUP($A748, Infosys!A:A, Infosys!B:B,"")</f>
        <v>1499.75</v>
      </c>
      <c r="H748" s="4">
        <f>_xlfn.XLOOKUP($A748, 'L &amp; T'!A:A, 'L &amp; T'!B:B, "")</f>
        <v>2081.11</v>
      </c>
    </row>
    <row r="749" spans="1:8" x14ac:dyDescent="0.3">
      <c r="A749" s="1">
        <v>44928</v>
      </c>
      <c r="B749" s="4">
        <f>_xlfn.XLOOKUP($A749, 'Nifty 50'!A:A, 'Nifty 50'!B:B, "")</f>
        <v>18197.45</v>
      </c>
      <c r="C749" s="4">
        <f>_xlfn.XLOOKUP($A749, Reliance!A:A, Reliance!B:B, "")</f>
        <v>1169.28</v>
      </c>
      <c r="D749" s="4">
        <f>_xlfn.XLOOKUP($A749, HDFC!A:A, HDFC!B:B, "")</f>
        <v>812.33</v>
      </c>
      <c r="E749" s="4">
        <f>_xlfn.XLOOKUP($A749, ITC!A:A, ITC!B:B, "")</f>
        <v>312.95</v>
      </c>
      <c r="F749" s="4">
        <f>_xlfn.XLOOKUP($A749, TCS!A:A, TCS!B:B, "")</f>
        <v>3181.95</v>
      </c>
      <c r="G749" s="4">
        <f>_xlfn.XLOOKUP($A749, Infosys!A:A, Infosys!B:B,"")</f>
        <v>1515.46</v>
      </c>
      <c r="H749" s="4">
        <f>_xlfn.XLOOKUP($A749, 'L &amp; T'!A:A, 'L &amp; T'!B:B, "")</f>
        <v>2084.75</v>
      </c>
    </row>
    <row r="750" spans="1:8" x14ac:dyDescent="0.3">
      <c r="A750" s="1">
        <v>44929</v>
      </c>
      <c r="B750" s="4">
        <f>_xlfn.XLOOKUP($A750, 'Nifty 50'!A:A, 'Nifty 50'!B:B, "")</f>
        <v>18232.55</v>
      </c>
      <c r="C750" s="4">
        <f>_xlfn.XLOOKUP($A750, Reliance!A:A, Reliance!B:B, "")</f>
        <v>1160.72</v>
      </c>
      <c r="D750" s="4">
        <f>_xlfn.XLOOKUP($A750, HDFC!A:A, HDFC!B:B, "")</f>
        <v>817.64</v>
      </c>
      <c r="E750" s="4">
        <f>_xlfn.XLOOKUP($A750, ITC!A:A, ITC!B:B, "")</f>
        <v>311.31</v>
      </c>
      <c r="F750" s="4">
        <f>_xlfn.XLOOKUP($A750, TCS!A:A, TCS!B:B, "")</f>
        <v>3230.64</v>
      </c>
      <c r="G750" s="4">
        <f>_xlfn.XLOOKUP($A750, Infosys!A:A, Infosys!B:B,"")</f>
        <v>1514.02</v>
      </c>
      <c r="H750" s="4">
        <f>_xlfn.XLOOKUP($A750, 'L &amp; T'!A:A, 'L &amp; T'!B:B, "")</f>
        <v>2084.25</v>
      </c>
    </row>
    <row r="751" spans="1:8" x14ac:dyDescent="0.3">
      <c r="A751" s="1">
        <v>44930</v>
      </c>
      <c r="B751" s="4">
        <f>_xlfn.XLOOKUP($A751, 'Nifty 50'!A:A, 'Nifty 50'!B:B, "")</f>
        <v>18042.95</v>
      </c>
      <c r="C751" s="4">
        <f>_xlfn.XLOOKUP($A751, Reliance!A:A, Reliance!B:B, "")</f>
        <v>1143.24</v>
      </c>
      <c r="D751" s="4">
        <f>_xlfn.XLOOKUP($A751, HDFC!A:A, HDFC!B:B, "")</f>
        <v>803.03</v>
      </c>
      <c r="E751" s="4">
        <f>_xlfn.XLOOKUP($A751, ITC!A:A, ITC!B:B, "")</f>
        <v>307.45</v>
      </c>
      <c r="F751" s="4">
        <f>_xlfn.XLOOKUP($A751, TCS!A:A, TCS!B:B, "")</f>
        <v>3233.86</v>
      </c>
      <c r="G751" s="4">
        <f>_xlfn.XLOOKUP($A751, Infosys!A:A, Infosys!B:B,"")</f>
        <v>1486.42</v>
      </c>
      <c r="H751" s="4">
        <f>_xlfn.XLOOKUP($A751, 'L &amp; T'!A:A, 'L &amp; T'!B:B, "")</f>
        <v>2065.89</v>
      </c>
    </row>
    <row r="752" spans="1:8" x14ac:dyDescent="0.3">
      <c r="A752" s="1">
        <v>44931</v>
      </c>
      <c r="B752" s="4">
        <f>_xlfn.XLOOKUP($A752, 'Nifty 50'!A:A, 'Nifty 50'!B:B, "")</f>
        <v>17992.150000000001</v>
      </c>
      <c r="C752" s="4">
        <f>_xlfn.XLOOKUP($A752, Reliance!A:A, Reliance!B:B, "")</f>
        <v>1141.2</v>
      </c>
      <c r="D752" s="4">
        <f>_xlfn.XLOOKUP($A752, HDFC!A:A, HDFC!B:B, "")</f>
        <v>797.86</v>
      </c>
      <c r="E752" s="4">
        <f>_xlfn.XLOOKUP($A752, ITC!A:A, ITC!B:B, "")</f>
        <v>313.52</v>
      </c>
      <c r="F752" s="4">
        <f>_xlfn.XLOOKUP($A752, TCS!A:A, TCS!B:B, "")</f>
        <v>3230.39</v>
      </c>
      <c r="G752" s="4">
        <f>_xlfn.XLOOKUP($A752, Infosys!A:A, Infosys!B:B,"")</f>
        <v>1466.93</v>
      </c>
      <c r="H752" s="4">
        <f>_xlfn.XLOOKUP($A752, 'L &amp; T'!A:A, 'L &amp; T'!B:B, "")</f>
        <v>2082.65</v>
      </c>
    </row>
    <row r="753" spans="1:8" x14ac:dyDescent="0.3">
      <c r="A753" s="1">
        <v>44932</v>
      </c>
      <c r="B753" s="4">
        <f>_xlfn.XLOOKUP($A753, 'Nifty 50'!A:A, 'Nifty 50'!B:B, "")</f>
        <v>17859.45</v>
      </c>
      <c r="C753" s="4">
        <f>_xlfn.XLOOKUP($A753, Reliance!A:A, Reliance!B:B, "")</f>
        <v>1151.57</v>
      </c>
      <c r="D753" s="4">
        <f>_xlfn.XLOOKUP($A753, HDFC!A:A, HDFC!B:B, "")</f>
        <v>795.22</v>
      </c>
      <c r="E753" s="4">
        <f>_xlfn.XLOOKUP($A753, ITC!A:A, ITC!B:B, "")</f>
        <v>315.02</v>
      </c>
      <c r="F753" s="4">
        <f>_xlfn.XLOOKUP($A753, TCS!A:A, TCS!B:B, "")</f>
        <v>3133.27</v>
      </c>
      <c r="G753" s="4">
        <f>_xlfn.XLOOKUP($A753, Infosys!A:A, Infosys!B:B,"")</f>
        <v>1440.38</v>
      </c>
      <c r="H753" s="4">
        <f>_xlfn.XLOOKUP($A753, 'L &amp; T'!A:A, 'L &amp; T'!B:B, "")</f>
        <v>2081.85</v>
      </c>
    </row>
    <row r="754" spans="1:8" x14ac:dyDescent="0.3">
      <c r="A754" s="1">
        <v>44935</v>
      </c>
      <c r="B754" s="4">
        <f>_xlfn.XLOOKUP($A754, 'Nifty 50'!A:A, 'Nifty 50'!B:B, "")</f>
        <v>18101.2</v>
      </c>
      <c r="C754" s="4">
        <f>_xlfn.XLOOKUP($A754, Reliance!A:A, Reliance!B:B, "")</f>
        <v>1178.76</v>
      </c>
      <c r="D754" s="4">
        <f>_xlfn.XLOOKUP($A754, HDFC!A:A, HDFC!B:B, "")</f>
        <v>796.77</v>
      </c>
      <c r="E754" s="4">
        <f>_xlfn.XLOOKUP($A754, ITC!A:A, ITC!B:B, "")</f>
        <v>317.83999999999997</v>
      </c>
      <c r="F754" s="4">
        <f>_xlfn.XLOOKUP($A754, TCS!A:A, TCS!B:B, "")</f>
        <v>3239.03</v>
      </c>
      <c r="G754" s="4">
        <f>_xlfn.XLOOKUP($A754, Infosys!A:A, Infosys!B:B,"")</f>
        <v>1476.13</v>
      </c>
      <c r="H754" s="4">
        <f>_xlfn.XLOOKUP($A754, 'L &amp; T'!A:A, 'L &amp; T'!B:B, "")</f>
        <v>2116.9299999999998</v>
      </c>
    </row>
    <row r="755" spans="1:8" x14ac:dyDescent="0.3">
      <c r="A755" s="1">
        <v>44936</v>
      </c>
      <c r="B755" s="4">
        <f>_xlfn.XLOOKUP($A755, 'Nifty 50'!A:A, 'Nifty 50'!B:B, "")</f>
        <v>17914.150000000001</v>
      </c>
      <c r="C755" s="4">
        <f>_xlfn.XLOOKUP($A755, Reliance!A:A, Reliance!B:B, "")</f>
        <v>1161.33</v>
      </c>
      <c r="D755" s="4">
        <f>_xlfn.XLOOKUP($A755, HDFC!A:A, HDFC!B:B, "")</f>
        <v>782.2</v>
      </c>
      <c r="E755" s="4">
        <f>_xlfn.XLOOKUP($A755, ITC!A:A, ITC!B:B, "")</f>
        <v>313.47000000000003</v>
      </c>
      <c r="F755" s="4">
        <f>_xlfn.XLOOKUP($A755, TCS!A:A, TCS!B:B, "")</f>
        <v>3206.3</v>
      </c>
      <c r="G755" s="4">
        <f>_xlfn.XLOOKUP($A755, Infosys!A:A, Infosys!B:B,"")</f>
        <v>1461.51</v>
      </c>
      <c r="H755" s="4">
        <f>_xlfn.XLOOKUP($A755, 'L &amp; T'!A:A, 'L &amp; T'!B:B, "")</f>
        <v>2101.91</v>
      </c>
    </row>
    <row r="756" spans="1:8" x14ac:dyDescent="0.3">
      <c r="A756" s="1">
        <v>44937</v>
      </c>
      <c r="B756" s="4">
        <f>_xlfn.XLOOKUP($A756, 'Nifty 50'!A:A, 'Nifty 50'!B:B, "")</f>
        <v>17895.7</v>
      </c>
      <c r="C756" s="4">
        <f>_xlfn.XLOOKUP($A756, Reliance!A:A, Reliance!B:B, "")</f>
        <v>1146.69</v>
      </c>
      <c r="D756" s="4">
        <f>_xlfn.XLOOKUP($A756, HDFC!A:A, HDFC!B:B, "")</f>
        <v>793.48</v>
      </c>
      <c r="E756" s="4">
        <f>_xlfn.XLOOKUP($A756, ITC!A:A, ITC!B:B, "")</f>
        <v>311.95999999999998</v>
      </c>
      <c r="F756" s="4">
        <f>_xlfn.XLOOKUP($A756, TCS!A:A, TCS!B:B, "")</f>
        <v>3247.56</v>
      </c>
      <c r="G756" s="4">
        <f>_xlfn.XLOOKUP($A756, Infosys!A:A, Infosys!B:B,"")</f>
        <v>1463.01</v>
      </c>
      <c r="H756" s="4">
        <f>_xlfn.XLOOKUP($A756, 'L &amp; T'!A:A, 'L &amp; T'!B:B, "")</f>
        <v>2120.5700000000002</v>
      </c>
    </row>
    <row r="757" spans="1:8" x14ac:dyDescent="0.3">
      <c r="A757" s="1">
        <v>44938</v>
      </c>
      <c r="B757" s="4">
        <f>_xlfn.XLOOKUP($A757, 'Nifty 50'!A:A, 'Nifty 50'!B:B, "")</f>
        <v>17858.2</v>
      </c>
      <c r="C757" s="4">
        <f>_xlfn.XLOOKUP($A757, Reliance!A:A, Reliance!B:B, "")</f>
        <v>1121.93</v>
      </c>
      <c r="D757" s="4">
        <f>_xlfn.XLOOKUP($A757, HDFC!A:A, HDFC!B:B, "")</f>
        <v>797.72</v>
      </c>
      <c r="E757" s="4">
        <f>_xlfn.XLOOKUP($A757, ITC!A:A, ITC!B:B, "")</f>
        <v>310.13</v>
      </c>
      <c r="F757" s="4">
        <f>_xlfn.XLOOKUP($A757, TCS!A:A, TCS!B:B, "")</f>
        <v>3253.08</v>
      </c>
      <c r="G757" s="4">
        <f>_xlfn.XLOOKUP($A757, Infosys!A:A, Infosys!B:B,"")</f>
        <v>1472.3</v>
      </c>
      <c r="H757" s="4">
        <f>_xlfn.XLOOKUP($A757, 'L &amp; T'!A:A, 'L &amp; T'!B:B, "")</f>
        <v>2154.89</v>
      </c>
    </row>
    <row r="758" spans="1:8" x14ac:dyDescent="0.3">
      <c r="A758" s="1">
        <v>44939</v>
      </c>
      <c r="B758" s="4">
        <f>_xlfn.XLOOKUP($A758, 'Nifty 50'!A:A, 'Nifty 50'!B:B, "")</f>
        <v>17956.599999999999</v>
      </c>
      <c r="C758" s="4">
        <f>_xlfn.XLOOKUP($A758, Reliance!A:A, Reliance!B:B, "")</f>
        <v>1120.1199999999999</v>
      </c>
      <c r="D758" s="4">
        <f>_xlfn.XLOOKUP($A758, HDFC!A:A, HDFC!B:B, "")</f>
        <v>798.34</v>
      </c>
      <c r="E758" s="4">
        <f>_xlfn.XLOOKUP($A758, ITC!A:A, ITC!B:B, "")</f>
        <v>309.10000000000002</v>
      </c>
      <c r="F758" s="4">
        <f>_xlfn.XLOOKUP($A758, TCS!A:A, TCS!B:B, "")</f>
        <v>3292.3</v>
      </c>
      <c r="G758" s="4">
        <f>_xlfn.XLOOKUP($A758, Infosys!A:A, Infosys!B:B,"")</f>
        <v>1495.22</v>
      </c>
      <c r="H758" s="4">
        <f>_xlfn.XLOOKUP($A758, 'L &amp; T'!A:A, 'L &amp; T'!B:B, "")</f>
        <v>2148.5500000000002</v>
      </c>
    </row>
    <row r="759" spans="1:8" x14ac:dyDescent="0.3">
      <c r="A759" s="1">
        <v>44942</v>
      </c>
      <c r="B759" s="4">
        <f>_xlfn.XLOOKUP($A759, 'Nifty 50'!A:A, 'Nifty 50'!B:B, "")</f>
        <v>17894.849999999999</v>
      </c>
      <c r="C759" s="4">
        <f>_xlfn.XLOOKUP($A759, Reliance!A:A, Reliance!B:B, "")</f>
        <v>1109.45</v>
      </c>
      <c r="D759" s="4">
        <f>_xlfn.XLOOKUP($A759, HDFC!A:A, HDFC!B:B, "")</f>
        <v>790.68</v>
      </c>
      <c r="E759" s="4">
        <f>_xlfn.XLOOKUP($A759, ITC!A:A, ITC!B:B, "")</f>
        <v>310.45999999999998</v>
      </c>
      <c r="F759" s="4">
        <f>_xlfn.XLOOKUP($A759, TCS!A:A, TCS!B:B, "")</f>
        <v>3318.67</v>
      </c>
      <c r="G759" s="4">
        <f>_xlfn.XLOOKUP($A759, Infosys!A:A, Infosys!B:B,"")</f>
        <v>1516.95</v>
      </c>
      <c r="H759" s="4">
        <f>_xlfn.XLOOKUP($A759, 'L &amp; T'!A:A, 'L &amp; T'!B:B, "")</f>
        <v>2132.39</v>
      </c>
    </row>
    <row r="760" spans="1:8" x14ac:dyDescent="0.3">
      <c r="A760" s="1">
        <v>44943</v>
      </c>
      <c r="B760" s="4">
        <f>_xlfn.XLOOKUP($A760, 'Nifty 50'!A:A, 'Nifty 50'!B:B, "")</f>
        <v>18053.3</v>
      </c>
      <c r="C760" s="4">
        <f>_xlfn.XLOOKUP($A760, Reliance!A:A, Reliance!B:B, "")</f>
        <v>1125.2</v>
      </c>
      <c r="D760" s="4">
        <f>_xlfn.XLOOKUP($A760, HDFC!A:A, HDFC!B:B, "")</f>
        <v>802.45</v>
      </c>
      <c r="E760" s="4">
        <f>_xlfn.XLOOKUP($A760, ITC!A:A, ITC!B:B, "")</f>
        <v>312.39</v>
      </c>
      <c r="F760" s="4">
        <f>_xlfn.XLOOKUP($A760, TCS!A:A, TCS!B:B, "")</f>
        <v>3362.82</v>
      </c>
      <c r="G760" s="4">
        <f>_xlfn.XLOOKUP($A760, Infosys!A:A, Infosys!B:B,"")</f>
        <v>1530.87</v>
      </c>
      <c r="H760" s="4">
        <f>_xlfn.XLOOKUP($A760, 'L &amp; T'!A:A, 'L &amp; T'!B:B, "")</f>
        <v>2208.12</v>
      </c>
    </row>
    <row r="761" spans="1:8" x14ac:dyDescent="0.3">
      <c r="A761" s="1">
        <v>44944</v>
      </c>
      <c r="B761" s="4">
        <f>_xlfn.XLOOKUP($A761, 'Nifty 50'!A:A, 'Nifty 50'!B:B, "")</f>
        <v>18165.349999999999</v>
      </c>
      <c r="C761" s="4">
        <f>_xlfn.XLOOKUP($A761, Reliance!A:A, Reliance!B:B, "")</f>
        <v>1123.3399999999999</v>
      </c>
      <c r="D761" s="4">
        <f>_xlfn.XLOOKUP($A761, HDFC!A:A, HDFC!B:B, "")</f>
        <v>816.62</v>
      </c>
      <c r="E761" s="4">
        <f>_xlfn.XLOOKUP($A761, ITC!A:A, ITC!B:B, "")</f>
        <v>314.64</v>
      </c>
      <c r="F761" s="4">
        <f>_xlfn.XLOOKUP($A761, TCS!A:A, TCS!B:B, "")</f>
        <v>3374.36</v>
      </c>
      <c r="G761" s="4">
        <f>_xlfn.XLOOKUP($A761, Infosys!A:A, Infosys!B:B,"")</f>
        <v>1536.74</v>
      </c>
      <c r="H761" s="4">
        <f>_xlfn.XLOOKUP($A761, 'L &amp; T'!A:A, 'L &amp; T'!B:B, "")</f>
        <v>2261.4</v>
      </c>
    </row>
    <row r="762" spans="1:8" x14ac:dyDescent="0.3">
      <c r="A762" s="1">
        <v>44945</v>
      </c>
      <c r="B762" s="4">
        <f>_xlfn.XLOOKUP($A762, 'Nifty 50'!A:A, 'Nifty 50'!B:B, "")</f>
        <v>18107.849999999999</v>
      </c>
      <c r="C762" s="4">
        <f>_xlfn.XLOOKUP($A762, Reliance!A:A, Reliance!B:B, "")</f>
        <v>1122.1400000000001</v>
      </c>
      <c r="D762" s="4">
        <f>_xlfn.XLOOKUP($A762, HDFC!A:A, HDFC!B:B, "")</f>
        <v>820.01</v>
      </c>
      <c r="E762" s="4">
        <f>_xlfn.XLOOKUP($A762, ITC!A:A, ITC!B:B, "")</f>
        <v>312.29000000000002</v>
      </c>
      <c r="F762" s="4">
        <f>_xlfn.XLOOKUP($A762, TCS!A:A, TCS!B:B, "")</f>
        <v>3357.54</v>
      </c>
      <c r="G762" s="4">
        <f>_xlfn.XLOOKUP($A762, Infosys!A:A, Infosys!B:B,"")</f>
        <v>1530.28</v>
      </c>
      <c r="H762" s="4">
        <f>_xlfn.XLOOKUP($A762, 'L &amp; T'!A:A, 'L &amp; T'!B:B, "")</f>
        <v>2267.9899999999998</v>
      </c>
    </row>
    <row r="763" spans="1:8" x14ac:dyDescent="0.3">
      <c r="A763" s="1">
        <v>44946</v>
      </c>
      <c r="B763" s="4">
        <f>_xlfn.XLOOKUP($A763, 'Nifty 50'!A:A, 'Nifty 50'!B:B, "")</f>
        <v>18027.650000000001</v>
      </c>
      <c r="C763" s="4">
        <f>_xlfn.XLOOKUP($A763, Reliance!A:A, Reliance!B:B, "")</f>
        <v>1108.79</v>
      </c>
      <c r="D763" s="4">
        <f>_xlfn.XLOOKUP($A763, HDFC!A:A, HDFC!B:B, "")</f>
        <v>828.41</v>
      </c>
      <c r="E763" s="4">
        <f>_xlfn.XLOOKUP($A763, ITC!A:A, ITC!B:B, "")</f>
        <v>314.60000000000002</v>
      </c>
      <c r="F763" s="4">
        <f>_xlfn.XLOOKUP($A763, TCS!A:A, TCS!B:B, "")</f>
        <v>3347.59</v>
      </c>
      <c r="G763" s="4">
        <f>_xlfn.XLOOKUP($A763, Infosys!A:A, Infosys!B:B,"")</f>
        <v>1517</v>
      </c>
      <c r="H763" s="4">
        <f>_xlfn.XLOOKUP($A763, 'L &amp; T'!A:A, 'L &amp; T'!B:B, "")</f>
        <v>2244.89</v>
      </c>
    </row>
    <row r="764" spans="1:8" x14ac:dyDescent="0.3">
      <c r="A764" s="1">
        <v>44949</v>
      </c>
      <c r="B764" s="4">
        <f>_xlfn.XLOOKUP($A764, 'Nifty 50'!A:A, 'Nifty 50'!B:B, "")</f>
        <v>18118.55</v>
      </c>
      <c r="C764" s="4">
        <f>_xlfn.XLOOKUP($A764, Reliance!A:A, Reliance!B:B, "")</f>
        <v>1103.18</v>
      </c>
      <c r="D764" s="4">
        <f>_xlfn.XLOOKUP($A764, HDFC!A:A, HDFC!B:B, "")</f>
        <v>834.47</v>
      </c>
      <c r="E764" s="4">
        <f>_xlfn.XLOOKUP($A764, ITC!A:A, ITC!B:B, "")</f>
        <v>317.56</v>
      </c>
      <c r="F764" s="4">
        <f>_xlfn.XLOOKUP($A764, TCS!A:A, TCS!B:B, "")</f>
        <v>3399.15</v>
      </c>
      <c r="G764" s="4">
        <f>_xlfn.XLOOKUP($A764, Infosys!A:A, Infosys!B:B,"")</f>
        <v>1539.32</v>
      </c>
      <c r="H764" s="4">
        <f>_xlfn.XLOOKUP($A764, 'L &amp; T'!A:A, 'L &amp; T'!B:B, "")</f>
        <v>2228.48</v>
      </c>
    </row>
    <row r="765" spans="1:8" x14ac:dyDescent="0.3">
      <c r="A765" s="1">
        <v>44950</v>
      </c>
      <c r="B765" s="4">
        <f>_xlfn.XLOOKUP($A765, 'Nifty 50'!A:A, 'Nifty 50'!B:B, "")</f>
        <v>18118.3</v>
      </c>
      <c r="C765" s="4">
        <f>_xlfn.XLOOKUP($A765, Reliance!A:A, Reliance!B:B, "")</f>
        <v>1096.67</v>
      </c>
      <c r="D765" s="4">
        <f>_xlfn.XLOOKUP($A765, HDFC!A:A, HDFC!B:B, "")</f>
        <v>845.65</v>
      </c>
      <c r="E765" s="4">
        <f>_xlfn.XLOOKUP($A765, ITC!A:A, ITC!B:B, "")</f>
        <v>318.69</v>
      </c>
      <c r="F765" s="4">
        <f>_xlfn.XLOOKUP($A765, TCS!A:A, TCS!B:B, "")</f>
        <v>3420.45</v>
      </c>
      <c r="G765" s="4">
        <f>_xlfn.XLOOKUP($A765, Infosys!A:A, Infosys!B:B,"")</f>
        <v>1543.2</v>
      </c>
      <c r="H765" s="4">
        <f>_xlfn.XLOOKUP($A765, 'L &amp; T'!A:A, 'L &amp; T'!B:B, "")</f>
        <v>2202.5300000000002</v>
      </c>
    </row>
    <row r="766" spans="1:8" x14ac:dyDescent="0.3">
      <c r="A766" s="1">
        <v>44951</v>
      </c>
      <c r="B766" s="4">
        <f>_xlfn.XLOOKUP($A766, 'Nifty 50'!A:A, 'Nifty 50'!B:B, "")</f>
        <v>17891.95</v>
      </c>
      <c r="C766" s="4">
        <f>_xlfn.XLOOKUP($A766, Reliance!A:A, Reliance!B:B, "")</f>
        <v>1081.51</v>
      </c>
      <c r="D766" s="4">
        <f>_xlfn.XLOOKUP($A766, HDFC!A:A, HDFC!B:B, "")</f>
        <v>822.28</v>
      </c>
      <c r="E766" s="4">
        <f>_xlfn.XLOOKUP($A766, ITC!A:A, ITC!B:B, "")</f>
        <v>318.97000000000003</v>
      </c>
      <c r="F766" s="4">
        <f>_xlfn.XLOOKUP($A766, TCS!A:A, TCS!B:B, "")</f>
        <v>3413.93</v>
      </c>
      <c r="G766" s="4">
        <f>_xlfn.XLOOKUP($A766, Infosys!A:A, Infosys!B:B,"")</f>
        <v>1534.35</v>
      </c>
      <c r="H766" s="4">
        <f>_xlfn.XLOOKUP($A766, 'L &amp; T'!A:A, 'L &amp; T'!B:B, "")</f>
        <v>2169.81</v>
      </c>
    </row>
    <row r="767" spans="1:8" x14ac:dyDescent="0.3">
      <c r="A767" s="1">
        <v>44953</v>
      </c>
      <c r="B767" s="4">
        <f>_xlfn.XLOOKUP($A767, 'Nifty 50'!A:A, 'Nifty 50'!B:B, "")</f>
        <v>17604.349999999999</v>
      </c>
      <c r="C767" s="4">
        <f>_xlfn.XLOOKUP($A767, Reliance!A:A, Reliance!B:B, "")</f>
        <v>1060.99</v>
      </c>
      <c r="D767" s="4">
        <f>_xlfn.XLOOKUP($A767, HDFC!A:A, HDFC!B:B, "")</f>
        <v>805.89</v>
      </c>
      <c r="E767" s="4">
        <f>_xlfn.XLOOKUP($A767, ITC!A:A, ITC!B:B, "")</f>
        <v>325.32</v>
      </c>
      <c r="F767" s="4">
        <f>_xlfn.XLOOKUP($A767, TCS!A:A, TCS!B:B, "")</f>
        <v>3395.32</v>
      </c>
      <c r="G767" s="4">
        <f>_xlfn.XLOOKUP($A767, Infosys!A:A, Infosys!B:B,"")</f>
        <v>1510.64</v>
      </c>
      <c r="H767" s="4">
        <f>_xlfn.XLOOKUP($A767, 'L &amp; T'!A:A, 'L &amp; T'!B:B, "")</f>
        <v>2154.9899999999998</v>
      </c>
    </row>
    <row r="768" spans="1:8" x14ac:dyDescent="0.3">
      <c r="A768" s="1">
        <v>44956</v>
      </c>
      <c r="B768" s="4">
        <f>_xlfn.XLOOKUP($A768, 'Nifty 50'!A:A, 'Nifty 50'!B:B, "")</f>
        <v>17648.95</v>
      </c>
      <c r="C768" s="4">
        <f>_xlfn.XLOOKUP($A768, Reliance!A:A, Reliance!B:B, "")</f>
        <v>1071.1600000000001</v>
      </c>
      <c r="D768" s="4">
        <f>_xlfn.XLOOKUP($A768, HDFC!A:A, HDFC!B:B, "")</f>
        <v>805.07</v>
      </c>
      <c r="E768" s="4">
        <f>_xlfn.XLOOKUP($A768, ITC!A:A, ITC!B:B, "")</f>
        <v>324.19</v>
      </c>
      <c r="F768" s="4">
        <f>_xlfn.XLOOKUP($A768, TCS!A:A, TCS!B:B, "")</f>
        <v>3417.81</v>
      </c>
      <c r="G768" s="4">
        <f>_xlfn.XLOOKUP($A768, Infosys!A:A, Infosys!B:B,"")</f>
        <v>1530.18</v>
      </c>
      <c r="H768" s="4">
        <f>_xlfn.XLOOKUP($A768, 'L &amp; T'!A:A, 'L &amp; T'!B:B, "")</f>
        <v>2108.15</v>
      </c>
    </row>
    <row r="769" spans="1:8" x14ac:dyDescent="0.3">
      <c r="A769" s="1">
        <v>44957</v>
      </c>
      <c r="B769" s="4">
        <f>_xlfn.XLOOKUP($A769, 'Nifty 50'!A:A, 'Nifty 50'!B:B, "")</f>
        <v>17662.150000000001</v>
      </c>
      <c r="C769" s="4">
        <f>_xlfn.XLOOKUP($A769, Reliance!A:A, Reliance!B:B, "")</f>
        <v>1068.48</v>
      </c>
      <c r="D769" s="4">
        <f>_xlfn.XLOOKUP($A769, HDFC!A:A, HDFC!B:B, "")</f>
        <v>799.76</v>
      </c>
      <c r="E769" s="4">
        <f>_xlfn.XLOOKUP($A769, ITC!A:A, ITC!B:B, "")</f>
        <v>331.29</v>
      </c>
      <c r="F769" s="4">
        <f>_xlfn.XLOOKUP($A769, TCS!A:A, TCS!B:B, "")</f>
        <v>3343.21</v>
      </c>
      <c r="G769" s="4">
        <f>_xlfn.XLOOKUP($A769, Infosys!A:A, Infosys!B:B,"")</f>
        <v>1525.16</v>
      </c>
      <c r="H769" s="4">
        <f>_xlfn.XLOOKUP($A769, 'L &amp; T'!A:A, 'L &amp; T'!B:B, "")</f>
        <v>2119.62</v>
      </c>
    </row>
    <row r="770" spans="1:8" x14ac:dyDescent="0.3">
      <c r="A770" s="1">
        <v>44958</v>
      </c>
      <c r="B770" s="4">
        <f>_xlfn.XLOOKUP($A770, 'Nifty 50'!A:A, 'Nifty 50'!B:B, "")</f>
        <v>17616.3</v>
      </c>
      <c r="C770" s="4">
        <f>_xlfn.XLOOKUP($A770, Reliance!A:A, Reliance!B:B, "")</f>
        <v>1062.1500000000001</v>
      </c>
      <c r="D770" s="4">
        <f>_xlfn.XLOOKUP($A770, HDFC!A:A, HDFC!B:B, "")</f>
        <v>811.76</v>
      </c>
      <c r="E770" s="4">
        <f>_xlfn.XLOOKUP($A770, ITC!A:A, ITC!B:B, "")</f>
        <v>339.8</v>
      </c>
      <c r="F770" s="4">
        <f>_xlfn.XLOOKUP($A770, TCS!A:A, TCS!B:B, "")</f>
        <v>3392.63</v>
      </c>
      <c r="G770" s="4">
        <f>_xlfn.XLOOKUP($A770, Infosys!A:A, Infosys!B:B,"")</f>
        <v>1542.41</v>
      </c>
      <c r="H770" s="4">
        <f>_xlfn.XLOOKUP($A770, 'L &amp; T'!A:A, 'L &amp; T'!B:B, "")</f>
        <v>2140.7199999999998</v>
      </c>
    </row>
    <row r="771" spans="1:8" x14ac:dyDescent="0.3">
      <c r="A771" s="1">
        <v>44959</v>
      </c>
      <c r="B771" s="4">
        <f>_xlfn.XLOOKUP($A771, 'Nifty 50'!A:A, 'Nifty 50'!B:B, "")</f>
        <v>17610.400000000001</v>
      </c>
      <c r="C771" s="4">
        <f>_xlfn.XLOOKUP($A771, Reliance!A:A, Reliance!B:B, "")</f>
        <v>1056.27</v>
      </c>
      <c r="D771" s="4">
        <f>_xlfn.XLOOKUP($A771, HDFC!A:A, HDFC!B:B, "")</f>
        <v>799.69</v>
      </c>
      <c r="E771" s="4">
        <f>_xlfn.XLOOKUP($A771, ITC!A:A, ITC!B:B, "")</f>
        <v>355.97</v>
      </c>
      <c r="F771" s="4">
        <f>_xlfn.XLOOKUP($A771, TCS!A:A, TCS!B:B, "")</f>
        <v>3444.44</v>
      </c>
      <c r="G771" s="4">
        <f>_xlfn.XLOOKUP($A771, Infosys!A:A, Infosys!B:B,"")</f>
        <v>1574.88</v>
      </c>
      <c r="H771" s="4">
        <f>_xlfn.XLOOKUP($A771, 'L &amp; T'!A:A, 'L &amp; T'!B:B, "")</f>
        <v>2140.0700000000002</v>
      </c>
    </row>
    <row r="772" spans="1:8" x14ac:dyDescent="0.3">
      <c r="A772" s="1">
        <v>44960</v>
      </c>
      <c r="B772" s="4">
        <f>_xlfn.XLOOKUP($A772, 'Nifty 50'!A:A, 'Nifty 50'!B:B, "")</f>
        <v>17854.05</v>
      </c>
      <c r="C772" s="4">
        <f>_xlfn.XLOOKUP($A772, Reliance!A:A, Reliance!B:B, "")</f>
        <v>1057.2</v>
      </c>
      <c r="D772" s="4">
        <f>_xlfn.XLOOKUP($A772, HDFC!A:A, HDFC!B:B, "")</f>
        <v>827.34</v>
      </c>
      <c r="E772" s="4">
        <f>_xlfn.XLOOKUP($A772, ITC!A:A, ITC!B:B, "")</f>
        <v>357.89</v>
      </c>
      <c r="F772" s="4">
        <f>_xlfn.XLOOKUP($A772, TCS!A:A, TCS!B:B, "")</f>
        <v>3466.24</v>
      </c>
      <c r="G772" s="4">
        <f>_xlfn.XLOOKUP($A772, Infosys!A:A, Infosys!B:B,"")</f>
        <v>1590.44</v>
      </c>
      <c r="H772" s="4">
        <f>_xlfn.XLOOKUP($A772, 'L &amp; T'!A:A, 'L &amp; T'!B:B, "")</f>
        <v>2161.6799999999998</v>
      </c>
    </row>
    <row r="773" spans="1:8" x14ac:dyDescent="0.3">
      <c r="A773" s="1">
        <v>44963</v>
      </c>
      <c r="B773" s="4">
        <f>_xlfn.XLOOKUP($A773, 'Nifty 50'!A:A, 'Nifty 50'!B:B, "")</f>
        <v>17764.599999999999</v>
      </c>
      <c r="C773" s="4">
        <f>_xlfn.XLOOKUP($A773, Reliance!A:A, Reliance!B:B, "")</f>
        <v>1049.24</v>
      </c>
      <c r="D773" s="4">
        <f>_xlfn.XLOOKUP($A773, HDFC!A:A, HDFC!B:B, "")</f>
        <v>823.83</v>
      </c>
      <c r="E773" s="4">
        <f>_xlfn.XLOOKUP($A773, ITC!A:A, ITC!B:B, "")</f>
        <v>360.48</v>
      </c>
      <c r="F773" s="4">
        <f>_xlfn.XLOOKUP($A773, TCS!A:A, TCS!B:B, "")</f>
        <v>3443.99</v>
      </c>
      <c r="G773" s="4">
        <f>_xlfn.XLOOKUP($A773, Infosys!A:A, Infosys!B:B,"")</f>
        <v>1561.05</v>
      </c>
      <c r="H773" s="4">
        <f>_xlfn.XLOOKUP($A773, 'L &amp; T'!A:A, 'L &amp; T'!B:B, "")</f>
        <v>2151.25</v>
      </c>
    </row>
    <row r="774" spans="1:8" x14ac:dyDescent="0.3">
      <c r="A774" s="1">
        <v>44964</v>
      </c>
      <c r="B774" s="4">
        <f>_xlfn.XLOOKUP($A774, 'Nifty 50'!A:A, 'Nifty 50'!B:B, "")</f>
        <v>17721.5</v>
      </c>
      <c r="C774" s="4">
        <f>_xlfn.XLOOKUP($A774, Reliance!A:A, Reliance!B:B, "")</f>
        <v>1046.72</v>
      </c>
      <c r="D774" s="4">
        <f>_xlfn.XLOOKUP($A774, HDFC!A:A, HDFC!B:B, "")</f>
        <v>825.05</v>
      </c>
      <c r="E774" s="4">
        <f>_xlfn.XLOOKUP($A774, ITC!A:A, ITC!B:B, "")</f>
        <v>350.94</v>
      </c>
      <c r="F774" s="4">
        <f>_xlfn.XLOOKUP($A774, TCS!A:A, TCS!B:B, "")</f>
        <v>3456.53</v>
      </c>
      <c r="G774" s="4">
        <f>_xlfn.XLOOKUP($A774, Infosys!A:A, Infosys!B:B,"")</f>
        <v>1553.64</v>
      </c>
      <c r="H774" s="4">
        <f>_xlfn.XLOOKUP($A774, 'L &amp; T'!A:A, 'L &amp; T'!B:B, "")</f>
        <v>2160.4299999999998</v>
      </c>
    </row>
    <row r="775" spans="1:8" x14ac:dyDescent="0.3">
      <c r="A775" s="1">
        <v>44965</v>
      </c>
      <c r="B775" s="4">
        <f>_xlfn.XLOOKUP($A775, 'Nifty 50'!A:A, 'Nifty 50'!B:B, "")</f>
        <v>17871.7</v>
      </c>
      <c r="C775" s="4">
        <f>_xlfn.XLOOKUP($A775, Reliance!A:A, Reliance!B:B, "")</f>
        <v>1067.6199999999999</v>
      </c>
      <c r="D775" s="4">
        <f>_xlfn.XLOOKUP($A775, HDFC!A:A, HDFC!B:B, "")</f>
        <v>824.95</v>
      </c>
      <c r="E775" s="4">
        <f>_xlfn.XLOOKUP($A775, ITC!A:A, ITC!B:B, "")</f>
        <v>353.1</v>
      </c>
      <c r="F775" s="4">
        <f>_xlfn.XLOOKUP($A775, TCS!A:A, TCS!B:B, "")</f>
        <v>3503.86</v>
      </c>
      <c r="G775" s="4">
        <f>_xlfn.XLOOKUP($A775, Infosys!A:A, Infosys!B:B,"")</f>
        <v>1581.59</v>
      </c>
      <c r="H775" s="4">
        <f>_xlfn.XLOOKUP($A775, 'L &amp; T'!A:A, 'L &amp; T'!B:B, "")</f>
        <v>2126.06</v>
      </c>
    </row>
    <row r="776" spans="1:8" x14ac:dyDescent="0.3">
      <c r="A776" s="1">
        <v>44966</v>
      </c>
      <c r="B776" s="4">
        <f>_xlfn.XLOOKUP($A776, 'Nifty 50'!A:A, 'Nifty 50'!B:B, "")</f>
        <v>17893.45</v>
      </c>
      <c r="C776" s="4">
        <f>_xlfn.XLOOKUP($A776, Reliance!A:A, Reliance!B:B, "")</f>
        <v>1069.48</v>
      </c>
      <c r="D776" s="4">
        <f>_xlfn.XLOOKUP($A776, HDFC!A:A, HDFC!B:B, "")</f>
        <v>823.23</v>
      </c>
      <c r="E776" s="4">
        <f>_xlfn.XLOOKUP($A776, ITC!A:A, ITC!B:B, "")</f>
        <v>351.88</v>
      </c>
      <c r="F776" s="4">
        <f>_xlfn.XLOOKUP($A776, TCS!A:A, TCS!B:B, "")</f>
        <v>3524.52</v>
      </c>
      <c r="G776" s="4">
        <f>_xlfn.XLOOKUP($A776, Infosys!A:A, Infosys!B:B,"")</f>
        <v>1607.94</v>
      </c>
      <c r="H776" s="4">
        <f>_xlfn.XLOOKUP($A776, 'L &amp; T'!A:A, 'L &amp; T'!B:B, "")</f>
        <v>2142.5700000000002</v>
      </c>
    </row>
    <row r="777" spans="1:8" x14ac:dyDescent="0.3">
      <c r="A777" s="1">
        <v>44967</v>
      </c>
      <c r="B777" s="4">
        <f>_xlfn.XLOOKUP($A777, 'Nifty 50'!A:A, 'Nifty 50'!B:B, "")</f>
        <v>17856.5</v>
      </c>
      <c r="C777" s="4">
        <f>_xlfn.XLOOKUP($A777, Reliance!A:A, Reliance!B:B, "")</f>
        <v>1060.67</v>
      </c>
      <c r="D777" s="4">
        <f>_xlfn.XLOOKUP($A777, HDFC!A:A, HDFC!B:B, "")</f>
        <v>826.49</v>
      </c>
      <c r="E777" s="4">
        <f>_xlfn.XLOOKUP($A777, ITC!A:A, ITC!B:B, "")</f>
        <v>349.15</v>
      </c>
      <c r="F777" s="4">
        <f>_xlfn.XLOOKUP($A777, TCS!A:A, TCS!B:B, "")</f>
        <v>3521.24</v>
      </c>
      <c r="G777" s="4">
        <f>_xlfn.XLOOKUP($A777, Infosys!A:A, Infosys!B:B,"")</f>
        <v>1599.54</v>
      </c>
      <c r="H777" s="4">
        <f>_xlfn.XLOOKUP($A777, 'L &amp; T'!A:A, 'L &amp; T'!B:B, "")</f>
        <v>2158.98</v>
      </c>
    </row>
    <row r="778" spans="1:8" x14ac:dyDescent="0.3">
      <c r="A778" s="1">
        <v>44970</v>
      </c>
      <c r="B778" s="4">
        <f>_xlfn.XLOOKUP($A778, 'Nifty 50'!A:A, 'Nifty 50'!B:B, "")</f>
        <v>17770.900000000001</v>
      </c>
      <c r="C778" s="4">
        <f>_xlfn.XLOOKUP($A778, Reliance!A:A, Reliance!B:B, "")</f>
        <v>1054.6400000000001</v>
      </c>
      <c r="D778" s="4">
        <f>_xlfn.XLOOKUP($A778, HDFC!A:A, HDFC!B:B, "")</f>
        <v>827.12</v>
      </c>
      <c r="E778" s="4">
        <f>_xlfn.XLOOKUP($A778, ITC!A:A, ITC!B:B, "")</f>
        <v>351.83</v>
      </c>
      <c r="F778" s="4">
        <f>_xlfn.XLOOKUP($A778, TCS!A:A, TCS!B:B, "")</f>
        <v>3466.34</v>
      </c>
      <c r="G778" s="4">
        <f>_xlfn.XLOOKUP($A778, Infosys!A:A, Infosys!B:B,"")</f>
        <v>1558.67</v>
      </c>
      <c r="H778" s="4">
        <f>_xlfn.XLOOKUP($A778, 'L &amp; T'!A:A, 'L &amp; T'!B:B, "")</f>
        <v>2198.34</v>
      </c>
    </row>
    <row r="779" spans="1:8" x14ac:dyDescent="0.3">
      <c r="A779" s="1">
        <v>44971</v>
      </c>
      <c r="B779" s="4">
        <f>_xlfn.XLOOKUP($A779, 'Nifty 50'!A:A, 'Nifty 50'!B:B, "")</f>
        <v>17929.849999999999</v>
      </c>
      <c r="C779" s="4">
        <f>_xlfn.XLOOKUP($A779, Reliance!A:A, Reliance!B:B, "")</f>
        <v>1079.49</v>
      </c>
      <c r="D779" s="4">
        <f>_xlfn.XLOOKUP($A779, HDFC!A:A, HDFC!B:B, "")</f>
        <v>834.77</v>
      </c>
      <c r="E779" s="4">
        <f>_xlfn.XLOOKUP($A779, ITC!A:A, ITC!B:B, "")</f>
        <v>363.35</v>
      </c>
      <c r="F779" s="4">
        <f>_xlfn.XLOOKUP($A779, TCS!A:A, TCS!B:B, "")</f>
        <v>3483.96</v>
      </c>
      <c r="G779" s="4">
        <f>_xlfn.XLOOKUP($A779, Infosys!A:A, Infosys!B:B,"")</f>
        <v>1584.32</v>
      </c>
      <c r="H779" s="4">
        <f>_xlfn.XLOOKUP($A779, 'L &amp; T'!A:A, 'L &amp; T'!B:B, "")</f>
        <v>2186.7199999999998</v>
      </c>
    </row>
    <row r="780" spans="1:8" x14ac:dyDescent="0.3">
      <c r="A780" s="1">
        <v>44972</v>
      </c>
      <c r="B780" s="4">
        <f>_xlfn.XLOOKUP($A780, 'Nifty 50'!A:A, 'Nifty 50'!B:B, "")</f>
        <v>18015.849999999999</v>
      </c>
      <c r="C780" s="4">
        <f>_xlfn.XLOOKUP($A780, Reliance!A:A, Reliance!B:B, "")</f>
        <v>1103.93</v>
      </c>
      <c r="D780" s="4">
        <f>_xlfn.XLOOKUP($A780, HDFC!A:A, HDFC!B:B, "")</f>
        <v>833.08</v>
      </c>
      <c r="E780" s="4">
        <f>_xlfn.XLOOKUP($A780, ITC!A:A, ITC!B:B, "")</f>
        <v>359.35</v>
      </c>
      <c r="F780" s="4">
        <f>_xlfn.XLOOKUP($A780, TCS!A:A, TCS!B:B, "")</f>
        <v>3504.41</v>
      </c>
      <c r="G780" s="4">
        <f>_xlfn.XLOOKUP($A780, Infosys!A:A, Infosys!B:B,"")</f>
        <v>1588.1</v>
      </c>
      <c r="H780" s="4">
        <f>_xlfn.XLOOKUP($A780, 'L &amp; T'!A:A, 'L &amp; T'!B:B, "")</f>
        <v>2170.16</v>
      </c>
    </row>
    <row r="781" spans="1:8" x14ac:dyDescent="0.3">
      <c r="A781" s="1">
        <v>44973</v>
      </c>
      <c r="B781" s="4">
        <f>_xlfn.XLOOKUP($A781, 'Nifty 50'!A:A, 'Nifty 50'!B:B, "")</f>
        <v>18035.849999999999</v>
      </c>
      <c r="C781" s="4">
        <f>_xlfn.XLOOKUP($A781, Reliance!A:A, Reliance!B:B, "")</f>
        <v>1103.07</v>
      </c>
      <c r="D781" s="4">
        <f>_xlfn.XLOOKUP($A781, HDFC!A:A, HDFC!B:B, "")</f>
        <v>830.06</v>
      </c>
      <c r="E781" s="4">
        <f>_xlfn.XLOOKUP($A781, ITC!A:A, ITC!B:B, "")</f>
        <v>359.68</v>
      </c>
      <c r="F781" s="4">
        <f>_xlfn.XLOOKUP($A781, TCS!A:A, TCS!B:B, "")</f>
        <v>3541.64</v>
      </c>
      <c r="G781" s="4">
        <f>_xlfn.XLOOKUP($A781, Infosys!A:A, Infosys!B:B,"")</f>
        <v>1592.82</v>
      </c>
      <c r="H781" s="4">
        <f>_xlfn.XLOOKUP($A781, 'L &amp; T'!A:A, 'L &amp; T'!B:B, "")</f>
        <v>2173.4</v>
      </c>
    </row>
    <row r="782" spans="1:8" x14ac:dyDescent="0.3">
      <c r="A782" s="1">
        <v>44974</v>
      </c>
      <c r="B782" s="4">
        <f>_xlfn.XLOOKUP($A782, 'Nifty 50'!A:A, 'Nifty 50'!B:B, "")</f>
        <v>17944.2</v>
      </c>
      <c r="C782" s="4">
        <f>_xlfn.XLOOKUP($A782, Reliance!A:A, Reliance!B:B, "")</f>
        <v>1107.68</v>
      </c>
      <c r="D782" s="4">
        <f>_xlfn.XLOOKUP($A782, HDFC!A:A, HDFC!B:B, "")</f>
        <v>825.9</v>
      </c>
      <c r="E782" s="4">
        <f>_xlfn.XLOOKUP($A782, ITC!A:A, ITC!B:B, "")</f>
        <v>360.48</v>
      </c>
      <c r="F782" s="4">
        <f>_xlfn.XLOOKUP($A782, TCS!A:A, TCS!B:B, "")</f>
        <v>3485</v>
      </c>
      <c r="G782" s="4">
        <f>_xlfn.XLOOKUP($A782, Infosys!A:A, Infosys!B:B,"")</f>
        <v>1574.92</v>
      </c>
      <c r="H782" s="4">
        <f>_xlfn.XLOOKUP($A782, 'L &amp; T'!A:A, 'L &amp; T'!B:B, "")</f>
        <v>2221.34</v>
      </c>
    </row>
    <row r="783" spans="1:8" x14ac:dyDescent="0.3">
      <c r="A783" s="1">
        <v>44977</v>
      </c>
      <c r="B783" s="4">
        <f>_xlfn.XLOOKUP($A783, 'Nifty 50'!A:A, 'Nifty 50'!B:B, "")</f>
        <v>17844.599999999999</v>
      </c>
      <c r="C783" s="4">
        <f>_xlfn.XLOOKUP($A783, Reliance!A:A, Reliance!B:B, "")</f>
        <v>1095.97</v>
      </c>
      <c r="D783" s="4">
        <f>_xlfn.XLOOKUP($A783, HDFC!A:A, HDFC!B:B, "")</f>
        <v>818.14</v>
      </c>
      <c r="E783" s="4">
        <f>_xlfn.XLOOKUP($A783, ITC!A:A, ITC!B:B, "")</f>
        <v>361.09</v>
      </c>
      <c r="F783" s="4">
        <f>_xlfn.XLOOKUP($A783, TCS!A:A, TCS!B:B, "")</f>
        <v>3471.22</v>
      </c>
      <c r="G783" s="4">
        <f>_xlfn.XLOOKUP($A783, Infosys!A:A, Infosys!B:B,"")</f>
        <v>1583.53</v>
      </c>
      <c r="H783" s="4">
        <f>_xlfn.XLOOKUP($A783, 'L &amp; T'!A:A, 'L &amp; T'!B:B, "")</f>
        <v>2220.4899999999998</v>
      </c>
    </row>
    <row r="784" spans="1:8" x14ac:dyDescent="0.3">
      <c r="A784" s="1">
        <v>44978</v>
      </c>
      <c r="B784" s="4">
        <f>_xlfn.XLOOKUP($A784, 'Nifty 50'!A:A, 'Nifty 50'!B:B, "")</f>
        <v>17826.7</v>
      </c>
      <c r="C784" s="4">
        <f>_xlfn.XLOOKUP($A784, Reliance!A:A, Reliance!B:B, "")</f>
        <v>1104.9100000000001</v>
      </c>
      <c r="D784" s="4">
        <f>_xlfn.XLOOKUP($A784, HDFC!A:A, HDFC!B:B, "")</f>
        <v>821.21</v>
      </c>
      <c r="E784" s="4">
        <f>_xlfn.XLOOKUP($A784, ITC!A:A, ITC!B:B, "")</f>
        <v>359.4</v>
      </c>
      <c r="F784" s="4">
        <f>_xlfn.XLOOKUP($A784, TCS!A:A, TCS!B:B, "")</f>
        <v>3435.08</v>
      </c>
      <c r="G784" s="4">
        <f>_xlfn.XLOOKUP($A784, Infosys!A:A, Infosys!B:B,"")</f>
        <v>1570.65</v>
      </c>
      <c r="H784" s="4">
        <f>_xlfn.XLOOKUP($A784, 'L &amp; T'!A:A, 'L &amp; T'!B:B, "")</f>
        <v>2224.4299999999998</v>
      </c>
    </row>
    <row r="785" spans="1:8" x14ac:dyDescent="0.3">
      <c r="A785" s="1">
        <v>44979</v>
      </c>
      <c r="B785" s="4">
        <f>_xlfn.XLOOKUP($A785, 'Nifty 50'!A:A, 'Nifty 50'!B:B, "")</f>
        <v>17554.3</v>
      </c>
      <c r="C785" s="4">
        <f>_xlfn.XLOOKUP($A785, Reliance!A:A, Reliance!B:B, "")</f>
        <v>1079.8499999999999</v>
      </c>
      <c r="D785" s="4">
        <f>_xlfn.XLOOKUP($A785, HDFC!A:A, HDFC!B:B, "")</f>
        <v>805.1</v>
      </c>
      <c r="E785" s="4">
        <f>_xlfn.XLOOKUP($A785, ITC!A:A, ITC!B:B, "")</f>
        <v>360.9</v>
      </c>
      <c r="F785" s="4">
        <f>_xlfn.XLOOKUP($A785, TCS!A:A, TCS!B:B, "")</f>
        <v>3385.86</v>
      </c>
      <c r="G785" s="4">
        <f>_xlfn.XLOOKUP($A785, Infosys!A:A, Infosys!B:B,"")</f>
        <v>1553.05</v>
      </c>
      <c r="H785" s="4">
        <f>_xlfn.XLOOKUP($A785, 'L &amp; T'!A:A, 'L &amp; T'!B:B, "")</f>
        <v>2189.81</v>
      </c>
    </row>
    <row r="786" spans="1:8" x14ac:dyDescent="0.3">
      <c r="A786" s="1">
        <v>44980</v>
      </c>
      <c r="B786" s="4">
        <f>_xlfn.XLOOKUP($A786, 'Nifty 50'!A:A, 'Nifty 50'!B:B, "")</f>
        <v>17511.25</v>
      </c>
      <c r="C786" s="4">
        <f>_xlfn.XLOOKUP($A786, Reliance!A:A, Reliance!B:B, "")</f>
        <v>1074.68</v>
      </c>
      <c r="D786" s="4">
        <f>_xlfn.XLOOKUP($A786, HDFC!A:A, HDFC!B:B, "")</f>
        <v>799.64</v>
      </c>
      <c r="E786" s="4">
        <f>_xlfn.XLOOKUP($A786, ITC!A:A, ITC!B:B, "")</f>
        <v>364.43</v>
      </c>
      <c r="F786" s="4">
        <f>_xlfn.XLOOKUP($A786, TCS!A:A, TCS!B:B, "")</f>
        <v>3398.06</v>
      </c>
      <c r="G786" s="4">
        <f>_xlfn.XLOOKUP($A786, Infosys!A:A, Infosys!B:B,"")</f>
        <v>1542.01</v>
      </c>
      <c r="H786" s="4">
        <f>_xlfn.XLOOKUP($A786, 'L &amp; T'!A:A, 'L &amp; T'!B:B, "")</f>
        <v>2154.29</v>
      </c>
    </row>
    <row r="787" spans="1:8" x14ac:dyDescent="0.3">
      <c r="A787" s="1">
        <v>44981</v>
      </c>
      <c r="B787" s="4">
        <f>_xlfn.XLOOKUP($A787, 'Nifty 50'!A:A, 'Nifty 50'!B:B, "")</f>
        <v>17465.8</v>
      </c>
      <c r="C787" s="4">
        <f>_xlfn.XLOOKUP($A787, Reliance!A:A, Reliance!B:B, "")</f>
        <v>1082.03</v>
      </c>
      <c r="D787" s="4">
        <f>_xlfn.XLOOKUP($A787, HDFC!A:A, HDFC!B:B, "")</f>
        <v>792.5</v>
      </c>
      <c r="E787" s="4">
        <f>_xlfn.XLOOKUP($A787, ITC!A:A, ITC!B:B, "")</f>
        <v>362.08</v>
      </c>
      <c r="F787" s="4">
        <f>_xlfn.XLOOKUP($A787, TCS!A:A, TCS!B:B, "")</f>
        <v>3384.77</v>
      </c>
      <c r="G787" s="4">
        <f>_xlfn.XLOOKUP($A787, Infosys!A:A, Infosys!B:B,"")</f>
        <v>1541.96</v>
      </c>
      <c r="H787" s="4">
        <f>_xlfn.XLOOKUP($A787, 'L &amp; T'!A:A, 'L &amp; T'!B:B, "")</f>
        <v>2129.25</v>
      </c>
    </row>
    <row r="788" spans="1:8" x14ac:dyDescent="0.3">
      <c r="A788" s="1">
        <v>44984</v>
      </c>
      <c r="B788" s="4">
        <f>_xlfn.XLOOKUP($A788, 'Nifty 50'!A:A, 'Nifty 50'!B:B, "")</f>
        <v>17392.7</v>
      </c>
      <c r="C788" s="4">
        <f>_xlfn.XLOOKUP($A788, Reliance!A:A, Reliance!B:B, "")</f>
        <v>1074.8399999999999</v>
      </c>
      <c r="D788" s="4">
        <f>_xlfn.XLOOKUP($A788, HDFC!A:A, HDFC!B:B, "")</f>
        <v>794.47</v>
      </c>
      <c r="E788" s="4">
        <f>_xlfn.XLOOKUP($A788, ITC!A:A, ITC!B:B, "")</f>
        <v>359.35</v>
      </c>
      <c r="F788" s="4">
        <f>_xlfn.XLOOKUP($A788, TCS!A:A, TCS!B:B, "")</f>
        <v>3316.48</v>
      </c>
      <c r="G788" s="4">
        <f>_xlfn.XLOOKUP($A788, Infosys!A:A, Infosys!B:B,"")</f>
        <v>1500.84</v>
      </c>
      <c r="H788" s="4">
        <f>_xlfn.XLOOKUP($A788, 'L &amp; T'!A:A, 'L &amp; T'!B:B, "")</f>
        <v>2108.94</v>
      </c>
    </row>
    <row r="789" spans="1:8" x14ac:dyDescent="0.3">
      <c r="A789" s="1">
        <v>44985</v>
      </c>
      <c r="B789" s="4">
        <f>_xlfn.XLOOKUP($A789, 'Nifty 50'!A:A, 'Nifty 50'!B:B, "")</f>
        <v>17303.95</v>
      </c>
      <c r="C789" s="4">
        <f>_xlfn.XLOOKUP($A789, Reliance!A:A, Reliance!B:B, "")</f>
        <v>1054.27</v>
      </c>
      <c r="D789" s="4">
        <f>_xlfn.XLOOKUP($A789, HDFC!A:A, HDFC!B:B, "")</f>
        <v>797.81</v>
      </c>
      <c r="E789" s="4">
        <f>_xlfn.XLOOKUP($A789, ITC!A:A, ITC!B:B, "")</f>
        <v>354.18</v>
      </c>
      <c r="F789" s="4">
        <f>_xlfn.XLOOKUP($A789, TCS!A:A, TCS!B:B, "")</f>
        <v>3297.57</v>
      </c>
      <c r="G789" s="4">
        <f>_xlfn.XLOOKUP($A789, Infosys!A:A, Infosys!B:B,"")</f>
        <v>1479.21</v>
      </c>
      <c r="H789" s="4">
        <f>_xlfn.XLOOKUP($A789, 'L &amp; T'!A:A, 'L &amp; T'!B:B, "")</f>
        <v>2104.4</v>
      </c>
    </row>
    <row r="790" spans="1:8" x14ac:dyDescent="0.3">
      <c r="A790" s="1">
        <v>44986</v>
      </c>
      <c r="B790" s="4">
        <f>_xlfn.XLOOKUP($A790, 'Nifty 50'!A:A, 'Nifty 50'!B:B, "")</f>
        <v>17450.900000000001</v>
      </c>
      <c r="C790" s="4">
        <f>_xlfn.XLOOKUP($A790, Reliance!A:A, Reliance!B:B, "")</f>
        <v>1063.97</v>
      </c>
      <c r="D790" s="4">
        <f>_xlfn.XLOOKUP($A790, HDFC!A:A, HDFC!B:B, "")</f>
        <v>797.04</v>
      </c>
      <c r="E790" s="4">
        <f>_xlfn.XLOOKUP($A790, ITC!A:A, ITC!B:B, "")</f>
        <v>356.06</v>
      </c>
      <c r="F790" s="4">
        <f>_xlfn.XLOOKUP($A790, TCS!A:A, TCS!B:B, "")</f>
        <v>3370.08</v>
      </c>
      <c r="G790" s="4">
        <f>_xlfn.XLOOKUP($A790, Infosys!A:A, Infosys!B:B,"")</f>
        <v>1487.67</v>
      </c>
      <c r="H790" s="4">
        <f>_xlfn.XLOOKUP($A790, 'L &amp; T'!A:A, 'L &amp; T'!B:B, "")</f>
        <v>2110.54</v>
      </c>
    </row>
    <row r="791" spans="1:8" x14ac:dyDescent="0.3">
      <c r="A791" s="1">
        <v>44987</v>
      </c>
      <c r="B791" s="4">
        <f>_xlfn.XLOOKUP($A791, 'Nifty 50'!A:A, 'Nifty 50'!B:B, "")</f>
        <v>17321.900000000001</v>
      </c>
      <c r="C791" s="4">
        <f>_xlfn.XLOOKUP($A791, Reliance!A:A, Reliance!B:B, "")</f>
        <v>1055.8599999999999</v>
      </c>
      <c r="D791" s="4">
        <f>_xlfn.XLOOKUP($A791, HDFC!A:A, HDFC!B:B, "")</f>
        <v>790.26</v>
      </c>
      <c r="E791" s="4">
        <f>_xlfn.XLOOKUP($A791, ITC!A:A, ITC!B:B, "")</f>
        <v>353.1</v>
      </c>
      <c r="F791" s="4">
        <f>_xlfn.XLOOKUP($A791, TCS!A:A, TCS!B:B, "")</f>
        <v>3306.13</v>
      </c>
      <c r="G791" s="4">
        <f>_xlfn.XLOOKUP($A791, Infosys!A:A, Infosys!B:B,"")</f>
        <v>1463.9</v>
      </c>
      <c r="H791" s="4">
        <f>_xlfn.XLOOKUP($A791, 'L &amp; T'!A:A, 'L &amp; T'!B:B, "")</f>
        <v>2116.83</v>
      </c>
    </row>
    <row r="792" spans="1:8" x14ac:dyDescent="0.3">
      <c r="A792" s="1">
        <v>44988</v>
      </c>
      <c r="B792" s="4">
        <f>_xlfn.XLOOKUP($A792, 'Nifty 50'!A:A, 'Nifty 50'!B:B, "")</f>
        <v>17594.349999999999</v>
      </c>
      <c r="C792" s="4">
        <f>_xlfn.XLOOKUP($A792, Reliance!A:A, Reliance!B:B, "")</f>
        <v>1082.8</v>
      </c>
      <c r="D792" s="4">
        <f>_xlfn.XLOOKUP($A792, HDFC!A:A, HDFC!B:B, "")</f>
        <v>805.94</v>
      </c>
      <c r="E792" s="4">
        <f>_xlfn.XLOOKUP($A792, ITC!A:A, ITC!B:B, "")</f>
        <v>361.94</v>
      </c>
      <c r="F792" s="4">
        <f>_xlfn.XLOOKUP($A792, TCS!A:A, TCS!B:B, "")</f>
        <v>3326.74</v>
      </c>
      <c r="G792" s="4">
        <f>_xlfn.XLOOKUP($A792, Infosys!A:A, Infosys!B:B,"")</f>
        <v>1471.01</v>
      </c>
      <c r="H792" s="4">
        <f>_xlfn.XLOOKUP($A792, 'L &amp; T'!A:A, 'L &amp; T'!B:B, "")</f>
        <v>2147.21</v>
      </c>
    </row>
    <row r="793" spans="1:8" x14ac:dyDescent="0.3">
      <c r="A793" s="1">
        <v>44991</v>
      </c>
      <c r="B793" s="4">
        <f>_xlfn.XLOOKUP($A793, 'Nifty 50'!A:A, 'Nifty 50'!B:B, "")</f>
        <v>17711.45</v>
      </c>
      <c r="C793" s="4">
        <f>_xlfn.XLOOKUP($A793, Reliance!A:A, Reliance!B:B, "")</f>
        <v>1093.3800000000001</v>
      </c>
      <c r="D793" s="4">
        <f>_xlfn.XLOOKUP($A793, HDFC!A:A, HDFC!B:B, "")</f>
        <v>811.63</v>
      </c>
      <c r="E793" s="4">
        <f>_xlfn.XLOOKUP($A793, ITC!A:A, ITC!B:B, "")</f>
        <v>364.95</v>
      </c>
      <c r="F793" s="4">
        <f>_xlfn.XLOOKUP($A793, TCS!A:A, TCS!B:B, "")</f>
        <v>3356.3</v>
      </c>
      <c r="G793" s="4">
        <f>_xlfn.XLOOKUP($A793, Infosys!A:A, Infosys!B:B,"")</f>
        <v>1499</v>
      </c>
      <c r="H793" s="4">
        <f>_xlfn.XLOOKUP($A793, 'L &amp; T'!A:A, 'L &amp; T'!B:B, "")</f>
        <v>2136.33</v>
      </c>
    </row>
    <row r="794" spans="1:8" x14ac:dyDescent="0.3">
      <c r="A794" s="1">
        <v>44993</v>
      </c>
      <c r="B794" s="4">
        <f>_xlfn.XLOOKUP($A794, 'Nifty 50'!A:A, 'Nifty 50'!B:B, "")</f>
        <v>17754.400000000001</v>
      </c>
      <c r="C794" s="4">
        <f>_xlfn.XLOOKUP($A794, Reliance!A:A, Reliance!B:B, "")</f>
        <v>1097.31</v>
      </c>
      <c r="D794" s="4">
        <f>_xlfn.XLOOKUP($A794, HDFC!A:A, HDFC!B:B, "")</f>
        <v>813.25</v>
      </c>
      <c r="E794" s="4">
        <f>_xlfn.XLOOKUP($A794, ITC!A:A, ITC!B:B, "")</f>
        <v>368.94</v>
      </c>
      <c r="F794" s="4">
        <f>_xlfn.XLOOKUP($A794, TCS!A:A, TCS!B:B, "")</f>
        <v>3374.76</v>
      </c>
      <c r="G794" s="4">
        <f>_xlfn.XLOOKUP($A794, Infosys!A:A, Infosys!B:B,"")</f>
        <v>1484.33</v>
      </c>
      <c r="H794" s="4">
        <f>_xlfn.XLOOKUP($A794, 'L &amp; T'!A:A, 'L &amp; T'!B:B, "")</f>
        <v>2165.92</v>
      </c>
    </row>
    <row r="795" spans="1:8" x14ac:dyDescent="0.3">
      <c r="A795" s="1">
        <v>44994</v>
      </c>
      <c r="B795" s="4">
        <f>_xlfn.XLOOKUP($A795, 'Nifty 50'!A:A, 'Nifty 50'!B:B, "")</f>
        <v>17589.599999999999</v>
      </c>
      <c r="C795" s="4">
        <f>_xlfn.XLOOKUP($A795, Reliance!A:A, Reliance!B:B, "")</f>
        <v>1070.93</v>
      </c>
      <c r="D795" s="4">
        <f>_xlfn.XLOOKUP($A795, HDFC!A:A, HDFC!B:B, "")</f>
        <v>813.33</v>
      </c>
      <c r="E795" s="4">
        <f>_xlfn.XLOOKUP($A795, ITC!A:A, ITC!B:B, "")</f>
        <v>364.33</v>
      </c>
      <c r="F795" s="4">
        <f>_xlfn.XLOOKUP($A795, TCS!A:A, TCS!B:B, "")</f>
        <v>3321.46</v>
      </c>
      <c r="G795" s="4">
        <f>_xlfn.XLOOKUP($A795, Infosys!A:A, Infosys!B:B,"")</f>
        <v>1472.1</v>
      </c>
      <c r="H795" s="4">
        <f>_xlfn.XLOOKUP($A795, 'L &amp; T'!A:A, 'L &amp; T'!B:B, "")</f>
        <v>2188.2600000000002</v>
      </c>
    </row>
    <row r="796" spans="1:8" x14ac:dyDescent="0.3">
      <c r="A796" s="1">
        <v>44995</v>
      </c>
      <c r="B796" s="4">
        <f>_xlfn.XLOOKUP($A796, 'Nifty 50'!A:A, 'Nifty 50'!B:B, "")</f>
        <v>17412.900000000001</v>
      </c>
      <c r="C796" s="4">
        <f>_xlfn.XLOOKUP($A796, Reliance!A:A, Reliance!B:B, "")</f>
        <v>1054.3399999999999</v>
      </c>
      <c r="D796" s="4">
        <f>_xlfn.XLOOKUP($A796, HDFC!A:A, HDFC!B:B, "")</f>
        <v>792.35</v>
      </c>
      <c r="E796" s="4">
        <f>_xlfn.XLOOKUP($A796, ITC!A:A, ITC!B:B, "")</f>
        <v>364.81</v>
      </c>
      <c r="F796" s="4">
        <f>_xlfn.XLOOKUP($A796, TCS!A:A, TCS!B:B, "")</f>
        <v>3315.64</v>
      </c>
      <c r="G796" s="4">
        <f>_xlfn.XLOOKUP($A796, Infosys!A:A, Infosys!B:B,"")</f>
        <v>1463.3</v>
      </c>
      <c r="H796" s="4">
        <f>_xlfn.XLOOKUP($A796, 'L &amp; T'!A:A, 'L &amp; T'!B:B, "")</f>
        <v>2153</v>
      </c>
    </row>
    <row r="797" spans="1:8" x14ac:dyDescent="0.3">
      <c r="A797" s="1">
        <v>44998</v>
      </c>
      <c r="B797" s="4">
        <f>_xlfn.XLOOKUP($A797, 'Nifty 50'!A:A, 'Nifty 50'!B:B, "")</f>
        <v>17154.3</v>
      </c>
      <c r="C797" s="4">
        <f>_xlfn.XLOOKUP($A797, Reliance!A:A, Reliance!B:B, "")</f>
        <v>1037</v>
      </c>
      <c r="D797" s="4">
        <f>_xlfn.XLOOKUP($A797, HDFC!A:A, HDFC!B:B, "")</f>
        <v>782.33</v>
      </c>
      <c r="E797" s="4">
        <f>_xlfn.XLOOKUP($A797, ITC!A:A, ITC!B:B, "")</f>
        <v>360.72</v>
      </c>
      <c r="F797" s="4">
        <f>_xlfn.XLOOKUP($A797, TCS!A:A, TCS!B:B, "")</f>
        <v>3266.81</v>
      </c>
      <c r="G797" s="4">
        <f>_xlfn.XLOOKUP($A797, Infosys!A:A, Infosys!B:B,"")</f>
        <v>1427.06</v>
      </c>
      <c r="H797" s="4">
        <f>_xlfn.XLOOKUP($A797, 'L &amp; T'!A:A, 'L &amp; T'!B:B, "")</f>
        <v>2129.0500000000002</v>
      </c>
    </row>
    <row r="798" spans="1:8" x14ac:dyDescent="0.3">
      <c r="A798" s="1">
        <v>44999</v>
      </c>
      <c r="B798" s="4">
        <f>_xlfn.XLOOKUP($A798, 'Nifty 50'!A:A, 'Nifty 50'!B:B, "")</f>
        <v>17043.3</v>
      </c>
      <c r="C798" s="4">
        <f>_xlfn.XLOOKUP($A798, Reliance!A:A, Reliance!B:B, "")</f>
        <v>1033.1199999999999</v>
      </c>
      <c r="D798" s="4">
        <f>_xlfn.XLOOKUP($A798, HDFC!A:A, HDFC!B:B, "")</f>
        <v>780.23</v>
      </c>
      <c r="E798" s="4">
        <f>_xlfn.XLOOKUP($A798, ITC!A:A, ITC!B:B, "")</f>
        <v>357</v>
      </c>
      <c r="F798" s="4">
        <f>_xlfn.XLOOKUP($A798, TCS!A:A, TCS!B:B, "")</f>
        <v>3200.12</v>
      </c>
      <c r="G798" s="4">
        <f>_xlfn.XLOOKUP($A798, Infosys!A:A, Infosys!B:B,"")</f>
        <v>1412.04</v>
      </c>
      <c r="H798" s="4">
        <f>_xlfn.XLOOKUP($A798, 'L &amp; T'!A:A, 'L &amp; T'!B:B, "")</f>
        <v>2139.38</v>
      </c>
    </row>
    <row r="799" spans="1:8" x14ac:dyDescent="0.3">
      <c r="A799" s="1">
        <v>45000</v>
      </c>
      <c r="B799" s="4">
        <f>_xlfn.XLOOKUP($A799, 'Nifty 50'!A:A, 'Nifty 50'!B:B, "")</f>
        <v>16972.150000000001</v>
      </c>
      <c r="C799" s="4">
        <f>_xlfn.XLOOKUP($A799, Reliance!A:A, Reliance!B:B, "")</f>
        <v>1015.46</v>
      </c>
      <c r="D799" s="4">
        <f>_xlfn.XLOOKUP($A799, HDFC!A:A, HDFC!B:B, "")</f>
        <v>769.04</v>
      </c>
      <c r="E799" s="4">
        <f>_xlfn.XLOOKUP($A799, ITC!A:A, ITC!B:B, "")</f>
        <v>356.72</v>
      </c>
      <c r="F799" s="4">
        <f>_xlfn.XLOOKUP($A799, TCS!A:A, TCS!B:B, "")</f>
        <v>3184.15</v>
      </c>
      <c r="G799" s="4">
        <f>_xlfn.XLOOKUP($A799, Infosys!A:A, Infosys!B:B,"")</f>
        <v>1411.69</v>
      </c>
      <c r="H799" s="4">
        <f>_xlfn.XLOOKUP($A799, 'L &amp; T'!A:A, 'L &amp; T'!B:B, "")</f>
        <v>2171.75</v>
      </c>
    </row>
    <row r="800" spans="1:8" x14ac:dyDescent="0.3">
      <c r="A800" s="1">
        <v>45001</v>
      </c>
      <c r="B800" s="4">
        <f>_xlfn.XLOOKUP($A800, 'Nifty 50'!A:A, 'Nifty 50'!B:B, "")</f>
        <v>16985.599999999999</v>
      </c>
      <c r="C800" s="4">
        <f>_xlfn.XLOOKUP($A800, Reliance!A:A, Reliance!B:B, "")</f>
        <v>1010.4</v>
      </c>
      <c r="D800" s="4">
        <f>_xlfn.XLOOKUP($A800, HDFC!A:A, HDFC!B:B, "")</f>
        <v>774.02</v>
      </c>
      <c r="E800" s="4">
        <f>_xlfn.XLOOKUP($A800, ITC!A:A, ITC!B:B, "")</f>
        <v>358.65</v>
      </c>
      <c r="F800" s="4">
        <f>_xlfn.XLOOKUP($A800, TCS!A:A, TCS!B:B, "")</f>
        <v>3170.31</v>
      </c>
      <c r="G800" s="4">
        <f>_xlfn.XLOOKUP($A800, Infosys!A:A, Infosys!B:B,"")</f>
        <v>1396.23</v>
      </c>
      <c r="H800" s="4">
        <f>_xlfn.XLOOKUP($A800, 'L &amp; T'!A:A, 'L &amp; T'!B:B, "")</f>
        <v>2168.71</v>
      </c>
    </row>
    <row r="801" spans="1:8" x14ac:dyDescent="0.3">
      <c r="A801" s="1">
        <v>45002</v>
      </c>
      <c r="B801" s="4">
        <f>_xlfn.XLOOKUP($A801, 'Nifty 50'!A:A, 'Nifty 50'!B:B, "")</f>
        <v>17100.05</v>
      </c>
      <c r="C801" s="4">
        <f>_xlfn.XLOOKUP($A801, Reliance!A:A, Reliance!B:B, "")</f>
        <v>1009.13</v>
      </c>
      <c r="D801" s="4">
        <f>_xlfn.XLOOKUP($A801, HDFC!A:A, HDFC!B:B, "")</f>
        <v>784.37</v>
      </c>
      <c r="E801" s="4">
        <f>_xlfn.XLOOKUP($A801, ITC!A:A, ITC!B:B, "")</f>
        <v>353.1</v>
      </c>
      <c r="F801" s="4">
        <f>_xlfn.XLOOKUP($A801, TCS!A:A, TCS!B:B, "")</f>
        <v>3164.64</v>
      </c>
      <c r="G801" s="4">
        <f>_xlfn.XLOOKUP($A801, Infosys!A:A, Infosys!B:B,"")</f>
        <v>1412.74</v>
      </c>
      <c r="H801" s="4">
        <f>_xlfn.XLOOKUP($A801, 'L &amp; T'!A:A, 'L &amp; T'!B:B, "")</f>
        <v>2190.81</v>
      </c>
    </row>
    <row r="802" spans="1:8" x14ac:dyDescent="0.3">
      <c r="A802" s="1">
        <v>45005</v>
      </c>
      <c r="B802" s="4">
        <f>_xlfn.XLOOKUP($A802, 'Nifty 50'!A:A, 'Nifty 50'!B:B, "")</f>
        <v>16988.400000000001</v>
      </c>
      <c r="C802" s="4">
        <f>_xlfn.XLOOKUP($A802, Reliance!A:A, Reliance!B:B, "")</f>
        <v>999.21</v>
      </c>
      <c r="D802" s="4">
        <f>_xlfn.XLOOKUP($A802, HDFC!A:A, HDFC!B:B, "")</f>
        <v>778.94</v>
      </c>
      <c r="E802" s="4">
        <f>_xlfn.XLOOKUP($A802, ITC!A:A, ITC!B:B, "")</f>
        <v>356.16</v>
      </c>
      <c r="F802" s="4">
        <f>_xlfn.XLOOKUP($A802, TCS!A:A, TCS!B:B, "")</f>
        <v>3128.8</v>
      </c>
      <c r="G802" s="4">
        <f>_xlfn.XLOOKUP($A802, Infosys!A:A, Infosys!B:B,"")</f>
        <v>1395.78</v>
      </c>
      <c r="H802" s="4">
        <f>_xlfn.XLOOKUP($A802, 'L &amp; T'!A:A, 'L &amp; T'!B:B, "")</f>
        <v>2172.65</v>
      </c>
    </row>
    <row r="803" spans="1:8" x14ac:dyDescent="0.3">
      <c r="A803" s="1">
        <v>45006</v>
      </c>
      <c r="B803" s="4">
        <f>_xlfn.XLOOKUP($A803, 'Nifty 50'!A:A, 'Nifty 50'!B:B, "")</f>
        <v>17107.5</v>
      </c>
      <c r="C803" s="4">
        <f>_xlfn.XLOOKUP($A803, Reliance!A:A, Reliance!B:B, "")</f>
        <v>1030.28</v>
      </c>
      <c r="D803" s="4">
        <f>_xlfn.XLOOKUP($A803, HDFC!A:A, HDFC!B:B, "")</f>
        <v>787.76</v>
      </c>
      <c r="E803" s="4">
        <f>_xlfn.XLOOKUP($A803, ITC!A:A, ITC!B:B, "")</f>
        <v>354.42</v>
      </c>
      <c r="F803" s="4">
        <f>_xlfn.XLOOKUP($A803, TCS!A:A, TCS!B:B, "")</f>
        <v>3091.77</v>
      </c>
      <c r="G803" s="4">
        <f>_xlfn.XLOOKUP($A803, Infosys!A:A, Infosys!B:B,"")</f>
        <v>1382.91</v>
      </c>
      <c r="H803" s="4">
        <f>_xlfn.XLOOKUP($A803, 'L &amp; T'!A:A, 'L &amp; T'!B:B, "")</f>
        <v>2203.48</v>
      </c>
    </row>
    <row r="804" spans="1:8" x14ac:dyDescent="0.3">
      <c r="A804" s="1">
        <v>45007</v>
      </c>
      <c r="B804" s="4">
        <f>_xlfn.XLOOKUP($A804, 'Nifty 50'!A:A, 'Nifty 50'!B:B, "")</f>
        <v>17151.900000000001</v>
      </c>
      <c r="C804" s="4">
        <f>_xlfn.XLOOKUP($A804, Reliance!A:A, Reliance!B:B, "")</f>
        <v>1033.42</v>
      </c>
      <c r="D804" s="4">
        <f>_xlfn.XLOOKUP($A804, HDFC!A:A, HDFC!B:B, "")</f>
        <v>785.94</v>
      </c>
      <c r="E804" s="4">
        <f>_xlfn.XLOOKUP($A804, ITC!A:A, ITC!B:B, "")</f>
        <v>355.17</v>
      </c>
      <c r="F804" s="4">
        <f>_xlfn.XLOOKUP($A804, TCS!A:A, TCS!B:B, "")</f>
        <v>3116.36</v>
      </c>
      <c r="G804" s="4">
        <f>_xlfn.XLOOKUP($A804, Infosys!A:A, Infosys!B:B,"")</f>
        <v>1381.46</v>
      </c>
      <c r="H804" s="4">
        <f>_xlfn.XLOOKUP($A804, 'L &amp; T'!A:A, 'L &amp; T'!B:B, "")</f>
        <v>2208.9699999999998</v>
      </c>
    </row>
    <row r="805" spans="1:8" x14ac:dyDescent="0.3">
      <c r="A805" s="1">
        <v>45008</v>
      </c>
      <c r="B805" s="4">
        <f>_xlfn.XLOOKUP($A805, 'Nifty 50'!A:A, 'Nifty 50'!B:B, "")</f>
        <v>17076.900000000001</v>
      </c>
      <c r="C805" s="4">
        <f>_xlfn.XLOOKUP($A805, Reliance!A:A, Reliance!B:B, "")</f>
        <v>1020.34</v>
      </c>
      <c r="D805" s="4">
        <f>_xlfn.XLOOKUP($A805, HDFC!A:A, HDFC!B:B, "")</f>
        <v>779.64</v>
      </c>
      <c r="E805" s="4">
        <f>_xlfn.XLOOKUP($A805, ITC!A:A, ITC!B:B, "")</f>
        <v>357.89</v>
      </c>
      <c r="F805" s="4">
        <f>_xlfn.XLOOKUP($A805, TCS!A:A, TCS!B:B, "")</f>
        <v>3110.24</v>
      </c>
      <c r="G805" s="4">
        <f>_xlfn.XLOOKUP($A805, Infosys!A:A, Infosys!B:B,"")</f>
        <v>1366.85</v>
      </c>
      <c r="H805" s="4">
        <f>_xlfn.XLOOKUP($A805, 'L &amp; T'!A:A, 'L &amp; T'!B:B, "")</f>
        <v>2201.69</v>
      </c>
    </row>
    <row r="806" spans="1:8" x14ac:dyDescent="0.3">
      <c r="A806" s="1">
        <v>45009</v>
      </c>
      <c r="B806" s="4">
        <f>_xlfn.XLOOKUP($A806, 'Nifty 50'!A:A, 'Nifty 50'!B:B, "")</f>
        <v>16945.05</v>
      </c>
      <c r="C806" s="4">
        <f>_xlfn.XLOOKUP($A806, Reliance!A:A, Reliance!B:B, "")</f>
        <v>1000.14</v>
      </c>
      <c r="D806" s="4">
        <f>_xlfn.XLOOKUP($A806, HDFC!A:A, HDFC!B:B, "")</f>
        <v>778.39</v>
      </c>
      <c r="E806" s="4">
        <f>_xlfn.XLOOKUP($A806, ITC!A:A, ITC!B:B, "")</f>
        <v>356.06</v>
      </c>
      <c r="F806" s="4">
        <f>_xlfn.XLOOKUP($A806, TCS!A:A, TCS!B:B, "")</f>
        <v>3106.11</v>
      </c>
      <c r="G806" s="4">
        <f>_xlfn.XLOOKUP($A806, Infosys!A:A, Infosys!B:B,"")</f>
        <v>1372.91</v>
      </c>
      <c r="H806" s="4">
        <f>_xlfn.XLOOKUP($A806, 'L &amp; T'!A:A, 'L &amp; T'!B:B, "")</f>
        <v>2161.2800000000002</v>
      </c>
    </row>
    <row r="807" spans="1:8" x14ac:dyDescent="0.3">
      <c r="A807" s="1">
        <v>45012</v>
      </c>
      <c r="B807" s="4">
        <f>_xlfn.XLOOKUP($A807, 'Nifty 50'!A:A, 'Nifty 50'!B:B, "")</f>
        <v>16985.7</v>
      </c>
      <c r="C807" s="4">
        <f>_xlfn.XLOOKUP($A807, Reliance!A:A, Reliance!B:B, "")</f>
        <v>1015.69</v>
      </c>
      <c r="D807" s="4">
        <f>_xlfn.XLOOKUP($A807, HDFC!A:A, HDFC!B:B, "")</f>
        <v>781.78</v>
      </c>
      <c r="E807" s="4">
        <f>_xlfn.XLOOKUP($A807, ITC!A:A, ITC!B:B, "")</f>
        <v>357.47</v>
      </c>
      <c r="F807" s="4">
        <f>_xlfn.XLOOKUP($A807, TCS!A:A, TCS!B:B, "")</f>
        <v>3107.9</v>
      </c>
      <c r="G807" s="4">
        <f>_xlfn.XLOOKUP($A807, Infosys!A:A, Infosys!B:B,"")</f>
        <v>1381.17</v>
      </c>
      <c r="H807" s="4">
        <f>_xlfn.XLOOKUP($A807, 'L &amp; T'!A:A, 'L &amp; T'!B:B, "")</f>
        <v>2149.15</v>
      </c>
    </row>
    <row r="808" spans="1:8" x14ac:dyDescent="0.3">
      <c r="A808" s="1">
        <v>45013</v>
      </c>
      <c r="B808" s="4">
        <f>_xlfn.XLOOKUP($A808, 'Nifty 50'!A:A, 'Nifty 50'!B:B, "")</f>
        <v>16951.7</v>
      </c>
      <c r="C808" s="4">
        <f>_xlfn.XLOOKUP($A808, Reliance!A:A, Reliance!B:B, "")</f>
        <v>1020.43</v>
      </c>
      <c r="D808" s="4">
        <f>_xlfn.XLOOKUP($A808, HDFC!A:A, HDFC!B:B, "")</f>
        <v>788.14</v>
      </c>
      <c r="E808" s="4">
        <f>_xlfn.XLOOKUP($A808, ITC!A:A, ITC!B:B, "")</f>
        <v>357.05</v>
      </c>
      <c r="F808" s="4">
        <f>_xlfn.XLOOKUP($A808, TCS!A:A, TCS!B:B, "")</f>
        <v>3101.53</v>
      </c>
      <c r="G808" s="4">
        <f>_xlfn.XLOOKUP($A808, Infosys!A:A, Infosys!B:B,"")</f>
        <v>1369.88</v>
      </c>
      <c r="H808" s="4">
        <f>_xlfn.XLOOKUP($A808, 'L &amp; T'!A:A, 'L &amp; T'!B:B, "")</f>
        <v>2128.8000000000002</v>
      </c>
    </row>
    <row r="809" spans="1:8" x14ac:dyDescent="0.3">
      <c r="A809" s="1">
        <v>45014</v>
      </c>
      <c r="B809" s="4">
        <f>_xlfn.XLOOKUP($A809, 'Nifty 50'!A:A, 'Nifty 50'!B:B, "")</f>
        <v>17080.7</v>
      </c>
      <c r="C809" s="4">
        <f>_xlfn.XLOOKUP($A809, Reliance!A:A, Reliance!B:B, "")</f>
        <v>1014.4</v>
      </c>
      <c r="D809" s="4">
        <f>_xlfn.XLOOKUP($A809, HDFC!A:A, HDFC!B:B, "")</f>
        <v>791.93</v>
      </c>
      <c r="E809" s="4">
        <f>_xlfn.XLOOKUP($A809, ITC!A:A, ITC!B:B, "")</f>
        <v>359.87</v>
      </c>
      <c r="F809" s="4">
        <f>_xlfn.XLOOKUP($A809, TCS!A:A, TCS!B:B, "")</f>
        <v>3124.42</v>
      </c>
      <c r="G809" s="4">
        <f>_xlfn.XLOOKUP($A809, Infosys!A:A, Infosys!B:B,"")</f>
        <v>1375.8</v>
      </c>
      <c r="H809" s="4">
        <f>_xlfn.XLOOKUP($A809, 'L &amp; T'!A:A, 'L &amp; T'!B:B, "")</f>
        <v>2142.62</v>
      </c>
    </row>
    <row r="810" spans="1:8" x14ac:dyDescent="0.3">
      <c r="A810" s="1">
        <v>45016</v>
      </c>
      <c r="B810" s="4">
        <f>_xlfn.XLOOKUP($A810, 'Nifty 50'!A:A, 'Nifty 50'!B:B, "")</f>
        <v>17359.75</v>
      </c>
      <c r="C810" s="4">
        <f>_xlfn.XLOOKUP($A810, Reliance!A:A, Reliance!B:B, "")</f>
        <v>1058.1300000000001</v>
      </c>
      <c r="D810" s="4">
        <f>_xlfn.XLOOKUP($A810, HDFC!A:A, HDFC!B:B, "")</f>
        <v>802.78</v>
      </c>
      <c r="E810" s="4">
        <f>_xlfn.XLOOKUP($A810, ITC!A:A, ITC!B:B, "")</f>
        <v>360.58</v>
      </c>
      <c r="F810" s="4">
        <f>_xlfn.XLOOKUP($A810, TCS!A:A, TCS!B:B, "")</f>
        <v>3191.11</v>
      </c>
      <c r="G810" s="4">
        <f>_xlfn.XLOOKUP($A810, Infosys!A:A, Infosys!B:B,"")</f>
        <v>1419.95</v>
      </c>
      <c r="H810" s="4">
        <f>_xlfn.XLOOKUP($A810, 'L &amp; T'!A:A, 'L &amp; T'!B:B, "")</f>
        <v>2159.33</v>
      </c>
    </row>
    <row r="811" spans="1:8" x14ac:dyDescent="0.3">
      <c r="A811" s="1">
        <v>45019</v>
      </c>
      <c r="B811" s="4">
        <f>_xlfn.XLOOKUP($A811, 'Nifty 50'!A:A, 'Nifty 50'!B:B, "")</f>
        <v>17398.05</v>
      </c>
      <c r="C811" s="4">
        <f>_xlfn.XLOOKUP($A811, Reliance!A:A, Reliance!B:B, "")</f>
        <v>1058.31</v>
      </c>
      <c r="D811" s="4">
        <f>_xlfn.XLOOKUP($A811, HDFC!A:A, HDFC!B:B, "")</f>
        <v>803.28</v>
      </c>
      <c r="E811" s="4">
        <f>_xlfn.XLOOKUP($A811, ITC!A:A, ITC!B:B, "")</f>
        <v>356.25</v>
      </c>
      <c r="F811" s="4">
        <f>_xlfn.XLOOKUP($A811, TCS!A:A, TCS!B:B, "")</f>
        <v>3185.24</v>
      </c>
      <c r="G811" s="4">
        <f>_xlfn.XLOOKUP($A811, Infosys!A:A, Infosys!B:B,"")</f>
        <v>1402.94</v>
      </c>
      <c r="H811" s="4">
        <f>_xlfn.XLOOKUP($A811, 'L &amp; T'!A:A, 'L &amp; T'!B:B, "")</f>
        <v>2165.27</v>
      </c>
    </row>
    <row r="812" spans="1:8" x14ac:dyDescent="0.3">
      <c r="A812" s="1">
        <v>45021</v>
      </c>
      <c r="B812" s="4">
        <f>_xlfn.XLOOKUP($A812, 'Nifty 50'!A:A, 'Nifty 50'!B:B, "")</f>
        <v>17557.05</v>
      </c>
      <c r="C812" s="4">
        <f>_xlfn.XLOOKUP($A812, Reliance!A:A, Reliance!B:B, "")</f>
        <v>1055.77</v>
      </c>
      <c r="D812" s="4">
        <f>_xlfn.XLOOKUP($A812, HDFC!A:A, HDFC!B:B, "")</f>
        <v>824.82</v>
      </c>
      <c r="E812" s="4">
        <f>_xlfn.XLOOKUP($A812, ITC!A:A, ITC!B:B, "")</f>
        <v>363.3</v>
      </c>
      <c r="F812" s="4">
        <f>_xlfn.XLOOKUP($A812, TCS!A:A, TCS!B:B, "")</f>
        <v>3224.86</v>
      </c>
      <c r="G812" s="4">
        <f>_xlfn.XLOOKUP($A812, Infosys!A:A, Infosys!B:B,"")</f>
        <v>1415.57</v>
      </c>
      <c r="H812" s="4">
        <f>_xlfn.XLOOKUP($A812, 'L &amp; T'!A:A, 'L &amp; T'!B:B, "")</f>
        <v>2252.67</v>
      </c>
    </row>
    <row r="813" spans="1:8" x14ac:dyDescent="0.3">
      <c r="A813" s="1">
        <v>45022</v>
      </c>
      <c r="B813" s="4">
        <f>_xlfn.XLOOKUP($A813, 'Nifty 50'!A:A, 'Nifty 50'!B:B, "")</f>
        <v>17599.150000000001</v>
      </c>
      <c r="C813" s="4">
        <f>_xlfn.XLOOKUP($A813, Reliance!A:A, Reliance!B:B, "")</f>
        <v>1062.8499999999999</v>
      </c>
      <c r="D813" s="4">
        <f>_xlfn.XLOOKUP($A813, HDFC!A:A, HDFC!B:B, "")</f>
        <v>831.11</v>
      </c>
      <c r="E813" s="4">
        <f>_xlfn.XLOOKUP($A813, ITC!A:A, ITC!B:B, "")</f>
        <v>364.19</v>
      </c>
      <c r="F813" s="4">
        <f>_xlfn.XLOOKUP($A813, TCS!A:A, TCS!B:B, "")</f>
        <v>3205.85</v>
      </c>
      <c r="G813" s="4">
        <f>_xlfn.XLOOKUP($A813, Infosys!A:A, Infosys!B:B,"")</f>
        <v>1413.93</v>
      </c>
      <c r="H813" s="4">
        <f>_xlfn.XLOOKUP($A813, 'L &amp; T'!A:A, 'L &amp; T'!B:B, "")</f>
        <v>2269.13</v>
      </c>
    </row>
    <row r="814" spans="1:8" x14ac:dyDescent="0.3">
      <c r="A814" s="1">
        <v>45026</v>
      </c>
      <c r="B814" s="4">
        <f>_xlfn.XLOOKUP($A814, 'Nifty 50'!A:A, 'Nifty 50'!B:B, "")</f>
        <v>17624.05</v>
      </c>
      <c r="C814" s="4">
        <f>_xlfn.XLOOKUP($A814, Reliance!A:A, Reliance!B:B, "")</f>
        <v>1055.32</v>
      </c>
      <c r="D814" s="4">
        <f>_xlfn.XLOOKUP($A814, HDFC!A:A, HDFC!B:B, "")</f>
        <v>827.17</v>
      </c>
      <c r="E814" s="4">
        <f>_xlfn.XLOOKUP($A814, ITC!A:A, ITC!B:B, "")</f>
        <v>365.32</v>
      </c>
      <c r="F814" s="4">
        <f>_xlfn.XLOOKUP($A814, TCS!A:A, TCS!B:B, "")</f>
        <v>3248.35</v>
      </c>
      <c r="G814" s="4">
        <f>_xlfn.XLOOKUP($A814, Infosys!A:A, Infosys!B:B,"")</f>
        <v>1419.6</v>
      </c>
      <c r="H814" s="4">
        <f>_xlfn.XLOOKUP($A814, 'L &amp; T'!A:A, 'L &amp; T'!B:B, "")</f>
        <v>2304.5</v>
      </c>
    </row>
    <row r="815" spans="1:8" x14ac:dyDescent="0.3">
      <c r="A815" s="1">
        <v>45027</v>
      </c>
      <c r="B815" s="4">
        <f>_xlfn.XLOOKUP($A815, 'Nifty 50'!A:A, 'Nifty 50'!B:B, "")</f>
        <v>17722.3</v>
      </c>
      <c r="C815" s="4">
        <f>_xlfn.XLOOKUP($A815, Reliance!A:A, Reliance!B:B, "")</f>
        <v>1060.54</v>
      </c>
      <c r="D815" s="4">
        <f>_xlfn.XLOOKUP($A815, HDFC!A:A, HDFC!B:B, "")</f>
        <v>829.59</v>
      </c>
      <c r="E815" s="4">
        <f>_xlfn.XLOOKUP($A815, ITC!A:A, ITC!B:B, "")</f>
        <v>372.33</v>
      </c>
      <c r="F815" s="4">
        <f>_xlfn.XLOOKUP($A815, TCS!A:A, TCS!B:B, "")</f>
        <v>3198.98</v>
      </c>
      <c r="G815" s="4">
        <f>_xlfn.XLOOKUP($A815, Infosys!A:A, Infosys!B:B,"")</f>
        <v>1398.27</v>
      </c>
      <c r="H815" s="4">
        <f>_xlfn.XLOOKUP($A815, 'L &amp; T'!A:A, 'L &amp; T'!B:B, "")</f>
        <v>2296.3200000000002</v>
      </c>
    </row>
    <row r="816" spans="1:8" x14ac:dyDescent="0.3">
      <c r="A816" s="1">
        <v>45028</v>
      </c>
      <c r="B816" s="4">
        <f>_xlfn.XLOOKUP($A816, 'Nifty 50'!A:A, 'Nifty 50'!B:B, "")</f>
        <v>17812.400000000001</v>
      </c>
      <c r="C816" s="4">
        <f>_xlfn.XLOOKUP($A816, Reliance!A:A, Reliance!B:B, "")</f>
        <v>1065.21</v>
      </c>
      <c r="D816" s="4">
        <f>_xlfn.XLOOKUP($A816, HDFC!A:A, HDFC!B:B, "")</f>
        <v>840.36</v>
      </c>
      <c r="E816" s="4">
        <f>_xlfn.XLOOKUP($A816, ITC!A:A, ITC!B:B, "")</f>
        <v>370.02</v>
      </c>
      <c r="F816" s="4">
        <f>_xlfn.XLOOKUP($A816, TCS!A:A, TCS!B:B, "")</f>
        <v>3226.7</v>
      </c>
      <c r="G816" s="4">
        <f>_xlfn.XLOOKUP($A816, Infosys!A:A, Infosys!B:B,"")</f>
        <v>1420.3</v>
      </c>
      <c r="H816" s="4">
        <f>_xlfn.XLOOKUP($A816, 'L &amp; T'!A:A, 'L &amp; T'!B:B, "")</f>
        <v>2283.35</v>
      </c>
    </row>
    <row r="817" spans="1:8" x14ac:dyDescent="0.3">
      <c r="A817" s="1">
        <v>45029</v>
      </c>
      <c r="B817" s="4">
        <f>_xlfn.XLOOKUP($A817, 'Nifty 50'!A:A, 'Nifty 50'!B:B, "")</f>
        <v>17828</v>
      </c>
      <c r="C817" s="4">
        <f>_xlfn.XLOOKUP($A817, Reliance!A:A, Reliance!B:B, "")</f>
        <v>1069.23</v>
      </c>
      <c r="D817" s="4">
        <f>_xlfn.XLOOKUP($A817, HDFC!A:A, HDFC!B:B, "")</f>
        <v>844.12</v>
      </c>
      <c r="E817" s="4">
        <f>_xlfn.XLOOKUP($A817, ITC!A:A, ITC!B:B, "")</f>
        <v>371.95</v>
      </c>
      <c r="F817" s="4">
        <f>_xlfn.XLOOKUP($A817, TCS!A:A, TCS!B:B, "")</f>
        <v>3174.14</v>
      </c>
      <c r="G817" s="4">
        <f>_xlfn.XLOOKUP($A817, Infosys!A:A, Infosys!B:B,"")</f>
        <v>1381.42</v>
      </c>
      <c r="H817" s="4">
        <f>_xlfn.XLOOKUP($A817, 'L &amp; T'!A:A, 'L &amp; T'!B:B, "")</f>
        <v>2253.67</v>
      </c>
    </row>
    <row r="818" spans="1:8" x14ac:dyDescent="0.3">
      <c r="A818" s="1">
        <v>45033</v>
      </c>
      <c r="B818" s="4">
        <f>_xlfn.XLOOKUP($A818, 'Nifty 50'!A:A, 'Nifty 50'!B:B, "")</f>
        <v>17706.849999999999</v>
      </c>
      <c r="C818" s="4">
        <f>_xlfn.XLOOKUP($A818, Reliance!A:A, Reliance!B:B, "")</f>
        <v>1074.6600000000001</v>
      </c>
      <c r="D818" s="4">
        <f>_xlfn.XLOOKUP($A818, HDFC!A:A, HDFC!B:B, "")</f>
        <v>831.26</v>
      </c>
      <c r="E818" s="4">
        <f>_xlfn.XLOOKUP($A818, ITC!A:A, ITC!B:B, "")</f>
        <v>376.23</v>
      </c>
      <c r="F818" s="4">
        <f>_xlfn.XLOOKUP($A818, TCS!A:A, TCS!B:B, "")</f>
        <v>3125.02</v>
      </c>
      <c r="G818" s="4">
        <f>_xlfn.XLOOKUP($A818, Infosys!A:A, Infosys!B:B,"")</f>
        <v>1251.25</v>
      </c>
      <c r="H818" s="4">
        <f>_xlfn.XLOOKUP($A818, 'L &amp; T'!A:A, 'L &amp; T'!B:B, "")</f>
        <v>2209.02</v>
      </c>
    </row>
    <row r="819" spans="1:8" x14ac:dyDescent="0.3">
      <c r="A819" s="1">
        <v>45034</v>
      </c>
      <c r="B819" s="4">
        <f>_xlfn.XLOOKUP($A819, 'Nifty 50'!A:A, 'Nifty 50'!B:B, "")</f>
        <v>17660.150000000001</v>
      </c>
      <c r="C819" s="4">
        <f>_xlfn.XLOOKUP($A819, Reliance!A:A, Reliance!B:B, "")</f>
        <v>1062.3499999999999</v>
      </c>
      <c r="D819" s="4">
        <f>_xlfn.XLOOKUP($A819, HDFC!A:A, HDFC!B:B, "")</f>
        <v>827.74</v>
      </c>
      <c r="E819" s="4">
        <f>_xlfn.XLOOKUP($A819, ITC!A:A, ITC!B:B, "")</f>
        <v>374.68</v>
      </c>
      <c r="F819" s="4">
        <f>_xlfn.XLOOKUP($A819, TCS!A:A, TCS!B:B, "")</f>
        <v>3116.31</v>
      </c>
      <c r="G819" s="4">
        <f>_xlfn.XLOOKUP($A819, Infosys!A:A, Infosys!B:B,"")</f>
        <v>1252.29</v>
      </c>
      <c r="H819" s="4">
        <f>_xlfn.XLOOKUP($A819, 'L &amp; T'!A:A, 'L &amp; T'!B:B, "")</f>
        <v>2211.61</v>
      </c>
    </row>
    <row r="820" spans="1:8" x14ac:dyDescent="0.3">
      <c r="A820" s="1">
        <v>45035</v>
      </c>
      <c r="B820" s="4">
        <f>_xlfn.XLOOKUP($A820, 'Nifty 50'!A:A, 'Nifty 50'!B:B, "")</f>
        <v>17618.75</v>
      </c>
      <c r="C820" s="4">
        <f>_xlfn.XLOOKUP($A820, Reliance!A:A, Reliance!B:B, "")</f>
        <v>1067.6400000000001</v>
      </c>
      <c r="D820" s="4">
        <f>_xlfn.XLOOKUP($A820, HDFC!A:A, HDFC!B:B, "")</f>
        <v>830.78</v>
      </c>
      <c r="E820" s="4">
        <f>_xlfn.XLOOKUP($A820, ITC!A:A, ITC!B:B, "")</f>
        <v>374.91</v>
      </c>
      <c r="F820" s="4">
        <f>_xlfn.XLOOKUP($A820, TCS!A:A, TCS!B:B, "")</f>
        <v>3075.35</v>
      </c>
      <c r="G820" s="4">
        <f>_xlfn.XLOOKUP($A820, Infosys!A:A, Infosys!B:B,"")</f>
        <v>1225.3</v>
      </c>
      <c r="H820" s="4">
        <f>_xlfn.XLOOKUP($A820, 'L &amp; T'!A:A, 'L &amp; T'!B:B, "")</f>
        <v>2214.61</v>
      </c>
    </row>
    <row r="821" spans="1:8" x14ac:dyDescent="0.3">
      <c r="A821" s="1">
        <v>45036</v>
      </c>
      <c r="B821" s="4">
        <f>_xlfn.XLOOKUP($A821, 'Nifty 50'!A:A, 'Nifty 50'!B:B, "")</f>
        <v>17624.45</v>
      </c>
      <c r="C821" s="4">
        <f>_xlfn.XLOOKUP($A821, Reliance!A:A, Reliance!B:B, "")</f>
        <v>1064.94</v>
      </c>
      <c r="D821" s="4">
        <f>_xlfn.XLOOKUP($A821, HDFC!A:A, HDFC!B:B, "")</f>
        <v>833.88</v>
      </c>
      <c r="E821" s="4">
        <f>_xlfn.XLOOKUP($A821, ITC!A:A, ITC!B:B, "")</f>
        <v>376.37</v>
      </c>
      <c r="F821" s="4">
        <f>_xlfn.XLOOKUP($A821, TCS!A:A, TCS!B:B, "")</f>
        <v>3090.48</v>
      </c>
      <c r="G821" s="4">
        <f>_xlfn.XLOOKUP($A821, Infosys!A:A, Infosys!B:B,"")</f>
        <v>1216.54</v>
      </c>
      <c r="H821" s="4">
        <f>_xlfn.XLOOKUP($A821, 'L &amp; T'!A:A, 'L &amp; T'!B:B, "")</f>
        <v>2227.73</v>
      </c>
    </row>
    <row r="822" spans="1:8" x14ac:dyDescent="0.3">
      <c r="A822" s="1">
        <v>45037</v>
      </c>
      <c r="B822" s="4">
        <f>_xlfn.XLOOKUP($A822, 'Nifty 50'!A:A, 'Nifty 50'!B:B, "")</f>
        <v>17624.05</v>
      </c>
      <c r="C822" s="4">
        <f>_xlfn.XLOOKUP($A822, Reliance!A:A, Reliance!B:B, "")</f>
        <v>1066.28</v>
      </c>
      <c r="D822" s="4">
        <f>_xlfn.XLOOKUP($A822, HDFC!A:A, HDFC!B:B, "")</f>
        <v>835.22</v>
      </c>
      <c r="E822" s="4">
        <f>_xlfn.XLOOKUP($A822, ITC!A:A, ITC!B:B, "")</f>
        <v>383.85</v>
      </c>
      <c r="F822" s="4">
        <f>_xlfn.XLOOKUP($A822, TCS!A:A, TCS!B:B, "")</f>
        <v>3146.27</v>
      </c>
      <c r="G822" s="4">
        <f>_xlfn.XLOOKUP($A822, Infosys!A:A, Infosys!B:B,"")</f>
        <v>1220.47</v>
      </c>
      <c r="H822" s="4">
        <f>_xlfn.XLOOKUP($A822, 'L &amp; T'!A:A, 'L &amp; T'!B:B, "")</f>
        <v>2210.2199999999998</v>
      </c>
    </row>
    <row r="823" spans="1:8" x14ac:dyDescent="0.3">
      <c r="A823" s="1">
        <v>45040</v>
      </c>
      <c r="B823" s="4">
        <f>_xlfn.XLOOKUP($A823, 'Nifty 50'!A:A, 'Nifty 50'!B:B, "")</f>
        <v>17743.400000000001</v>
      </c>
      <c r="C823" s="4">
        <f>_xlfn.XLOOKUP($A823, Reliance!A:A, Reliance!B:B, "")</f>
        <v>1070.3699999999999</v>
      </c>
      <c r="D823" s="4">
        <f>_xlfn.XLOOKUP($A823, HDFC!A:A, HDFC!B:B, "")</f>
        <v>841.98</v>
      </c>
      <c r="E823" s="4">
        <f>_xlfn.XLOOKUP($A823, ITC!A:A, ITC!B:B, "")</f>
        <v>384.27</v>
      </c>
      <c r="F823" s="4">
        <f>_xlfn.XLOOKUP($A823, TCS!A:A, TCS!B:B, "")</f>
        <v>3160.16</v>
      </c>
      <c r="G823" s="4">
        <f>_xlfn.XLOOKUP($A823, Infosys!A:A, Infosys!B:B,"")</f>
        <v>1219.43</v>
      </c>
      <c r="H823" s="4">
        <f>_xlfn.XLOOKUP($A823, 'L &amp; T'!A:A, 'L &amp; T'!B:B, "")</f>
        <v>2223.89</v>
      </c>
    </row>
    <row r="824" spans="1:8" x14ac:dyDescent="0.3">
      <c r="A824" s="1">
        <v>45041</v>
      </c>
      <c r="B824" s="4">
        <f>_xlfn.XLOOKUP($A824, 'Nifty 50'!A:A, 'Nifty 50'!B:B, "")</f>
        <v>17769.25</v>
      </c>
      <c r="C824" s="4">
        <f>_xlfn.XLOOKUP($A824, Reliance!A:A, Reliance!B:B, "")</f>
        <v>1078.56</v>
      </c>
      <c r="D824" s="4">
        <f>_xlfn.XLOOKUP($A824, HDFC!A:A, HDFC!B:B, "")</f>
        <v>830.01</v>
      </c>
      <c r="E824" s="4">
        <f>_xlfn.XLOOKUP($A824, ITC!A:A, ITC!B:B, "")</f>
        <v>386.95</v>
      </c>
      <c r="F824" s="4">
        <f>_xlfn.XLOOKUP($A824, TCS!A:A, TCS!B:B, "")</f>
        <v>3161.35</v>
      </c>
      <c r="G824" s="4">
        <f>_xlfn.XLOOKUP($A824, Infosys!A:A, Infosys!B:B,"")</f>
        <v>1218.04</v>
      </c>
      <c r="H824" s="4">
        <f>_xlfn.XLOOKUP($A824, 'L &amp; T'!A:A, 'L &amp; T'!B:B, "")</f>
        <v>2242.89</v>
      </c>
    </row>
    <row r="825" spans="1:8" x14ac:dyDescent="0.3">
      <c r="A825" s="1">
        <v>45042</v>
      </c>
      <c r="B825" s="4">
        <f>_xlfn.XLOOKUP($A825, 'Nifty 50'!A:A, 'Nifty 50'!B:B, "")</f>
        <v>17813.599999999999</v>
      </c>
      <c r="C825" s="4">
        <f>_xlfn.XLOOKUP($A825, Reliance!A:A, Reliance!B:B, "")</f>
        <v>1072.23</v>
      </c>
      <c r="D825" s="4">
        <f>_xlfn.XLOOKUP($A825, HDFC!A:A, HDFC!B:B, "")</f>
        <v>833.83</v>
      </c>
      <c r="E825" s="4">
        <f>_xlfn.XLOOKUP($A825, ITC!A:A, ITC!B:B, "")</f>
        <v>387.61</v>
      </c>
      <c r="F825" s="4">
        <f>_xlfn.XLOOKUP($A825, TCS!A:A, TCS!B:B, "")</f>
        <v>3183.4</v>
      </c>
      <c r="G825" s="4">
        <f>_xlfn.XLOOKUP($A825, Infosys!A:A, Infosys!B:B,"")</f>
        <v>1220.67</v>
      </c>
      <c r="H825" s="4">
        <f>_xlfn.XLOOKUP($A825, 'L &amp; T'!A:A, 'L &amp; T'!B:B, "")</f>
        <v>2271.0300000000002</v>
      </c>
    </row>
    <row r="826" spans="1:8" x14ac:dyDescent="0.3">
      <c r="A826" s="1">
        <v>45043</v>
      </c>
      <c r="B826" s="4">
        <f>_xlfn.XLOOKUP($A826, 'Nifty 50'!A:A, 'Nifty 50'!B:B, "")</f>
        <v>17915.05</v>
      </c>
      <c r="C826" s="4">
        <f>_xlfn.XLOOKUP($A826, Reliance!A:A, Reliance!B:B, "")</f>
        <v>1079.01</v>
      </c>
      <c r="D826" s="4">
        <f>_xlfn.XLOOKUP($A826, HDFC!A:A, HDFC!B:B, "")</f>
        <v>838.41</v>
      </c>
      <c r="E826" s="4">
        <f>_xlfn.XLOOKUP($A826, ITC!A:A, ITC!B:B, "")</f>
        <v>391.13</v>
      </c>
      <c r="F826" s="4">
        <f>_xlfn.XLOOKUP($A826, TCS!A:A, TCS!B:B, "")</f>
        <v>3173.25</v>
      </c>
      <c r="G826" s="4">
        <f>_xlfn.XLOOKUP($A826, Infosys!A:A, Infosys!B:B,"")</f>
        <v>1239.27</v>
      </c>
      <c r="H826" s="4">
        <f>_xlfn.XLOOKUP($A826, 'L &amp; T'!A:A, 'L &amp; T'!B:B, "")</f>
        <v>2300.41</v>
      </c>
    </row>
    <row r="827" spans="1:8" x14ac:dyDescent="0.3">
      <c r="A827" s="1">
        <v>45044</v>
      </c>
      <c r="B827" s="4">
        <f>_xlfn.XLOOKUP($A827, 'Nifty 50'!A:A, 'Nifty 50'!B:B, "")</f>
        <v>18065</v>
      </c>
      <c r="C827" s="4">
        <f>_xlfn.XLOOKUP($A827, Reliance!A:A, Reliance!B:B, "")</f>
        <v>1098.74</v>
      </c>
      <c r="D827" s="4">
        <f>_xlfn.XLOOKUP($A827, HDFC!A:A, HDFC!B:B, "")</f>
        <v>841.71</v>
      </c>
      <c r="E827" s="4">
        <f>_xlfn.XLOOKUP($A827, ITC!A:A, ITC!B:B, "")</f>
        <v>400.11</v>
      </c>
      <c r="F827" s="4">
        <f>_xlfn.XLOOKUP($A827, TCS!A:A, TCS!B:B, "")</f>
        <v>3204.4</v>
      </c>
      <c r="G827" s="4">
        <f>_xlfn.XLOOKUP($A827, Infosys!A:A, Infosys!B:B,"")</f>
        <v>1245.73</v>
      </c>
      <c r="H827" s="4">
        <f>_xlfn.XLOOKUP($A827, 'L &amp; T'!A:A, 'L &amp; T'!B:B, "")</f>
        <v>2359.08</v>
      </c>
    </row>
    <row r="828" spans="1:8" x14ac:dyDescent="0.3">
      <c r="A828" s="1">
        <v>45048</v>
      </c>
      <c r="B828" s="4">
        <f>_xlfn.XLOOKUP($A828, 'Nifty 50'!A:A, 'Nifty 50'!B:B, "")</f>
        <v>18147.650000000001</v>
      </c>
      <c r="C828" s="4">
        <f>_xlfn.XLOOKUP($A828, Reliance!A:A, Reliance!B:B, "")</f>
        <v>1108.06</v>
      </c>
      <c r="D828" s="4">
        <f>_xlfn.XLOOKUP($A828, HDFC!A:A, HDFC!B:B, "")</f>
        <v>841.53</v>
      </c>
      <c r="E828" s="4">
        <f>_xlfn.XLOOKUP($A828, ITC!A:A, ITC!B:B, "")</f>
        <v>399.08</v>
      </c>
      <c r="F828" s="4">
        <f>_xlfn.XLOOKUP($A828, TCS!A:A, TCS!B:B, "")</f>
        <v>3204.55</v>
      </c>
      <c r="G828" s="4">
        <f>_xlfn.XLOOKUP($A828, Infosys!A:A, Infosys!B:B,"")</f>
        <v>1270.29</v>
      </c>
      <c r="H828" s="4">
        <f>_xlfn.XLOOKUP($A828, 'L &amp; T'!A:A, 'L &amp; T'!B:B, "")</f>
        <v>2379.08</v>
      </c>
    </row>
    <row r="829" spans="1:8" x14ac:dyDescent="0.3">
      <c r="A829" s="1">
        <v>45049</v>
      </c>
      <c r="B829" s="4">
        <f>_xlfn.XLOOKUP($A829, 'Nifty 50'!A:A, 'Nifty 50'!B:B, "")</f>
        <v>18089.849999999999</v>
      </c>
      <c r="C829" s="4">
        <f>_xlfn.XLOOKUP($A829, Reliance!A:A, Reliance!B:B, "")</f>
        <v>1098.55</v>
      </c>
      <c r="D829" s="4">
        <f>_xlfn.XLOOKUP($A829, HDFC!A:A, HDFC!B:B, "")</f>
        <v>844.47</v>
      </c>
      <c r="E829" s="4">
        <f>_xlfn.XLOOKUP($A829, ITC!A:A, ITC!B:B, "")</f>
        <v>401.61</v>
      </c>
      <c r="F829" s="4">
        <f>_xlfn.XLOOKUP($A829, TCS!A:A, TCS!B:B, "")</f>
        <v>3165.23</v>
      </c>
      <c r="G829" s="4">
        <f>_xlfn.XLOOKUP($A829, Infosys!A:A, Infosys!B:B,"")</f>
        <v>1262.04</v>
      </c>
      <c r="H829" s="4">
        <f>_xlfn.XLOOKUP($A829, 'L &amp; T'!A:A, 'L &amp; T'!B:B, "")</f>
        <v>2351</v>
      </c>
    </row>
    <row r="830" spans="1:8" x14ac:dyDescent="0.3">
      <c r="A830" s="1">
        <v>45050</v>
      </c>
      <c r="B830" s="4">
        <f>_xlfn.XLOOKUP($A830, 'Nifty 50'!A:A, 'Nifty 50'!B:B, "")</f>
        <v>18255.8</v>
      </c>
      <c r="C830" s="4">
        <f>_xlfn.XLOOKUP($A830, Reliance!A:A, Reliance!B:B, "")</f>
        <v>1111.22</v>
      </c>
      <c r="D830" s="4">
        <f>_xlfn.XLOOKUP($A830, HDFC!A:A, HDFC!B:B, "")</f>
        <v>861.76</v>
      </c>
      <c r="E830" s="4">
        <f>_xlfn.XLOOKUP($A830, ITC!A:A, ITC!B:B, "")</f>
        <v>399.22</v>
      </c>
      <c r="F830" s="4">
        <f>_xlfn.XLOOKUP($A830, TCS!A:A, TCS!B:B, "")</f>
        <v>3205.85</v>
      </c>
      <c r="G830" s="4">
        <f>_xlfn.XLOOKUP($A830, Infosys!A:A, Infosys!B:B,"")</f>
        <v>1266.4100000000001</v>
      </c>
      <c r="H830" s="4">
        <f>_xlfn.XLOOKUP($A830, 'L &amp; T'!A:A, 'L &amp; T'!B:B, "")</f>
        <v>2351.6</v>
      </c>
    </row>
    <row r="831" spans="1:8" x14ac:dyDescent="0.3">
      <c r="A831" s="1">
        <v>45051</v>
      </c>
      <c r="B831" s="4">
        <f>_xlfn.XLOOKUP($A831, 'Nifty 50'!A:A, 'Nifty 50'!B:B, "")</f>
        <v>18069</v>
      </c>
      <c r="C831" s="4">
        <f>_xlfn.XLOOKUP($A831, Reliance!A:A, Reliance!B:B, "")</f>
        <v>1108.3800000000001</v>
      </c>
      <c r="D831" s="4">
        <f>_xlfn.XLOOKUP($A831, HDFC!A:A, HDFC!B:B, "")</f>
        <v>810.81</v>
      </c>
      <c r="E831" s="4">
        <f>_xlfn.XLOOKUP($A831, ITC!A:A, ITC!B:B, "")</f>
        <v>403.12</v>
      </c>
      <c r="F831" s="4">
        <f>_xlfn.XLOOKUP($A831, TCS!A:A, TCS!B:B, "")</f>
        <v>3215.8</v>
      </c>
      <c r="G831" s="4">
        <f>_xlfn.XLOOKUP($A831, Infosys!A:A, Infosys!B:B,"")</f>
        <v>1252.04</v>
      </c>
      <c r="H831" s="4">
        <f>_xlfn.XLOOKUP($A831, 'L &amp; T'!A:A, 'L &amp; T'!B:B, "")</f>
        <v>2372.15</v>
      </c>
    </row>
    <row r="832" spans="1:8" x14ac:dyDescent="0.3">
      <c r="A832" s="1">
        <v>45054</v>
      </c>
      <c r="B832" s="4">
        <f>_xlfn.XLOOKUP($A832, 'Nifty 50'!A:A, 'Nifty 50'!B:B, "")</f>
        <v>18264.400000000001</v>
      </c>
      <c r="C832" s="4">
        <f>_xlfn.XLOOKUP($A832, Reliance!A:A, Reliance!B:B, "")</f>
        <v>1122.07</v>
      </c>
      <c r="D832" s="4">
        <f>_xlfn.XLOOKUP($A832, HDFC!A:A, HDFC!B:B, "")</f>
        <v>820.18</v>
      </c>
      <c r="E832" s="4">
        <f>_xlfn.XLOOKUP($A832, ITC!A:A, ITC!B:B, "")</f>
        <v>405.66</v>
      </c>
      <c r="F832" s="4">
        <f>_xlfn.XLOOKUP($A832, TCS!A:A, TCS!B:B, "")</f>
        <v>3235.61</v>
      </c>
      <c r="G832" s="4">
        <f>_xlfn.XLOOKUP($A832, Infosys!A:A, Infosys!B:B,"")</f>
        <v>1258.51</v>
      </c>
      <c r="H832" s="4">
        <f>_xlfn.XLOOKUP($A832, 'L &amp; T'!A:A, 'L &amp; T'!B:B, "")</f>
        <v>2360.08</v>
      </c>
    </row>
    <row r="833" spans="1:8" x14ac:dyDescent="0.3">
      <c r="A833" s="1">
        <v>45055</v>
      </c>
      <c r="B833" s="4">
        <f>_xlfn.XLOOKUP($A833, 'Nifty 50'!A:A, 'Nifty 50'!B:B, "")</f>
        <v>18265.95</v>
      </c>
      <c r="C833" s="4">
        <f>_xlfn.XLOOKUP($A833, Reliance!A:A, Reliance!B:B, "")</f>
        <v>1125.54</v>
      </c>
      <c r="D833" s="4">
        <f>_xlfn.XLOOKUP($A833, HDFC!A:A, HDFC!B:B, "")</f>
        <v>820.21</v>
      </c>
      <c r="E833" s="4">
        <f>_xlfn.XLOOKUP($A833, ITC!A:A, ITC!B:B, "")</f>
        <v>398.46</v>
      </c>
      <c r="F833" s="4">
        <f>_xlfn.XLOOKUP($A833, TCS!A:A, TCS!B:B, "")</f>
        <v>3268.11</v>
      </c>
      <c r="G833" s="4">
        <f>_xlfn.XLOOKUP($A833, Infosys!A:A, Infosys!B:B,"")</f>
        <v>1263.58</v>
      </c>
      <c r="H833" s="4">
        <f>_xlfn.XLOOKUP($A833, 'L &amp; T'!A:A, 'L &amp; T'!B:B, "")</f>
        <v>2369.0100000000002</v>
      </c>
    </row>
    <row r="834" spans="1:8" x14ac:dyDescent="0.3">
      <c r="A834" s="1">
        <v>45056</v>
      </c>
      <c r="B834" s="4">
        <f>_xlfn.XLOOKUP($A834, 'Nifty 50'!A:A, 'Nifty 50'!B:B, "")</f>
        <v>18315.099999999999</v>
      </c>
      <c r="C834" s="4">
        <f>_xlfn.XLOOKUP($A834, Reliance!A:A, Reliance!B:B, "")</f>
        <v>1133.28</v>
      </c>
      <c r="D834" s="4">
        <f>_xlfn.XLOOKUP($A834, HDFC!A:A, HDFC!B:B, "")</f>
        <v>824</v>
      </c>
      <c r="E834" s="4">
        <f>_xlfn.XLOOKUP($A834, ITC!A:A, ITC!B:B, "")</f>
        <v>399.92</v>
      </c>
      <c r="F834" s="4">
        <f>_xlfn.XLOOKUP($A834, TCS!A:A, TCS!B:B, "")</f>
        <v>3271.64</v>
      </c>
      <c r="G834" s="4">
        <f>_xlfn.XLOOKUP($A834, Infosys!A:A, Infosys!B:B,"")</f>
        <v>1256.17</v>
      </c>
      <c r="H834" s="4">
        <f>_xlfn.XLOOKUP($A834, 'L &amp; T'!A:A, 'L &amp; T'!B:B, "")</f>
        <v>2359.13</v>
      </c>
    </row>
    <row r="835" spans="1:8" x14ac:dyDescent="0.3">
      <c r="A835" s="1">
        <v>45057</v>
      </c>
      <c r="B835" s="4">
        <f>_xlfn.XLOOKUP($A835, 'Nifty 50'!A:A, 'Nifty 50'!B:B, "")</f>
        <v>18297</v>
      </c>
      <c r="C835" s="4">
        <f>_xlfn.XLOOKUP($A835, Reliance!A:A, Reliance!B:B, "")</f>
        <v>1125.8800000000001</v>
      </c>
      <c r="D835" s="4">
        <f>_xlfn.XLOOKUP($A835, HDFC!A:A, HDFC!B:B, "")</f>
        <v>824.55</v>
      </c>
      <c r="E835" s="4">
        <f>_xlfn.XLOOKUP($A835, ITC!A:A, ITC!B:B, "")</f>
        <v>395.27</v>
      </c>
      <c r="F835" s="4">
        <f>_xlfn.XLOOKUP($A835, TCS!A:A, TCS!B:B, "")</f>
        <v>3267.01</v>
      </c>
      <c r="G835" s="4">
        <f>_xlfn.XLOOKUP($A835, Infosys!A:A, Infosys!B:B,"")</f>
        <v>1249.06</v>
      </c>
      <c r="H835" s="4">
        <f>_xlfn.XLOOKUP($A835, 'L &amp; T'!A:A, 'L &amp; T'!B:B, "")</f>
        <v>2237.1</v>
      </c>
    </row>
    <row r="836" spans="1:8" x14ac:dyDescent="0.3">
      <c r="A836" s="1">
        <v>45058</v>
      </c>
      <c r="B836" s="4">
        <f>_xlfn.XLOOKUP($A836, 'Nifty 50'!A:A, 'Nifty 50'!B:B, "")</f>
        <v>18314.8</v>
      </c>
      <c r="C836" s="4">
        <f>_xlfn.XLOOKUP($A836, Reliance!A:A, Reliance!B:B, "")</f>
        <v>1127.72</v>
      </c>
      <c r="D836" s="4">
        <f>_xlfn.XLOOKUP($A836, HDFC!A:A, HDFC!B:B, "")</f>
        <v>831.83</v>
      </c>
      <c r="E836" s="4">
        <f>_xlfn.XLOOKUP($A836, ITC!A:A, ITC!B:B, "")</f>
        <v>395.32</v>
      </c>
      <c r="F836" s="4">
        <f>_xlfn.XLOOKUP($A836, TCS!A:A, TCS!B:B, "")</f>
        <v>3259.2</v>
      </c>
      <c r="G836" s="4">
        <f>_xlfn.XLOOKUP($A836, Infosys!A:A, Infosys!B:B,"")</f>
        <v>1238.22</v>
      </c>
      <c r="H836" s="4">
        <f>_xlfn.XLOOKUP($A836, 'L &amp; T'!A:A, 'L &amp; T'!B:B, "")</f>
        <v>2216.1</v>
      </c>
    </row>
    <row r="837" spans="1:8" x14ac:dyDescent="0.3">
      <c r="A837" s="1">
        <v>45061</v>
      </c>
      <c r="B837" s="4">
        <f>_xlfn.XLOOKUP($A837, 'Nifty 50'!A:A, 'Nifty 50'!B:B, "")</f>
        <v>18398.849999999999</v>
      </c>
      <c r="C837" s="4">
        <f>_xlfn.XLOOKUP($A837, Reliance!A:A, Reliance!B:B, "")</f>
        <v>1129.94</v>
      </c>
      <c r="D837" s="4">
        <f>_xlfn.XLOOKUP($A837, HDFC!A:A, HDFC!B:B, "")</f>
        <v>835.82</v>
      </c>
      <c r="E837" s="4">
        <f>_xlfn.XLOOKUP($A837, ITC!A:A, ITC!B:B, "")</f>
        <v>402.23</v>
      </c>
      <c r="F837" s="4">
        <f>_xlfn.XLOOKUP($A837, TCS!A:A, TCS!B:B, "")</f>
        <v>3240.04</v>
      </c>
      <c r="G837" s="4">
        <f>_xlfn.XLOOKUP($A837, Infosys!A:A, Infosys!B:B,"")</f>
        <v>1251.3</v>
      </c>
      <c r="H837" s="4">
        <f>_xlfn.XLOOKUP($A837, 'L &amp; T'!A:A, 'L &amp; T'!B:B, "")</f>
        <v>2241.79</v>
      </c>
    </row>
    <row r="838" spans="1:8" x14ac:dyDescent="0.3">
      <c r="A838" s="1">
        <v>45062</v>
      </c>
      <c r="B838" s="4">
        <f>_xlfn.XLOOKUP($A838, 'Nifty 50'!A:A, 'Nifty 50'!B:B, "")</f>
        <v>18286.5</v>
      </c>
      <c r="C838" s="4">
        <f>_xlfn.XLOOKUP($A838, Reliance!A:A, Reliance!B:B, "")</f>
        <v>1113.8499999999999</v>
      </c>
      <c r="D838" s="4">
        <f>_xlfn.XLOOKUP($A838, HDFC!A:A, HDFC!B:B, "")</f>
        <v>821.61</v>
      </c>
      <c r="E838" s="4">
        <f>_xlfn.XLOOKUP($A838, ITC!A:A, ITC!B:B, "")</f>
        <v>398.61</v>
      </c>
      <c r="F838" s="4">
        <f>_xlfn.XLOOKUP($A838, TCS!A:A, TCS!B:B, "")</f>
        <v>3243.12</v>
      </c>
      <c r="G838" s="4">
        <f>_xlfn.XLOOKUP($A838, Infosys!A:A, Infosys!B:B,"")</f>
        <v>1257.21</v>
      </c>
      <c r="H838" s="4">
        <f>_xlfn.XLOOKUP($A838, 'L &amp; T'!A:A, 'L &amp; T'!B:B, "")</f>
        <v>2222.19</v>
      </c>
    </row>
    <row r="839" spans="1:8" x14ac:dyDescent="0.3">
      <c r="A839" s="1">
        <v>45063</v>
      </c>
      <c r="B839" s="4">
        <f>_xlfn.XLOOKUP($A839, 'Nifty 50'!A:A, 'Nifty 50'!B:B, "")</f>
        <v>18181.75</v>
      </c>
      <c r="C839" s="4">
        <f>_xlfn.XLOOKUP($A839, Reliance!A:A, Reliance!B:B, "")</f>
        <v>1107.27</v>
      </c>
      <c r="D839" s="4">
        <f>_xlfn.XLOOKUP($A839, HDFC!A:A, HDFC!B:B, "")</f>
        <v>817.19</v>
      </c>
      <c r="E839" s="4">
        <f>_xlfn.XLOOKUP($A839, ITC!A:A, ITC!B:B, "")</f>
        <v>402.04</v>
      </c>
      <c r="F839" s="4">
        <f>_xlfn.XLOOKUP($A839, TCS!A:A, TCS!B:B, "")</f>
        <v>3193.9</v>
      </c>
      <c r="G839" s="4">
        <f>_xlfn.XLOOKUP($A839, Infosys!A:A, Infosys!B:B,"")</f>
        <v>1239.9100000000001</v>
      </c>
      <c r="H839" s="4">
        <f>_xlfn.XLOOKUP($A839, 'L &amp; T'!A:A, 'L &amp; T'!B:B, "")</f>
        <v>2214.61</v>
      </c>
    </row>
    <row r="840" spans="1:8" x14ac:dyDescent="0.3">
      <c r="A840" s="1">
        <v>45064</v>
      </c>
      <c r="B840" s="4">
        <f>_xlfn.XLOOKUP($A840, 'Nifty 50'!A:A, 'Nifty 50'!B:B, "")</f>
        <v>18129.95</v>
      </c>
      <c r="C840" s="4">
        <f>_xlfn.XLOOKUP($A840, Reliance!A:A, Reliance!B:B, "")</f>
        <v>1104.8900000000001</v>
      </c>
      <c r="D840" s="4">
        <f>_xlfn.XLOOKUP($A840, HDFC!A:A, HDFC!B:B, "")</f>
        <v>820.46</v>
      </c>
      <c r="E840" s="4">
        <f>_xlfn.XLOOKUP($A840, ITC!A:A, ITC!B:B, "")</f>
        <v>394.61</v>
      </c>
      <c r="F840" s="4">
        <f>_xlfn.XLOOKUP($A840, TCS!A:A, TCS!B:B, "")</f>
        <v>3185.09</v>
      </c>
      <c r="G840" s="4">
        <f>_xlfn.XLOOKUP($A840, Infosys!A:A, Infosys!B:B,"")</f>
        <v>1239.02</v>
      </c>
      <c r="H840" s="4">
        <f>_xlfn.XLOOKUP($A840, 'L &amp; T'!A:A, 'L &amp; T'!B:B, "")</f>
        <v>2183.2800000000002</v>
      </c>
    </row>
    <row r="841" spans="1:8" x14ac:dyDescent="0.3">
      <c r="A841" s="1">
        <v>45065</v>
      </c>
      <c r="B841" s="4">
        <f>_xlfn.XLOOKUP($A841, 'Nifty 50'!A:A, 'Nifty 50'!B:B, "")</f>
        <v>18203.400000000001</v>
      </c>
      <c r="C841" s="4">
        <f>_xlfn.XLOOKUP($A841, Reliance!A:A, Reliance!B:B, "")</f>
        <v>1108.47</v>
      </c>
      <c r="D841" s="4">
        <f>_xlfn.XLOOKUP($A841, HDFC!A:A, HDFC!B:B, "")</f>
        <v>821.41</v>
      </c>
      <c r="E841" s="4">
        <f>_xlfn.XLOOKUP($A841, ITC!A:A, ITC!B:B, "")</f>
        <v>394.75</v>
      </c>
      <c r="F841" s="4">
        <f>_xlfn.XLOOKUP($A841, TCS!A:A, TCS!B:B, "")</f>
        <v>3207.99</v>
      </c>
      <c r="G841" s="4">
        <f>_xlfn.XLOOKUP($A841, Infosys!A:A, Infosys!B:B,"")</f>
        <v>1261.79</v>
      </c>
      <c r="H841" s="4">
        <f>_xlfn.XLOOKUP($A841, 'L &amp; T'!A:A, 'L &amp; T'!B:B, "")</f>
        <v>2185.12</v>
      </c>
    </row>
    <row r="842" spans="1:8" x14ac:dyDescent="0.3">
      <c r="A842" s="1">
        <v>45068</v>
      </c>
      <c r="B842" s="4">
        <f>_xlfn.XLOOKUP($A842, 'Nifty 50'!A:A, 'Nifty 50'!B:B, "")</f>
        <v>18314.400000000001</v>
      </c>
      <c r="C842" s="4">
        <f>_xlfn.XLOOKUP($A842, Reliance!A:A, Reliance!B:B, "")</f>
        <v>1114.4000000000001</v>
      </c>
      <c r="D842" s="4">
        <f>_xlfn.XLOOKUP($A842, HDFC!A:A, HDFC!B:B, "")</f>
        <v>818.49</v>
      </c>
      <c r="E842" s="4">
        <f>_xlfn.XLOOKUP($A842, ITC!A:A, ITC!B:B, "")</f>
        <v>399.36</v>
      </c>
      <c r="F842" s="4">
        <f>_xlfn.XLOOKUP($A842, TCS!A:A, TCS!B:B, "")</f>
        <v>3283.49</v>
      </c>
      <c r="G842" s="4">
        <f>_xlfn.XLOOKUP($A842, Infosys!A:A, Infosys!B:B,"")</f>
        <v>1285.56</v>
      </c>
      <c r="H842" s="4">
        <f>_xlfn.XLOOKUP($A842, 'L &amp; T'!A:A, 'L &amp; T'!B:B, "")</f>
        <v>2211.61</v>
      </c>
    </row>
    <row r="843" spans="1:8" x14ac:dyDescent="0.3">
      <c r="A843" s="1">
        <v>45069</v>
      </c>
      <c r="B843" s="4">
        <f>_xlfn.XLOOKUP($A843, 'Nifty 50'!A:A, 'Nifty 50'!B:B, "")</f>
        <v>18348</v>
      </c>
      <c r="C843" s="4">
        <f>_xlfn.XLOOKUP($A843, Reliance!A:A, Reliance!B:B, "")</f>
        <v>1114.19</v>
      </c>
      <c r="D843" s="4">
        <f>_xlfn.XLOOKUP($A843, HDFC!A:A, HDFC!B:B, "")</f>
        <v>816.57</v>
      </c>
      <c r="E843" s="4">
        <f>_xlfn.XLOOKUP($A843, ITC!A:A, ITC!B:B, "")</f>
        <v>403.5</v>
      </c>
      <c r="F843" s="4">
        <f>_xlfn.XLOOKUP($A843, TCS!A:A, TCS!B:B, "")</f>
        <v>3281.84</v>
      </c>
      <c r="G843" s="4">
        <f>_xlfn.XLOOKUP($A843, Infosys!A:A, Infosys!B:B,"")</f>
        <v>1292.77</v>
      </c>
      <c r="H843" s="4">
        <f>_xlfn.XLOOKUP($A843, 'L &amp; T'!A:A, 'L &amp; T'!B:B, "")</f>
        <v>2192.71</v>
      </c>
    </row>
    <row r="844" spans="1:8" x14ac:dyDescent="0.3">
      <c r="A844" s="1">
        <v>45070</v>
      </c>
      <c r="B844" s="4">
        <f>_xlfn.XLOOKUP($A844, 'Nifty 50'!A:A, 'Nifty 50'!B:B, "")</f>
        <v>18285.400000000001</v>
      </c>
      <c r="C844" s="4">
        <f>_xlfn.XLOOKUP($A844, Reliance!A:A, Reliance!B:B, "")</f>
        <v>1107.7</v>
      </c>
      <c r="D844" s="4">
        <f>_xlfn.XLOOKUP($A844, HDFC!A:A, HDFC!B:B, "")</f>
        <v>805.89</v>
      </c>
      <c r="E844" s="4">
        <f>_xlfn.XLOOKUP($A844, ITC!A:A, ITC!B:B, "")</f>
        <v>407.59</v>
      </c>
      <c r="F844" s="4">
        <f>_xlfn.XLOOKUP($A844, TCS!A:A, TCS!B:B, "")</f>
        <v>3288.11</v>
      </c>
      <c r="G844" s="4">
        <f>_xlfn.XLOOKUP($A844, Infosys!A:A, Infosys!B:B,"")</f>
        <v>1291.3699999999999</v>
      </c>
      <c r="H844" s="4">
        <f>_xlfn.XLOOKUP($A844, 'L &amp; T'!A:A, 'L &amp; T'!B:B, "")</f>
        <v>2180.23</v>
      </c>
    </row>
    <row r="845" spans="1:8" x14ac:dyDescent="0.3">
      <c r="A845" s="1">
        <v>45071</v>
      </c>
      <c r="B845" s="4">
        <f>_xlfn.XLOOKUP($A845, 'Nifty 50'!A:A, 'Nifty 50'!B:B, "")</f>
        <v>18321.150000000001</v>
      </c>
      <c r="C845" s="4">
        <f>_xlfn.XLOOKUP($A845, Reliance!A:A, Reliance!B:B, "")</f>
        <v>1107.57</v>
      </c>
      <c r="D845" s="4">
        <f>_xlfn.XLOOKUP($A845, HDFC!A:A, HDFC!B:B, "")</f>
        <v>802.8</v>
      </c>
      <c r="E845" s="4">
        <f>_xlfn.XLOOKUP($A845, ITC!A:A, ITC!B:B, "")</f>
        <v>414.78</v>
      </c>
      <c r="F845" s="4">
        <f>_xlfn.XLOOKUP($A845, TCS!A:A, TCS!B:B, "")</f>
        <v>3278.31</v>
      </c>
      <c r="G845" s="4">
        <f>_xlfn.XLOOKUP($A845, Infosys!A:A, Infosys!B:B,"")</f>
        <v>1297.04</v>
      </c>
      <c r="H845" s="4">
        <f>_xlfn.XLOOKUP($A845, 'L &amp; T'!A:A, 'L &amp; T'!B:B, "")</f>
        <v>2199.7399999999998</v>
      </c>
    </row>
    <row r="846" spans="1:8" x14ac:dyDescent="0.3">
      <c r="A846" s="1">
        <v>45072</v>
      </c>
      <c r="B846" s="4">
        <f>_xlfn.XLOOKUP($A846, 'Nifty 50'!A:A, 'Nifty 50'!B:B, "")</f>
        <v>18499.349999999999</v>
      </c>
      <c r="C846" s="4">
        <f>_xlfn.XLOOKUP($A846, Reliance!A:A, Reliance!B:B, "")</f>
        <v>1137.77</v>
      </c>
      <c r="D846" s="4">
        <f>_xlfn.XLOOKUP($A846, HDFC!A:A, HDFC!B:B, "")</f>
        <v>805.89</v>
      </c>
      <c r="E846" s="4">
        <f>_xlfn.XLOOKUP($A846, ITC!A:A, ITC!B:B, "")</f>
        <v>417.08</v>
      </c>
      <c r="F846" s="4">
        <f>_xlfn.XLOOKUP($A846, TCS!A:A, TCS!B:B, "")</f>
        <v>3313.55</v>
      </c>
      <c r="G846" s="4">
        <f>_xlfn.XLOOKUP($A846, Infosys!A:A, Infosys!B:B,"")</f>
        <v>1310.07</v>
      </c>
      <c r="H846" s="4">
        <f>_xlfn.XLOOKUP($A846, 'L &amp; T'!A:A, 'L &amp; T'!B:B, "")</f>
        <v>2213.46</v>
      </c>
    </row>
    <row r="847" spans="1:8" x14ac:dyDescent="0.3">
      <c r="A847" s="1">
        <v>45075</v>
      </c>
      <c r="B847" s="4">
        <f>_xlfn.XLOOKUP($A847, 'Nifty 50'!A:A, 'Nifty 50'!B:B, "")</f>
        <v>18598.650000000001</v>
      </c>
      <c r="C847" s="4">
        <f>_xlfn.XLOOKUP($A847, Reliance!A:A, Reliance!B:B, "")</f>
        <v>1144.17</v>
      </c>
      <c r="D847" s="4">
        <f>_xlfn.XLOOKUP($A847, HDFC!A:A, HDFC!B:B, "")</f>
        <v>815.72</v>
      </c>
      <c r="E847" s="4">
        <f>_xlfn.XLOOKUP($A847, ITC!A:A, ITC!B:B, "")</f>
        <v>422.25</v>
      </c>
      <c r="F847" s="4">
        <f>_xlfn.XLOOKUP($A847, TCS!A:A, TCS!B:B, "")</f>
        <v>3305.04</v>
      </c>
      <c r="G847" s="4">
        <f>_xlfn.XLOOKUP($A847, Infosys!A:A, Infosys!B:B,"")</f>
        <v>1307.03</v>
      </c>
      <c r="H847" s="4">
        <f>_xlfn.XLOOKUP($A847, 'L &amp; T'!A:A, 'L &amp; T'!B:B, "")</f>
        <v>2219.54</v>
      </c>
    </row>
    <row r="848" spans="1:8" x14ac:dyDescent="0.3">
      <c r="A848" s="1">
        <v>45076</v>
      </c>
      <c r="B848" s="4">
        <f>_xlfn.XLOOKUP($A848, 'Nifty 50'!A:A, 'Nifty 50'!B:B, "")</f>
        <v>18633.849999999999</v>
      </c>
      <c r="C848" s="4">
        <f>_xlfn.XLOOKUP($A848, Reliance!A:A, Reliance!B:B, "")</f>
        <v>1143.8800000000001</v>
      </c>
      <c r="D848" s="4">
        <f>_xlfn.XLOOKUP($A848, HDFC!A:A, HDFC!B:B, "")</f>
        <v>816.34</v>
      </c>
      <c r="E848" s="4">
        <f>_xlfn.XLOOKUP($A848, ITC!A:A, ITC!B:B, "")</f>
        <v>425.61</v>
      </c>
      <c r="F848" s="4">
        <f>_xlfn.XLOOKUP($A848, TCS!A:A, TCS!B:B, "")</f>
        <v>3300.91</v>
      </c>
      <c r="G848" s="4">
        <f>_xlfn.XLOOKUP($A848, Infosys!A:A, Infosys!B:B,"")</f>
        <v>1316.43</v>
      </c>
      <c r="H848" s="4">
        <f>_xlfn.XLOOKUP($A848, 'L &amp; T'!A:A, 'L &amp; T'!B:B, "")</f>
        <v>2205.83</v>
      </c>
    </row>
    <row r="849" spans="1:8" x14ac:dyDescent="0.3">
      <c r="A849" s="1">
        <v>45077</v>
      </c>
      <c r="B849" s="4">
        <f>_xlfn.XLOOKUP($A849, 'Nifty 50'!A:A, 'Nifty 50'!B:B, "")</f>
        <v>18534.400000000001</v>
      </c>
      <c r="C849" s="4">
        <f>_xlfn.XLOOKUP($A849, Reliance!A:A, Reliance!B:B, "")</f>
        <v>1121.1600000000001</v>
      </c>
      <c r="D849" s="4">
        <f>_xlfn.XLOOKUP($A849, HDFC!A:A, HDFC!B:B, "")</f>
        <v>803.43</v>
      </c>
      <c r="E849" s="4">
        <f>_xlfn.XLOOKUP($A849, ITC!A:A, ITC!B:B, "")</f>
        <v>421.45</v>
      </c>
      <c r="F849" s="4">
        <f>_xlfn.XLOOKUP($A849, TCS!A:A, TCS!B:B, "")</f>
        <v>3274.33</v>
      </c>
      <c r="G849" s="4">
        <f>_xlfn.XLOOKUP($A849, Infosys!A:A, Infosys!B:B,"")</f>
        <v>1310.91</v>
      </c>
      <c r="H849" s="4">
        <f>_xlfn.XLOOKUP($A849, 'L &amp; T'!A:A, 'L &amp; T'!B:B, "")</f>
        <v>2200.69</v>
      </c>
    </row>
    <row r="850" spans="1:8" x14ac:dyDescent="0.3">
      <c r="A850" s="1">
        <v>45078</v>
      </c>
      <c r="B850" s="4">
        <f>_xlfn.XLOOKUP($A850, 'Nifty 50'!A:A, 'Nifty 50'!B:B, "")</f>
        <v>18487.75</v>
      </c>
      <c r="C850" s="4">
        <f>_xlfn.XLOOKUP($A850, Reliance!A:A, Reliance!B:B, "")</f>
        <v>1118.1400000000001</v>
      </c>
      <c r="D850" s="4">
        <f>_xlfn.XLOOKUP($A850, HDFC!A:A, HDFC!B:B, "")</f>
        <v>800.01</v>
      </c>
      <c r="E850" s="4">
        <f>_xlfn.XLOOKUP($A850, ITC!A:A, ITC!B:B, "")</f>
        <v>415.96</v>
      </c>
      <c r="F850" s="4">
        <f>_xlfn.XLOOKUP($A850, TCS!A:A, TCS!B:B, "")</f>
        <v>3308.67</v>
      </c>
      <c r="G850" s="4">
        <f>_xlfn.XLOOKUP($A850, Infosys!A:A, Infosys!B:B,"")</f>
        <v>1312.11</v>
      </c>
      <c r="H850" s="4">
        <f>_xlfn.XLOOKUP($A850, 'L &amp; T'!A:A, 'L &amp; T'!B:B, "")</f>
        <v>2202.83</v>
      </c>
    </row>
    <row r="851" spans="1:8" x14ac:dyDescent="0.3">
      <c r="A851" s="1">
        <v>45079</v>
      </c>
      <c r="B851" s="4">
        <f>_xlfn.XLOOKUP($A851, 'Nifty 50'!A:A, 'Nifty 50'!B:B, "")</f>
        <v>18534.099999999999</v>
      </c>
      <c r="C851" s="4">
        <f>_xlfn.XLOOKUP($A851, Reliance!A:A, Reliance!B:B, "")</f>
        <v>1114.49</v>
      </c>
      <c r="D851" s="4">
        <f>_xlfn.XLOOKUP($A851, HDFC!A:A, HDFC!B:B, "")</f>
        <v>801.26</v>
      </c>
      <c r="E851" s="4">
        <f>_xlfn.XLOOKUP($A851, ITC!A:A, ITC!B:B, "")</f>
        <v>419.46</v>
      </c>
      <c r="F851" s="4">
        <f>_xlfn.XLOOKUP($A851, TCS!A:A, TCS!B:B, "")</f>
        <v>3290.35</v>
      </c>
      <c r="G851" s="4">
        <f>_xlfn.XLOOKUP($A851, Infosys!A:A, Infosys!B:B,"")</f>
        <v>1291.72</v>
      </c>
      <c r="H851" s="4">
        <f>_xlfn.XLOOKUP($A851, 'L &amp; T'!A:A, 'L &amp; T'!B:B, "")</f>
        <v>2229.52</v>
      </c>
    </row>
    <row r="852" spans="1:8" x14ac:dyDescent="0.3">
      <c r="A852" s="1">
        <v>45082</v>
      </c>
      <c r="B852" s="4">
        <f>_xlfn.XLOOKUP($A852, 'Nifty 50'!A:A, 'Nifty 50'!B:B, "")</f>
        <v>18593.849999999999</v>
      </c>
      <c r="C852" s="4">
        <f>_xlfn.XLOOKUP($A852, Reliance!A:A, Reliance!B:B, "")</f>
        <v>1124.5</v>
      </c>
      <c r="D852" s="4">
        <f>_xlfn.XLOOKUP($A852, HDFC!A:A, HDFC!B:B, "")</f>
        <v>800.21</v>
      </c>
      <c r="E852" s="4">
        <f>_xlfn.XLOOKUP($A852, ITC!A:A, ITC!B:B, "")</f>
        <v>416.86</v>
      </c>
      <c r="F852" s="4">
        <f>_xlfn.XLOOKUP($A852, TCS!A:A, TCS!B:B, "")</f>
        <v>3273.73</v>
      </c>
      <c r="G852" s="4">
        <f>_xlfn.XLOOKUP($A852, Infosys!A:A, Infosys!B:B,"")</f>
        <v>1297.19</v>
      </c>
      <c r="H852" s="4">
        <f>_xlfn.XLOOKUP($A852, 'L &amp; T'!A:A, 'L &amp; T'!B:B, "")</f>
        <v>2263.1999999999998</v>
      </c>
    </row>
    <row r="853" spans="1:8" x14ac:dyDescent="0.3">
      <c r="A853" s="1">
        <v>45083</v>
      </c>
      <c r="B853" s="4">
        <f>_xlfn.XLOOKUP($A853, 'Nifty 50'!A:A, 'Nifty 50'!B:B, "")</f>
        <v>18599</v>
      </c>
      <c r="C853" s="4">
        <f>_xlfn.XLOOKUP($A853, Reliance!A:A, Reliance!B:B, "")</f>
        <v>1125.45</v>
      </c>
      <c r="D853" s="4">
        <f>_xlfn.XLOOKUP($A853, HDFC!A:A, HDFC!B:B, "")</f>
        <v>797.72</v>
      </c>
      <c r="E853" s="4">
        <f>_xlfn.XLOOKUP($A853, ITC!A:A, ITC!B:B, "")</f>
        <v>418.89</v>
      </c>
      <c r="F853" s="4">
        <f>_xlfn.XLOOKUP($A853, TCS!A:A, TCS!B:B, "")</f>
        <v>3217.39</v>
      </c>
      <c r="G853" s="4">
        <f>_xlfn.XLOOKUP($A853, Infosys!A:A, Infosys!B:B,"")</f>
        <v>1271.83</v>
      </c>
      <c r="H853" s="4">
        <f>_xlfn.XLOOKUP($A853, 'L &amp; T'!A:A, 'L &amp; T'!B:B, "")</f>
        <v>2272.8200000000002</v>
      </c>
    </row>
    <row r="854" spans="1:8" x14ac:dyDescent="0.3">
      <c r="A854" s="1">
        <v>45084</v>
      </c>
      <c r="B854" s="4">
        <f>_xlfn.XLOOKUP($A854, 'Nifty 50'!A:A, 'Nifty 50'!B:B, "")</f>
        <v>18726.400000000001</v>
      </c>
      <c r="C854" s="4">
        <f>_xlfn.XLOOKUP($A854, Reliance!A:A, Reliance!B:B, "")</f>
        <v>1133.98</v>
      </c>
      <c r="D854" s="4">
        <f>_xlfn.XLOOKUP($A854, HDFC!A:A, HDFC!B:B, "")</f>
        <v>801.85</v>
      </c>
      <c r="E854" s="4">
        <f>_xlfn.XLOOKUP($A854, ITC!A:A, ITC!B:B, "")</f>
        <v>419.98</v>
      </c>
      <c r="F854" s="4">
        <f>_xlfn.XLOOKUP($A854, TCS!A:A, TCS!B:B, "")</f>
        <v>3259.8</v>
      </c>
      <c r="G854" s="4">
        <f>_xlfn.XLOOKUP($A854, Infosys!A:A, Infosys!B:B,"")</f>
        <v>1281.73</v>
      </c>
      <c r="H854" s="4">
        <f>_xlfn.XLOOKUP($A854, 'L &amp; T'!A:A, 'L &amp; T'!B:B, "")</f>
        <v>2310.29</v>
      </c>
    </row>
    <row r="855" spans="1:8" x14ac:dyDescent="0.3">
      <c r="A855" s="1">
        <v>45085</v>
      </c>
      <c r="B855" s="4">
        <f>_xlfn.XLOOKUP($A855, 'Nifty 50'!A:A, 'Nifty 50'!B:B, "")</f>
        <v>18634.55</v>
      </c>
      <c r="C855" s="4">
        <f>_xlfn.XLOOKUP($A855, Reliance!A:A, Reliance!B:B, "")</f>
        <v>1134.6600000000001</v>
      </c>
      <c r="D855" s="4">
        <f>_xlfn.XLOOKUP($A855, HDFC!A:A, HDFC!B:B, "")</f>
        <v>802.35</v>
      </c>
      <c r="E855" s="4">
        <f>_xlfn.XLOOKUP($A855, ITC!A:A, ITC!B:B, "")</f>
        <v>418.99</v>
      </c>
      <c r="F855" s="4">
        <f>_xlfn.XLOOKUP($A855, TCS!A:A, TCS!B:B, "")</f>
        <v>3221.52</v>
      </c>
      <c r="G855" s="4">
        <f>_xlfn.XLOOKUP($A855, Infosys!A:A, Infosys!B:B,"")</f>
        <v>1275.6099999999999</v>
      </c>
      <c r="H855" s="4">
        <f>_xlfn.XLOOKUP($A855, 'L &amp; T'!A:A, 'L &amp; T'!B:B, "")</f>
        <v>2335.0300000000002</v>
      </c>
    </row>
    <row r="856" spans="1:8" x14ac:dyDescent="0.3">
      <c r="A856" s="1">
        <v>45086</v>
      </c>
      <c r="B856" s="4">
        <f>_xlfn.XLOOKUP($A856, 'Nifty 50'!A:A, 'Nifty 50'!B:B, "")</f>
        <v>18563.400000000001</v>
      </c>
      <c r="C856" s="4">
        <f>_xlfn.XLOOKUP($A856, Reliance!A:A, Reliance!B:B, "")</f>
        <v>1126.6300000000001</v>
      </c>
      <c r="D856" s="4">
        <f>_xlfn.XLOOKUP($A856, HDFC!A:A, HDFC!B:B, "")</f>
        <v>803.3</v>
      </c>
      <c r="E856" s="4">
        <f>_xlfn.XLOOKUP($A856, ITC!A:A, ITC!B:B, "")</f>
        <v>414.78</v>
      </c>
      <c r="F856" s="4">
        <f>_xlfn.XLOOKUP($A856, TCS!A:A, TCS!B:B, "")</f>
        <v>3194.5</v>
      </c>
      <c r="G856" s="4">
        <f>_xlfn.XLOOKUP($A856, Infosys!A:A, Infosys!B:B,"")</f>
        <v>1258.8599999999999</v>
      </c>
      <c r="H856" s="4">
        <f>_xlfn.XLOOKUP($A856, 'L &amp; T'!A:A, 'L &amp; T'!B:B, "")</f>
        <v>2357.6799999999998</v>
      </c>
    </row>
    <row r="857" spans="1:8" x14ac:dyDescent="0.3">
      <c r="A857" s="1">
        <v>45089</v>
      </c>
      <c r="B857" s="4">
        <f>_xlfn.XLOOKUP($A857, 'Nifty 50'!A:A, 'Nifty 50'!B:B, "")</f>
        <v>18601.5</v>
      </c>
      <c r="C857" s="4">
        <f>_xlfn.XLOOKUP($A857, Reliance!A:A, Reliance!B:B, "")</f>
        <v>1127.6300000000001</v>
      </c>
      <c r="D857" s="4">
        <f>_xlfn.XLOOKUP($A857, HDFC!A:A, HDFC!B:B, "")</f>
        <v>798.41</v>
      </c>
      <c r="E857" s="4">
        <f>_xlfn.XLOOKUP($A857, ITC!A:A, ITC!B:B, "")</f>
        <v>413.36</v>
      </c>
      <c r="F857" s="4">
        <f>_xlfn.XLOOKUP($A857, TCS!A:A, TCS!B:B, "")</f>
        <v>3231.93</v>
      </c>
      <c r="G857" s="4">
        <f>_xlfn.XLOOKUP($A857, Infosys!A:A, Infosys!B:B,"")</f>
        <v>1284.71</v>
      </c>
      <c r="H857" s="4">
        <f>_xlfn.XLOOKUP($A857, 'L &amp; T'!A:A, 'L &amp; T'!B:B, "")</f>
        <v>2334.69</v>
      </c>
    </row>
    <row r="858" spans="1:8" x14ac:dyDescent="0.3">
      <c r="A858" s="1">
        <v>45090</v>
      </c>
      <c r="B858" s="4">
        <f>_xlfn.XLOOKUP($A858, 'Nifty 50'!A:A, 'Nifty 50'!B:B, "")</f>
        <v>18716.150000000001</v>
      </c>
      <c r="C858" s="4">
        <f>_xlfn.XLOOKUP($A858, Reliance!A:A, Reliance!B:B, "")</f>
        <v>1144.29</v>
      </c>
      <c r="D858" s="4">
        <f>_xlfn.XLOOKUP($A858, HDFC!A:A, HDFC!B:B, "")</f>
        <v>799.76</v>
      </c>
      <c r="E858" s="4">
        <f>_xlfn.XLOOKUP($A858, ITC!A:A, ITC!B:B, "")</f>
        <v>421.35</v>
      </c>
      <c r="F858" s="4">
        <f>_xlfn.XLOOKUP($A858, TCS!A:A, TCS!B:B, "")</f>
        <v>3228.74</v>
      </c>
      <c r="G858" s="4">
        <f>_xlfn.XLOOKUP($A858, Infosys!A:A, Infosys!B:B,"")</f>
        <v>1297.54</v>
      </c>
      <c r="H858" s="4">
        <f>_xlfn.XLOOKUP($A858, 'L &amp; T'!A:A, 'L &amp; T'!B:B, "")</f>
        <v>2349.1</v>
      </c>
    </row>
    <row r="859" spans="1:8" x14ac:dyDescent="0.3">
      <c r="A859" s="1">
        <v>45091</v>
      </c>
      <c r="B859" s="4">
        <f>_xlfn.XLOOKUP($A859, 'Nifty 50'!A:A, 'Nifty 50'!B:B, "")</f>
        <v>18755.900000000001</v>
      </c>
      <c r="C859" s="4">
        <f>_xlfn.XLOOKUP($A859, Reliance!A:A, Reliance!B:B, "")</f>
        <v>1158.3599999999999</v>
      </c>
      <c r="D859" s="4">
        <f>_xlfn.XLOOKUP($A859, HDFC!A:A, HDFC!B:B, "")</f>
        <v>798.89</v>
      </c>
      <c r="E859" s="4">
        <f>_xlfn.XLOOKUP($A859, ITC!A:A, ITC!B:B, "")</f>
        <v>420.5</v>
      </c>
      <c r="F859" s="4">
        <f>_xlfn.XLOOKUP($A859, TCS!A:A, TCS!B:B, "")</f>
        <v>3236.06</v>
      </c>
      <c r="G859" s="4">
        <f>_xlfn.XLOOKUP($A859, Infosys!A:A, Infosys!B:B,"")</f>
        <v>1293.1099999999999</v>
      </c>
      <c r="H859" s="4">
        <f>_xlfn.XLOOKUP($A859, 'L &amp; T'!A:A, 'L &amp; T'!B:B, "")</f>
        <v>2349.75</v>
      </c>
    </row>
    <row r="860" spans="1:8" x14ac:dyDescent="0.3">
      <c r="A860" s="1">
        <v>45092</v>
      </c>
      <c r="B860" s="4">
        <f>_xlfn.XLOOKUP($A860, 'Nifty 50'!A:A, 'Nifty 50'!B:B, "")</f>
        <v>18688.099999999999</v>
      </c>
      <c r="C860" s="4">
        <f>_xlfn.XLOOKUP($A860, Reliance!A:A, Reliance!B:B, "")</f>
        <v>1158.68</v>
      </c>
      <c r="D860" s="4">
        <f>_xlfn.XLOOKUP($A860, HDFC!A:A, HDFC!B:B, "")</f>
        <v>789.06</v>
      </c>
      <c r="E860" s="4">
        <f>_xlfn.XLOOKUP($A860, ITC!A:A, ITC!B:B, "")</f>
        <v>423.91</v>
      </c>
      <c r="F860" s="4">
        <f>_xlfn.XLOOKUP($A860, TCS!A:A, TCS!B:B, "")</f>
        <v>3201.47</v>
      </c>
      <c r="G860" s="4">
        <f>_xlfn.XLOOKUP($A860, Infosys!A:A, Infosys!B:B,"")</f>
        <v>1279.5899999999999</v>
      </c>
      <c r="H860" s="4">
        <f>_xlfn.XLOOKUP($A860, 'L &amp; T'!A:A, 'L &amp; T'!B:B, "")</f>
        <v>2355.9899999999998</v>
      </c>
    </row>
    <row r="861" spans="1:8" x14ac:dyDescent="0.3">
      <c r="A861" s="1">
        <v>45093</v>
      </c>
      <c r="B861" s="4">
        <f>_xlfn.XLOOKUP($A861, 'Nifty 50'!A:A, 'Nifty 50'!B:B, "")</f>
        <v>18826</v>
      </c>
      <c r="C861" s="4">
        <f>_xlfn.XLOOKUP($A861, Reliance!A:A, Reliance!B:B, "")</f>
        <v>1169.96</v>
      </c>
      <c r="D861" s="4">
        <f>_xlfn.XLOOKUP($A861, HDFC!A:A, HDFC!B:B, "")</f>
        <v>799.39</v>
      </c>
      <c r="E861" s="4">
        <f>_xlfn.XLOOKUP($A861, ITC!A:A, ITC!B:B, "")</f>
        <v>428.64</v>
      </c>
      <c r="F861" s="4">
        <f>_xlfn.XLOOKUP($A861, TCS!A:A, TCS!B:B, "")</f>
        <v>3160.26</v>
      </c>
      <c r="G861" s="4">
        <f>_xlfn.XLOOKUP($A861, Infosys!A:A, Infosys!B:B,"")</f>
        <v>1284.4100000000001</v>
      </c>
      <c r="H861" s="4">
        <f>_xlfn.XLOOKUP($A861, 'L &amp; T'!A:A, 'L &amp; T'!B:B, "")</f>
        <v>2361.48</v>
      </c>
    </row>
    <row r="862" spans="1:8" x14ac:dyDescent="0.3">
      <c r="A862" s="1">
        <v>45096</v>
      </c>
      <c r="B862" s="4">
        <f>_xlfn.XLOOKUP($A862, 'Nifty 50'!A:A, 'Nifty 50'!B:B, "")</f>
        <v>18755.45</v>
      </c>
      <c r="C862" s="4">
        <f>_xlfn.XLOOKUP($A862, Reliance!A:A, Reliance!B:B, "")</f>
        <v>1158.3399999999999</v>
      </c>
      <c r="D862" s="4">
        <f>_xlfn.XLOOKUP($A862, HDFC!A:A, HDFC!B:B, "")</f>
        <v>800.08</v>
      </c>
      <c r="E862" s="4">
        <f>_xlfn.XLOOKUP($A862, ITC!A:A, ITC!B:B, "")</f>
        <v>429.11</v>
      </c>
      <c r="F862" s="4">
        <f>_xlfn.XLOOKUP($A862, TCS!A:A, TCS!B:B, "")</f>
        <v>3195.59</v>
      </c>
      <c r="G862" s="4">
        <f>_xlfn.XLOOKUP($A862, Infosys!A:A, Infosys!B:B,"")</f>
        <v>1286.75</v>
      </c>
      <c r="H862" s="4">
        <f>_xlfn.XLOOKUP($A862, 'L &amp; T'!A:A, 'L &amp; T'!B:B, "")</f>
        <v>2361.0300000000002</v>
      </c>
    </row>
    <row r="863" spans="1:8" x14ac:dyDescent="0.3">
      <c r="A863" s="1">
        <v>45097</v>
      </c>
      <c r="B863" s="4">
        <f>_xlfn.XLOOKUP($A863, 'Nifty 50'!A:A, 'Nifty 50'!B:B, "")</f>
        <v>18816.7</v>
      </c>
      <c r="C863" s="4">
        <f>_xlfn.XLOOKUP($A863, Reliance!A:A, Reliance!B:B, "")</f>
        <v>1160.74</v>
      </c>
      <c r="D863" s="4">
        <f>_xlfn.XLOOKUP($A863, HDFC!A:A, HDFC!B:B, "")</f>
        <v>801.76</v>
      </c>
      <c r="E863" s="4">
        <f>_xlfn.XLOOKUP($A863, ITC!A:A, ITC!B:B, "")</f>
        <v>428.4</v>
      </c>
      <c r="F863" s="4">
        <f>_xlfn.XLOOKUP($A863, TCS!A:A, TCS!B:B, "")</f>
        <v>3212.81</v>
      </c>
      <c r="G863" s="4">
        <f>_xlfn.XLOOKUP($A863, Infosys!A:A, Infosys!B:B,"")</f>
        <v>1296.0999999999999</v>
      </c>
      <c r="H863" s="4">
        <f>_xlfn.XLOOKUP($A863, 'L &amp; T'!A:A, 'L &amp; T'!B:B, "")</f>
        <v>2376.64</v>
      </c>
    </row>
    <row r="864" spans="1:8" x14ac:dyDescent="0.3">
      <c r="A864" s="1">
        <v>45098</v>
      </c>
      <c r="B864" s="4">
        <f>_xlfn.XLOOKUP($A864, 'Nifty 50'!A:A, 'Nifty 50'!B:B, "")</f>
        <v>18856.849999999999</v>
      </c>
      <c r="C864" s="4">
        <f>_xlfn.XLOOKUP($A864, Reliance!A:A, Reliance!B:B, "")</f>
        <v>1164.01</v>
      </c>
      <c r="D864" s="4">
        <f>_xlfn.XLOOKUP($A864, HDFC!A:A, HDFC!B:B, "")</f>
        <v>815.77</v>
      </c>
      <c r="E864" s="4">
        <f>_xlfn.XLOOKUP($A864, ITC!A:A, ITC!B:B, "")</f>
        <v>422.92</v>
      </c>
      <c r="F864" s="4">
        <f>_xlfn.XLOOKUP($A864, TCS!A:A, TCS!B:B, "")</f>
        <v>3243.17</v>
      </c>
      <c r="G864" s="4">
        <f>_xlfn.XLOOKUP($A864, Infosys!A:A, Infosys!B:B,"")</f>
        <v>1292.07</v>
      </c>
      <c r="H864" s="4">
        <f>_xlfn.XLOOKUP($A864, 'L &amp; T'!A:A, 'L &amp; T'!B:B, "")</f>
        <v>2389.06</v>
      </c>
    </row>
    <row r="865" spans="1:8" x14ac:dyDescent="0.3">
      <c r="A865" s="1">
        <v>45099</v>
      </c>
      <c r="B865" s="4">
        <f>_xlfn.XLOOKUP($A865, 'Nifty 50'!A:A, 'Nifty 50'!B:B, "")</f>
        <v>18771.25</v>
      </c>
      <c r="C865" s="4">
        <f>_xlfn.XLOOKUP($A865, Reliance!A:A, Reliance!B:B, "")</f>
        <v>1150.94</v>
      </c>
      <c r="D865" s="4">
        <f>_xlfn.XLOOKUP($A865, HDFC!A:A, HDFC!B:B, "")</f>
        <v>819.76</v>
      </c>
      <c r="E865" s="4">
        <f>_xlfn.XLOOKUP($A865, ITC!A:A, ITC!B:B, "")</f>
        <v>423.48</v>
      </c>
      <c r="F865" s="4">
        <f>_xlfn.XLOOKUP($A865, TCS!A:A, TCS!B:B, "")</f>
        <v>3223.56</v>
      </c>
      <c r="G865" s="4">
        <f>_xlfn.XLOOKUP($A865, Infosys!A:A, Infosys!B:B,"")</f>
        <v>1274.3699999999999</v>
      </c>
      <c r="H865" s="4">
        <f>_xlfn.XLOOKUP($A865, 'L &amp; T'!A:A, 'L &amp; T'!B:B, "")</f>
        <v>2410.81</v>
      </c>
    </row>
    <row r="866" spans="1:8" x14ac:dyDescent="0.3">
      <c r="A866" s="1">
        <v>45100</v>
      </c>
      <c r="B866" s="4">
        <f>_xlfn.XLOOKUP($A866, 'Nifty 50'!A:A, 'Nifty 50'!B:B, "")</f>
        <v>18665.5</v>
      </c>
      <c r="C866" s="4">
        <f>_xlfn.XLOOKUP($A866, Reliance!A:A, Reliance!B:B, "")</f>
        <v>1141.52</v>
      </c>
      <c r="D866" s="4">
        <f>_xlfn.XLOOKUP($A866, HDFC!A:A, HDFC!B:B, "")</f>
        <v>819.71</v>
      </c>
      <c r="E866" s="4">
        <f>_xlfn.XLOOKUP($A866, ITC!A:A, ITC!B:B, "")</f>
        <v>420.74</v>
      </c>
      <c r="F866" s="4">
        <f>_xlfn.XLOOKUP($A866, TCS!A:A, TCS!B:B, "")</f>
        <v>3201.52</v>
      </c>
      <c r="G866" s="4">
        <f>_xlfn.XLOOKUP($A866, Infosys!A:A, Infosys!B:B,"")</f>
        <v>1257.9100000000001</v>
      </c>
      <c r="H866" s="4">
        <f>_xlfn.XLOOKUP($A866, 'L &amp; T'!A:A, 'L &amp; T'!B:B, "")</f>
        <v>2384.17</v>
      </c>
    </row>
    <row r="867" spans="1:8" x14ac:dyDescent="0.3">
      <c r="A867" s="1">
        <v>45103</v>
      </c>
      <c r="B867" s="4">
        <f>_xlfn.XLOOKUP($A867, 'Nifty 50'!A:A, 'Nifty 50'!B:B, "")</f>
        <v>18691.2</v>
      </c>
      <c r="C867" s="4">
        <f>_xlfn.XLOOKUP($A867, Reliance!A:A, Reliance!B:B, "")</f>
        <v>1132.8</v>
      </c>
      <c r="D867" s="4">
        <f>_xlfn.XLOOKUP($A867, HDFC!A:A, HDFC!B:B, "")</f>
        <v>815.75</v>
      </c>
      <c r="E867" s="4">
        <f>_xlfn.XLOOKUP($A867, ITC!A:A, ITC!B:B, "")</f>
        <v>421.64</v>
      </c>
      <c r="F867" s="4">
        <f>_xlfn.XLOOKUP($A867, TCS!A:A, TCS!B:B, "")</f>
        <v>3174.94</v>
      </c>
      <c r="G867" s="4">
        <f>_xlfn.XLOOKUP($A867, Infosys!A:A, Infosys!B:B,"")</f>
        <v>1263.23</v>
      </c>
      <c r="H867" s="4">
        <f>_xlfn.XLOOKUP($A867, 'L &amp; T'!A:A, 'L &amp; T'!B:B, "")</f>
        <v>2372.1999999999998</v>
      </c>
    </row>
    <row r="868" spans="1:8" x14ac:dyDescent="0.3">
      <c r="A868" s="1">
        <v>45104</v>
      </c>
      <c r="B868" s="4">
        <f>_xlfn.XLOOKUP($A868, 'Nifty 50'!A:A, 'Nifty 50'!B:B, "")</f>
        <v>18817.400000000001</v>
      </c>
      <c r="C868" s="4">
        <f>_xlfn.XLOOKUP($A868, Reliance!A:A, Reliance!B:B, "")</f>
        <v>1133.21</v>
      </c>
      <c r="D868" s="4">
        <f>_xlfn.XLOOKUP($A868, HDFC!A:A, HDFC!B:B, "")</f>
        <v>827.24</v>
      </c>
      <c r="E868" s="4">
        <f>_xlfn.XLOOKUP($A868, ITC!A:A, ITC!B:B, "")</f>
        <v>421.07</v>
      </c>
      <c r="F868" s="4">
        <f>_xlfn.XLOOKUP($A868, TCS!A:A, TCS!B:B, "")</f>
        <v>3182.6</v>
      </c>
      <c r="G868" s="4">
        <f>_xlfn.XLOOKUP($A868, Infosys!A:A, Infosys!B:B,"")</f>
        <v>1271.98</v>
      </c>
      <c r="H868" s="4">
        <f>_xlfn.XLOOKUP($A868, 'L &amp; T'!A:A, 'L &amp; T'!B:B, "")</f>
        <v>2382.6799999999998</v>
      </c>
    </row>
    <row r="869" spans="1:8" x14ac:dyDescent="0.3">
      <c r="A869" s="1">
        <v>45105</v>
      </c>
      <c r="B869" s="4">
        <f>_xlfn.XLOOKUP($A869, 'Nifty 50'!A:A, 'Nifty 50'!B:B, "")</f>
        <v>18972.099999999999</v>
      </c>
      <c r="C869" s="4">
        <f>_xlfn.XLOOKUP($A869, Reliance!A:A, Reliance!B:B, "")</f>
        <v>1148.21</v>
      </c>
      <c r="D869" s="4">
        <f>_xlfn.XLOOKUP($A869, HDFC!A:A, HDFC!B:B, "")</f>
        <v>835.99</v>
      </c>
      <c r="E869" s="4">
        <f>_xlfn.XLOOKUP($A869, ITC!A:A, ITC!B:B, "")</f>
        <v>425.09</v>
      </c>
      <c r="F869" s="4">
        <f>_xlfn.XLOOKUP($A869, TCS!A:A, TCS!B:B, "")</f>
        <v>3200.62</v>
      </c>
      <c r="G869" s="4">
        <f>_xlfn.XLOOKUP($A869, Infosys!A:A, Infosys!B:B,"")</f>
        <v>1286.0999999999999</v>
      </c>
      <c r="H869" s="4">
        <f>_xlfn.XLOOKUP($A869, 'L &amp; T'!A:A, 'L &amp; T'!B:B, "")</f>
        <v>2416</v>
      </c>
    </row>
    <row r="870" spans="1:8" x14ac:dyDescent="0.3">
      <c r="A870" s="1">
        <v>45107</v>
      </c>
      <c r="B870" s="4">
        <f>_xlfn.XLOOKUP($A870, 'Nifty 50'!A:A, 'Nifty 50'!B:B, "")</f>
        <v>19189.05</v>
      </c>
      <c r="C870" s="4">
        <f>_xlfn.XLOOKUP($A870, Reliance!A:A, Reliance!B:B, "")</f>
        <v>1157.6300000000001</v>
      </c>
      <c r="D870" s="4">
        <f>_xlfn.XLOOKUP($A870, HDFC!A:A, HDFC!B:B, "")</f>
        <v>848.59</v>
      </c>
      <c r="E870" s="4">
        <f>_xlfn.XLOOKUP($A870, ITC!A:A, ITC!B:B, "")</f>
        <v>427.22</v>
      </c>
      <c r="F870" s="4">
        <f>_xlfn.XLOOKUP($A870, TCS!A:A, TCS!B:B, "")</f>
        <v>3287.02</v>
      </c>
      <c r="G870" s="4">
        <f>_xlfn.XLOOKUP($A870, Infosys!A:A, Infosys!B:B,"")</f>
        <v>1328.02</v>
      </c>
      <c r="H870" s="4">
        <f>_xlfn.XLOOKUP($A870, 'L &amp; T'!A:A, 'L &amp; T'!B:B, "")</f>
        <v>2469.98</v>
      </c>
    </row>
    <row r="871" spans="1:8" x14ac:dyDescent="0.3">
      <c r="A871" s="1">
        <v>45110</v>
      </c>
      <c r="B871" s="4">
        <f>_xlfn.XLOOKUP($A871, 'Nifty 50'!A:A, 'Nifty 50'!B:B, "")</f>
        <v>19322.55</v>
      </c>
      <c r="C871" s="4">
        <f>_xlfn.XLOOKUP($A871, Reliance!A:A, Reliance!B:B, "")</f>
        <v>1187.3399999999999</v>
      </c>
      <c r="D871" s="4">
        <f>_xlfn.XLOOKUP($A871, HDFC!A:A, HDFC!B:B, "")</f>
        <v>857.77</v>
      </c>
      <c r="E871" s="4">
        <f>_xlfn.XLOOKUP($A871, ITC!A:A, ITC!B:B, "")</f>
        <v>438.24</v>
      </c>
      <c r="F871" s="4">
        <f>_xlfn.XLOOKUP($A871, TCS!A:A, TCS!B:B, "")</f>
        <v>3257.21</v>
      </c>
      <c r="G871" s="4">
        <f>_xlfn.XLOOKUP($A871, Infosys!A:A, Infosys!B:B,"")</f>
        <v>1326.23</v>
      </c>
      <c r="H871" s="4">
        <f>_xlfn.XLOOKUP($A871, 'L &amp; T'!A:A, 'L &amp; T'!B:B, "")</f>
        <v>2448.5300000000002</v>
      </c>
    </row>
    <row r="872" spans="1:8" x14ac:dyDescent="0.3">
      <c r="A872" s="1">
        <v>45111</v>
      </c>
      <c r="B872" s="4">
        <f>_xlfn.XLOOKUP($A872, 'Nifty 50'!A:A, 'Nifty 50'!B:B, "")</f>
        <v>19389</v>
      </c>
      <c r="C872" s="4">
        <f>_xlfn.XLOOKUP($A872, Reliance!A:A, Reliance!B:B, "")</f>
        <v>1175.1099999999999</v>
      </c>
      <c r="D872" s="4">
        <f>_xlfn.XLOOKUP($A872, HDFC!A:A, HDFC!B:B, "")</f>
        <v>861.96</v>
      </c>
      <c r="E872" s="4">
        <f>_xlfn.XLOOKUP($A872, ITC!A:A, ITC!B:B, "")</f>
        <v>441.17</v>
      </c>
      <c r="F872" s="4">
        <f>_xlfn.XLOOKUP($A872, TCS!A:A, TCS!B:B, "")</f>
        <v>3293.59</v>
      </c>
      <c r="G872" s="4">
        <f>_xlfn.XLOOKUP($A872, Infosys!A:A, Infosys!B:B,"")</f>
        <v>1337.61</v>
      </c>
      <c r="H872" s="4">
        <f>_xlfn.XLOOKUP($A872, 'L &amp; T'!A:A, 'L &amp; T'!B:B, "")</f>
        <v>2456.31</v>
      </c>
    </row>
    <row r="873" spans="1:8" x14ac:dyDescent="0.3">
      <c r="A873" s="1">
        <v>45112</v>
      </c>
      <c r="B873" s="4">
        <f>_xlfn.XLOOKUP($A873, 'Nifty 50'!A:A, 'Nifty 50'!B:B, "")</f>
        <v>19398.5</v>
      </c>
      <c r="C873" s="4">
        <f>_xlfn.XLOOKUP($A873, Reliance!A:A, Reliance!B:B, "")</f>
        <v>1173.18</v>
      </c>
      <c r="D873" s="4">
        <f>_xlfn.XLOOKUP($A873, HDFC!A:A, HDFC!B:B, "")</f>
        <v>834.57</v>
      </c>
      <c r="E873" s="4">
        <f>_xlfn.XLOOKUP($A873, ITC!A:A, ITC!B:B, "")</f>
        <v>449.45</v>
      </c>
      <c r="F873" s="4">
        <f>_xlfn.XLOOKUP($A873, TCS!A:A, TCS!B:B, "")</f>
        <v>3304.64</v>
      </c>
      <c r="G873" s="4">
        <f>_xlfn.XLOOKUP($A873, Infosys!A:A, Infosys!B:B,"")</f>
        <v>1339.75</v>
      </c>
      <c r="H873" s="4">
        <f>_xlfn.XLOOKUP($A873, 'L &amp; T'!A:A, 'L &amp; T'!B:B, "")</f>
        <v>2465.2399999999998</v>
      </c>
    </row>
    <row r="874" spans="1:8" x14ac:dyDescent="0.3">
      <c r="A874" s="1">
        <v>45113</v>
      </c>
      <c r="B874" s="4">
        <f>_xlfn.XLOOKUP($A874, 'Nifty 50'!A:A, 'Nifty 50'!B:B, "")</f>
        <v>19497.3</v>
      </c>
      <c r="C874" s="4">
        <f>_xlfn.XLOOKUP($A874, Reliance!A:A, Reliance!B:B, "")</f>
        <v>1197.81</v>
      </c>
      <c r="D874" s="4">
        <f>_xlfn.XLOOKUP($A874, HDFC!A:A, HDFC!B:B, "")</f>
        <v>835.42</v>
      </c>
      <c r="E874" s="4">
        <f>_xlfn.XLOOKUP($A874, ITC!A:A, ITC!B:B, "")</f>
        <v>448.32</v>
      </c>
      <c r="F874" s="4">
        <f>_xlfn.XLOOKUP($A874, TCS!A:A, TCS!B:B, "")</f>
        <v>3307.57</v>
      </c>
      <c r="G874" s="4">
        <f>_xlfn.XLOOKUP($A874, Infosys!A:A, Infosys!B:B,"")</f>
        <v>1336.37</v>
      </c>
      <c r="H874" s="4">
        <f>_xlfn.XLOOKUP($A874, 'L &amp; T'!A:A, 'L &amp; T'!B:B, "")</f>
        <v>2483</v>
      </c>
    </row>
    <row r="875" spans="1:8" x14ac:dyDescent="0.3">
      <c r="A875" s="1">
        <v>45114</v>
      </c>
      <c r="B875" s="4">
        <f>_xlfn.XLOOKUP($A875, 'Nifty 50'!A:A, 'Nifty 50'!B:B, "")</f>
        <v>19331.8</v>
      </c>
      <c r="C875" s="4">
        <f>_xlfn.XLOOKUP($A875, Reliance!A:A, Reliance!B:B, "")</f>
        <v>1195.47</v>
      </c>
      <c r="D875" s="4">
        <f>_xlfn.XLOOKUP($A875, HDFC!A:A, HDFC!B:B, "")</f>
        <v>828.14</v>
      </c>
      <c r="E875" s="4">
        <f>_xlfn.XLOOKUP($A875, ITC!A:A, ITC!B:B, "")</f>
        <v>443.11</v>
      </c>
      <c r="F875" s="4">
        <f>_xlfn.XLOOKUP($A875, TCS!A:A, TCS!B:B, "")</f>
        <v>3313.9</v>
      </c>
      <c r="G875" s="4">
        <f>_xlfn.XLOOKUP($A875, Infosys!A:A, Infosys!B:B,"")</f>
        <v>1322.75</v>
      </c>
      <c r="H875" s="4">
        <f>_xlfn.XLOOKUP($A875, 'L &amp; T'!A:A, 'L &amp; T'!B:B, "")</f>
        <v>2443.84</v>
      </c>
    </row>
    <row r="876" spans="1:8" x14ac:dyDescent="0.3">
      <c r="A876" s="1">
        <v>45117</v>
      </c>
      <c r="B876" s="4">
        <f>_xlfn.XLOOKUP($A876, 'Nifty 50'!A:A, 'Nifty 50'!B:B, "")</f>
        <v>19355.900000000001</v>
      </c>
      <c r="C876" s="4">
        <f>_xlfn.XLOOKUP($A876, Reliance!A:A, Reliance!B:B, "")</f>
        <v>1241.52</v>
      </c>
      <c r="D876" s="4">
        <f>_xlfn.XLOOKUP($A876, HDFC!A:A, HDFC!B:B, "")</f>
        <v>826.17</v>
      </c>
      <c r="E876" s="4">
        <f>_xlfn.XLOOKUP($A876, ITC!A:A, ITC!B:B, "")</f>
        <v>440.7</v>
      </c>
      <c r="F876" s="4">
        <f>_xlfn.XLOOKUP($A876, TCS!A:A, TCS!B:B, "")</f>
        <v>3256.86</v>
      </c>
      <c r="G876" s="4">
        <f>_xlfn.XLOOKUP($A876, Infosys!A:A, Infosys!B:B,"")</f>
        <v>1321.7</v>
      </c>
      <c r="H876" s="4">
        <f>_xlfn.XLOOKUP($A876, 'L &amp; T'!A:A, 'L &amp; T'!B:B, "")</f>
        <v>2433.2600000000002</v>
      </c>
    </row>
    <row r="877" spans="1:8" x14ac:dyDescent="0.3">
      <c r="A877" s="1">
        <v>45118</v>
      </c>
      <c r="B877" s="4">
        <f>_xlfn.XLOOKUP($A877, 'Nifty 50'!A:A, 'Nifty 50'!B:B, "")</f>
        <v>19439.400000000001</v>
      </c>
      <c r="C877" s="4">
        <f>_xlfn.XLOOKUP($A877, Reliance!A:A, Reliance!B:B, "")</f>
        <v>1254.98</v>
      </c>
      <c r="D877" s="4">
        <f>_xlfn.XLOOKUP($A877, HDFC!A:A, HDFC!B:B, "")</f>
        <v>822.15</v>
      </c>
      <c r="E877" s="4">
        <f>_xlfn.XLOOKUP($A877, ITC!A:A, ITC!B:B, "")</f>
        <v>447.61</v>
      </c>
      <c r="F877" s="4">
        <f>_xlfn.XLOOKUP($A877, TCS!A:A, TCS!B:B, "")</f>
        <v>3257.31</v>
      </c>
      <c r="G877" s="4">
        <f>_xlfn.XLOOKUP($A877, Infosys!A:A, Infosys!B:B,"")</f>
        <v>1341.04</v>
      </c>
      <c r="H877" s="4">
        <f>_xlfn.XLOOKUP($A877, 'L &amp; T'!A:A, 'L &amp; T'!B:B, "")</f>
        <v>2468.98</v>
      </c>
    </row>
    <row r="878" spans="1:8" x14ac:dyDescent="0.3">
      <c r="A878" s="1">
        <v>45119</v>
      </c>
      <c r="B878" s="4">
        <f>_xlfn.XLOOKUP($A878, 'Nifty 50'!A:A, 'Nifty 50'!B:B, "")</f>
        <v>19384.3</v>
      </c>
      <c r="C878" s="4">
        <f>_xlfn.XLOOKUP($A878, Reliance!A:A, Reliance!B:B, "")</f>
        <v>1256.3599999999999</v>
      </c>
      <c r="D878" s="4">
        <f>_xlfn.XLOOKUP($A878, HDFC!A:A, HDFC!B:B, "")</f>
        <v>814.45</v>
      </c>
      <c r="E878" s="4">
        <f>_xlfn.XLOOKUP($A878, ITC!A:A, ITC!B:B, "")</f>
        <v>446.8</v>
      </c>
      <c r="F878" s="4">
        <f>_xlfn.XLOOKUP($A878, TCS!A:A, TCS!B:B, "")</f>
        <v>3244.86</v>
      </c>
      <c r="G878" s="4">
        <f>_xlfn.XLOOKUP($A878, Infosys!A:A, Infosys!B:B,"")</f>
        <v>1325.83</v>
      </c>
      <c r="H878" s="4">
        <f>_xlfn.XLOOKUP($A878, 'L &amp; T'!A:A, 'L &amp; T'!B:B, "")</f>
        <v>2449.4299999999998</v>
      </c>
    </row>
    <row r="879" spans="1:8" x14ac:dyDescent="0.3">
      <c r="A879" s="1">
        <v>45120</v>
      </c>
      <c r="B879" s="4">
        <f>_xlfn.XLOOKUP($A879, 'Nifty 50'!A:A, 'Nifty 50'!B:B, "")</f>
        <v>19413.75</v>
      </c>
      <c r="C879" s="4">
        <f>_xlfn.XLOOKUP($A879, Reliance!A:A, Reliance!B:B, "")</f>
        <v>1245.1300000000001</v>
      </c>
      <c r="D879" s="4">
        <f>_xlfn.XLOOKUP($A879, HDFC!A:A, HDFC!B:B, "")</f>
        <v>818.51</v>
      </c>
      <c r="E879" s="4">
        <f>_xlfn.XLOOKUP($A879, ITC!A:A, ITC!B:B, "")</f>
        <v>446.52</v>
      </c>
      <c r="F879" s="4">
        <f>_xlfn.XLOOKUP($A879, TCS!A:A, TCS!B:B, "")</f>
        <v>3325.14</v>
      </c>
      <c r="G879" s="4">
        <f>_xlfn.XLOOKUP($A879, Infosys!A:A, Infosys!B:B,"")</f>
        <v>1357.45</v>
      </c>
      <c r="H879" s="4">
        <f>_xlfn.XLOOKUP($A879, 'L &amp; T'!A:A, 'L &amp; T'!B:B, "")</f>
        <v>2444.64</v>
      </c>
    </row>
    <row r="880" spans="1:8" x14ac:dyDescent="0.3">
      <c r="A880" s="1">
        <v>45121</v>
      </c>
      <c r="B880" s="4">
        <f>_xlfn.XLOOKUP($A880, 'Nifty 50'!A:A, 'Nifty 50'!B:B, "")</f>
        <v>19564.5</v>
      </c>
      <c r="C880" s="4">
        <f>_xlfn.XLOOKUP($A880, Reliance!A:A, Reliance!B:B, "")</f>
        <v>1244.08</v>
      </c>
      <c r="D880" s="4">
        <f>_xlfn.XLOOKUP($A880, HDFC!A:A, HDFC!B:B, "")</f>
        <v>820.21</v>
      </c>
      <c r="E880" s="4">
        <f>_xlfn.XLOOKUP($A880, ITC!A:A, ITC!B:B, "")</f>
        <v>447.37</v>
      </c>
      <c r="F880" s="4">
        <f>_xlfn.XLOOKUP($A880, TCS!A:A, TCS!B:B, "")</f>
        <v>3498.44</v>
      </c>
      <c r="G880" s="4">
        <f>_xlfn.XLOOKUP($A880, Infosys!A:A, Infosys!B:B,"")</f>
        <v>1417.96</v>
      </c>
      <c r="H880" s="4">
        <f>_xlfn.XLOOKUP($A880, 'L &amp; T'!A:A, 'L &amp; T'!B:B, "")</f>
        <v>2466.69</v>
      </c>
    </row>
    <row r="881" spans="1:8" x14ac:dyDescent="0.3">
      <c r="A881" s="1">
        <v>45124</v>
      </c>
      <c r="B881" s="4">
        <f>_xlfn.XLOOKUP($A881, 'Nifty 50'!A:A, 'Nifty 50'!B:B, "")</f>
        <v>19711.45</v>
      </c>
      <c r="C881" s="4">
        <f>_xlfn.XLOOKUP($A881, Reliance!A:A, Reliance!B:B, "")</f>
        <v>1269.5</v>
      </c>
      <c r="D881" s="4">
        <f>_xlfn.XLOOKUP($A881, HDFC!A:A, HDFC!B:B, "")</f>
        <v>837.37</v>
      </c>
      <c r="E881" s="4">
        <f>_xlfn.XLOOKUP($A881, ITC!A:A, ITC!B:B, "")</f>
        <v>446.85</v>
      </c>
      <c r="F881" s="4">
        <f>_xlfn.XLOOKUP($A881, TCS!A:A, TCS!B:B, "")</f>
        <v>3475.6</v>
      </c>
      <c r="G881" s="4">
        <f>_xlfn.XLOOKUP($A881, Infosys!A:A, Infosys!B:B,"")</f>
        <v>1414.98</v>
      </c>
      <c r="H881" s="4">
        <f>_xlfn.XLOOKUP($A881, 'L &amp; T'!A:A, 'L &amp; T'!B:B, "")</f>
        <v>2463.25</v>
      </c>
    </row>
    <row r="882" spans="1:8" x14ac:dyDescent="0.3">
      <c r="A882" s="1">
        <v>45125</v>
      </c>
      <c r="B882" s="4">
        <f>_xlfn.XLOOKUP($A882, 'Nifty 50'!A:A, 'Nifty 50'!B:B, "")</f>
        <v>19749.25</v>
      </c>
      <c r="C882" s="4">
        <f>_xlfn.XLOOKUP($A882, Reliance!A:A, Reliance!B:B, "")</f>
        <v>1280.29</v>
      </c>
      <c r="D882" s="4">
        <f>_xlfn.XLOOKUP($A882, HDFC!A:A, HDFC!B:B, "")</f>
        <v>836.67</v>
      </c>
      <c r="E882" s="4">
        <f>_xlfn.XLOOKUP($A882, ITC!A:A, ITC!B:B, "")</f>
        <v>446.99</v>
      </c>
      <c r="F882" s="4">
        <f>_xlfn.XLOOKUP($A882, TCS!A:A, TCS!B:B, "")</f>
        <v>3480.72</v>
      </c>
      <c r="G882" s="4">
        <f>_xlfn.XLOOKUP($A882, Infosys!A:A, Infosys!B:B,"")</f>
        <v>1466.93</v>
      </c>
      <c r="H882" s="4">
        <f>_xlfn.XLOOKUP($A882, 'L &amp; T'!A:A, 'L &amp; T'!B:B, "")</f>
        <v>2469.13</v>
      </c>
    </row>
    <row r="883" spans="1:8" x14ac:dyDescent="0.3">
      <c r="A883" s="1">
        <v>45126</v>
      </c>
      <c r="B883" s="4">
        <f>_xlfn.XLOOKUP($A883, 'Nifty 50'!A:A, 'Nifty 50'!B:B, "")</f>
        <v>19833.150000000001</v>
      </c>
      <c r="C883" s="4">
        <f>_xlfn.XLOOKUP($A883, Reliance!A:A, Reliance!B:B, "")</f>
        <v>1290</v>
      </c>
      <c r="D883" s="4">
        <f>_xlfn.XLOOKUP($A883, HDFC!A:A, HDFC!B:B, "")</f>
        <v>840.46</v>
      </c>
      <c r="E883" s="4">
        <f>_xlfn.XLOOKUP($A883, ITC!A:A, ITC!B:B, "")</f>
        <v>453</v>
      </c>
      <c r="F883" s="4">
        <f>_xlfn.XLOOKUP($A883, TCS!A:A, TCS!B:B, "")</f>
        <v>3454.05</v>
      </c>
      <c r="G883" s="4">
        <f>_xlfn.XLOOKUP($A883, Infosys!A:A, Infosys!B:B,"")</f>
        <v>1466.68</v>
      </c>
      <c r="H883" s="4">
        <f>_xlfn.XLOOKUP($A883, 'L &amp; T'!A:A, 'L &amp; T'!B:B, "")</f>
        <v>2488.54</v>
      </c>
    </row>
    <row r="884" spans="1:8" x14ac:dyDescent="0.3">
      <c r="A884" s="1">
        <v>45127</v>
      </c>
      <c r="B884" s="4">
        <f>_xlfn.XLOOKUP($A884, 'Nifty 50'!A:A, 'Nifty 50'!B:B, "")</f>
        <v>19979.150000000001</v>
      </c>
      <c r="C884" s="4">
        <f>_xlfn.XLOOKUP($A884, Reliance!A:A, Reliance!B:B, "")</f>
        <v>1309.93</v>
      </c>
      <c r="D884" s="4">
        <f>_xlfn.XLOOKUP($A884, HDFC!A:A, HDFC!B:B, "")</f>
        <v>842.28</v>
      </c>
      <c r="E884" s="4">
        <f>_xlfn.XLOOKUP($A884, ITC!A:A, ITC!B:B, "")</f>
        <v>465.58</v>
      </c>
      <c r="F884" s="4">
        <f>_xlfn.XLOOKUP($A884, TCS!A:A, TCS!B:B, "")</f>
        <v>3447.33</v>
      </c>
      <c r="G884" s="4">
        <f>_xlfn.XLOOKUP($A884, Infosys!A:A, Infosys!B:B,"")</f>
        <v>1441.38</v>
      </c>
      <c r="H884" s="4">
        <f>_xlfn.XLOOKUP($A884, 'L &amp; T'!A:A, 'L &amp; T'!B:B, "")</f>
        <v>2484.1</v>
      </c>
    </row>
    <row r="885" spans="1:8" x14ac:dyDescent="0.3">
      <c r="A885" s="1">
        <v>45128</v>
      </c>
      <c r="B885" s="4">
        <f>_xlfn.XLOOKUP($A885, 'Nifty 50'!A:A, 'Nifty 50'!B:B, "")</f>
        <v>19745</v>
      </c>
      <c r="C885" s="4">
        <f>_xlfn.XLOOKUP($A885, Reliance!A:A, Reliance!B:B, "")</f>
        <v>1269.3800000000001</v>
      </c>
      <c r="D885" s="4">
        <f>_xlfn.XLOOKUP($A885, HDFC!A:A, HDFC!B:B, "")</f>
        <v>835.8</v>
      </c>
      <c r="E885" s="4">
        <f>_xlfn.XLOOKUP($A885, ITC!A:A, ITC!B:B, "")</f>
        <v>463.97</v>
      </c>
      <c r="F885" s="4">
        <f>_xlfn.XLOOKUP($A885, TCS!A:A, TCS!B:B, "")</f>
        <v>3352.76</v>
      </c>
      <c r="G885" s="4">
        <f>_xlfn.XLOOKUP($A885, Infosys!A:A, Infosys!B:B,"")</f>
        <v>1324.14</v>
      </c>
      <c r="H885" s="4">
        <f>_xlfn.XLOOKUP($A885, 'L &amp; T'!A:A, 'L &amp; T'!B:B, "")</f>
        <v>2580.4299999999998</v>
      </c>
    </row>
    <row r="886" spans="1:8" x14ac:dyDescent="0.3">
      <c r="A886" s="1">
        <v>45131</v>
      </c>
      <c r="B886" s="4">
        <f>_xlfn.XLOOKUP($A886, 'Nifty 50'!A:A, 'Nifty 50'!B:B, "")</f>
        <v>19672.349999999999</v>
      </c>
      <c r="C886" s="4">
        <f>_xlfn.XLOOKUP($A886, Reliance!A:A, Reliance!B:B, "")</f>
        <v>1243.7</v>
      </c>
      <c r="D886" s="4">
        <f>_xlfn.XLOOKUP($A886, HDFC!A:A, HDFC!B:B, "")</f>
        <v>837.12</v>
      </c>
      <c r="E886" s="4">
        <f>_xlfn.XLOOKUP($A886, ITC!A:A, ITC!B:B, "")</f>
        <v>445.9</v>
      </c>
      <c r="F886" s="4">
        <f>_xlfn.XLOOKUP($A886, TCS!A:A, TCS!B:B, "")</f>
        <v>3379.09</v>
      </c>
      <c r="G886" s="4">
        <f>_xlfn.XLOOKUP($A886, Infosys!A:A, Infosys!B:B,"")</f>
        <v>1329.11</v>
      </c>
      <c r="H886" s="4">
        <f>_xlfn.XLOOKUP($A886, 'L &amp; T'!A:A, 'L &amp; T'!B:B, "")</f>
        <v>2599.39</v>
      </c>
    </row>
    <row r="887" spans="1:8" x14ac:dyDescent="0.3">
      <c r="A887" s="1">
        <v>45132</v>
      </c>
      <c r="B887" s="4">
        <f>_xlfn.XLOOKUP($A887, 'Nifty 50'!A:A, 'Nifty 50'!B:B, "")</f>
        <v>19680.599999999999</v>
      </c>
      <c r="C887" s="4">
        <f>_xlfn.XLOOKUP($A887, Reliance!A:A, Reliance!B:B, "")</f>
        <v>1242.9000000000001</v>
      </c>
      <c r="D887" s="4">
        <f>_xlfn.XLOOKUP($A887, HDFC!A:A, HDFC!B:B, "")</f>
        <v>846.19</v>
      </c>
      <c r="E887" s="4">
        <f>_xlfn.XLOOKUP($A887, ITC!A:A, ITC!B:B, "")</f>
        <v>437.34</v>
      </c>
      <c r="F887" s="4">
        <f>_xlfn.XLOOKUP($A887, TCS!A:A, TCS!B:B, "")</f>
        <v>3383.47</v>
      </c>
      <c r="G887" s="4">
        <f>_xlfn.XLOOKUP($A887, Infosys!A:A, Infosys!B:B,"")</f>
        <v>1327.12</v>
      </c>
      <c r="H887" s="4">
        <f>_xlfn.XLOOKUP($A887, 'L &amp; T'!A:A, 'L &amp; T'!B:B, "")</f>
        <v>2555.14</v>
      </c>
    </row>
    <row r="888" spans="1:8" x14ac:dyDescent="0.3">
      <c r="A888" s="1">
        <v>45133</v>
      </c>
      <c r="B888" s="4">
        <f>_xlfn.XLOOKUP($A888, 'Nifty 50'!A:A, 'Nifty 50'!B:B, "")</f>
        <v>19778.3</v>
      </c>
      <c r="C888" s="4">
        <f>_xlfn.XLOOKUP($A888, Reliance!A:A, Reliance!B:B, "")</f>
        <v>1263.0999999999999</v>
      </c>
      <c r="D888" s="4">
        <f>_xlfn.XLOOKUP($A888, HDFC!A:A, HDFC!B:B, "")</f>
        <v>843.25</v>
      </c>
      <c r="E888" s="4">
        <f>_xlfn.XLOOKUP($A888, ITC!A:A, ITC!B:B, "")</f>
        <v>446.76</v>
      </c>
      <c r="F888" s="4">
        <f>_xlfn.XLOOKUP($A888, TCS!A:A, TCS!B:B, "")</f>
        <v>3372.67</v>
      </c>
      <c r="G888" s="4">
        <f>_xlfn.XLOOKUP($A888, Infosys!A:A, Infosys!B:B,"")</f>
        <v>1341.29</v>
      </c>
      <c r="H888" s="4">
        <f>_xlfn.XLOOKUP($A888, 'L &amp; T'!A:A, 'L &amp; T'!B:B, "")</f>
        <v>2640.3</v>
      </c>
    </row>
    <row r="889" spans="1:8" x14ac:dyDescent="0.3">
      <c r="A889" s="1">
        <v>45134</v>
      </c>
      <c r="B889" s="4">
        <f>_xlfn.XLOOKUP($A889, 'Nifty 50'!A:A, 'Nifty 50'!B:B, "")</f>
        <v>19659.900000000001</v>
      </c>
      <c r="C889" s="4">
        <f>_xlfn.XLOOKUP($A889, Reliance!A:A, Reliance!B:B, "")</f>
        <v>1251.3499999999999</v>
      </c>
      <c r="D889" s="4">
        <f>_xlfn.XLOOKUP($A889, HDFC!A:A, HDFC!B:B, "")</f>
        <v>834.5</v>
      </c>
      <c r="E889" s="4">
        <f>_xlfn.XLOOKUP($A889, ITC!A:A, ITC!B:B, "")</f>
        <v>439.94</v>
      </c>
      <c r="F889" s="4">
        <f>_xlfn.XLOOKUP($A889, TCS!A:A, TCS!B:B, "")</f>
        <v>3381.23</v>
      </c>
      <c r="G889" s="4">
        <f>_xlfn.XLOOKUP($A889, Infosys!A:A, Infosys!B:B,"")</f>
        <v>1345.57</v>
      </c>
      <c r="H889" s="4">
        <f>_xlfn.XLOOKUP($A889, 'L &amp; T'!A:A, 'L &amp; T'!B:B, "")</f>
        <v>2654.22</v>
      </c>
    </row>
    <row r="890" spans="1:8" x14ac:dyDescent="0.3">
      <c r="A890" s="1">
        <v>45135</v>
      </c>
      <c r="B890" s="4">
        <f>_xlfn.XLOOKUP($A890, 'Nifty 50'!A:A, 'Nifty 50'!B:B, "")</f>
        <v>19646.05</v>
      </c>
      <c r="C890" s="4">
        <f>_xlfn.XLOOKUP($A890, Reliance!A:A, Reliance!B:B, "")</f>
        <v>1263.93</v>
      </c>
      <c r="D890" s="4">
        <f>_xlfn.XLOOKUP($A890, HDFC!A:A, HDFC!B:B, "")</f>
        <v>819.71</v>
      </c>
      <c r="E890" s="4">
        <f>_xlfn.XLOOKUP($A890, ITC!A:A, ITC!B:B, "")</f>
        <v>443.16</v>
      </c>
      <c r="F890" s="4">
        <f>_xlfn.XLOOKUP($A890, TCS!A:A, TCS!B:B, "")</f>
        <v>3339.93</v>
      </c>
      <c r="G890" s="4">
        <f>_xlfn.XLOOKUP($A890, Infosys!A:A, Infosys!B:B,"")</f>
        <v>1332.99</v>
      </c>
      <c r="H890" s="4">
        <f>_xlfn.XLOOKUP($A890, 'L &amp; T'!A:A, 'L &amp; T'!B:B, "")</f>
        <v>2643.59</v>
      </c>
    </row>
    <row r="891" spans="1:8" x14ac:dyDescent="0.3">
      <c r="A891" s="1">
        <v>45138</v>
      </c>
      <c r="B891" s="4">
        <f>_xlfn.XLOOKUP($A891, 'Nifty 50'!A:A, 'Nifty 50'!B:B, "")</f>
        <v>19753.8</v>
      </c>
      <c r="C891" s="4">
        <f>_xlfn.XLOOKUP($A891, Reliance!A:A, Reliance!B:B, "")</f>
        <v>1274.6300000000001</v>
      </c>
      <c r="D891" s="4">
        <f>_xlfn.XLOOKUP($A891, HDFC!A:A, HDFC!B:B, "")</f>
        <v>823.55</v>
      </c>
      <c r="E891" s="4">
        <f>_xlfn.XLOOKUP($A891, ITC!A:A, ITC!B:B, "")</f>
        <v>440.56</v>
      </c>
      <c r="F891" s="4">
        <f>_xlfn.XLOOKUP($A891, TCS!A:A, TCS!B:B, "")</f>
        <v>3405.67</v>
      </c>
      <c r="G891" s="4">
        <f>_xlfn.XLOOKUP($A891, Infosys!A:A, Infosys!B:B,"")</f>
        <v>1348.1</v>
      </c>
      <c r="H891" s="4">
        <f>_xlfn.XLOOKUP($A891, 'L &amp; T'!A:A, 'L &amp; T'!B:B, "")</f>
        <v>2675.32</v>
      </c>
    </row>
    <row r="892" spans="1:8" x14ac:dyDescent="0.3">
      <c r="A892" s="1">
        <v>45139</v>
      </c>
      <c r="B892" s="4">
        <f>_xlfn.XLOOKUP($A892, 'Nifty 50'!A:A, 'Nifty 50'!B:B, "")</f>
        <v>19733.55</v>
      </c>
      <c r="C892" s="4">
        <f>_xlfn.XLOOKUP($A892, Reliance!A:A, Reliance!B:B, "")</f>
        <v>1256.5999999999999</v>
      </c>
      <c r="D892" s="4">
        <f>_xlfn.XLOOKUP($A892, HDFC!A:A, HDFC!B:B, "")</f>
        <v>829.06</v>
      </c>
      <c r="E892" s="4">
        <f>_xlfn.XLOOKUP($A892, ITC!A:A, ITC!B:B, "")</f>
        <v>439.71</v>
      </c>
      <c r="F892" s="4">
        <f>_xlfn.XLOOKUP($A892, TCS!A:A, TCS!B:B, "")</f>
        <v>3436.13</v>
      </c>
      <c r="G892" s="4">
        <f>_xlfn.XLOOKUP($A892, Infosys!A:A, Infosys!B:B,"")</f>
        <v>1357.55</v>
      </c>
      <c r="H892" s="4">
        <f>_xlfn.XLOOKUP($A892, 'L &amp; T'!A:A, 'L &amp; T'!B:B, "")</f>
        <v>2660.65</v>
      </c>
    </row>
    <row r="893" spans="1:8" x14ac:dyDescent="0.3">
      <c r="A893" s="1">
        <v>45140</v>
      </c>
      <c r="B893" s="4">
        <f>_xlfn.XLOOKUP($A893, 'Nifty 50'!A:A, 'Nifty 50'!B:B, "")</f>
        <v>19526.55</v>
      </c>
      <c r="C893" s="4">
        <f>_xlfn.XLOOKUP($A893, Reliance!A:A, Reliance!B:B, "")</f>
        <v>1243.18</v>
      </c>
      <c r="D893" s="4">
        <f>_xlfn.XLOOKUP($A893, HDFC!A:A, HDFC!B:B, "")</f>
        <v>818.21</v>
      </c>
      <c r="E893" s="4">
        <f>_xlfn.XLOOKUP($A893, ITC!A:A, ITC!B:B, "")</f>
        <v>435.26</v>
      </c>
      <c r="F893" s="4">
        <f>_xlfn.XLOOKUP($A893, TCS!A:A, TCS!B:B, "")</f>
        <v>3424.78</v>
      </c>
      <c r="G893" s="4">
        <f>_xlfn.XLOOKUP($A893, Infosys!A:A, Infosys!B:B,"")</f>
        <v>1349.25</v>
      </c>
      <c r="H893" s="4">
        <f>_xlfn.XLOOKUP($A893, 'L &amp; T'!A:A, 'L &amp; T'!B:B, "")</f>
        <v>2622.15</v>
      </c>
    </row>
    <row r="894" spans="1:8" x14ac:dyDescent="0.3">
      <c r="A894" s="1">
        <v>45141</v>
      </c>
      <c r="B894" s="4">
        <f>_xlfn.XLOOKUP($A894, 'Nifty 50'!A:A, 'Nifty 50'!B:B, "")</f>
        <v>19381.650000000001</v>
      </c>
      <c r="C894" s="4">
        <f>_xlfn.XLOOKUP($A894, Reliance!A:A, Reliance!B:B, "")</f>
        <v>1237.95</v>
      </c>
      <c r="D894" s="4">
        <f>_xlfn.XLOOKUP($A894, HDFC!A:A, HDFC!B:B, "")</f>
        <v>812.3</v>
      </c>
      <c r="E894" s="4">
        <f>_xlfn.XLOOKUP($A894, ITC!A:A, ITC!B:B, "")</f>
        <v>431.43</v>
      </c>
      <c r="F894" s="4">
        <f>_xlfn.XLOOKUP($A894, TCS!A:A, TCS!B:B, "")</f>
        <v>3384.27</v>
      </c>
      <c r="G894" s="4">
        <f>_xlfn.XLOOKUP($A894, Infosys!A:A, Infosys!B:B,"")</f>
        <v>1356.65</v>
      </c>
      <c r="H894" s="4">
        <f>_xlfn.XLOOKUP($A894, 'L &amp; T'!A:A, 'L &amp; T'!B:B, "")</f>
        <v>2598.1</v>
      </c>
    </row>
    <row r="895" spans="1:8" x14ac:dyDescent="0.3">
      <c r="A895" s="1">
        <v>45142</v>
      </c>
      <c r="B895" s="4">
        <f>_xlfn.XLOOKUP($A895, 'Nifty 50'!A:A, 'Nifty 50'!B:B, "")</f>
        <v>19517</v>
      </c>
      <c r="C895" s="4">
        <f>_xlfn.XLOOKUP($A895, Reliance!A:A, Reliance!B:B, "")</f>
        <v>1254.78</v>
      </c>
      <c r="D895" s="4">
        <f>_xlfn.XLOOKUP($A895, HDFC!A:A, HDFC!B:B, "")</f>
        <v>824.05</v>
      </c>
      <c r="E895" s="4">
        <f>_xlfn.XLOOKUP($A895, ITC!A:A, ITC!B:B, "")</f>
        <v>430.39</v>
      </c>
      <c r="F895" s="4">
        <f>_xlfn.XLOOKUP($A895, TCS!A:A, TCS!B:B, "")</f>
        <v>3427.67</v>
      </c>
      <c r="G895" s="4">
        <f>_xlfn.XLOOKUP($A895, Infosys!A:A, Infosys!B:B,"")</f>
        <v>1370.63</v>
      </c>
      <c r="H895" s="4">
        <f>_xlfn.XLOOKUP($A895, 'L &amp; T'!A:A, 'L &amp; T'!B:B, "")</f>
        <v>2626.9</v>
      </c>
    </row>
    <row r="896" spans="1:8" x14ac:dyDescent="0.3">
      <c r="A896" s="1">
        <v>45145</v>
      </c>
      <c r="B896" s="4">
        <f>_xlfn.XLOOKUP($A896, 'Nifty 50'!A:A, 'Nifty 50'!B:B, "")</f>
        <v>19597.3</v>
      </c>
      <c r="C896" s="4">
        <f>_xlfn.XLOOKUP($A896, Reliance!A:A, Reliance!B:B, "")</f>
        <v>1261.93</v>
      </c>
      <c r="D896" s="4">
        <f>_xlfn.XLOOKUP($A896, HDFC!A:A, HDFC!B:B, "")</f>
        <v>823.58</v>
      </c>
      <c r="E896" s="4">
        <f>_xlfn.XLOOKUP($A896, ITC!A:A, ITC!B:B, "")</f>
        <v>430.34</v>
      </c>
      <c r="F896" s="4">
        <f>_xlfn.XLOOKUP($A896, TCS!A:A, TCS!B:B, "")</f>
        <v>3467.98</v>
      </c>
      <c r="G896" s="4">
        <f>_xlfn.XLOOKUP($A896, Infosys!A:A, Infosys!B:B,"")</f>
        <v>1385.19</v>
      </c>
      <c r="H896" s="4">
        <f>_xlfn.XLOOKUP($A896, 'L &amp; T'!A:A, 'L &amp; T'!B:B, "")</f>
        <v>2635.9</v>
      </c>
    </row>
    <row r="897" spans="1:8" x14ac:dyDescent="0.3">
      <c r="A897" s="1">
        <v>45146</v>
      </c>
      <c r="B897" s="4">
        <f>_xlfn.XLOOKUP($A897, 'Nifty 50'!A:A, 'Nifty 50'!B:B, "")</f>
        <v>19570.849999999999</v>
      </c>
      <c r="C897" s="4">
        <f>_xlfn.XLOOKUP($A897, Reliance!A:A, Reliance!B:B, "")</f>
        <v>1254.32</v>
      </c>
      <c r="D897" s="4">
        <f>_xlfn.XLOOKUP($A897, HDFC!A:A, HDFC!B:B, "")</f>
        <v>822.9</v>
      </c>
      <c r="E897" s="4">
        <f>_xlfn.XLOOKUP($A897, ITC!A:A, ITC!B:B, "")</f>
        <v>427.93</v>
      </c>
      <c r="F897" s="4">
        <f>_xlfn.XLOOKUP($A897, TCS!A:A, TCS!B:B, "")</f>
        <v>3454.59</v>
      </c>
      <c r="G897" s="4">
        <f>_xlfn.XLOOKUP($A897, Infosys!A:A, Infosys!B:B,"")</f>
        <v>1382.41</v>
      </c>
      <c r="H897" s="4">
        <f>_xlfn.XLOOKUP($A897, 'L &amp; T'!A:A, 'L &amp; T'!B:B, "")</f>
        <v>2632.2</v>
      </c>
    </row>
    <row r="898" spans="1:8" x14ac:dyDescent="0.3">
      <c r="A898" s="1">
        <v>45147</v>
      </c>
      <c r="B898" s="4">
        <f>_xlfn.XLOOKUP($A898, 'Nifty 50'!A:A, 'Nifty 50'!B:B, "")</f>
        <v>19632.55</v>
      </c>
      <c r="C898" s="4">
        <f>_xlfn.XLOOKUP($A898, Reliance!A:A, Reliance!B:B, "")</f>
        <v>1262.5999999999999</v>
      </c>
      <c r="D898" s="4">
        <f>_xlfn.XLOOKUP($A898, HDFC!A:A, HDFC!B:B, "")</f>
        <v>823.2</v>
      </c>
      <c r="E898" s="4">
        <f>_xlfn.XLOOKUP($A898, ITC!A:A, ITC!B:B, "")</f>
        <v>433.89</v>
      </c>
      <c r="F898" s="4">
        <f>_xlfn.XLOOKUP($A898, TCS!A:A, TCS!B:B, "")</f>
        <v>3446.53</v>
      </c>
      <c r="G898" s="4">
        <f>_xlfn.XLOOKUP($A898, Infosys!A:A, Infosys!B:B,"")</f>
        <v>1386.59</v>
      </c>
      <c r="H898" s="4">
        <f>_xlfn.XLOOKUP($A898, 'L &amp; T'!A:A, 'L &amp; T'!B:B, "")</f>
        <v>2651.6</v>
      </c>
    </row>
    <row r="899" spans="1:8" x14ac:dyDescent="0.3">
      <c r="A899" s="1">
        <v>45148</v>
      </c>
      <c r="B899" s="4">
        <f>_xlfn.XLOOKUP($A899, 'Nifty 50'!A:A, 'Nifty 50'!B:B, "")</f>
        <v>19543.099999999999</v>
      </c>
      <c r="C899" s="4">
        <f>_xlfn.XLOOKUP($A899, Reliance!A:A, Reliance!B:B, "")</f>
        <v>1268.22</v>
      </c>
      <c r="D899" s="4">
        <f>_xlfn.XLOOKUP($A899, HDFC!A:A, HDFC!B:B, "")</f>
        <v>815.89</v>
      </c>
      <c r="E899" s="4">
        <f>_xlfn.XLOOKUP($A899, ITC!A:A, ITC!B:B, "")</f>
        <v>427.36</v>
      </c>
      <c r="F899" s="4">
        <f>_xlfn.XLOOKUP($A899, TCS!A:A, TCS!B:B, "")</f>
        <v>3426.23</v>
      </c>
      <c r="G899" s="4">
        <f>_xlfn.XLOOKUP($A899, Infosys!A:A, Infosys!B:B,"")</f>
        <v>1381.31</v>
      </c>
      <c r="H899" s="4">
        <f>_xlfn.XLOOKUP($A899, 'L &amp; T'!A:A, 'L &amp; T'!B:B, "")</f>
        <v>2643.5</v>
      </c>
    </row>
    <row r="900" spans="1:8" x14ac:dyDescent="0.3">
      <c r="A900" s="1">
        <v>45149</v>
      </c>
      <c r="B900" s="4">
        <f>_xlfn.XLOOKUP($A900, 'Nifty 50'!A:A, 'Nifty 50'!B:B, "")</f>
        <v>19428.3</v>
      </c>
      <c r="C900" s="4">
        <f>_xlfn.XLOOKUP($A900, Reliance!A:A, Reliance!B:B, "")</f>
        <v>1273.57</v>
      </c>
      <c r="D900" s="4">
        <f>_xlfn.XLOOKUP($A900, HDFC!A:A, HDFC!B:B, "")</f>
        <v>807.39</v>
      </c>
      <c r="E900" s="4">
        <f>_xlfn.XLOOKUP($A900, ITC!A:A, ITC!B:B, "")</f>
        <v>424.52</v>
      </c>
      <c r="F900" s="4">
        <f>_xlfn.XLOOKUP($A900, TCS!A:A, TCS!B:B, "")</f>
        <v>3432.89</v>
      </c>
      <c r="G900" s="4">
        <f>_xlfn.XLOOKUP($A900, Infosys!A:A, Infosys!B:B,"")</f>
        <v>1364.16</v>
      </c>
      <c r="H900" s="4">
        <f>_xlfn.XLOOKUP($A900, 'L &amp; T'!A:A, 'L &amp; T'!B:B, "")</f>
        <v>2638.5</v>
      </c>
    </row>
    <row r="901" spans="1:8" x14ac:dyDescent="0.3">
      <c r="A901" s="1">
        <v>45152</v>
      </c>
      <c r="B901" s="4">
        <f>_xlfn.XLOOKUP($A901, 'Nifty 50'!A:A, 'Nifty 50'!B:B, "")</f>
        <v>19434.55</v>
      </c>
      <c r="C901" s="4">
        <f>_xlfn.XLOOKUP($A901, Reliance!A:A, Reliance!B:B, "")</f>
        <v>1288.6300000000001</v>
      </c>
      <c r="D901" s="4">
        <f>_xlfn.XLOOKUP($A901, HDFC!A:A, HDFC!B:B, "")</f>
        <v>803.45</v>
      </c>
      <c r="E901" s="4">
        <f>_xlfn.XLOOKUP($A901, ITC!A:A, ITC!B:B, "")</f>
        <v>424.95</v>
      </c>
      <c r="F901" s="4">
        <f>_xlfn.XLOOKUP($A901, TCS!A:A, TCS!B:B, "")</f>
        <v>3433.94</v>
      </c>
      <c r="G901" s="4">
        <f>_xlfn.XLOOKUP($A901, Infosys!A:A, Infosys!B:B,"")</f>
        <v>1385.74</v>
      </c>
      <c r="H901" s="4">
        <f>_xlfn.XLOOKUP($A901, 'L &amp; T'!A:A, 'L &amp; T'!B:B, "")</f>
        <v>2659.9</v>
      </c>
    </row>
    <row r="902" spans="1:8" x14ac:dyDescent="0.3">
      <c r="A902" s="1">
        <v>45154</v>
      </c>
      <c r="B902" s="4">
        <f>_xlfn.XLOOKUP($A902, 'Nifty 50'!A:A, 'Nifty 50'!B:B, "")</f>
        <v>19465</v>
      </c>
      <c r="C902" s="4">
        <f>_xlfn.XLOOKUP($A902, Reliance!A:A, Reliance!B:B, "")</f>
        <v>1287.57</v>
      </c>
      <c r="D902" s="4">
        <f>_xlfn.XLOOKUP($A902, HDFC!A:A, HDFC!B:B, "")</f>
        <v>801.11</v>
      </c>
      <c r="E902" s="4">
        <f>_xlfn.XLOOKUP($A902, ITC!A:A, ITC!B:B, "")</f>
        <v>425.94</v>
      </c>
      <c r="F902" s="4">
        <f>_xlfn.XLOOKUP($A902, TCS!A:A, TCS!B:B, "")</f>
        <v>3442.45</v>
      </c>
      <c r="G902" s="4">
        <f>_xlfn.XLOOKUP($A902, Infosys!A:A, Infosys!B:B,"")</f>
        <v>1410.55</v>
      </c>
      <c r="H902" s="4">
        <f>_xlfn.XLOOKUP($A902, 'L &amp; T'!A:A, 'L &amp; T'!B:B, "")</f>
        <v>2691.05</v>
      </c>
    </row>
    <row r="903" spans="1:8" x14ac:dyDescent="0.3">
      <c r="A903" s="1">
        <v>45155</v>
      </c>
      <c r="B903" s="4">
        <f>_xlfn.XLOOKUP($A903, 'Nifty 50'!A:A, 'Nifty 50'!B:B, "")</f>
        <v>19365.25</v>
      </c>
      <c r="C903" s="4">
        <f>_xlfn.XLOOKUP($A903, Reliance!A:A, Reliance!B:B, "")</f>
        <v>1269</v>
      </c>
      <c r="D903" s="4">
        <f>_xlfn.XLOOKUP($A903, HDFC!A:A, HDFC!B:B, "")</f>
        <v>796.67</v>
      </c>
      <c r="E903" s="4">
        <f>_xlfn.XLOOKUP($A903, ITC!A:A, ITC!B:B, "")</f>
        <v>417.19</v>
      </c>
      <c r="F903" s="4">
        <f>_xlfn.XLOOKUP($A903, TCS!A:A, TCS!B:B, "")</f>
        <v>3419.9</v>
      </c>
      <c r="G903" s="4">
        <f>_xlfn.XLOOKUP($A903, Infosys!A:A, Infosys!B:B,"")</f>
        <v>1403.64</v>
      </c>
      <c r="H903" s="4">
        <f>_xlfn.XLOOKUP($A903, 'L &amp; T'!A:A, 'L &amp; T'!B:B, "")</f>
        <v>2652.5</v>
      </c>
    </row>
    <row r="904" spans="1:8" x14ac:dyDescent="0.3">
      <c r="A904" s="1">
        <v>45156</v>
      </c>
      <c r="B904" s="4">
        <f>_xlfn.XLOOKUP($A904, 'Nifty 50'!A:A, 'Nifty 50'!B:B, "")</f>
        <v>19310.150000000001</v>
      </c>
      <c r="C904" s="4">
        <f>_xlfn.XLOOKUP($A904, Reliance!A:A, Reliance!B:B, "")</f>
        <v>1278.4000000000001</v>
      </c>
      <c r="D904" s="4">
        <f>_xlfn.XLOOKUP($A904, HDFC!A:A, HDFC!B:B, "")</f>
        <v>793.4</v>
      </c>
      <c r="E904" s="4">
        <f>_xlfn.XLOOKUP($A904, ITC!A:A, ITC!B:B, "")</f>
        <v>417.81</v>
      </c>
      <c r="F904" s="4">
        <f>_xlfn.XLOOKUP($A904, TCS!A:A, TCS!B:B, "")</f>
        <v>3351.57</v>
      </c>
      <c r="G904" s="4">
        <f>_xlfn.XLOOKUP($A904, Infosys!A:A, Infosys!B:B,"")</f>
        <v>1381.02</v>
      </c>
      <c r="H904" s="4">
        <f>_xlfn.XLOOKUP($A904, 'L &amp; T'!A:A, 'L &amp; T'!B:B, "")</f>
        <v>2641.95</v>
      </c>
    </row>
    <row r="905" spans="1:8" x14ac:dyDescent="0.3">
      <c r="A905" s="1">
        <v>45159</v>
      </c>
      <c r="B905" s="4">
        <f>_xlfn.XLOOKUP($A905, 'Nifty 50'!A:A, 'Nifty 50'!B:B, "")</f>
        <v>19393.599999999999</v>
      </c>
      <c r="C905" s="4">
        <f>_xlfn.XLOOKUP($A905, Reliance!A:A, Reliance!B:B, "")</f>
        <v>1260</v>
      </c>
      <c r="D905" s="4">
        <f>_xlfn.XLOOKUP($A905, HDFC!A:A, HDFC!B:B, "")</f>
        <v>792.78</v>
      </c>
      <c r="E905" s="4">
        <f>_xlfn.XLOOKUP($A905, ITC!A:A, ITC!B:B, "")</f>
        <v>423.63</v>
      </c>
      <c r="F905" s="4">
        <f>_xlfn.XLOOKUP($A905, TCS!A:A, TCS!B:B, "")</f>
        <v>3385.96</v>
      </c>
      <c r="G905" s="4">
        <f>_xlfn.XLOOKUP($A905, Infosys!A:A, Infosys!B:B,"")</f>
        <v>1397.52</v>
      </c>
      <c r="H905" s="4">
        <f>_xlfn.XLOOKUP($A905, 'L &amp; T'!A:A, 'L &amp; T'!B:B, "")</f>
        <v>2662.25</v>
      </c>
    </row>
    <row r="906" spans="1:8" x14ac:dyDescent="0.3">
      <c r="A906" s="1">
        <v>45160</v>
      </c>
      <c r="B906" s="4">
        <f>_xlfn.XLOOKUP($A906, 'Nifty 50'!A:A, 'Nifty 50'!B:B, "")</f>
        <v>19396.45</v>
      </c>
      <c r="C906" s="4">
        <f>_xlfn.XLOOKUP($A906, Reliance!A:A, Reliance!B:B, "")</f>
        <v>1259.7</v>
      </c>
      <c r="D906" s="4">
        <f>_xlfn.XLOOKUP($A906, HDFC!A:A, HDFC!B:B, "")</f>
        <v>789.39</v>
      </c>
      <c r="E906" s="4">
        <f>_xlfn.XLOOKUP($A906, ITC!A:A, ITC!B:B, "")</f>
        <v>429.73</v>
      </c>
      <c r="F906" s="4">
        <f>_xlfn.XLOOKUP($A906, TCS!A:A, TCS!B:B, "")</f>
        <v>3366.55</v>
      </c>
      <c r="G906" s="4">
        <f>_xlfn.XLOOKUP($A906, Infosys!A:A, Infosys!B:B,"")</f>
        <v>1395.88</v>
      </c>
      <c r="H906" s="4">
        <f>_xlfn.XLOOKUP($A906, 'L &amp; T'!A:A, 'L &amp; T'!B:B, "")</f>
        <v>2678.8</v>
      </c>
    </row>
    <row r="907" spans="1:8" x14ac:dyDescent="0.3">
      <c r="A907" s="1">
        <v>45161</v>
      </c>
      <c r="B907" s="4">
        <f>_xlfn.XLOOKUP($A907, 'Nifty 50'!A:A, 'Nifty 50'!B:B, "")</f>
        <v>19444</v>
      </c>
      <c r="C907" s="4">
        <f>_xlfn.XLOOKUP($A907, Reliance!A:A, Reliance!B:B, "")</f>
        <v>1261.0999999999999</v>
      </c>
      <c r="D907" s="4">
        <f>_xlfn.XLOOKUP($A907, HDFC!A:A, HDFC!B:B, "")</f>
        <v>791.33</v>
      </c>
      <c r="E907" s="4">
        <f>_xlfn.XLOOKUP($A907, ITC!A:A, ITC!B:B, "")</f>
        <v>426.13</v>
      </c>
      <c r="F907" s="4">
        <f>_xlfn.XLOOKUP($A907, TCS!A:A, TCS!B:B, "")</f>
        <v>3382.58</v>
      </c>
      <c r="G907" s="4">
        <f>_xlfn.XLOOKUP($A907, Infosys!A:A, Infosys!B:B,"")</f>
        <v>1400.06</v>
      </c>
      <c r="H907" s="4">
        <f>_xlfn.XLOOKUP($A907, 'L &amp; T'!A:A, 'L &amp; T'!B:B, "")</f>
        <v>2717.6</v>
      </c>
    </row>
    <row r="908" spans="1:8" x14ac:dyDescent="0.3">
      <c r="A908" s="1">
        <v>45162</v>
      </c>
      <c r="B908" s="4">
        <f>_xlfn.XLOOKUP($A908, 'Nifty 50'!A:A, 'Nifty 50'!B:B, "")</f>
        <v>19386.7</v>
      </c>
      <c r="C908" s="4">
        <f>_xlfn.XLOOKUP($A908, Reliance!A:A, Reliance!B:B, "")</f>
        <v>1239.9000000000001</v>
      </c>
      <c r="D908" s="4">
        <f>_xlfn.XLOOKUP($A908, HDFC!A:A, HDFC!B:B, "")</f>
        <v>787.69</v>
      </c>
      <c r="E908" s="4">
        <f>_xlfn.XLOOKUP($A908, ITC!A:A, ITC!B:B, "")</f>
        <v>426.56</v>
      </c>
      <c r="F908" s="4">
        <f>_xlfn.XLOOKUP($A908, TCS!A:A, TCS!B:B, "")</f>
        <v>3372.13</v>
      </c>
      <c r="G908" s="4">
        <f>_xlfn.XLOOKUP($A908, Infosys!A:A, Infosys!B:B,"")</f>
        <v>1415.62</v>
      </c>
      <c r="H908" s="4">
        <f>_xlfn.XLOOKUP($A908, 'L &amp; T'!A:A, 'L &amp; T'!B:B, "")</f>
        <v>2688.15</v>
      </c>
    </row>
    <row r="909" spans="1:8" x14ac:dyDescent="0.3">
      <c r="A909" s="1">
        <v>45163</v>
      </c>
      <c r="B909" s="4">
        <f>_xlfn.XLOOKUP($A909, 'Nifty 50'!A:A, 'Nifty 50'!B:B, "")</f>
        <v>19265.8</v>
      </c>
      <c r="C909" s="4">
        <f>_xlfn.XLOOKUP($A909, Reliance!A:A, Reliance!B:B, "")</f>
        <v>1234.18</v>
      </c>
      <c r="D909" s="4">
        <f>_xlfn.XLOOKUP($A909, HDFC!A:A, HDFC!B:B, "")</f>
        <v>778.81</v>
      </c>
      <c r="E909" s="4">
        <f>_xlfn.XLOOKUP($A909, ITC!A:A, ITC!B:B, "")</f>
        <v>419.42</v>
      </c>
      <c r="F909" s="4">
        <f>_xlfn.XLOOKUP($A909, TCS!A:A, TCS!B:B, "")</f>
        <v>3365.71</v>
      </c>
      <c r="G909" s="4">
        <f>_xlfn.XLOOKUP($A909, Infosys!A:A, Infosys!B:B,"")</f>
        <v>1412.14</v>
      </c>
      <c r="H909" s="4">
        <f>_xlfn.XLOOKUP($A909, 'L &amp; T'!A:A, 'L &amp; T'!B:B, "")</f>
        <v>2638.4</v>
      </c>
    </row>
    <row r="910" spans="1:8" x14ac:dyDescent="0.3">
      <c r="A910" s="1">
        <v>45166</v>
      </c>
      <c r="B910" s="4">
        <f>_xlfn.XLOOKUP($A910, 'Nifty 50'!A:A, 'Nifty 50'!B:B, "")</f>
        <v>19306.05</v>
      </c>
      <c r="C910" s="4">
        <f>_xlfn.XLOOKUP($A910, Reliance!A:A, Reliance!B:B, "")</f>
        <v>1221.8800000000001</v>
      </c>
      <c r="D910" s="4">
        <f>_xlfn.XLOOKUP($A910, HDFC!A:A, HDFC!B:B, "")</f>
        <v>786.92</v>
      </c>
      <c r="E910" s="4">
        <f>_xlfn.XLOOKUP($A910, ITC!A:A, ITC!B:B, "")</f>
        <v>417.57</v>
      </c>
      <c r="F910" s="4">
        <f>_xlfn.XLOOKUP($A910, TCS!A:A, TCS!B:B, "")</f>
        <v>3359.98</v>
      </c>
      <c r="G910" s="4">
        <f>_xlfn.XLOOKUP($A910, Infosys!A:A, Infosys!B:B,"")</f>
        <v>1407.72</v>
      </c>
      <c r="H910" s="4">
        <f>_xlfn.XLOOKUP($A910, 'L &amp; T'!A:A, 'L &amp; T'!B:B, "")</f>
        <v>2695.35</v>
      </c>
    </row>
    <row r="911" spans="1:8" x14ac:dyDescent="0.3">
      <c r="A911" s="1">
        <v>45167</v>
      </c>
      <c r="B911" s="4">
        <f>_xlfn.XLOOKUP($A911, 'Nifty 50'!A:A, 'Nifty 50'!B:B, "")</f>
        <v>19342.650000000001</v>
      </c>
      <c r="C911" s="4">
        <f>_xlfn.XLOOKUP($A911, Reliance!A:A, Reliance!B:B, "")</f>
        <v>1210.18</v>
      </c>
      <c r="D911" s="4">
        <f>_xlfn.XLOOKUP($A911, HDFC!A:A, HDFC!B:B, "")</f>
        <v>793.18</v>
      </c>
      <c r="E911" s="4">
        <f>_xlfn.XLOOKUP($A911, ITC!A:A, ITC!B:B, "")</f>
        <v>416.34</v>
      </c>
      <c r="F911" s="4">
        <f>_xlfn.XLOOKUP($A911, TCS!A:A, TCS!B:B, "")</f>
        <v>3360.58</v>
      </c>
      <c r="G911" s="4">
        <f>_xlfn.XLOOKUP($A911, Infosys!A:A, Infosys!B:B,"")</f>
        <v>1409.7</v>
      </c>
      <c r="H911" s="4">
        <f>_xlfn.XLOOKUP($A911, 'L &amp; T'!A:A, 'L &amp; T'!B:B, "")</f>
        <v>2718.95</v>
      </c>
    </row>
    <row r="912" spans="1:8" x14ac:dyDescent="0.3">
      <c r="A912" s="1">
        <v>45168</v>
      </c>
      <c r="B912" s="4">
        <f>_xlfn.XLOOKUP($A912, 'Nifty 50'!A:A, 'Nifty 50'!B:B, "")</f>
        <v>19347.45</v>
      </c>
      <c r="C912" s="4">
        <f>_xlfn.XLOOKUP($A912, Reliance!A:A, Reliance!B:B, "")</f>
        <v>1209.03</v>
      </c>
      <c r="D912" s="4">
        <f>_xlfn.XLOOKUP($A912, HDFC!A:A, HDFC!B:B, "")</f>
        <v>787.39</v>
      </c>
      <c r="E912" s="4">
        <f>_xlfn.XLOOKUP($A912, ITC!A:A, ITC!B:B, "")</f>
        <v>418.89</v>
      </c>
      <c r="F912" s="4">
        <f>_xlfn.XLOOKUP($A912, TCS!A:A, TCS!B:B, "")</f>
        <v>3375.31</v>
      </c>
      <c r="G912" s="4">
        <f>_xlfn.XLOOKUP($A912, Infosys!A:A, Infosys!B:B,"")</f>
        <v>1427.11</v>
      </c>
      <c r="H912" s="4">
        <f>_xlfn.XLOOKUP($A912, 'L &amp; T'!A:A, 'L &amp; T'!B:B, "")</f>
        <v>2709</v>
      </c>
    </row>
    <row r="913" spans="1:8" x14ac:dyDescent="0.3">
      <c r="A913" s="1">
        <v>45169</v>
      </c>
      <c r="B913" s="4">
        <f>_xlfn.XLOOKUP($A913, 'Nifty 50'!A:A, 'Nifty 50'!B:B, "")</f>
        <v>19253.8</v>
      </c>
      <c r="C913" s="4">
        <f>_xlfn.XLOOKUP($A913, Reliance!A:A, Reliance!B:B, "")</f>
        <v>1203.5</v>
      </c>
      <c r="D913" s="4">
        <f>_xlfn.XLOOKUP($A913, HDFC!A:A, HDFC!B:B, "")</f>
        <v>783.77</v>
      </c>
      <c r="E913" s="4">
        <f>_xlfn.XLOOKUP($A913, ITC!A:A, ITC!B:B, "")</f>
        <v>415.96</v>
      </c>
      <c r="F913" s="4">
        <f>_xlfn.XLOOKUP($A913, TCS!A:A, TCS!B:B, "")</f>
        <v>3341.32</v>
      </c>
      <c r="G913" s="4">
        <f>_xlfn.XLOOKUP($A913, Infosys!A:A, Infosys!B:B,"")</f>
        <v>1427.41</v>
      </c>
      <c r="H913" s="4">
        <f>_xlfn.XLOOKUP($A913, 'L &amp; T'!A:A, 'L &amp; T'!B:B, "")</f>
        <v>2702.7</v>
      </c>
    </row>
    <row r="914" spans="1:8" x14ac:dyDescent="0.3">
      <c r="A914" s="1">
        <v>45170</v>
      </c>
      <c r="B914" s="4">
        <f>_xlfn.XLOOKUP($A914, 'Nifty 50'!A:A, 'Nifty 50'!B:B, "")</f>
        <v>19435.3</v>
      </c>
      <c r="C914" s="4">
        <f>_xlfn.XLOOKUP($A914, Reliance!A:A, Reliance!B:B, "")</f>
        <v>1206.32</v>
      </c>
      <c r="D914" s="4">
        <f>_xlfn.XLOOKUP($A914, HDFC!A:A, HDFC!B:B, "")</f>
        <v>785.4</v>
      </c>
      <c r="E914" s="4">
        <f>_xlfn.XLOOKUP($A914, ITC!A:A, ITC!B:B, "")</f>
        <v>417.24</v>
      </c>
      <c r="F914" s="4">
        <f>_xlfn.XLOOKUP($A914, TCS!A:A, TCS!B:B, "")</f>
        <v>3363.61</v>
      </c>
      <c r="G914" s="4">
        <f>_xlfn.XLOOKUP($A914, Infosys!A:A, Infosys!B:B,"")</f>
        <v>1435.76</v>
      </c>
      <c r="H914" s="4">
        <f>_xlfn.XLOOKUP($A914, 'L &amp; T'!A:A, 'L &amp; T'!B:B, "")</f>
        <v>2702.1</v>
      </c>
    </row>
    <row r="915" spans="1:8" x14ac:dyDescent="0.3">
      <c r="A915" s="1">
        <v>45173</v>
      </c>
      <c r="B915" s="4">
        <f>_xlfn.XLOOKUP($A915, 'Nifty 50'!A:A, 'Nifty 50'!B:B, "")</f>
        <v>19528.8</v>
      </c>
      <c r="C915" s="4">
        <f>_xlfn.XLOOKUP($A915, Reliance!A:A, Reliance!B:B, "")</f>
        <v>1205.3499999999999</v>
      </c>
      <c r="D915" s="4">
        <f>_xlfn.XLOOKUP($A915, HDFC!A:A, HDFC!B:B, "")</f>
        <v>790.31</v>
      </c>
      <c r="E915" s="4">
        <f>_xlfn.XLOOKUP($A915, ITC!A:A, ITC!B:B, "")</f>
        <v>413.88</v>
      </c>
      <c r="F915" s="4">
        <f>_xlfn.XLOOKUP($A915, TCS!A:A, TCS!B:B, "")</f>
        <v>3402.73</v>
      </c>
      <c r="G915" s="4">
        <f>_xlfn.XLOOKUP($A915, Infosys!A:A, Infosys!B:B,"")</f>
        <v>1456.89</v>
      </c>
      <c r="H915" s="4">
        <f>_xlfn.XLOOKUP($A915, 'L &amp; T'!A:A, 'L &amp; T'!B:B, "")</f>
        <v>2711.1</v>
      </c>
    </row>
    <row r="916" spans="1:8" x14ac:dyDescent="0.3">
      <c r="A916" s="1">
        <v>45174</v>
      </c>
      <c r="B916" s="4">
        <f>_xlfn.XLOOKUP($A916, 'Nifty 50'!A:A, 'Nifty 50'!B:B, "")</f>
        <v>19574.900000000001</v>
      </c>
      <c r="C916" s="4">
        <f>_xlfn.XLOOKUP($A916, Reliance!A:A, Reliance!B:B, "")</f>
        <v>1211.8</v>
      </c>
      <c r="D916" s="4">
        <f>_xlfn.XLOOKUP($A916, HDFC!A:A, HDFC!B:B, "")</f>
        <v>785.5</v>
      </c>
      <c r="E916" s="4">
        <f>_xlfn.XLOOKUP($A916, ITC!A:A, ITC!B:B, "")</f>
        <v>419.18</v>
      </c>
      <c r="F916" s="4">
        <f>_xlfn.XLOOKUP($A916, TCS!A:A, TCS!B:B, "")</f>
        <v>3413.53</v>
      </c>
      <c r="G916" s="4">
        <f>_xlfn.XLOOKUP($A916, Infosys!A:A, Infosys!B:B,"")</f>
        <v>1470.61</v>
      </c>
      <c r="H916" s="4">
        <f>_xlfn.XLOOKUP($A916, 'L &amp; T'!A:A, 'L &amp; T'!B:B, "")</f>
        <v>2732.95</v>
      </c>
    </row>
    <row r="917" spans="1:8" x14ac:dyDescent="0.3">
      <c r="A917" s="1">
        <v>45175</v>
      </c>
      <c r="B917" s="4">
        <f>_xlfn.XLOOKUP($A917, 'Nifty 50'!A:A, 'Nifty 50'!B:B, "")</f>
        <v>19611.05</v>
      </c>
      <c r="C917" s="4">
        <f>_xlfn.XLOOKUP($A917, Reliance!A:A, Reliance!B:B, "")</f>
        <v>1214.3499999999999</v>
      </c>
      <c r="D917" s="4">
        <f>_xlfn.XLOOKUP($A917, HDFC!A:A, HDFC!B:B, "")</f>
        <v>795.77</v>
      </c>
      <c r="E917" s="4">
        <f>_xlfn.XLOOKUP($A917, ITC!A:A, ITC!B:B, "")</f>
        <v>423.29</v>
      </c>
      <c r="F917" s="4">
        <f>_xlfn.XLOOKUP($A917, TCS!A:A, TCS!B:B, "")</f>
        <v>3414.08</v>
      </c>
      <c r="G917" s="4">
        <f>_xlfn.XLOOKUP($A917, Infosys!A:A, Infosys!B:B,"")</f>
        <v>1469.17</v>
      </c>
      <c r="H917" s="4">
        <f>_xlfn.XLOOKUP($A917, 'L &amp; T'!A:A, 'L &amp; T'!B:B, "")</f>
        <v>2730.45</v>
      </c>
    </row>
    <row r="918" spans="1:8" x14ac:dyDescent="0.3">
      <c r="A918" s="1">
        <v>45176</v>
      </c>
      <c r="B918" s="4">
        <f>_xlfn.XLOOKUP($A918, 'Nifty 50'!A:A, 'Nifty 50'!B:B, "")</f>
        <v>19727.05</v>
      </c>
      <c r="C918" s="4">
        <f>_xlfn.XLOOKUP($A918, Reliance!A:A, Reliance!B:B, "")</f>
        <v>1216</v>
      </c>
      <c r="D918" s="4">
        <f>_xlfn.XLOOKUP($A918, HDFC!A:A, HDFC!B:B, "")</f>
        <v>803.43</v>
      </c>
      <c r="E918" s="4">
        <f>_xlfn.XLOOKUP($A918, ITC!A:A, ITC!B:B, "")</f>
        <v>421.83</v>
      </c>
      <c r="F918" s="4">
        <f>_xlfn.XLOOKUP($A918, TCS!A:A, TCS!B:B, "")</f>
        <v>3439.31</v>
      </c>
      <c r="G918" s="4">
        <f>_xlfn.XLOOKUP($A918, Infosys!A:A, Infosys!B:B,"")</f>
        <v>1457.98</v>
      </c>
      <c r="H918" s="4">
        <f>_xlfn.XLOOKUP($A918, 'L &amp; T'!A:A, 'L &amp; T'!B:B, "")</f>
        <v>2846.4</v>
      </c>
    </row>
    <row r="919" spans="1:8" x14ac:dyDescent="0.3">
      <c r="A919" s="1">
        <v>45177</v>
      </c>
      <c r="B919" s="4">
        <f>_xlfn.XLOOKUP($A919, 'Nifty 50'!A:A, 'Nifty 50'!B:B, "")</f>
        <v>19819.95</v>
      </c>
      <c r="C919" s="4">
        <f>_xlfn.XLOOKUP($A919, Reliance!A:A, Reliance!B:B, "")</f>
        <v>1224.0999999999999</v>
      </c>
      <c r="D919" s="4">
        <f>_xlfn.XLOOKUP($A919, HDFC!A:A, HDFC!B:B, "")</f>
        <v>809.69</v>
      </c>
      <c r="E919" s="4">
        <f>_xlfn.XLOOKUP($A919, ITC!A:A, ITC!B:B, "")</f>
        <v>418.75</v>
      </c>
      <c r="F919" s="4">
        <f>_xlfn.XLOOKUP($A919, TCS!A:A, TCS!B:B, "")</f>
        <v>3426.03</v>
      </c>
      <c r="G919" s="4">
        <f>_xlfn.XLOOKUP($A919, Infosys!A:A, Infosys!B:B,"")</f>
        <v>1461.36</v>
      </c>
      <c r="H919" s="4">
        <f>_xlfn.XLOOKUP($A919, 'L &amp; T'!A:A, 'L &amp; T'!B:B, "")</f>
        <v>2901.6</v>
      </c>
    </row>
    <row r="920" spans="1:8" x14ac:dyDescent="0.3">
      <c r="A920" s="1">
        <v>45180</v>
      </c>
      <c r="B920" s="4">
        <f>_xlfn.XLOOKUP($A920, 'Nifty 50'!A:A, 'Nifty 50'!B:B, "")</f>
        <v>19996.349999999999</v>
      </c>
      <c r="C920" s="4">
        <f>_xlfn.XLOOKUP($A920, Reliance!A:A, Reliance!B:B, "")</f>
        <v>1237.3</v>
      </c>
      <c r="D920" s="4">
        <f>_xlfn.XLOOKUP($A920, HDFC!A:A, HDFC!B:B, "")</f>
        <v>813.87</v>
      </c>
      <c r="E920" s="4">
        <f>_xlfn.XLOOKUP($A920, ITC!A:A, ITC!B:B, "")</f>
        <v>423.06</v>
      </c>
      <c r="F920" s="4">
        <f>_xlfn.XLOOKUP($A920, TCS!A:A, TCS!B:B, "")</f>
        <v>3464.6</v>
      </c>
      <c r="G920" s="4">
        <f>_xlfn.XLOOKUP($A920, Infosys!A:A, Infosys!B:B,"")</f>
        <v>1468.18</v>
      </c>
      <c r="H920" s="4">
        <f>_xlfn.XLOOKUP($A920, 'L &amp; T'!A:A, 'L &amp; T'!B:B, "")</f>
        <v>2894.2</v>
      </c>
    </row>
    <row r="921" spans="1:8" x14ac:dyDescent="0.3">
      <c r="A921" s="1">
        <v>45181</v>
      </c>
      <c r="B921" s="4">
        <f>_xlfn.XLOOKUP($A921, 'Nifty 50'!A:A, 'Nifty 50'!B:B, "")</f>
        <v>19993.2</v>
      </c>
      <c r="C921" s="4">
        <f>_xlfn.XLOOKUP($A921, Reliance!A:A, Reliance!B:B, "")</f>
        <v>1219.43</v>
      </c>
      <c r="D921" s="4">
        <f>_xlfn.XLOOKUP($A921, HDFC!A:A, HDFC!B:B, "")</f>
        <v>816.42</v>
      </c>
      <c r="E921" s="4">
        <f>_xlfn.XLOOKUP($A921, ITC!A:A, ITC!B:B, "")</f>
        <v>426.79</v>
      </c>
      <c r="F921" s="4">
        <f>_xlfn.XLOOKUP($A921, TCS!A:A, TCS!B:B, "")</f>
        <v>3564.28</v>
      </c>
      <c r="G921" s="4">
        <f>_xlfn.XLOOKUP($A921, Infosys!A:A, Infosys!B:B,"")</f>
        <v>1492.69</v>
      </c>
      <c r="H921" s="4">
        <f>_xlfn.XLOOKUP($A921, 'L &amp; T'!A:A, 'L &amp; T'!B:B, "")</f>
        <v>2944.1</v>
      </c>
    </row>
    <row r="922" spans="1:8" x14ac:dyDescent="0.3">
      <c r="A922" s="1">
        <v>45182</v>
      </c>
      <c r="B922" s="4">
        <f>_xlfn.XLOOKUP($A922, 'Nifty 50'!A:A, 'Nifty 50'!B:B, "")</f>
        <v>20070</v>
      </c>
      <c r="C922" s="4">
        <f>_xlfn.XLOOKUP($A922, Reliance!A:A, Reliance!B:B, "")</f>
        <v>1225.53</v>
      </c>
      <c r="D922" s="4">
        <f>_xlfn.XLOOKUP($A922, HDFC!A:A, HDFC!B:B, "")</f>
        <v>819.91</v>
      </c>
      <c r="E922" s="4">
        <f>_xlfn.XLOOKUP($A922, ITC!A:A, ITC!B:B, "")</f>
        <v>429.02</v>
      </c>
      <c r="F922" s="4">
        <f>_xlfn.XLOOKUP($A922, TCS!A:A, TCS!B:B, "")</f>
        <v>3551.4</v>
      </c>
      <c r="G922" s="4">
        <f>_xlfn.XLOOKUP($A922, Infosys!A:A, Infosys!B:B,"")</f>
        <v>1489.95</v>
      </c>
      <c r="H922" s="4">
        <f>_xlfn.XLOOKUP($A922, 'L &amp; T'!A:A, 'L &amp; T'!B:B, "")</f>
        <v>2906.75</v>
      </c>
    </row>
    <row r="923" spans="1:8" x14ac:dyDescent="0.3">
      <c r="A923" s="1">
        <v>45183</v>
      </c>
      <c r="B923" s="4">
        <f>_xlfn.XLOOKUP($A923, 'Nifty 50'!A:A, 'Nifty 50'!B:B, "")</f>
        <v>20103.099999999999</v>
      </c>
      <c r="C923" s="4">
        <f>_xlfn.XLOOKUP($A923, Reliance!A:A, Reliance!B:B, "")</f>
        <v>1226.6500000000001</v>
      </c>
      <c r="D923" s="4">
        <f>_xlfn.XLOOKUP($A923, HDFC!A:A, HDFC!B:B, "")</f>
        <v>819.41</v>
      </c>
      <c r="E923" s="4">
        <f>_xlfn.XLOOKUP($A923, ITC!A:A, ITC!B:B, "")</f>
        <v>425.66</v>
      </c>
      <c r="F923" s="4">
        <f>_xlfn.XLOOKUP($A923, TCS!A:A, TCS!B:B, "")</f>
        <v>3543.63</v>
      </c>
      <c r="G923" s="4">
        <f>_xlfn.XLOOKUP($A923, Infosys!A:A, Infosys!B:B,"")</f>
        <v>1498.51</v>
      </c>
      <c r="H923" s="4">
        <f>_xlfn.XLOOKUP($A923, 'L &amp; T'!A:A, 'L &amp; T'!B:B, "")</f>
        <v>2918.6</v>
      </c>
    </row>
    <row r="924" spans="1:8" x14ac:dyDescent="0.3">
      <c r="A924" s="1">
        <v>45184</v>
      </c>
      <c r="B924" s="4">
        <f>_xlfn.XLOOKUP($A924, 'Nifty 50'!A:A, 'Nifty 50'!B:B, "")</f>
        <v>20192.349999999999</v>
      </c>
      <c r="C924" s="4">
        <f>_xlfn.XLOOKUP($A924, Reliance!A:A, Reliance!B:B, "")</f>
        <v>1228.93</v>
      </c>
      <c r="D924" s="4">
        <f>_xlfn.XLOOKUP($A924, HDFC!A:A, HDFC!B:B, "")</f>
        <v>828.81</v>
      </c>
      <c r="E924" s="4">
        <f>_xlfn.XLOOKUP($A924, ITC!A:A, ITC!B:B, "")</f>
        <v>424.14</v>
      </c>
      <c r="F924" s="4">
        <f>_xlfn.XLOOKUP($A924, TCS!A:A, TCS!B:B, "")</f>
        <v>3581.71</v>
      </c>
      <c r="G924" s="4">
        <f>_xlfn.XLOOKUP($A924, Infosys!A:A, Infosys!B:B,"")</f>
        <v>1503.13</v>
      </c>
      <c r="H924" s="4">
        <f>_xlfn.XLOOKUP($A924, 'L &amp; T'!A:A, 'L &amp; T'!B:B, "")</f>
        <v>2908.55</v>
      </c>
    </row>
    <row r="925" spans="1:8" x14ac:dyDescent="0.3">
      <c r="A925" s="1">
        <v>45187</v>
      </c>
      <c r="B925" s="4">
        <f>_xlfn.XLOOKUP($A925, 'Nifty 50'!A:A, 'Nifty 50'!B:B, "")</f>
        <v>20133.3</v>
      </c>
      <c r="C925" s="4">
        <f>_xlfn.XLOOKUP($A925, Reliance!A:A, Reliance!B:B, "")</f>
        <v>1218.22</v>
      </c>
      <c r="D925" s="4">
        <f>_xlfn.XLOOKUP($A925, HDFC!A:A, HDFC!B:B, "")</f>
        <v>812.5</v>
      </c>
      <c r="E925" s="4">
        <f>_xlfn.XLOOKUP($A925, ITC!A:A, ITC!B:B, "")</f>
        <v>427.64</v>
      </c>
      <c r="F925" s="4">
        <f>_xlfn.XLOOKUP($A925, TCS!A:A, TCS!B:B, "")</f>
        <v>3589.52</v>
      </c>
      <c r="G925" s="4">
        <f>_xlfn.XLOOKUP($A925, Infosys!A:A, Infosys!B:B,"")</f>
        <v>1483.44</v>
      </c>
      <c r="H925" s="4">
        <f>_xlfn.XLOOKUP($A925, 'L &amp; T'!A:A, 'L &amp; T'!B:B, "")</f>
        <v>2919.85</v>
      </c>
    </row>
    <row r="926" spans="1:8" x14ac:dyDescent="0.3">
      <c r="A926" s="1">
        <v>45189</v>
      </c>
      <c r="B926" s="4">
        <f>_xlfn.XLOOKUP($A926, 'Nifty 50'!A:A, 'Nifty 50'!B:B, "")</f>
        <v>19901.400000000001</v>
      </c>
      <c r="C926" s="4">
        <f>_xlfn.XLOOKUP($A926, Reliance!A:A, Reliance!B:B, "")</f>
        <v>1191.07</v>
      </c>
      <c r="D926" s="4">
        <f>_xlfn.XLOOKUP($A926, HDFC!A:A, HDFC!B:B, "")</f>
        <v>779.91</v>
      </c>
      <c r="E926" s="4">
        <f>_xlfn.XLOOKUP($A926, ITC!A:A, ITC!B:B, "")</f>
        <v>428.5</v>
      </c>
      <c r="F926" s="4">
        <f>_xlfn.XLOOKUP($A926, TCS!A:A, TCS!B:B, "")</f>
        <v>3589.42</v>
      </c>
      <c r="G926" s="4">
        <f>_xlfn.XLOOKUP($A926, Infosys!A:A, Infosys!B:B,"")</f>
        <v>1481.9</v>
      </c>
      <c r="H926" s="4">
        <f>_xlfn.XLOOKUP($A926, 'L &amp; T'!A:A, 'L &amp; T'!B:B, "")</f>
        <v>2890</v>
      </c>
    </row>
    <row r="927" spans="1:8" x14ac:dyDescent="0.3">
      <c r="A927" s="1">
        <v>45190</v>
      </c>
      <c r="B927" s="4">
        <f>_xlfn.XLOOKUP($A927, 'Nifty 50'!A:A, 'Nifty 50'!B:B, "")</f>
        <v>19742.349999999999</v>
      </c>
      <c r="C927" s="4">
        <f>_xlfn.XLOOKUP($A927, Reliance!A:A, Reliance!B:B, "")</f>
        <v>1182.4000000000001</v>
      </c>
      <c r="D927" s="4">
        <f>_xlfn.XLOOKUP($A927, HDFC!A:A, HDFC!B:B, "")</f>
        <v>774.75</v>
      </c>
      <c r="E927" s="4">
        <f>_xlfn.XLOOKUP($A927, ITC!A:A, ITC!B:B, "")</f>
        <v>423.34</v>
      </c>
      <c r="F927" s="4">
        <f>_xlfn.XLOOKUP($A927, TCS!A:A, TCS!B:B, "")</f>
        <v>3568.76</v>
      </c>
      <c r="G927" s="4">
        <f>_xlfn.XLOOKUP($A927, Infosys!A:A, Infosys!B:B,"")</f>
        <v>1493.33</v>
      </c>
      <c r="H927" s="4">
        <f>_xlfn.XLOOKUP($A927, 'L &amp; T'!A:A, 'L &amp; T'!B:B, "")</f>
        <v>2899.35</v>
      </c>
    </row>
    <row r="928" spans="1:8" x14ac:dyDescent="0.3">
      <c r="A928" s="1">
        <v>45191</v>
      </c>
      <c r="B928" s="4">
        <f>_xlfn.XLOOKUP($A928, 'Nifty 50'!A:A, 'Nifty 50'!B:B, "")</f>
        <v>19674.25</v>
      </c>
      <c r="C928" s="4">
        <f>_xlfn.XLOOKUP($A928, Reliance!A:A, Reliance!B:B, "")</f>
        <v>1177.47</v>
      </c>
      <c r="D928" s="4">
        <f>_xlfn.XLOOKUP($A928, HDFC!A:A, HDFC!B:B, "")</f>
        <v>762.93</v>
      </c>
      <c r="E928" s="4">
        <f>_xlfn.XLOOKUP($A928, ITC!A:A, ITC!B:B, "")</f>
        <v>419.18</v>
      </c>
      <c r="F928" s="4">
        <f>_xlfn.XLOOKUP($A928, TCS!A:A, TCS!B:B, "")</f>
        <v>3587.03</v>
      </c>
      <c r="G928" s="4">
        <f>_xlfn.XLOOKUP($A928, Infosys!A:A, Infosys!B:B,"")</f>
        <v>1487.77</v>
      </c>
      <c r="H928" s="4">
        <f>_xlfn.XLOOKUP($A928, 'L &amp; T'!A:A, 'L &amp; T'!B:B, "")</f>
        <v>2918.5</v>
      </c>
    </row>
    <row r="929" spans="1:8" x14ac:dyDescent="0.3">
      <c r="A929" s="1">
        <v>45194</v>
      </c>
      <c r="B929" s="4">
        <f>_xlfn.XLOOKUP($A929, 'Nifty 50'!A:A, 'Nifty 50'!B:B, "")</f>
        <v>19674.55</v>
      </c>
      <c r="C929" s="4">
        <f>_xlfn.XLOOKUP($A929, Reliance!A:A, Reliance!B:B, "")</f>
        <v>1170.22</v>
      </c>
      <c r="D929" s="4">
        <f>_xlfn.XLOOKUP($A929, HDFC!A:A, HDFC!B:B, "")</f>
        <v>763.6</v>
      </c>
      <c r="E929" s="4">
        <f>_xlfn.XLOOKUP($A929, ITC!A:A, ITC!B:B, "")</f>
        <v>418.7</v>
      </c>
      <c r="F929" s="4">
        <f>_xlfn.XLOOKUP($A929, TCS!A:A, TCS!B:B, "")</f>
        <v>3560.65</v>
      </c>
      <c r="G929" s="4">
        <f>_xlfn.XLOOKUP($A929, Infosys!A:A, Infosys!B:B,"")</f>
        <v>1465.89</v>
      </c>
      <c r="H929" s="4">
        <f>_xlfn.XLOOKUP($A929, 'L &amp; T'!A:A, 'L &amp; T'!B:B, "")</f>
        <v>2902.5</v>
      </c>
    </row>
    <row r="930" spans="1:8" x14ac:dyDescent="0.3">
      <c r="A930" s="1">
        <v>45195</v>
      </c>
      <c r="B930" s="4">
        <f>_xlfn.XLOOKUP($A930, 'Nifty 50'!A:A, 'Nifty 50'!B:B, "")</f>
        <v>19664.7</v>
      </c>
      <c r="C930" s="4">
        <f>_xlfn.XLOOKUP($A930, Reliance!A:A, Reliance!B:B, "")</f>
        <v>1171.25</v>
      </c>
      <c r="D930" s="4">
        <f>_xlfn.XLOOKUP($A930, HDFC!A:A, HDFC!B:B, "")</f>
        <v>766.92</v>
      </c>
      <c r="E930" s="4">
        <f>_xlfn.XLOOKUP($A930, ITC!A:A, ITC!B:B, "")</f>
        <v>418.56</v>
      </c>
      <c r="F930" s="4">
        <f>_xlfn.XLOOKUP($A930, TCS!A:A, TCS!B:B, "")</f>
        <v>3569.16</v>
      </c>
      <c r="G930" s="4">
        <f>_xlfn.XLOOKUP($A930, Infosys!A:A, Infosys!B:B,"")</f>
        <v>1452.46</v>
      </c>
      <c r="H930" s="4">
        <f>_xlfn.XLOOKUP($A930, 'L &amp; T'!A:A, 'L &amp; T'!B:B, "")</f>
        <v>2912.55</v>
      </c>
    </row>
    <row r="931" spans="1:8" x14ac:dyDescent="0.3">
      <c r="A931" s="1">
        <v>45196</v>
      </c>
      <c r="B931" s="4">
        <f>_xlfn.XLOOKUP($A931, 'Nifty 50'!A:A, 'Nifty 50'!B:B, "")</f>
        <v>19716.45</v>
      </c>
      <c r="C931" s="4">
        <f>_xlfn.XLOOKUP($A931, Reliance!A:A, Reliance!B:B, "")</f>
        <v>1184.45</v>
      </c>
      <c r="D931" s="4">
        <f>_xlfn.XLOOKUP($A931, HDFC!A:A, HDFC!B:B, "")</f>
        <v>761.53</v>
      </c>
      <c r="E931" s="4">
        <f>_xlfn.XLOOKUP($A931, ITC!A:A, ITC!B:B, "")</f>
        <v>424.9</v>
      </c>
      <c r="F931" s="4">
        <f>_xlfn.XLOOKUP($A931, TCS!A:A, TCS!B:B, "")</f>
        <v>3572.75</v>
      </c>
      <c r="G931" s="4">
        <f>_xlfn.XLOOKUP($A931, Infosys!A:A, Infosys!B:B,"")</f>
        <v>1458.78</v>
      </c>
      <c r="H931" s="4">
        <f>_xlfn.XLOOKUP($A931, 'L &amp; T'!A:A, 'L &amp; T'!B:B, "")</f>
        <v>2965.05</v>
      </c>
    </row>
    <row r="932" spans="1:8" x14ac:dyDescent="0.3">
      <c r="A932" s="1">
        <v>45197</v>
      </c>
      <c r="B932" s="4">
        <f>_xlfn.XLOOKUP($A932, 'Nifty 50'!A:A, 'Nifty 50'!B:B, "")</f>
        <v>19523.55</v>
      </c>
      <c r="C932" s="4">
        <f>_xlfn.XLOOKUP($A932, Reliance!A:A, Reliance!B:B, "")</f>
        <v>1167.05</v>
      </c>
      <c r="D932" s="4">
        <f>_xlfn.XLOOKUP($A932, HDFC!A:A, HDFC!B:B, "")</f>
        <v>759.96</v>
      </c>
      <c r="E932" s="4">
        <f>_xlfn.XLOOKUP($A932, ITC!A:A, ITC!B:B, "")</f>
        <v>416.95</v>
      </c>
      <c r="F932" s="4">
        <f>_xlfn.XLOOKUP($A932, TCS!A:A, TCS!B:B, "")</f>
        <v>3520.44</v>
      </c>
      <c r="G932" s="4">
        <f>_xlfn.XLOOKUP($A932, Infosys!A:A, Infosys!B:B,"")</f>
        <v>1431.38</v>
      </c>
      <c r="H932" s="4">
        <f>_xlfn.XLOOKUP($A932, 'L &amp; T'!A:A, 'L &amp; T'!B:B, "")</f>
        <v>3010</v>
      </c>
    </row>
    <row r="933" spans="1:8" x14ac:dyDescent="0.3">
      <c r="A933" s="1">
        <v>45198</v>
      </c>
      <c r="B933" s="4">
        <f>_xlfn.XLOOKUP($A933, 'Nifty 50'!A:A, 'Nifty 50'!B:B, "")</f>
        <v>19638.3</v>
      </c>
      <c r="C933" s="4">
        <f>_xlfn.XLOOKUP($A933, Reliance!A:A, Reliance!B:B, "")</f>
        <v>1172.5</v>
      </c>
      <c r="D933" s="4">
        <f>_xlfn.XLOOKUP($A933, HDFC!A:A, HDFC!B:B, "")</f>
        <v>761.26</v>
      </c>
      <c r="E933" s="4">
        <f>_xlfn.XLOOKUP($A933, ITC!A:A, ITC!B:B, "")</f>
        <v>420.41</v>
      </c>
      <c r="F933" s="4">
        <f>_xlfn.XLOOKUP($A933, TCS!A:A, TCS!B:B, "")</f>
        <v>3512.33</v>
      </c>
      <c r="G933" s="4">
        <f>_xlfn.XLOOKUP($A933, Infosys!A:A, Infosys!B:B,"")</f>
        <v>1427.41</v>
      </c>
      <c r="H933" s="4">
        <f>_xlfn.XLOOKUP($A933, 'L &amp; T'!A:A, 'L &amp; T'!B:B, "")</f>
        <v>3023.55</v>
      </c>
    </row>
    <row r="934" spans="1:8" x14ac:dyDescent="0.3">
      <c r="A934" s="1">
        <v>45202</v>
      </c>
      <c r="B934" s="4">
        <f>_xlfn.XLOOKUP($A934, 'Nifty 50'!A:A, 'Nifty 50'!B:B, "")</f>
        <v>19528.75</v>
      </c>
      <c r="C934" s="4">
        <f>_xlfn.XLOOKUP($A934, Reliance!A:A, Reliance!B:B, "")</f>
        <v>1159.07</v>
      </c>
      <c r="D934" s="4">
        <f>_xlfn.XLOOKUP($A934, HDFC!A:A, HDFC!B:B, "")</f>
        <v>752.15</v>
      </c>
      <c r="E934" s="4">
        <f>_xlfn.XLOOKUP($A934, ITC!A:A, ITC!B:B, "")</f>
        <v>416.01</v>
      </c>
      <c r="F934" s="4">
        <f>_xlfn.XLOOKUP($A934, TCS!A:A, TCS!B:B, "")</f>
        <v>3497.64</v>
      </c>
      <c r="G934" s="4">
        <f>_xlfn.XLOOKUP($A934, Infosys!A:A, Infosys!B:B,"")</f>
        <v>1425.96</v>
      </c>
      <c r="H934" s="4">
        <f>_xlfn.XLOOKUP($A934, 'L &amp; T'!A:A, 'L &amp; T'!B:B, "")</f>
        <v>3073.25</v>
      </c>
    </row>
    <row r="935" spans="1:8" x14ac:dyDescent="0.3">
      <c r="A935" s="1">
        <v>45203</v>
      </c>
      <c r="B935" s="4">
        <f>_xlfn.XLOOKUP($A935, 'Nifty 50'!A:A, 'Nifty 50'!B:B, "")</f>
        <v>19436.099999999999</v>
      </c>
      <c r="C935" s="4">
        <f>_xlfn.XLOOKUP($A935, Reliance!A:A, Reliance!B:B, "")</f>
        <v>1157.07</v>
      </c>
      <c r="D935" s="4">
        <f>_xlfn.XLOOKUP($A935, HDFC!A:A, HDFC!B:B, "")</f>
        <v>762.88</v>
      </c>
      <c r="E935" s="4">
        <f>_xlfn.XLOOKUP($A935, ITC!A:A, ITC!B:B, "")</f>
        <v>412.56</v>
      </c>
      <c r="F935" s="4">
        <f>_xlfn.XLOOKUP($A935, TCS!A:A, TCS!B:B, "")</f>
        <v>3521.43</v>
      </c>
      <c r="G935" s="4">
        <f>_xlfn.XLOOKUP($A935, Infosys!A:A, Infosys!B:B,"")</f>
        <v>1436.26</v>
      </c>
      <c r="H935" s="4">
        <f>_xlfn.XLOOKUP($A935, 'L &amp; T'!A:A, 'L &amp; T'!B:B, "")</f>
        <v>3027.75</v>
      </c>
    </row>
    <row r="936" spans="1:8" x14ac:dyDescent="0.3">
      <c r="A936" s="1">
        <v>45204</v>
      </c>
      <c r="B936" s="4">
        <f>_xlfn.XLOOKUP($A936, 'Nifty 50'!A:A, 'Nifty 50'!B:B, "")</f>
        <v>19545.75</v>
      </c>
      <c r="C936" s="4">
        <f>_xlfn.XLOOKUP($A936, Reliance!A:A, Reliance!B:B, "")</f>
        <v>1157.05</v>
      </c>
      <c r="D936" s="4">
        <f>_xlfn.XLOOKUP($A936, HDFC!A:A, HDFC!B:B, "")</f>
        <v>765.97</v>
      </c>
      <c r="E936" s="4">
        <f>_xlfn.XLOOKUP($A936, ITC!A:A, ITC!B:B, "")</f>
        <v>412.51</v>
      </c>
      <c r="F936" s="4">
        <f>_xlfn.XLOOKUP($A936, TCS!A:A, TCS!B:B, "")</f>
        <v>3572.8</v>
      </c>
      <c r="G936" s="4">
        <f>_xlfn.XLOOKUP($A936, Infosys!A:A, Infosys!B:B,"")</f>
        <v>1455.25</v>
      </c>
      <c r="H936" s="4">
        <f>_xlfn.XLOOKUP($A936, 'L &amp; T'!A:A, 'L &amp; T'!B:B, "")</f>
        <v>3096.05</v>
      </c>
    </row>
    <row r="937" spans="1:8" x14ac:dyDescent="0.3">
      <c r="A937" s="1">
        <v>45205</v>
      </c>
      <c r="B937" s="4">
        <f>_xlfn.XLOOKUP($A937, 'Nifty 50'!A:A, 'Nifty 50'!B:B, "")</f>
        <v>19653.5</v>
      </c>
      <c r="C937" s="4">
        <f>_xlfn.XLOOKUP($A937, Reliance!A:A, Reliance!B:B, "")</f>
        <v>1159</v>
      </c>
      <c r="D937" s="4">
        <f>_xlfn.XLOOKUP($A937, HDFC!A:A, HDFC!B:B, "")</f>
        <v>765.12</v>
      </c>
      <c r="E937" s="4">
        <f>_xlfn.XLOOKUP($A937, ITC!A:A, ITC!B:B, "")</f>
        <v>418.28</v>
      </c>
      <c r="F937" s="4">
        <f>_xlfn.XLOOKUP($A937, TCS!A:A, TCS!B:B, "")</f>
        <v>3604.7</v>
      </c>
      <c r="G937" s="4">
        <f>_xlfn.XLOOKUP($A937, Infosys!A:A, Infosys!B:B,"")</f>
        <v>1470.41</v>
      </c>
      <c r="H937" s="4">
        <f>_xlfn.XLOOKUP($A937, 'L &amp; T'!A:A, 'L &amp; T'!B:B, "")</f>
        <v>3093.7</v>
      </c>
    </row>
    <row r="938" spans="1:8" x14ac:dyDescent="0.3">
      <c r="A938" s="1">
        <v>45208</v>
      </c>
      <c r="B938" s="4">
        <f>_xlfn.XLOOKUP($A938, 'Nifty 50'!A:A, 'Nifty 50'!B:B, "")</f>
        <v>19512.349999999999</v>
      </c>
      <c r="C938" s="4">
        <f>_xlfn.XLOOKUP($A938, Reliance!A:A, Reliance!B:B, "")</f>
        <v>1149.1300000000001</v>
      </c>
      <c r="D938" s="4">
        <f>_xlfn.XLOOKUP($A938, HDFC!A:A, HDFC!B:B, "")</f>
        <v>756.24</v>
      </c>
      <c r="E938" s="4">
        <f>_xlfn.XLOOKUP($A938, ITC!A:A, ITC!B:B, "")</f>
        <v>416.67</v>
      </c>
      <c r="F938" s="4">
        <f>_xlfn.XLOOKUP($A938, TCS!A:A, TCS!B:B, "")</f>
        <v>3621.57</v>
      </c>
      <c r="G938" s="4">
        <f>_xlfn.XLOOKUP($A938, Infosys!A:A, Infosys!B:B,"")</f>
        <v>1467.18</v>
      </c>
      <c r="H938" s="4">
        <f>_xlfn.XLOOKUP($A938, 'L &amp; T'!A:A, 'L &amp; T'!B:B, "")</f>
        <v>3074.7</v>
      </c>
    </row>
    <row r="939" spans="1:8" x14ac:dyDescent="0.3">
      <c r="A939" s="1">
        <v>45209</v>
      </c>
      <c r="B939" s="4">
        <f>_xlfn.XLOOKUP($A939, 'Nifty 50'!A:A, 'Nifty 50'!B:B, "")</f>
        <v>19689.849999999999</v>
      </c>
      <c r="C939" s="4">
        <f>_xlfn.XLOOKUP($A939, Reliance!A:A, Reliance!B:B, "")</f>
        <v>1154.2</v>
      </c>
      <c r="D939" s="4">
        <f>_xlfn.XLOOKUP($A939, HDFC!A:A, HDFC!B:B, "")</f>
        <v>760.53</v>
      </c>
      <c r="E939" s="4">
        <f>_xlfn.XLOOKUP($A939, ITC!A:A, ITC!B:B, "")</f>
        <v>420.41</v>
      </c>
      <c r="F939" s="4">
        <f>_xlfn.XLOOKUP($A939, TCS!A:A, TCS!B:B, "")</f>
        <v>3612.16</v>
      </c>
      <c r="G939" s="4">
        <f>_xlfn.XLOOKUP($A939, Infosys!A:A, Infosys!B:B,"")</f>
        <v>1486.77</v>
      </c>
      <c r="H939" s="4">
        <f>_xlfn.XLOOKUP($A939, 'L &amp; T'!A:A, 'L &amp; T'!B:B, "")</f>
        <v>3076</v>
      </c>
    </row>
    <row r="940" spans="1:8" x14ac:dyDescent="0.3">
      <c r="A940" s="1">
        <v>45210</v>
      </c>
      <c r="B940" s="4">
        <f>_xlfn.XLOOKUP($A940, 'Nifty 50'!A:A, 'Nifty 50'!B:B, "")</f>
        <v>19811.349999999999</v>
      </c>
      <c r="C940" s="4">
        <f>_xlfn.XLOOKUP($A940, Reliance!A:A, Reliance!B:B, "")</f>
        <v>1172.53</v>
      </c>
      <c r="D940" s="4">
        <f>_xlfn.XLOOKUP($A940, HDFC!A:A, HDFC!B:B, "")</f>
        <v>767.89</v>
      </c>
      <c r="E940" s="4">
        <f>_xlfn.XLOOKUP($A940, ITC!A:A, ITC!B:B, "")</f>
        <v>424.05</v>
      </c>
      <c r="F940" s="4">
        <f>_xlfn.XLOOKUP($A940, TCS!A:A, TCS!B:B, "")</f>
        <v>3593.25</v>
      </c>
      <c r="G940" s="4">
        <f>_xlfn.XLOOKUP($A940, Infosys!A:A, Infosys!B:B,"")</f>
        <v>1486.03</v>
      </c>
      <c r="H940" s="4">
        <f>_xlfn.XLOOKUP($A940, 'L &amp; T'!A:A, 'L &amp; T'!B:B, "")</f>
        <v>3088.7</v>
      </c>
    </row>
    <row r="941" spans="1:8" x14ac:dyDescent="0.3">
      <c r="A941" s="1">
        <v>45211</v>
      </c>
      <c r="B941" s="4">
        <f>_xlfn.XLOOKUP($A941, 'Nifty 50'!A:A, 'Nifty 50'!B:B, "")</f>
        <v>19794</v>
      </c>
      <c r="C941" s="4">
        <f>_xlfn.XLOOKUP($A941, Reliance!A:A, Reliance!B:B, "")</f>
        <v>1174.7</v>
      </c>
      <c r="D941" s="4">
        <f>_xlfn.XLOOKUP($A941, HDFC!A:A, HDFC!B:B, "")</f>
        <v>773</v>
      </c>
      <c r="E941" s="4">
        <f>_xlfn.XLOOKUP($A941, ITC!A:A, ITC!B:B, "")</f>
        <v>426.37</v>
      </c>
      <c r="F941" s="4">
        <f>_xlfn.XLOOKUP($A941, TCS!A:A, TCS!B:B, "")</f>
        <v>3526.21</v>
      </c>
      <c r="G941" s="4">
        <f>_xlfn.XLOOKUP($A941, Infosys!A:A, Infosys!B:B,"")</f>
        <v>1457.29</v>
      </c>
      <c r="H941" s="4">
        <f>_xlfn.XLOOKUP($A941, 'L &amp; T'!A:A, 'L &amp; T'!B:B, "")</f>
        <v>3081.75</v>
      </c>
    </row>
    <row r="942" spans="1:8" x14ac:dyDescent="0.3">
      <c r="A942" s="1">
        <v>45212</v>
      </c>
      <c r="B942" s="4">
        <f>_xlfn.XLOOKUP($A942, 'Nifty 50'!A:A, 'Nifty 50'!B:B, "")</f>
        <v>19751.05</v>
      </c>
      <c r="C942" s="4">
        <f>_xlfn.XLOOKUP($A942, Reliance!A:A, Reliance!B:B, "")</f>
        <v>1174.6500000000001</v>
      </c>
      <c r="D942" s="4">
        <f>_xlfn.XLOOKUP($A942, HDFC!A:A, HDFC!B:B, "")</f>
        <v>765.97</v>
      </c>
      <c r="E942" s="4">
        <f>_xlfn.XLOOKUP($A942, ITC!A:A, ITC!B:B, "")</f>
        <v>424.14</v>
      </c>
      <c r="F942" s="4">
        <f>_xlfn.XLOOKUP($A942, TCS!A:A, TCS!B:B, "")</f>
        <v>3554.38</v>
      </c>
      <c r="G942" s="4">
        <f>_xlfn.XLOOKUP($A942, Infosys!A:A, Infosys!B:B,"")</f>
        <v>1423.13</v>
      </c>
      <c r="H942" s="4">
        <f>_xlfn.XLOOKUP($A942, 'L &amp; T'!A:A, 'L &amp; T'!B:B, "")</f>
        <v>3089.6</v>
      </c>
    </row>
    <row r="943" spans="1:8" x14ac:dyDescent="0.3">
      <c r="A943" s="1">
        <v>45215</v>
      </c>
      <c r="B943" s="4">
        <f>_xlfn.XLOOKUP($A943, 'Nifty 50'!A:A, 'Nifty 50'!B:B, "")</f>
        <v>19731.75</v>
      </c>
      <c r="C943" s="4">
        <f>_xlfn.XLOOKUP($A943, Reliance!A:A, Reliance!B:B, "")</f>
        <v>1172.03</v>
      </c>
      <c r="D943" s="4">
        <f>_xlfn.XLOOKUP($A943, HDFC!A:A, HDFC!B:B, "")</f>
        <v>762.9</v>
      </c>
      <c r="E943" s="4">
        <f>_xlfn.XLOOKUP($A943, ITC!A:A, ITC!B:B, "")</f>
        <v>424.71</v>
      </c>
      <c r="F943" s="4">
        <f>_xlfn.XLOOKUP($A943, TCS!A:A, TCS!B:B, "")</f>
        <v>3507.8</v>
      </c>
      <c r="G943" s="4">
        <f>_xlfn.XLOOKUP($A943, Infosys!A:A, Infosys!B:B,"")</f>
        <v>1426.11</v>
      </c>
      <c r="H943" s="4">
        <f>_xlfn.XLOOKUP($A943, 'L &amp; T'!A:A, 'L &amp; T'!B:B, "")</f>
        <v>3101.9</v>
      </c>
    </row>
    <row r="944" spans="1:8" x14ac:dyDescent="0.3">
      <c r="A944" s="1">
        <v>45216</v>
      </c>
      <c r="B944" s="4">
        <f>_xlfn.XLOOKUP($A944, 'Nifty 50'!A:A, 'Nifty 50'!B:B, "")</f>
        <v>19811.5</v>
      </c>
      <c r="C944" s="4">
        <f>_xlfn.XLOOKUP($A944, Reliance!A:A, Reliance!B:B, "")</f>
        <v>1177.6300000000001</v>
      </c>
      <c r="D944" s="4">
        <f>_xlfn.XLOOKUP($A944, HDFC!A:A, HDFC!B:B, "")</f>
        <v>768.69</v>
      </c>
      <c r="E944" s="4">
        <f>_xlfn.XLOOKUP($A944, ITC!A:A, ITC!B:B, "")</f>
        <v>428.97</v>
      </c>
      <c r="F944" s="4">
        <f>_xlfn.XLOOKUP($A944, TCS!A:A, TCS!B:B, "")</f>
        <v>3490.88</v>
      </c>
      <c r="G944" s="4">
        <f>_xlfn.XLOOKUP($A944, Infosys!A:A, Infosys!B:B,"")</f>
        <v>1434.37</v>
      </c>
      <c r="H944" s="4">
        <f>_xlfn.XLOOKUP($A944, 'L &amp; T'!A:A, 'L &amp; T'!B:B, "")</f>
        <v>3066.3</v>
      </c>
    </row>
    <row r="945" spans="1:8" x14ac:dyDescent="0.3">
      <c r="A945" s="1">
        <v>45217</v>
      </c>
      <c r="B945" s="4">
        <f>_xlfn.XLOOKUP($A945, 'Nifty 50'!A:A, 'Nifty 50'!B:B, "")</f>
        <v>19671.099999999999</v>
      </c>
      <c r="C945" s="4">
        <f>_xlfn.XLOOKUP($A945, Reliance!A:A, Reliance!B:B, "")</f>
        <v>1162</v>
      </c>
      <c r="D945" s="4">
        <f>_xlfn.XLOOKUP($A945, HDFC!A:A, HDFC!B:B, "")</f>
        <v>757.99</v>
      </c>
      <c r="E945" s="4">
        <f>_xlfn.XLOOKUP($A945, ITC!A:A, ITC!B:B, "")</f>
        <v>427.27</v>
      </c>
      <c r="F945" s="4">
        <f>_xlfn.XLOOKUP($A945, TCS!A:A, TCS!B:B, "")</f>
        <v>3471.17</v>
      </c>
      <c r="G945" s="4">
        <f>_xlfn.XLOOKUP($A945, Infosys!A:A, Infosys!B:B,"")</f>
        <v>1432.48</v>
      </c>
      <c r="H945" s="4">
        <f>_xlfn.XLOOKUP($A945, 'L &amp; T'!A:A, 'L &amp; T'!B:B, "")</f>
        <v>3045.6</v>
      </c>
    </row>
    <row r="946" spans="1:8" x14ac:dyDescent="0.3">
      <c r="A946" s="1">
        <v>45218</v>
      </c>
      <c r="B946" s="4">
        <f>_xlfn.XLOOKUP($A946, 'Nifty 50'!A:A, 'Nifty 50'!B:B, "")</f>
        <v>19624.7</v>
      </c>
      <c r="C946" s="4">
        <f>_xlfn.XLOOKUP($A946, Reliance!A:A, Reliance!B:B, "")</f>
        <v>1153.07</v>
      </c>
      <c r="D946" s="4">
        <f>_xlfn.XLOOKUP($A946, HDFC!A:A, HDFC!B:B, "")</f>
        <v>755.59</v>
      </c>
      <c r="E946" s="4">
        <f>_xlfn.XLOOKUP($A946, ITC!A:A, ITC!B:B, "")</f>
        <v>426.08</v>
      </c>
      <c r="F946" s="4">
        <f>_xlfn.XLOOKUP($A946, TCS!A:A, TCS!B:B, "")</f>
        <v>3439.71</v>
      </c>
      <c r="G946" s="4">
        <f>_xlfn.XLOOKUP($A946, Infosys!A:A, Infosys!B:B,"")</f>
        <v>1425.62</v>
      </c>
      <c r="H946" s="4">
        <f>_xlfn.XLOOKUP($A946, 'L &amp; T'!A:A, 'L &amp; T'!B:B, "")</f>
        <v>3054.4</v>
      </c>
    </row>
    <row r="947" spans="1:8" x14ac:dyDescent="0.3">
      <c r="A947" s="1">
        <v>45219</v>
      </c>
      <c r="B947" s="4">
        <f>_xlfn.XLOOKUP($A947, 'Nifty 50'!A:A, 'Nifty 50'!B:B, "")</f>
        <v>19542.650000000001</v>
      </c>
      <c r="C947" s="4">
        <f>_xlfn.XLOOKUP($A947, Reliance!A:A, Reliance!B:B, "")</f>
        <v>1149.55</v>
      </c>
      <c r="D947" s="4">
        <f>_xlfn.XLOOKUP($A947, HDFC!A:A, HDFC!B:B, "")</f>
        <v>759.51</v>
      </c>
      <c r="E947" s="4">
        <f>_xlfn.XLOOKUP($A947, ITC!A:A, ITC!B:B, "")</f>
        <v>414.64</v>
      </c>
      <c r="F947" s="4">
        <f>_xlfn.XLOOKUP($A947, TCS!A:A, TCS!B:B, "")</f>
        <v>3478.43</v>
      </c>
      <c r="G947" s="4">
        <f>_xlfn.XLOOKUP($A947, Infosys!A:A, Infosys!B:B,"")</f>
        <v>1419.25</v>
      </c>
      <c r="H947" s="4">
        <f>_xlfn.XLOOKUP($A947, 'L &amp; T'!A:A, 'L &amp; T'!B:B, "")</f>
        <v>3012.35</v>
      </c>
    </row>
    <row r="948" spans="1:8" x14ac:dyDescent="0.3">
      <c r="A948" s="1">
        <v>45222</v>
      </c>
      <c r="B948" s="4">
        <f>_xlfn.XLOOKUP($A948, 'Nifty 50'!A:A, 'Nifty 50'!B:B, "")</f>
        <v>19281.75</v>
      </c>
      <c r="C948" s="4">
        <f>_xlfn.XLOOKUP($A948, Reliance!A:A, Reliance!B:B, "")</f>
        <v>1131.5999999999999</v>
      </c>
      <c r="D948" s="4">
        <f>_xlfn.XLOOKUP($A948, HDFC!A:A, HDFC!B:B, "")</f>
        <v>751.16</v>
      </c>
      <c r="E948" s="4">
        <f>_xlfn.XLOOKUP($A948, ITC!A:A, ITC!B:B, "")</f>
        <v>412.37</v>
      </c>
      <c r="F948" s="4">
        <f>_xlfn.XLOOKUP($A948, TCS!A:A, TCS!B:B, "")</f>
        <v>3394.42</v>
      </c>
      <c r="G948" s="4">
        <f>_xlfn.XLOOKUP($A948, Infosys!A:A, Infosys!B:B,"")</f>
        <v>1400.76</v>
      </c>
      <c r="H948" s="4">
        <f>_xlfn.XLOOKUP($A948, 'L &amp; T'!A:A, 'L &amp; T'!B:B, "")</f>
        <v>2958.3</v>
      </c>
    </row>
    <row r="949" spans="1:8" x14ac:dyDescent="0.3">
      <c r="A949" s="1">
        <v>45224</v>
      </c>
      <c r="B949" s="4">
        <f>_xlfn.XLOOKUP($A949, 'Nifty 50'!A:A, 'Nifty 50'!B:B, "")</f>
        <v>19122.150000000001</v>
      </c>
      <c r="C949" s="4">
        <f>_xlfn.XLOOKUP($A949, Reliance!A:A, Reliance!B:B, "")</f>
        <v>1128.97</v>
      </c>
      <c r="D949" s="4">
        <f>_xlfn.XLOOKUP($A949, HDFC!A:A, HDFC!B:B, "")</f>
        <v>746.39</v>
      </c>
      <c r="E949" s="4">
        <f>_xlfn.XLOOKUP($A949, ITC!A:A, ITC!B:B, "")</f>
        <v>409.34</v>
      </c>
      <c r="F949" s="4">
        <f>_xlfn.XLOOKUP($A949, TCS!A:A, TCS!B:B, "")</f>
        <v>3374.47</v>
      </c>
      <c r="G949" s="4">
        <f>_xlfn.XLOOKUP($A949, Infosys!A:A, Infosys!B:B,"")</f>
        <v>1362.37</v>
      </c>
      <c r="H949" s="4">
        <f>_xlfn.XLOOKUP($A949, 'L &amp; T'!A:A, 'L &amp; T'!B:B, "")</f>
        <v>2916.1</v>
      </c>
    </row>
    <row r="950" spans="1:8" x14ac:dyDescent="0.3">
      <c r="A950" s="1">
        <v>45225</v>
      </c>
      <c r="B950" s="4">
        <f>_xlfn.XLOOKUP($A950, 'Nifty 50'!A:A, 'Nifty 50'!B:B, "")</f>
        <v>18857.25</v>
      </c>
      <c r="C950" s="4">
        <f>_xlfn.XLOOKUP($A950, Reliance!A:A, Reliance!B:B, "")</f>
        <v>1113.25</v>
      </c>
      <c r="D950" s="4">
        <f>_xlfn.XLOOKUP($A950, HDFC!A:A, HDFC!B:B, "")</f>
        <v>729.88</v>
      </c>
      <c r="E950" s="4">
        <f>_xlfn.XLOOKUP($A950, ITC!A:A, ITC!B:B, "")</f>
        <v>410.9</v>
      </c>
      <c r="F950" s="4">
        <f>_xlfn.XLOOKUP($A950, TCS!A:A, TCS!B:B, "")</f>
        <v>3321.36</v>
      </c>
      <c r="G950" s="4">
        <f>_xlfn.XLOOKUP($A950, Infosys!A:A, Infosys!B:B,"")</f>
        <v>1351.83</v>
      </c>
      <c r="H950" s="4">
        <f>_xlfn.XLOOKUP($A950, 'L &amp; T'!A:A, 'L &amp; T'!B:B, "")</f>
        <v>2864.6</v>
      </c>
    </row>
    <row r="951" spans="1:8" x14ac:dyDescent="0.3">
      <c r="A951" s="1">
        <v>45226</v>
      </c>
      <c r="B951" s="4">
        <f>_xlfn.XLOOKUP($A951, 'Nifty 50'!A:A, 'Nifty 50'!B:B, "")</f>
        <v>19047.25</v>
      </c>
      <c r="C951" s="4">
        <f>_xlfn.XLOOKUP($A951, Reliance!A:A, Reliance!B:B, "")</f>
        <v>1132.9000000000001</v>
      </c>
      <c r="D951" s="4">
        <f>_xlfn.XLOOKUP($A951, HDFC!A:A, HDFC!B:B, "")</f>
        <v>732.75</v>
      </c>
      <c r="E951" s="4">
        <f>_xlfn.XLOOKUP($A951, ITC!A:A, ITC!B:B, "")</f>
        <v>410.33</v>
      </c>
      <c r="F951" s="4">
        <f>_xlfn.XLOOKUP($A951, TCS!A:A, TCS!B:B, "")</f>
        <v>3335.5</v>
      </c>
      <c r="G951" s="4">
        <f>_xlfn.XLOOKUP($A951, Infosys!A:A, Infosys!B:B,"")</f>
        <v>1372.61</v>
      </c>
      <c r="H951" s="4">
        <f>_xlfn.XLOOKUP($A951, 'L &amp; T'!A:A, 'L &amp; T'!B:B, "")</f>
        <v>2901.9</v>
      </c>
    </row>
    <row r="952" spans="1:8" x14ac:dyDescent="0.3">
      <c r="A952" s="1">
        <v>45229</v>
      </c>
      <c r="B952" s="4">
        <f>_xlfn.XLOOKUP($A952, 'Nifty 50'!A:A, 'Nifty 50'!B:B, "")</f>
        <v>19140.900000000001</v>
      </c>
      <c r="C952" s="4">
        <f>_xlfn.XLOOKUP($A952, Reliance!A:A, Reliance!B:B, "")</f>
        <v>1156.25</v>
      </c>
      <c r="D952" s="4">
        <f>_xlfn.XLOOKUP($A952, HDFC!A:A, HDFC!B:B, "")</f>
        <v>740.71</v>
      </c>
      <c r="E952" s="4">
        <f>_xlfn.XLOOKUP($A952, ITC!A:A, ITC!B:B, "")</f>
        <v>407.21</v>
      </c>
      <c r="F952" s="4">
        <f>_xlfn.XLOOKUP($A952, TCS!A:A, TCS!B:B, "")</f>
        <v>3362.97</v>
      </c>
      <c r="G952" s="4">
        <f>_xlfn.XLOOKUP($A952, Infosys!A:A, Infosys!B:B,"")</f>
        <v>1369.33</v>
      </c>
      <c r="H952" s="4">
        <f>_xlfn.XLOOKUP($A952, 'L &amp; T'!A:A, 'L &amp; T'!B:B, "")</f>
        <v>2926.35</v>
      </c>
    </row>
    <row r="953" spans="1:8" x14ac:dyDescent="0.3">
      <c r="A953" s="1">
        <v>45230</v>
      </c>
      <c r="B953" s="4">
        <f>_xlfn.XLOOKUP($A953, 'Nifty 50'!A:A, 'Nifty 50'!B:B, "")</f>
        <v>19079.599999999999</v>
      </c>
      <c r="C953" s="4">
        <f>_xlfn.XLOOKUP($A953, Reliance!A:A, Reliance!B:B, "")</f>
        <v>1143.95</v>
      </c>
      <c r="D953" s="4">
        <f>_xlfn.XLOOKUP($A953, HDFC!A:A, HDFC!B:B, "")</f>
        <v>736.42</v>
      </c>
      <c r="E953" s="4">
        <f>_xlfn.XLOOKUP($A953, ITC!A:A, ITC!B:B, "")</f>
        <v>405.27</v>
      </c>
      <c r="F953" s="4">
        <f>_xlfn.XLOOKUP($A953, TCS!A:A, TCS!B:B, "")</f>
        <v>3353.21</v>
      </c>
      <c r="G953" s="4">
        <f>_xlfn.XLOOKUP($A953, Infosys!A:A, Infosys!B:B,"")</f>
        <v>1360.73</v>
      </c>
      <c r="H953" s="4">
        <f>_xlfn.XLOOKUP($A953, 'L &amp; T'!A:A, 'L &amp; T'!B:B, "")</f>
        <v>2929.05</v>
      </c>
    </row>
    <row r="954" spans="1:8" x14ac:dyDescent="0.3">
      <c r="A954" s="1">
        <v>45231</v>
      </c>
      <c r="B954" s="4">
        <f>_xlfn.XLOOKUP($A954, 'Nifty 50'!A:A, 'Nifty 50'!B:B, "")</f>
        <v>18989.150000000001</v>
      </c>
      <c r="C954" s="4">
        <f>_xlfn.XLOOKUP($A954, Reliance!A:A, Reliance!B:B, "")</f>
        <v>1148.7</v>
      </c>
      <c r="D954" s="4">
        <f>_xlfn.XLOOKUP($A954, HDFC!A:A, HDFC!B:B, "")</f>
        <v>735.42</v>
      </c>
      <c r="E954" s="4">
        <f>_xlfn.XLOOKUP($A954, ITC!A:A, ITC!B:B, "")</f>
        <v>404.99</v>
      </c>
      <c r="F954" s="4">
        <f>_xlfn.XLOOKUP($A954, TCS!A:A, TCS!B:B, "")</f>
        <v>3315.29</v>
      </c>
      <c r="G954" s="4">
        <f>_xlfn.XLOOKUP($A954, Infosys!A:A, Infosys!B:B,"")</f>
        <v>1346.56</v>
      </c>
      <c r="H954" s="4">
        <f>_xlfn.XLOOKUP($A954, 'L &amp; T'!A:A, 'L &amp; T'!B:B, "")</f>
        <v>2895.3</v>
      </c>
    </row>
    <row r="955" spans="1:8" x14ac:dyDescent="0.3">
      <c r="A955" s="1">
        <v>45232</v>
      </c>
      <c r="B955" s="4">
        <f>_xlfn.XLOOKUP($A955, 'Nifty 50'!A:A, 'Nifty 50'!B:B, "")</f>
        <v>19133.25</v>
      </c>
      <c r="C955" s="4">
        <f>_xlfn.XLOOKUP($A955, Reliance!A:A, Reliance!B:B, "")</f>
        <v>1160.0999999999999</v>
      </c>
      <c r="D955" s="4">
        <f>_xlfn.XLOOKUP($A955, HDFC!A:A, HDFC!B:B, "")</f>
        <v>736.54</v>
      </c>
      <c r="E955" s="4">
        <f>_xlfn.XLOOKUP($A955, ITC!A:A, ITC!B:B, "")</f>
        <v>407.87</v>
      </c>
      <c r="F955" s="4">
        <f>_xlfn.XLOOKUP($A955, TCS!A:A, TCS!B:B, "")</f>
        <v>3344.6</v>
      </c>
      <c r="G955" s="4">
        <f>_xlfn.XLOOKUP($A955, Infosys!A:A, Infosys!B:B,"")</f>
        <v>1362.47</v>
      </c>
      <c r="H955" s="4">
        <f>_xlfn.XLOOKUP($A955, 'L &amp; T'!A:A, 'L &amp; T'!B:B, "")</f>
        <v>2918.1</v>
      </c>
    </row>
    <row r="956" spans="1:8" x14ac:dyDescent="0.3">
      <c r="A956" s="1">
        <v>45233</v>
      </c>
      <c r="B956" s="4">
        <f>_xlfn.XLOOKUP($A956, 'Nifty 50'!A:A, 'Nifty 50'!B:B, "")</f>
        <v>19230.599999999999</v>
      </c>
      <c r="C956" s="4">
        <f>_xlfn.XLOOKUP($A956, Reliance!A:A, Reliance!B:B, "")</f>
        <v>1159.8499999999999</v>
      </c>
      <c r="D956" s="4">
        <f>_xlfn.XLOOKUP($A956, HDFC!A:A, HDFC!B:B, "")</f>
        <v>740.03</v>
      </c>
      <c r="E956" s="4">
        <f>_xlfn.XLOOKUP($A956, ITC!A:A, ITC!B:B, "")</f>
        <v>409.86</v>
      </c>
      <c r="F956" s="4">
        <f>_xlfn.XLOOKUP($A956, TCS!A:A, TCS!B:B, "")</f>
        <v>3335.45</v>
      </c>
      <c r="G956" s="4">
        <f>_xlfn.XLOOKUP($A956, Infosys!A:A, Infosys!B:B,"")</f>
        <v>1381.27</v>
      </c>
      <c r="H956" s="4">
        <f>_xlfn.XLOOKUP($A956, 'L &amp; T'!A:A, 'L &amp; T'!B:B, "")</f>
        <v>2911.25</v>
      </c>
    </row>
    <row r="957" spans="1:8" x14ac:dyDescent="0.3">
      <c r="A957" s="1">
        <v>45236</v>
      </c>
      <c r="B957" s="4">
        <f>_xlfn.XLOOKUP($A957, 'Nifty 50'!A:A, 'Nifty 50'!B:B, "")</f>
        <v>19411.75</v>
      </c>
      <c r="C957" s="4">
        <f>_xlfn.XLOOKUP($A957, Reliance!A:A, Reliance!B:B, "")</f>
        <v>1169.5</v>
      </c>
      <c r="D957" s="4">
        <f>_xlfn.XLOOKUP($A957, HDFC!A:A, HDFC!B:B, "")</f>
        <v>745.4</v>
      </c>
      <c r="E957" s="4">
        <f>_xlfn.XLOOKUP($A957, ITC!A:A, ITC!B:B, "")</f>
        <v>411.85</v>
      </c>
      <c r="F957" s="4">
        <f>_xlfn.XLOOKUP($A957, TCS!A:A, TCS!B:B, "")</f>
        <v>3364.66</v>
      </c>
      <c r="G957" s="4">
        <f>_xlfn.XLOOKUP($A957, Infosys!A:A, Infosys!B:B,"")</f>
        <v>1395.44</v>
      </c>
      <c r="H957" s="4">
        <f>_xlfn.XLOOKUP($A957, 'L &amp; T'!A:A, 'L &amp; T'!B:B, "")</f>
        <v>2975.45</v>
      </c>
    </row>
    <row r="958" spans="1:8" x14ac:dyDescent="0.3">
      <c r="A958" s="1">
        <v>45237</v>
      </c>
      <c r="B958" s="4">
        <f>_xlfn.XLOOKUP($A958, 'Nifty 50'!A:A, 'Nifty 50'!B:B, "")</f>
        <v>19406.7</v>
      </c>
      <c r="C958" s="4">
        <f>_xlfn.XLOOKUP($A958, Reliance!A:A, Reliance!B:B, "")</f>
        <v>1161.9000000000001</v>
      </c>
      <c r="D958" s="4">
        <f>_xlfn.XLOOKUP($A958, HDFC!A:A, HDFC!B:B, "")</f>
        <v>741.78</v>
      </c>
      <c r="E958" s="4">
        <f>_xlfn.XLOOKUP($A958, ITC!A:A, ITC!B:B, "")</f>
        <v>409.34</v>
      </c>
      <c r="F958" s="4">
        <f>_xlfn.XLOOKUP($A958, TCS!A:A, TCS!B:B, "")</f>
        <v>3354.91</v>
      </c>
      <c r="G958" s="4">
        <f>_xlfn.XLOOKUP($A958, Infosys!A:A, Infosys!B:B,"")</f>
        <v>1396.43</v>
      </c>
      <c r="H958" s="4">
        <f>_xlfn.XLOOKUP($A958, 'L &amp; T'!A:A, 'L &amp; T'!B:B, "")</f>
        <v>2961.3</v>
      </c>
    </row>
    <row r="959" spans="1:8" x14ac:dyDescent="0.3">
      <c r="A959" s="1">
        <v>45238</v>
      </c>
      <c r="B959" s="4">
        <f>_xlfn.XLOOKUP($A959, 'Nifty 50'!A:A, 'Nifty 50'!B:B, "")</f>
        <v>19443.5</v>
      </c>
      <c r="C959" s="4">
        <f>_xlfn.XLOOKUP($A959, Reliance!A:A, Reliance!B:B, "")</f>
        <v>1167.95</v>
      </c>
      <c r="D959" s="4">
        <f>_xlfn.XLOOKUP($A959, HDFC!A:A, HDFC!B:B, "")</f>
        <v>743.92</v>
      </c>
      <c r="E959" s="4">
        <f>_xlfn.XLOOKUP($A959, ITC!A:A, ITC!B:B, "")</f>
        <v>413.36</v>
      </c>
      <c r="F959" s="4">
        <f>_xlfn.XLOOKUP($A959, TCS!A:A, TCS!B:B, "")</f>
        <v>3365.95</v>
      </c>
      <c r="G959" s="4">
        <f>_xlfn.XLOOKUP($A959, Infosys!A:A, Infosys!B:B,"")</f>
        <v>1383.2</v>
      </c>
      <c r="H959" s="4">
        <f>_xlfn.XLOOKUP($A959, 'L &amp; T'!A:A, 'L &amp; T'!B:B, "")</f>
        <v>2996.45</v>
      </c>
    </row>
    <row r="960" spans="1:8" x14ac:dyDescent="0.3">
      <c r="A960" s="1">
        <v>45239</v>
      </c>
      <c r="B960" s="4">
        <f>_xlfn.XLOOKUP($A960, 'Nifty 50'!A:A, 'Nifty 50'!B:B, "")</f>
        <v>19395.3</v>
      </c>
      <c r="C960" s="4">
        <f>_xlfn.XLOOKUP($A960, Reliance!A:A, Reliance!B:B, "")</f>
        <v>1155.28</v>
      </c>
      <c r="D960" s="4">
        <f>_xlfn.XLOOKUP($A960, HDFC!A:A, HDFC!B:B, "")</f>
        <v>740.98</v>
      </c>
      <c r="E960" s="4">
        <f>_xlfn.XLOOKUP($A960, ITC!A:A, ITC!B:B, "")</f>
        <v>410.95</v>
      </c>
      <c r="F960" s="4">
        <f>_xlfn.XLOOKUP($A960, TCS!A:A, TCS!B:B, "")</f>
        <v>3332.01</v>
      </c>
      <c r="G960" s="4">
        <f>_xlfn.XLOOKUP($A960, Infosys!A:A, Infosys!B:B,"")</f>
        <v>1367.1</v>
      </c>
      <c r="H960" s="4">
        <f>_xlfn.XLOOKUP($A960, 'L &amp; T'!A:A, 'L &amp; T'!B:B, "")</f>
        <v>3024.85</v>
      </c>
    </row>
    <row r="961" spans="1:8" x14ac:dyDescent="0.3">
      <c r="A961" s="1">
        <v>45240</v>
      </c>
      <c r="B961" s="4">
        <f>_xlfn.XLOOKUP($A961, 'Nifty 50'!A:A, 'Nifty 50'!B:B, "")</f>
        <v>19425.349999999999</v>
      </c>
      <c r="C961" s="4">
        <f>_xlfn.XLOOKUP($A961, Reliance!A:A, Reliance!B:B, "")</f>
        <v>1157.45</v>
      </c>
      <c r="D961" s="4">
        <f>_xlfn.XLOOKUP($A961, HDFC!A:A, HDFC!B:B, "")</f>
        <v>743.9</v>
      </c>
      <c r="E961" s="4">
        <f>_xlfn.XLOOKUP($A961, ITC!A:A, ITC!B:B, "")</f>
        <v>412.98</v>
      </c>
      <c r="F961" s="4">
        <f>_xlfn.XLOOKUP($A961, TCS!A:A, TCS!B:B, "")</f>
        <v>3318.08</v>
      </c>
      <c r="G961" s="4">
        <f>_xlfn.XLOOKUP($A961, Infosys!A:A, Infosys!B:B,"")</f>
        <v>1361.18</v>
      </c>
      <c r="H961" s="4">
        <f>_xlfn.XLOOKUP($A961, 'L &amp; T'!A:A, 'L &amp; T'!B:B, "")</f>
        <v>3033.25</v>
      </c>
    </row>
    <row r="962" spans="1:8" x14ac:dyDescent="0.3">
      <c r="A962" s="1">
        <v>45242</v>
      </c>
      <c r="B962" s="4">
        <f>_xlfn.XLOOKUP($A962, 'Nifty 50'!A:A, 'Nifty 50'!B:B, "")</f>
        <v>19525.55</v>
      </c>
      <c r="C962" s="4">
        <f>_xlfn.XLOOKUP($A962, Reliance!A:A, Reliance!B:B, "")</f>
        <v>1165.33</v>
      </c>
      <c r="D962" s="4">
        <f>_xlfn.XLOOKUP($A962, HDFC!A:A, HDFC!B:B, "")</f>
        <v>748.14</v>
      </c>
      <c r="E962" s="4">
        <f>_xlfn.XLOOKUP($A962, ITC!A:A, ITC!B:B, "")</f>
        <v>438.45</v>
      </c>
      <c r="F962" s="4">
        <f>_xlfn.XLOOKUP($A962, TCS!A:A, TCS!B:B, "")</f>
        <v>3358.9</v>
      </c>
      <c r="G962" s="4">
        <f>_xlfn.XLOOKUP($A962, Infosys!A:A, Infosys!B:B,"")</f>
        <v>1388.2</v>
      </c>
      <c r="H962" s="4">
        <f>_xlfn.XLOOKUP($A962, 'L &amp; T'!A:A, 'L &amp; T'!B:B, "")</f>
        <v>3052</v>
      </c>
    </row>
    <row r="963" spans="1:8" x14ac:dyDescent="0.3">
      <c r="A963" s="1">
        <v>45243</v>
      </c>
      <c r="B963" s="4">
        <f>_xlfn.XLOOKUP($A963, 'Nifty 50'!A:A, 'Nifty 50'!B:B, "")</f>
        <v>19443.55</v>
      </c>
      <c r="C963" s="4">
        <f>_xlfn.XLOOKUP($A963, Reliance!A:A, Reliance!B:B, "")</f>
        <v>1157.3</v>
      </c>
      <c r="D963" s="4">
        <f>_xlfn.XLOOKUP($A963, HDFC!A:A, HDFC!B:B, "")</f>
        <v>742.55</v>
      </c>
      <c r="E963" s="4">
        <f>_xlfn.XLOOKUP($A963, ITC!A:A, ITC!B:B, "")</f>
        <v>412.46</v>
      </c>
      <c r="F963" s="4">
        <f>_xlfn.XLOOKUP($A963, TCS!A:A, TCS!B:B, "")</f>
        <v>3316.19</v>
      </c>
      <c r="G963" s="4">
        <f>_xlfn.XLOOKUP($A963, Infosys!A:A, Infosys!B:B,"")</f>
        <v>1365.85</v>
      </c>
      <c r="H963" s="4">
        <f>_xlfn.XLOOKUP($A963, 'L &amp; T'!A:A, 'L &amp; T'!B:B, "")</f>
        <v>3048.5</v>
      </c>
    </row>
    <row r="964" spans="1:8" x14ac:dyDescent="0.3">
      <c r="A964" s="1">
        <v>45245</v>
      </c>
      <c r="B964" s="4">
        <f>_xlfn.XLOOKUP($A964, 'Nifty 50'!A:A, 'Nifty 50'!B:B, "")</f>
        <v>19675.45</v>
      </c>
      <c r="C964" s="4">
        <f>_xlfn.XLOOKUP($A964, Reliance!A:A, Reliance!B:B, "")</f>
        <v>1178.22</v>
      </c>
      <c r="D964" s="4">
        <f>_xlfn.XLOOKUP($A964, HDFC!A:A, HDFC!B:B, "")</f>
        <v>750.33</v>
      </c>
      <c r="E964" s="4">
        <f>_xlfn.XLOOKUP($A964, ITC!A:A, ITC!B:B, "")</f>
        <v>418.09</v>
      </c>
      <c r="F964" s="4">
        <f>_xlfn.XLOOKUP($A964, TCS!A:A, TCS!B:B, "")</f>
        <v>3388.6</v>
      </c>
      <c r="G964" s="4">
        <f>_xlfn.XLOOKUP($A964, Infosys!A:A, Infosys!B:B,"")</f>
        <v>1402.6</v>
      </c>
      <c r="H964" s="4">
        <f>_xlfn.XLOOKUP($A964, 'L &amp; T'!A:A, 'L &amp; T'!B:B, "")</f>
        <v>3064.95</v>
      </c>
    </row>
    <row r="965" spans="1:8" x14ac:dyDescent="0.3">
      <c r="A965" s="1">
        <v>45246</v>
      </c>
      <c r="B965" s="4">
        <f>_xlfn.XLOOKUP($A965, 'Nifty 50'!A:A, 'Nifty 50'!B:B, "")</f>
        <v>19765.2</v>
      </c>
      <c r="C965" s="4">
        <f>_xlfn.XLOOKUP($A965, Reliance!A:A, Reliance!B:B, "")</f>
        <v>1180.3499999999999</v>
      </c>
      <c r="D965" s="4">
        <f>_xlfn.XLOOKUP($A965, HDFC!A:A, HDFC!B:B, "")</f>
        <v>752.3</v>
      </c>
      <c r="E965" s="4">
        <f>_xlfn.XLOOKUP($A965, ITC!A:A, ITC!B:B, "")</f>
        <v>414.97</v>
      </c>
      <c r="F965" s="4">
        <f>_xlfn.XLOOKUP($A965, TCS!A:A, TCS!B:B, "")</f>
        <v>3481.72</v>
      </c>
      <c r="G965" s="4">
        <f>_xlfn.XLOOKUP($A965, Infosys!A:A, Infosys!B:B,"")</f>
        <v>1436.8</v>
      </c>
      <c r="H965" s="4">
        <f>_xlfn.XLOOKUP($A965, 'L &amp; T'!A:A, 'L &amp; T'!B:B, "")</f>
        <v>3051.15</v>
      </c>
    </row>
    <row r="966" spans="1:8" x14ac:dyDescent="0.3">
      <c r="A966" s="1">
        <v>45247</v>
      </c>
      <c r="B966" s="4">
        <f>_xlfn.XLOOKUP($A966, 'Nifty 50'!A:A, 'Nifty 50'!B:B, "")</f>
        <v>19731.8</v>
      </c>
      <c r="C966" s="4">
        <f>_xlfn.XLOOKUP($A966, Reliance!A:A, Reliance!B:B, "")</f>
        <v>1177.78</v>
      </c>
      <c r="D966" s="4">
        <f>_xlfn.XLOOKUP($A966, HDFC!A:A, HDFC!B:B, "")</f>
        <v>750.68</v>
      </c>
      <c r="E966" s="4">
        <f>_xlfn.XLOOKUP($A966, ITC!A:A, ITC!B:B, "")</f>
        <v>415.54</v>
      </c>
      <c r="F966" s="4">
        <f>_xlfn.XLOOKUP($A966, TCS!A:A, TCS!B:B, "")</f>
        <v>3486.3</v>
      </c>
      <c r="G966" s="4">
        <f>_xlfn.XLOOKUP($A966, Infosys!A:A, Infosys!B:B,"")</f>
        <v>1429.49</v>
      </c>
      <c r="H966" s="4">
        <f>_xlfn.XLOOKUP($A966, 'L &amp; T'!A:A, 'L &amp; T'!B:B, "")</f>
        <v>3109</v>
      </c>
    </row>
    <row r="967" spans="1:8" x14ac:dyDescent="0.3">
      <c r="A967" s="1">
        <v>45250</v>
      </c>
      <c r="B967" s="4">
        <f>_xlfn.XLOOKUP($A967, 'Nifty 50'!A:A, 'Nifty 50'!B:B, "")</f>
        <v>19694</v>
      </c>
      <c r="C967" s="4">
        <f>_xlfn.XLOOKUP($A967, Reliance!A:A, Reliance!B:B, "")</f>
        <v>1174.68</v>
      </c>
      <c r="D967" s="4">
        <f>_xlfn.XLOOKUP($A967, HDFC!A:A, HDFC!B:B, "")</f>
        <v>750.73</v>
      </c>
      <c r="E967" s="4">
        <f>_xlfn.XLOOKUP($A967, ITC!A:A, ITC!B:B, "")</f>
        <v>413.22</v>
      </c>
      <c r="F967" s="4">
        <f>_xlfn.XLOOKUP($A967, TCS!A:A, TCS!B:B, "")</f>
        <v>3503.37</v>
      </c>
      <c r="G967" s="4">
        <f>_xlfn.XLOOKUP($A967, Infosys!A:A, Infosys!B:B,"")</f>
        <v>1428.55</v>
      </c>
      <c r="H967" s="4">
        <f>_xlfn.XLOOKUP($A967, 'L &amp; T'!A:A, 'L &amp; T'!B:B, "")</f>
        <v>3088.8</v>
      </c>
    </row>
    <row r="968" spans="1:8" x14ac:dyDescent="0.3">
      <c r="A968" s="1">
        <v>45251</v>
      </c>
      <c r="B968" s="4">
        <f>_xlfn.XLOOKUP($A968, 'Nifty 50'!A:A, 'Nifty 50'!B:B, "")</f>
        <v>19783.400000000001</v>
      </c>
      <c r="C968" s="4">
        <f>_xlfn.XLOOKUP($A968, Reliance!A:A, Reliance!B:B, "")</f>
        <v>1189.45</v>
      </c>
      <c r="D968" s="4">
        <f>_xlfn.XLOOKUP($A968, HDFC!A:A, HDFC!B:B, "")</f>
        <v>757.09</v>
      </c>
      <c r="E968" s="4">
        <f>_xlfn.XLOOKUP($A968, ITC!A:A, ITC!B:B, "")</f>
        <v>412.7</v>
      </c>
      <c r="F968" s="4">
        <f>_xlfn.XLOOKUP($A968, TCS!A:A, TCS!B:B, "")</f>
        <v>3494.01</v>
      </c>
      <c r="G968" s="4">
        <f>_xlfn.XLOOKUP($A968, Infosys!A:A, Infosys!B:B,"")</f>
        <v>1430.94</v>
      </c>
      <c r="H968" s="4">
        <f>_xlfn.XLOOKUP($A968, 'L &amp; T'!A:A, 'L &amp; T'!B:B, "")</f>
        <v>3074.85</v>
      </c>
    </row>
    <row r="969" spans="1:8" x14ac:dyDescent="0.3">
      <c r="A969" s="1">
        <v>45252</v>
      </c>
      <c r="B969" s="4">
        <f>_xlfn.XLOOKUP($A969, 'Nifty 50'!A:A, 'Nifty 50'!B:B, "")</f>
        <v>19811.849999999999</v>
      </c>
      <c r="C969" s="4">
        <f>_xlfn.XLOOKUP($A969, Reliance!A:A, Reliance!B:B, "")</f>
        <v>1194.0999999999999</v>
      </c>
      <c r="D969" s="4">
        <f>_xlfn.XLOOKUP($A969, HDFC!A:A, HDFC!B:B, "")</f>
        <v>754.4</v>
      </c>
      <c r="E969" s="4">
        <f>_xlfn.XLOOKUP($A969, ITC!A:A, ITC!B:B, "")</f>
        <v>415.96</v>
      </c>
      <c r="F969" s="4">
        <f>_xlfn.XLOOKUP($A969, TCS!A:A, TCS!B:B, "")</f>
        <v>3513.87</v>
      </c>
      <c r="G969" s="4">
        <f>_xlfn.XLOOKUP($A969, Infosys!A:A, Infosys!B:B,"")</f>
        <v>1449.63</v>
      </c>
      <c r="H969" s="4">
        <f>_xlfn.XLOOKUP($A969, 'L &amp; T'!A:A, 'L &amp; T'!B:B, "")</f>
        <v>3082.3</v>
      </c>
    </row>
    <row r="970" spans="1:8" x14ac:dyDescent="0.3">
      <c r="A970" s="1">
        <v>45253</v>
      </c>
      <c r="B970" s="4">
        <f>_xlfn.XLOOKUP($A970, 'Nifty 50'!A:A, 'Nifty 50'!B:B, "")</f>
        <v>19802</v>
      </c>
      <c r="C970" s="4">
        <f>_xlfn.XLOOKUP($A970, Reliance!A:A, Reliance!B:B, "")</f>
        <v>1197.75</v>
      </c>
      <c r="D970" s="4">
        <f>_xlfn.XLOOKUP($A970, HDFC!A:A, HDFC!B:B, "")</f>
        <v>758.76</v>
      </c>
      <c r="E970" s="4">
        <f>_xlfn.XLOOKUP($A970, ITC!A:A, ITC!B:B, "")</f>
        <v>416.58</v>
      </c>
      <c r="F970" s="4">
        <f>_xlfn.XLOOKUP($A970, TCS!A:A, TCS!B:B, "")</f>
        <v>3492.07</v>
      </c>
      <c r="G970" s="4">
        <f>_xlfn.XLOOKUP($A970, Infosys!A:A, Infosys!B:B,"")</f>
        <v>1441.13</v>
      </c>
      <c r="H970" s="4">
        <f>_xlfn.XLOOKUP($A970, 'L &amp; T'!A:A, 'L &amp; T'!B:B, "")</f>
        <v>3045.65</v>
      </c>
    </row>
    <row r="971" spans="1:8" x14ac:dyDescent="0.3">
      <c r="A971" s="1">
        <v>45254</v>
      </c>
      <c r="B971" s="4">
        <f>_xlfn.XLOOKUP($A971, 'Nifty 50'!A:A, 'Nifty 50'!B:B, "")</f>
        <v>19794.7</v>
      </c>
      <c r="C971" s="4">
        <f>_xlfn.XLOOKUP($A971, Reliance!A:A, Reliance!B:B, "")</f>
        <v>1196.95</v>
      </c>
      <c r="D971" s="4">
        <f>_xlfn.XLOOKUP($A971, HDFC!A:A, HDFC!B:B, "")</f>
        <v>764.15</v>
      </c>
      <c r="E971" s="4">
        <f>_xlfn.XLOOKUP($A971, ITC!A:A, ITC!B:B, "")</f>
        <v>414.16</v>
      </c>
      <c r="F971" s="4">
        <f>_xlfn.XLOOKUP($A971, TCS!A:A, TCS!B:B, "")</f>
        <v>3441.16</v>
      </c>
      <c r="G971" s="4">
        <f>_xlfn.XLOOKUP($A971, Infosys!A:A, Infosys!B:B,"")</f>
        <v>1429.34</v>
      </c>
      <c r="H971" s="4">
        <f>_xlfn.XLOOKUP($A971, 'L &amp; T'!A:A, 'L &amp; T'!B:B, "")</f>
        <v>3054.25</v>
      </c>
    </row>
    <row r="972" spans="1:8" x14ac:dyDescent="0.3">
      <c r="A972" s="1">
        <v>45258</v>
      </c>
      <c r="B972" s="4">
        <f>_xlfn.XLOOKUP($A972, 'Nifty 50'!A:A, 'Nifty 50'!B:B, "")</f>
        <v>19889.7</v>
      </c>
      <c r="C972" s="4">
        <f>_xlfn.XLOOKUP($A972, Reliance!A:A, Reliance!B:B, "")</f>
        <v>1197.2</v>
      </c>
      <c r="D972" s="4">
        <f>_xlfn.XLOOKUP($A972, HDFC!A:A, HDFC!B:B, "")</f>
        <v>762.43</v>
      </c>
      <c r="E972" s="4">
        <f>_xlfn.XLOOKUP($A972, ITC!A:A, ITC!B:B, "")</f>
        <v>411.75</v>
      </c>
      <c r="F972" s="4">
        <f>_xlfn.XLOOKUP($A972, TCS!A:A, TCS!B:B, "")</f>
        <v>3454.15</v>
      </c>
      <c r="G972" s="4">
        <f>_xlfn.XLOOKUP($A972, Infosys!A:A, Infosys!B:B,"")</f>
        <v>1434.61</v>
      </c>
      <c r="H972" s="4">
        <f>_xlfn.XLOOKUP($A972, 'L &amp; T'!A:A, 'L &amp; T'!B:B, "")</f>
        <v>3050</v>
      </c>
    </row>
    <row r="973" spans="1:8" x14ac:dyDescent="0.3">
      <c r="A973" s="1">
        <v>45259</v>
      </c>
      <c r="B973" s="4">
        <f>_xlfn.XLOOKUP($A973, 'Nifty 50'!A:A, 'Nifty 50'!B:B, "")</f>
        <v>20096.599999999999</v>
      </c>
      <c r="C973" s="4">
        <f>_xlfn.XLOOKUP($A973, Reliance!A:A, Reliance!B:B, "")</f>
        <v>1200.3499999999999</v>
      </c>
      <c r="D973" s="4">
        <f>_xlfn.XLOOKUP($A973, HDFC!A:A, HDFC!B:B, "")</f>
        <v>777.64</v>
      </c>
      <c r="E973" s="4">
        <f>_xlfn.XLOOKUP($A973, ITC!A:A, ITC!B:B, "")</f>
        <v>413.6</v>
      </c>
      <c r="F973" s="4">
        <f>_xlfn.XLOOKUP($A973, TCS!A:A, TCS!B:B, "")</f>
        <v>3497.54</v>
      </c>
      <c r="G973" s="4">
        <f>_xlfn.XLOOKUP($A973, Infosys!A:A, Infosys!B:B,"")</f>
        <v>1451.42</v>
      </c>
      <c r="H973" s="4">
        <f>_xlfn.XLOOKUP($A973, 'L &amp; T'!A:A, 'L &amp; T'!B:B, "")</f>
        <v>3083.75</v>
      </c>
    </row>
    <row r="974" spans="1:8" x14ac:dyDescent="0.3">
      <c r="A974" s="1">
        <v>45260</v>
      </c>
      <c r="B974" s="4">
        <f>_xlfn.XLOOKUP($A974, 'Nifty 50'!A:A, 'Nifty 50'!B:B, "")</f>
        <v>20133.150000000001</v>
      </c>
      <c r="C974" s="4">
        <f>_xlfn.XLOOKUP($A974, Reliance!A:A, Reliance!B:B, "")</f>
        <v>1188.72</v>
      </c>
      <c r="D974" s="4">
        <f>_xlfn.XLOOKUP($A974, HDFC!A:A, HDFC!B:B, "")</f>
        <v>777.47</v>
      </c>
      <c r="E974" s="4">
        <f>_xlfn.XLOOKUP($A974, ITC!A:A, ITC!B:B, "")</f>
        <v>412.27</v>
      </c>
      <c r="F974" s="4">
        <f>_xlfn.XLOOKUP($A974, TCS!A:A, TCS!B:B, "")</f>
        <v>3471.51</v>
      </c>
      <c r="G974" s="4">
        <f>_xlfn.XLOOKUP($A974, Infosys!A:A, Infosys!B:B,"")</f>
        <v>1446.99</v>
      </c>
      <c r="H974" s="4">
        <f>_xlfn.XLOOKUP($A974, 'L &amp; T'!A:A, 'L &amp; T'!B:B, "")</f>
        <v>3109.2</v>
      </c>
    </row>
    <row r="975" spans="1:8" x14ac:dyDescent="0.3">
      <c r="A975" s="1">
        <v>45261</v>
      </c>
      <c r="B975" s="4">
        <f>_xlfn.XLOOKUP($A975, 'Nifty 50'!A:A, 'Nifty 50'!B:B, "")</f>
        <v>20267.900000000001</v>
      </c>
      <c r="C975" s="4">
        <f>_xlfn.XLOOKUP($A975, Reliance!A:A, Reliance!B:B, "")</f>
        <v>1197.1500000000001</v>
      </c>
      <c r="D975" s="4">
        <f>_xlfn.XLOOKUP($A975, HDFC!A:A, HDFC!B:B, "")</f>
        <v>775.77</v>
      </c>
      <c r="E975" s="4">
        <f>_xlfn.XLOOKUP($A975, ITC!A:A, ITC!B:B, "")</f>
        <v>425.52</v>
      </c>
      <c r="F975" s="4">
        <f>_xlfn.XLOOKUP($A975, TCS!A:A, TCS!B:B, "")</f>
        <v>3495.45</v>
      </c>
      <c r="G975" s="4">
        <f>_xlfn.XLOOKUP($A975, Infosys!A:A, Infosys!B:B,"")</f>
        <v>1444.16</v>
      </c>
      <c r="H975" s="4">
        <f>_xlfn.XLOOKUP($A975, 'L &amp; T'!A:A, 'L &amp; T'!B:B, "")</f>
        <v>3190.65</v>
      </c>
    </row>
    <row r="976" spans="1:8" x14ac:dyDescent="0.3">
      <c r="A976" s="1">
        <v>45264</v>
      </c>
      <c r="B976" s="4">
        <f>_xlfn.XLOOKUP($A976, 'Nifty 50'!A:A, 'Nifty 50'!B:B, "")</f>
        <v>20686.8</v>
      </c>
      <c r="C976" s="4">
        <f>_xlfn.XLOOKUP($A976, Reliance!A:A, Reliance!B:B, "")</f>
        <v>1210.0999999999999</v>
      </c>
      <c r="D976" s="4">
        <f>_xlfn.XLOOKUP($A976, HDFC!A:A, HDFC!B:B, "")</f>
        <v>802.7</v>
      </c>
      <c r="E976" s="4">
        <f>_xlfn.XLOOKUP($A976, ITC!A:A, ITC!B:B, "")</f>
        <v>429.54</v>
      </c>
      <c r="F976" s="4">
        <f>_xlfn.XLOOKUP($A976, TCS!A:A, TCS!B:B, "")</f>
        <v>3496.25</v>
      </c>
      <c r="G976" s="4">
        <f>_xlfn.XLOOKUP($A976, Infosys!A:A, Infosys!B:B,"")</f>
        <v>1456.14</v>
      </c>
      <c r="H976" s="4">
        <f>_xlfn.XLOOKUP($A976, 'L &amp; T'!A:A, 'L &amp; T'!B:B, "")</f>
        <v>3313.55</v>
      </c>
    </row>
    <row r="977" spans="1:8" x14ac:dyDescent="0.3">
      <c r="A977" s="1">
        <v>45265</v>
      </c>
      <c r="B977" s="4">
        <f>_xlfn.XLOOKUP($A977, 'Nifty 50'!A:A, 'Nifty 50'!B:B, "")</f>
        <v>20855.099999999999</v>
      </c>
      <c r="C977" s="4">
        <f>_xlfn.XLOOKUP($A977, Reliance!A:A, Reliance!B:B, "")</f>
        <v>1218.8800000000001</v>
      </c>
      <c r="D977" s="4">
        <f>_xlfn.XLOOKUP($A977, HDFC!A:A, HDFC!B:B, "")</f>
        <v>809.83</v>
      </c>
      <c r="E977" s="4">
        <f>_xlfn.XLOOKUP($A977, ITC!A:A, ITC!B:B, "")</f>
        <v>427.36</v>
      </c>
      <c r="F977" s="4">
        <f>_xlfn.XLOOKUP($A977, TCS!A:A, TCS!B:B, "")</f>
        <v>3515.31</v>
      </c>
      <c r="G977" s="4">
        <f>_xlfn.XLOOKUP($A977, Infosys!A:A, Infosys!B:B,"")</f>
        <v>1445.8</v>
      </c>
      <c r="H977" s="4">
        <f>_xlfn.XLOOKUP($A977, 'L &amp; T'!A:A, 'L &amp; T'!B:B, "")</f>
        <v>3315.45</v>
      </c>
    </row>
    <row r="978" spans="1:8" x14ac:dyDescent="0.3">
      <c r="A978" s="1">
        <v>45266</v>
      </c>
      <c r="B978" s="4">
        <f>_xlfn.XLOOKUP($A978, 'Nifty 50'!A:A, 'Nifty 50'!B:B, "")</f>
        <v>20937.7</v>
      </c>
      <c r="C978" s="4">
        <f>_xlfn.XLOOKUP($A978, Reliance!A:A, Reliance!B:B, "")</f>
        <v>1230.55</v>
      </c>
      <c r="D978" s="4">
        <f>_xlfn.XLOOKUP($A978, HDFC!A:A, HDFC!B:B, "")</f>
        <v>811.88</v>
      </c>
      <c r="E978" s="4">
        <f>_xlfn.XLOOKUP($A978, ITC!A:A, ITC!B:B, "")</f>
        <v>438.24</v>
      </c>
      <c r="F978" s="4">
        <f>_xlfn.XLOOKUP($A978, TCS!A:A, TCS!B:B, "")</f>
        <v>3587.48</v>
      </c>
      <c r="G978" s="4">
        <f>_xlfn.XLOOKUP($A978, Infosys!A:A, Infosys!B:B,"")</f>
        <v>1466.04</v>
      </c>
      <c r="H978" s="4">
        <f>_xlfn.XLOOKUP($A978, 'L &amp; T'!A:A, 'L &amp; T'!B:B, "")</f>
        <v>3392.3</v>
      </c>
    </row>
    <row r="979" spans="1:8" x14ac:dyDescent="0.3">
      <c r="A979" s="1">
        <v>45267</v>
      </c>
      <c r="B979" s="4">
        <f>_xlfn.XLOOKUP($A979, 'Nifty 50'!A:A, 'Nifty 50'!B:B, "")</f>
        <v>20901.150000000001</v>
      </c>
      <c r="C979" s="4">
        <f>_xlfn.XLOOKUP($A979, Reliance!A:A, Reliance!B:B, "")</f>
        <v>1228.53</v>
      </c>
      <c r="D979" s="4">
        <f>_xlfn.XLOOKUP($A979, HDFC!A:A, HDFC!B:B, "")</f>
        <v>813.2</v>
      </c>
      <c r="E979" s="4">
        <f>_xlfn.XLOOKUP($A979, ITC!A:A, ITC!B:B, "")</f>
        <v>433.37</v>
      </c>
      <c r="F979" s="4">
        <f>_xlfn.XLOOKUP($A979, TCS!A:A, TCS!B:B, "")</f>
        <v>3598.23</v>
      </c>
      <c r="G979" s="4">
        <f>_xlfn.XLOOKUP($A979, Infosys!A:A, Infosys!B:B,"")</f>
        <v>1457.69</v>
      </c>
      <c r="H979" s="4">
        <f>_xlfn.XLOOKUP($A979, 'L &amp; T'!A:A, 'L &amp; T'!B:B, "")</f>
        <v>3355.6</v>
      </c>
    </row>
    <row r="980" spans="1:8" x14ac:dyDescent="0.3">
      <c r="A980" s="1">
        <v>45268</v>
      </c>
      <c r="B980" s="4">
        <f>_xlfn.XLOOKUP($A980, 'Nifty 50'!A:A, 'Nifty 50'!B:B, "")</f>
        <v>20969.400000000001</v>
      </c>
      <c r="C980" s="4">
        <f>_xlfn.XLOOKUP($A980, Reliance!A:A, Reliance!B:B, "")</f>
        <v>1227.8800000000001</v>
      </c>
      <c r="D980" s="4">
        <f>_xlfn.XLOOKUP($A980, HDFC!A:A, HDFC!B:B, "")</f>
        <v>824.55</v>
      </c>
      <c r="E980" s="4">
        <f>_xlfn.XLOOKUP($A980, ITC!A:A, ITC!B:B, "")</f>
        <v>424.9</v>
      </c>
      <c r="F980" s="4">
        <f>_xlfn.XLOOKUP($A980, TCS!A:A, TCS!B:B, "")</f>
        <v>3609.97</v>
      </c>
      <c r="G980" s="4">
        <f>_xlfn.XLOOKUP($A980, Infosys!A:A, Infosys!B:B,"")</f>
        <v>1482.79</v>
      </c>
      <c r="H980" s="4">
        <f>_xlfn.XLOOKUP($A980, 'L &amp; T'!A:A, 'L &amp; T'!B:B, "")</f>
        <v>3378.45</v>
      </c>
    </row>
    <row r="981" spans="1:8" x14ac:dyDescent="0.3">
      <c r="A981" s="1">
        <v>45271</v>
      </c>
      <c r="B981" s="4">
        <f>_xlfn.XLOOKUP($A981, 'Nifty 50'!A:A, 'Nifty 50'!B:B, "")</f>
        <v>20997.1</v>
      </c>
      <c r="C981" s="4">
        <f>_xlfn.XLOOKUP($A981, Reliance!A:A, Reliance!B:B, "")</f>
        <v>1229.68</v>
      </c>
      <c r="D981" s="4">
        <f>_xlfn.XLOOKUP($A981, HDFC!A:A, HDFC!B:B, "")</f>
        <v>823.45</v>
      </c>
      <c r="E981" s="4">
        <f>_xlfn.XLOOKUP($A981, ITC!A:A, ITC!B:B, "")</f>
        <v>428.02</v>
      </c>
      <c r="F981" s="4">
        <f>_xlfn.XLOOKUP($A981, TCS!A:A, TCS!B:B, "")</f>
        <v>3626.1</v>
      </c>
      <c r="G981" s="4">
        <f>_xlfn.XLOOKUP($A981, Infosys!A:A, Infosys!B:B,"")</f>
        <v>1480.16</v>
      </c>
      <c r="H981" s="4">
        <f>_xlfn.XLOOKUP($A981, 'L &amp; T'!A:A, 'L &amp; T'!B:B, "")</f>
        <v>3385.8</v>
      </c>
    </row>
    <row r="982" spans="1:8" x14ac:dyDescent="0.3">
      <c r="A982" s="1">
        <v>45272</v>
      </c>
      <c r="B982" s="4">
        <f>_xlfn.XLOOKUP($A982, 'Nifty 50'!A:A, 'Nifty 50'!B:B, "")</f>
        <v>20906.400000000001</v>
      </c>
      <c r="C982" s="4">
        <f>_xlfn.XLOOKUP($A982, Reliance!A:A, Reliance!B:B, "")</f>
        <v>1212.03</v>
      </c>
      <c r="D982" s="4">
        <f>_xlfn.XLOOKUP($A982, HDFC!A:A, HDFC!B:B, "")</f>
        <v>815.27</v>
      </c>
      <c r="E982" s="4">
        <f>_xlfn.XLOOKUP($A982, ITC!A:A, ITC!B:B, "")</f>
        <v>428.64</v>
      </c>
      <c r="F982" s="4">
        <f>_xlfn.XLOOKUP($A982, TCS!A:A, TCS!B:B, "")</f>
        <v>3655.16</v>
      </c>
      <c r="G982" s="4">
        <f>_xlfn.XLOOKUP($A982, Infosys!A:A, Infosys!B:B,"")</f>
        <v>1467.78</v>
      </c>
      <c r="H982" s="4">
        <f>_xlfn.XLOOKUP($A982, 'L &amp; T'!A:A, 'L &amp; T'!B:B, "")</f>
        <v>3342.4</v>
      </c>
    </row>
    <row r="983" spans="1:8" x14ac:dyDescent="0.3">
      <c r="A983" s="1">
        <v>45273</v>
      </c>
      <c r="B983" s="4">
        <f>_xlfn.XLOOKUP($A983, 'Nifty 50'!A:A, 'Nifty 50'!B:B, "")</f>
        <v>20926.349999999999</v>
      </c>
      <c r="C983" s="4">
        <f>_xlfn.XLOOKUP($A983, Reliance!A:A, Reliance!B:B, "")</f>
        <v>1216.97</v>
      </c>
      <c r="D983" s="4">
        <f>_xlfn.XLOOKUP($A983, HDFC!A:A, HDFC!B:B, "")</f>
        <v>813.43</v>
      </c>
      <c r="E983" s="4">
        <f>_xlfn.XLOOKUP($A983, ITC!A:A, ITC!B:B, "")</f>
        <v>431.05</v>
      </c>
      <c r="F983" s="4">
        <f>_xlfn.XLOOKUP($A983, TCS!A:A, TCS!B:B, "")</f>
        <v>3576.98</v>
      </c>
      <c r="G983" s="4">
        <f>_xlfn.XLOOKUP($A983, Infosys!A:A, Infosys!B:B,"")</f>
        <v>1440.88</v>
      </c>
      <c r="H983" s="4">
        <f>_xlfn.XLOOKUP($A983, 'L &amp; T'!A:A, 'L &amp; T'!B:B, "")</f>
        <v>3399.8</v>
      </c>
    </row>
    <row r="984" spans="1:8" x14ac:dyDescent="0.3">
      <c r="A984" s="1">
        <v>45274</v>
      </c>
      <c r="B984" s="4">
        <f>_xlfn.XLOOKUP($A984, 'Nifty 50'!A:A, 'Nifty 50'!B:B, "")</f>
        <v>21182.7</v>
      </c>
      <c r="C984" s="4">
        <f>_xlfn.XLOOKUP($A984, Reliance!A:A, Reliance!B:B, "")</f>
        <v>1232.07</v>
      </c>
      <c r="D984" s="4">
        <f>_xlfn.XLOOKUP($A984, HDFC!A:A, HDFC!B:B, "")</f>
        <v>823.03</v>
      </c>
      <c r="E984" s="4">
        <f>_xlfn.XLOOKUP($A984, ITC!A:A, ITC!B:B, "")</f>
        <v>435.26</v>
      </c>
      <c r="F984" s="4">
        <f>_xlfn.XLOOKUP($A984, TCS!A:A, TCS!B:B, "")</f>
        <v>3650.34</v>
      </c>
      <c r="G984" s="4">
        <f>_xlfn.XLOOKUP($A984, Infosys!A:A, Infosys!B:B,"")</f>
        <v>1493.04</v>
      </c>
      <c r="H984" s="4">
        <f>_xlfn.XLOOKUP($A984, 'L &amp; T'!A:A, 'L &amp; T'!B:B, "")</f>
        <v>3433.1</v>
      </c>
    </row>
    <row r="985" spans="1:8" x14ac:dyDescent="0.3">
      <c r="A985" s="1">
        <v>45275</v>
      </c>
      <c r="B985" s="4">
        <f>_xlfn.XLOOKUP($A985, 'Nifty 50'!A:A, 'Nifty 50'!B:B, "")</f>
        <v>21456.65</v>
      </c>
      <c r="C985" s="4">
        <f>_xlfn.XLOOKUP($A985, Reliance!A:A, Reliance!B:B, "")</f>
        <v>1247.8</v>
      </c>
      <c r="D985" s="4">
        <f>_xlfn.XLOOKUP($A985, HDFC!A:A, HDFC!B:B, "")</f>
        <v>826.22</v>
      </c>
      <c r="E985" s="4">
        <f>_xlfn.XLOOKUP($A985, ITC!A:A, ITC!B:B, "")</f>
        <v>433.46</v>
      </c>
      <c r="F985" s="4">
        <f>_xlfn.XLOOKUP($A985, TCS!A:A, TCS!B:B, "")</f>
        <v>3843.19</v>
      </c>
      <c r="G985" s="4">
        <f>_xlfn.XLOOKUP($A985, Infosys!A:A, Infosys!B:B,"")</f>
        <v>1569.56</v>
      </c>
      <c r="H985" s="4">
        <f>_xlfn.XLOOKUP($A985, 'L &amp; T'!A:A, 'L &amp; T'!B:B, "")</f>
        <v>3488</v>
      </c>
    </row>
    <row r="986" spans="1:8" x14ac:dyDescent="0.3">
      <c r="A986" s="1">
        <v>45278</v>
      </c>
      <c r="B986" s="4">
        <f>_xlfn.XLOOKUP($A986, 'Nifty 50'!A:A, 'Nifty 50'!B:B, "")</f>
        <v>21418.65</v>
      </c>
      <c r="C986" s="4">
        <f>_xlfn.XLOOKUP($A986, Reliance!A:A, Reliance!B:B, "")</f>
        <v>1260.5</v>
      </c>
      <c r="D986" s="4">
        <f>_xlfn.XLOOKUP($A986, HDFC!A:A, HDFC!B:B, "")</f>
        <v>825.8</v>
      </c>
      <c r="E986" s="4">
        <f>_xlfn.XLOOKUP($A986, ITC!A:A, ITC!B:B, "")</f>
        <v>427.27</v>
      </c>
      <c r="F986" s="4">
        <f>_xlfn.XLOOKUP($A986, TCS!A:A, TCS!B:B, "")</f>
        <v>3841.4</v>
      </c>
      <c r="G986" s="4">
        <f>_xlfn.XLOOKUP($A986, Infosys!A:A, Infosys!B:B,"")</f>
        <v>1555.58</v>
      </c>
      <c r="H986" s="4">
        <f>_xlfn.XLOOKUP($A986, 'L &amp; T'!A:A, 'L &amp; T'!B:B, "")</f>
        <v>3491.6</v>
      </c>
    </row>
    <row r="987" spans="1:8" x14ac:dyDescent="0.3">
      <c r="A987" s="1">
        <v>45279</v>
      </c>
      <c r="B987" s="4">
        <f>_xlfn.XLOOKUP($A987, 'Nifty 50'!A:A, 'Nifty 50'!B:B, "")</f>
        <v>21453.1</v>
      </c>
      <c r="C987" s="4">
        <f>_xlfn.XLOOKUP($A987, Reliance!A:A, Reliance!B:B, "")</f>
        <v>1279.05</v>
      </c>
      <c r="D987" s="4">
        <f>_xlfn.XLOOKUP($A987, HDFC!A:A, HDFC!B:B, "")</f>
        <v>824.4</v>
      </c>
      <c r="E987" s="4">
        <f>_xlfn.XLOOKUP($A987, ITC!A:A, ITC!B:B, "")</f>
        <v>431.48</v>
      </c>
      <c r="F987" s="4">
        <f>_xlfn.XLOOKUP($A987, TCS!A:A, TCS!B:B, "")</f>
        <v>3798.6</v>
      </c>
      <c r="G987" s="4">
        <f>_xlfn.XLOOKUP($A987, Infosys!A:A, Infosys!B:B,"")</f>
        <v>1549.57</v>
      </c>
      <c r="H987" s="4">
        <f>_xlfn.XLOOKUP($A987, 'L &amp; T'!A:A, 'L &amp; T'!B:B, "")</f>
        <v>3498.95</v>
      </c>
    </row>
    <row r="988" spans="1:8" x14ac:dyDescent="0.3">
      <c r="A988" s="1">
        <v>45280</v>
      </c>
      <c r="B988" s="4">
        <f>_xlfn.XLOOKUP($A988, 'Nifty 50'!A:A, 'Nifty 50'!B:B, "")</f>
        <v>21150.15</v>
      </c>
      <c r="C988" s="4">
        <f>_xlfn.XLOOKUP($A988, Reliance!A:A, Reliance!B:B, "")</f>
        <v>1263.57</v>
      </c>
      <c r="D988" s="4">
        <f>_xlfn.XLOOKUP($A988, HDFC!A:A, HDFC!B:B, "")</f>
        <v>826.44</v>
      </c>
      <c r="E988" s="4">
        <f>_xlfn.XLOOKUP($A988, ITC!A:A, ITC!B:B, "")</f>
        <v>426.65</v>
      </c>
      <c r="F988" s="4">
        <f>_xlfn.XLOOKUP($A988, TCS!A:A, TCS!B:B, "")</f>
        <v>3762.62</v>
      </c>
      <c r="G988" s="4">
        <f>_xlfn.XLOOKUP($A988, Infosys!A:A, Infosys!B:B,"")</f>
        <v>1527.79</v>
      </c>
      <c r="H988" s="4">
        <f>_xlfn.XLOOKUP($A988, 'L &amp; T'!A:A, 'L &amp; T'!B:B, "")</f>
        <v>3418.5</v>
      </c>
    </row>
    <row r="989" spans="1:8" x14ac:dyDescent="0.3">
      <c r="A989" s="1">
        <v>45281</v>
      </c>
      <c r="B989" s="4">
        <f>_xlfn.XLOOKUP($A989, 'Nifty 50'!A:A, 'Nifty 50'!B:B, "")</f>
        <v>21255.05</v>
      </c>
      <c r="C989" s="4">
        <f>_xlfn.XLOOKUP($A989, Reliance!A:A, Reliance!B:B, "")</f>
        <v>1281.28</v>
      </c>
      <c r="D989" s="4">
        <f>_xlfn.XLOOKUP($A989, HDFC!A:A, HDFC!B:B, "")</f>
        <v>841.26</v>
      </c>
      <c r="E989" s="4">
        <f>_xlfn.XLOOKUP($A989, ITC!A:A, ITC!B:B, "")</f>
        <v>427.08</v>
      </c>
      <c r="F989" s="4">
        <f>_xlfn.XLOOKUP($A989, TCS!A:A, TCS!B:B, "")</f>
        <v>3770.03</v>
      </c>
      <c r="G989" s="4">
        <f>_xlfn.XLOOKUP($A989, Infosys!A:A, Infosys!B:B,"")</f>
        <v>1527.39</v>
      </c>
      <c r="H989" s="4">
        <f>_xlfn.XLOOKUP($A989, 'L &amp; T'!A:A, 'L &amp; T'!B:B, "")</f>
        <v>3424.15</v>
      </c>
    </row>
    <row r="990" spans="1:8" x14ac:dyDescent="0.3">
      <c r="A990" s="1">
        <v>45282</v>
      </c>
      <c r="B990" s="4">
        <f>_xlfn.XLOOKUP($A990, 'Nifty 50'!A:A, 'Nifty 50'!B:B, "")</f>
        <v>21349.4</v>
      </c>
      <c r="C990" s="4">
        <f>_xlfn.XLOOKUP($A990, Reliance!A:A, Reliance!B:B, "")</f>
        <v>1282.53</v>
      </c>
      <c r="D990" s="4">
        <f>_xlfn.XLOOKUP($A990, HDFC!A:A, HDFC!B:B, "")</f>
        <v>833.35</v>
      </c>
      <c r="E990" s="4">
        <f>_xlfn.XLOOKUP($A990, ITC!A:A, ITC!B:B, "")</f>
        <v>430.63</v>
      </c>
      <c r="F990" s="4">
        <f>_xlfn.XLOOKUP($A990, TCS!A:A, TCS!B:B, "")</f>
        <v>3806.36</v>
      </c>
      <c r="G990" s="4">
        <f>_xlfn.XLOOKUP($A990, Infosys!A:A, Infosys!B:B,"")</f>
        <v>1554.14</v>
      </c>
      <c r="H990" s="4">
        <f>_xlfn.XLOOKUP($A990, 'L &amp; T'!A:A, 'L &amp; T'!B:B, "")</f>
        <v>3477.95</v>
      </c>
    </row>
    <row r="991" spans="1:8" x14ac:dyDescent="0.3">
      <c r="A991" s="1">
        <v>45286</v>
      </c>
      <c r="B991" s="4">
        <f>_xlfn.XLOOKUP($A991, 'Nifty 50'!A:A, 'Nifty 50'!B:B, "")</f>
        <v>21441.35</v>
      </c>
      <c r="C991" s="4">
        <f>_xlfn.XLOOKUP($A991, Reliance!A:A, Reliance!B:B, "")</f>
        <v>1289.03</v>
      </c>
      <c r="D991" s="4">
        <f>_xlfn.XLOOKUP($A991, HDFC!A:A, HDFC!B:B, "")</f>
        <v>839.14</v>
      </c>
      <c r="E991" s="4">
        <f>_xlfn.XLOOKUP($A991, ITC!A:A, ITC!B:B, "")</f>
        <v>431.81</v>
      </c>
      <c r="F991" s="4">
        <f>_xlfn.XLOOKUP($A991, TCS!A:A, TCS!B:B, "")</f>
        <v>3778.04</v>
      </c>
      <c r="G991" s="4">
        <f>_xlfn.XLOOKUP($A991, Infosys!A:A, Infosys!B:B,"")</f>
        <v>1535.3</v>
      </c>
      <c r="H991" s="4">
        <f>_xlfn.XLOOKUP($A991, 'L &amp; T'!A:A, 'L &amp; T'!B:B, "")</f>
        <v>3490.05</v>
      </c>
    </row>
    <row r="992" spans="1:8" x14ac:dyDescent="0.3">
      <c r="A992" s="1">
        <v>45287</v>
      </c>
      <c r="B992" s="4">
        <f>_xlfn.XLOOKUP($A992, 'Nifty 50'!A:A, 'Nifty 50'!B:B, "")</f>
        <v>21654.75</v>
      </c>
      <c r="C992" s="4">
        <f>_xlfn.XLOOKUP($A992, Reliance!A:A, Reliance!B:B, "")</f>
        <v>1293.43</v>
      </c>
      <c r="D992" s="4">
        <f>_xlfn.XLOOKUP($A992, HDFC!A:A, HDFC!B:B, "")</f>
        <v>849.54</v>
      </c>
      <c r="E992" s="4">
        <f>_xlfn.XLOOKUP($A992, ITC!A:A, ITC!B:B, "")</f>
        <v>432.42</v>
      </c>
      <c r="F992" s="4">
        <f>_xlfn.XLOOKUP($A992, TCS!A:A, TCS!B:B, "")</f>
        <v>3793.62</v>
      </c>
      <c r="G992" s="4">
        <f>_xlfn.XLOOKUP($A992, Infosys!A:A, Infosys!B:B,"")</f>
        <v>1558.32</v>
      </c>
      <c r="H992" s="4">
        <f>_xlfn.XLOOKUP($A992, 'L &amp; T'!A:A, 'L &amp; T'!B:B, "")</f>
        <v>3544</v>
      </c>
    </row>
    <row r="993" spans="1:8" x14ac:dyDescent="0.3">
      <c r="A993" s="1">
        <v>45288</v>
      </c>
      <c r="B993" s="4">
        <f>_xlfn.XLOOKUP($A993, 'Nifty 50'!A:A, 'Nifty 50'!B:B, "")</f>
        <v>21778.7</v>
      </c>
      <c r="C993" s="4">
        <f>_xlfn.XLOOKUP($A993, Reliance!A:A, Reliance!B:B, "")</f>
        <v>1302.78</v>
      </c>
      <c r="D993" s="4">
        <f>_xlfn.XLOOKUP($A993, HDFC!A:A, HDFC!B:B, "")</f>
        <v>850.51</v>
      </c>
      <c r="E993" s="4">
        <f>_xlfn.XLOOKUP($A993, ITC!A:A, ITC!B:B, "")</f>
        <v>439.05</v>
      </c>
      <c r="F993" s="4">
        <f>_xlfn.XLOOKUP($A993, TCS!A:A, TCS!B:B, "")</f>
        <v>3782.38</v>
      </c>
      <c r="G993" s="4">
        <f>_xlfn.XLOOKUP($A993, Infosys!A:A, Infosys!B:B,"")</f>
        <v>1553.89</v>
      </c>
      <c r="H993" s="4">
        <f>_xlfn.XLOOKUP($A993, 'L &amp; T'!A:A, 'L &amp; T'!B:B, "")</f>
        <v>3518.05</v>
      </c>
    </row>
    <row r="994" spans="1:8" x14ac:dyDescent="0.3">
      <c r="A994" s="1">
        <v>45289</v>
      </c>
      <c r="B994" s="4">
        <f>_xlfn.XLOOKUP($A994, 'Nifty 50'!A:A, 'Nifty 50'!B:B, "")</f>
        <v>21731.4</v>
      </c>
      <c r="C994" s="4">
        <f>_xlfn.XLOOKUP($A994, Reliance!A:A, Reliance!B:B, "")</f>
        <v>1292.47</v>
      </c>
      <c r="D994" s="4">
        <f>_xlfn.XLOOKUP($A994, HDFC!A:A, HDFC!B:B, "")</f>
        <v>852.5</v>
      </c>
      <c r="E994" s="4">
        <f>_xlfn.XLOOKUP($A994, ITC!A:A, ITC!B:B, "")</f>
        <v>437.15</v>
      </c>
      <c r="F994" s="4">
        <f>_xlfn.XLOOKUP($A994, TCS!A:A, TCS!B:B, "")</f>
        <v>3775.91</v>
      </c>
      <c r="G994" s="4">
        <f>_xlfn.XLOOKUP($A994, Infosys!A:A, Infosys!B:B,"")</f>
        <v>1534.25</v>
      </c>
      <c r="H994" s="4">
        <f>_xlfn.XLOOKUP($A994, 'L &amp; T'!A:A, 'L &amp; T'!B:B, "")</f>
        <v>3526</v>
      </c>
    </row>
    <row r="995" spans="1:8" x14ac:dyDescent="0.3">
      <c r="A995" s="1">
        <v>45292</v>
      </c>
      <c r="B995" s="4">
        <f>_xlfn.XLOOKUP($A995, 'Nifty 50'!A:A, 'Nifty 50'!B:B, "")</f>
        <v>21741.9</v>
      </c>
      <c r="C995" s="4">
        <f>_xlfn.XLOOKUP($A995, Reliance!A:A, Reliance!B:B, "")</f>
        <v>1295.1300000000001</v>
      </c>
      <c r="D995" s="4">
        <f>_xlfn.XLOOKUP($A995, HDFC!A:A, HDFC!B:B, "")</f>
        <v>846.94</v>
      </c>
      <c r="E995" s="4">
        <f>_xlfn.XLOOKUP($A995, ITC!A:A, ITC!B:B, "")</f>
        <v>442.78</v>
      </c>
      <c r="F995" s="4">
        <f>_xlfn.XLOOKUP($A995, TCS!A:A, TCS!B:B, "")</f>
        <v>3793.52</v>
      </c>
      <c r="G995" s="4">
        <f>_xlfn.XLOOKUP($A995, Infosys!A:A, Infosys!B:B,"")</f>
        <v>1542.66</v>
      </c>
      <c r="H995" s="4">
        <f>_xlfn.XLOOKUP($A995, 'L &amp; T'!A:A, 'L &amp; T'!B:B, "")</f>
        <v>3525.45</v>
      </c>
    </row>
    <row r="996" spans="1:8" x14ac:dyDescent="0.3">
      <c r="A996" s="1">
        <v>45293</v>
      </c>
      <c r="B996" s="4">
        <f>_xlfn.XLOOKUP($A996, 'Nifty 50'!A:A, 'Nifty 50'!B:B, "")</f>
        <v>21665.8</v>
      </c>
      <c r="C996" s="4">
        <f>_xlfn.XLOOKUP($A996, Reliance!A:A, Reliance!B:B, "")</f>
        <v>1305.8499999999999</v>
      </c>
      <c r="D996" s="4">
        <f>_xlfn.XLOOKUP($A996, HDFC!A:A, HDFC!B:B, "")</f>
        <v>847.44</v>
      </c>
      <c r="E996" s="4">
        <f>_xlfn.XLOOKUP($A996, ITC!A:A, ITC!B:B, "")</f>
        <v>444.96</v>
      </c>
      <c r="F996" s="4">
        <f>_xlfn.XLOOKUP($A996, TCS!A:A, TCS!B:B, "")</f>
        <v>3765.75</v>
      </c>
      <c r="G996" s="4">
        <f>_xlfn.XLOOKUP($A996, Infosys!A:A, Infosys!B:B,"")</f>
        <v>1525.8</v>
      </c>
      <c r="H996" s="4">
        <f>_xlfn.XLOOKUP($A996, 'L &amp; T'!A:A, 'L &amp; T'!B:B, "")</f>
        <v>3438.1</v>
      </c>
    </row>
    <row r="997" spans="1:8" x14ac:dyDescent="0.3">
      <c r="A997" s="1">
        <v>45294</v>
      </c>
      <c r="B997" s="4">
        <f>_xlfn.XLOOKUP($A997, 'Nifty 50'!A:A, 'Nifty 50'!B:B, "")</f>
        <v>21517.35</v>
      </c>
      <c r="C997" s="4">
        <f>_xlfn.XLOOKUP($A997, Reliance!A:A, Reliance!B:B, "")</f>
        <v>1291.6500000000001</v>
      </c>
      <c r="D997" s="4">
        <f>_xlfn.XLOOKUP($A997, HDFC!A:A, HDFC!B:B, "")</f>
        <v>834.37</v>
      </c>
      <c r="E997" s="4">
        <f>_xlfn.XLOOKUP($A997, ITC!A:A, ITC!B:B, "")</f>
        <v>451.48</v>
      </c>
      <c r="F997" s="4">
        <f>_xlfn.XLOOKUP($A997, TCS!A:A, TCS!B:B, "")</f>
        <v>3674.72</v>
      </c>
      <c r="G997" s="4">
        <f>_xlfn.XLOOKUP($A997, Infosys!A:A, Infosys!B:B,"")</f>
        <v>1481.65</v>
      </c>
      <c r="H997" s="4">
        <f>_xlfn.XLOOKUP($A997, 'L &amp; T'!A:A, 'L &amp; T'!B:B, "")</f>
        <v>3440.35</v>
      </c>
    </row>
    <row r="998" spans="1:8" x14ac:dyDescent="0.3">
      <c r="A998" s="1">
        <v>45295</v>
      </c>
      <c r="B998" s="4">
        <f>_xlfn.XLOOKUP($A998, 'Nifty 50'!A:A, 'Nifty 50'!B:B, "")</f>
        <v>21658.6</v>
      </c>
      <c r="C998" s="4">
        <f>_xlfn.XLOOKUP($A998, Reliance!A:A, Reliance!B:B, "")</f>
        <v>1298.32</v>
      </c>
      <c r="D998" s="4">
        <f>_xlfn.XLOOKUP($A998, HDFC!A:A, HDFC!B:B, "")</f>
        <v>843.33</v>
      </c>
      <c r="E998" s="4">
        <f>_xlfn.XLOOKUP($A998, ITC!A:A, ITC!B:B, "")</f>
        <v>450.68</v>
      </c>
      <c r="F998" s="4">
        <f>_xlfn.XLOOKUP($A998, TCS!A:A, TCS!B:B, "")</f>
        <v>3649.89</v>
      </c>
      <c r="G998" s="4">
        <f>_xlfn.XLOOKUP($A998, Infosys!A:A, Infosys!B:B,"")</f>
        <v>1504.22</v>
      </c>
      <c r="H998" s="4">
        <f>_xlfn.XLOOKUP($A998, 'L &amp; T'!A:A, 'L &amp; T'!B:B, "")</f>
        <v>3458.7</v>
      </c>
    </row>
    <row r="999" spans="1:8" x14ac:dyDescent="0.3">
      <c r="A999" s="1">
        <v>45296</v>
      </c>
      <c r="B999" s="4">
        <f>_xlfn.XLOOKUP($A999, 'Nifty 50'!A:A, 'Nifty 50'!B:B, "")</f>
        <v>21710.799999999999</v>
      </c>
      <c r="C999" s="4">
        <f>_xlfn.XLOOKUP($A999, Reliance!A:A, Reliance!B:B, "")</f>
        <v>1303.8499999999999</v>
      </c>
      <c r="D999" s="4">
        <f>_xlfn.XLOOKUP($A999, HDFC!A:A, HDFC!B:B, "")</f>
        <v>839.01</v>
      </c>
      <c r="E999" s="4">
        <f>_xlfn.XLOOKUP($A999, ITC!A:A, ITC!B:B, "")</f>
        <v>448.36</v>
      </c>
      <c r="F999" s="4">
        <f>_xlfn.XLOOKUP($A999, TCS!A:A, TCS!B:B, "")</f>
        <v>3720.66</v>
      </c>
      <c r="G999" s="4">
        <f>_xlfn.XLOOKUP($A999, Infosys!A:A, Infosys!B:B,"")</f>
        <v>1523.96</v>
      </c>
      <c r="H999" s="4">
        <f>_xlfn.XLOOKUP($A999, 'L &amp; T'!A:A, 'L &amp; T'!B:B, "")</f>
        <v>3521.9</v>
      </c>
    </row>
    <row r="1000" spans="1:8" x14ac:dyDescent="0.3">
      <c r="A1000" s="1">
        <v>45299</v>
      </c>
      <c r="B1000" s="4">
        <f>_xlfn.XLOOKUP($A1000, 'Nifty 50'!A:A, 'Nifty 50'!B:B, "")</f>
        <v>21513</v>
      </c>
      <c r="C1000" s="4">
        <f>_xlfn.XLOOKUP($A1000, Reliance!A:A, Reliance!B:B, "")</f>
        <v>1293.68</v>
      </c>
      <c r="D1000" s="4">
        <f>_xlfn.XLOOKUP($A1000, HDFC!A:A, HDFC!B:B, "")</f>
        <v>829.66</v>
      </c>
      <c r="E1000" s="4">
        <f>_xlfn.XLOOKUP($A1000, ITC!A:A, ITC!B:B, "")</f>
        <v>440.37</v>
      </c>
      <c r="F1000" s="4">
        <f>_xlfn.XLOOKUP($A1000, TCS!A:A, TCS!B:B, "")</f>
        <v>3661.34</v>
      </c>
      <c r="G1000" s="4">
        <f>_xlfn.XLOOKUP($A1000, Infosys!A:A, Infosys!B:B,"")</f>
        <v>1514.27</v>
      </c>
      <c r="H1000" s="4">
        <f>_xlfn.XLOOKUP($A1000, 'L &amp; T'!A:A, 'L &amp; T'!B:B, "")</f>
        <v>3501.1</v>
      </c>
    </row>
    <row r="1001" spans="1:8" x14ac:dyDescent="0.3">
      <c r="A1001" s="1">
        <v>45300</v>
      </c>
      <c r="B1001" s="4">
        <f>_xlfn.XLOOKUP($A1001, 'Nifty 50'!A:A, 'Nifty 50'!B:B, "")</f>
        <v>21544.85</v>
      </c>
      <c r="C1001" s="4">
        <f>_xlfn.XLOOKUP($A1001, Reliance!A:A, Reliance!B:B, "")</f>
        <v>1290.25</v>
      </c>
      <c r="D1001" s="4">
        <f>_xlfn.XLOOKUP($A1001, HDFC!A:A, HDFC!B:B, "")</f>
        <v>823.2</v>
      </c>
      <c r="E1001" s="4">
        <f>_xlfn.XLOOKUP($A1001, ITC!A:A, ITC!B:B, "")</f>
        <v>439.47</v>
      </c>
      <c r="F1001" s="4">
        <f>_xlfn.XLOOKUP($A1001, TCS!A:A, TCS!B:B, "")</f>
        <v>3672.88</v>
      </c>
      <c r="G1001" s="4">
        <f>_xlfn.XLOOKUP($A1001, Infosys!A:A, Infosys!B:B,"")</f>
        <v>1520.73</v>
      </c>
      <c r="H1001" s="4">
        <f>_xlfn.XLOOKUP($A1001, 'L &amp; T'!A:A, 'L &amp; T'!B:B, "")</f>
        <v>3555.95</v>
      </c>
    </row>
    <row r="1002" spans="1:8" x14ac:dyDescent="0.3">
      <c r="A1002" s="1">
        <v>45301</v>
      </c>
      <c r="B1002" s="4">
        <f>_xlfn.XLOOKUP($A1002, 'Nifty 50'!A:A, 'Nifty 50'!B:B, "")</f>
        <v>21618.7</v>
      </c>
      <c r="C1002" s="4">
        <f>_xlfn.XLOOKUP($A1002, Reliance!A:A, Reliance!B:B, "")</f>
        <v>1325.05</v>
      </c>
      <c r="D1002" s="4">
        <f>_xlfn.XLOOKUP($A1002, HDFC!A:A, HDFC!B:B, "")</f>
        <v>825.92</v>
      </c>
      <c r="E1002" s="4">
        <f>_xlfn.XLOOKUP($A1002, ITC!A:A, ITC!B:B, "")</f>
        <v>438.29</v>
      </c>
      <c r="F1002" s="4">
        <f>_xlfn.XLOOKUP($A1002, TCS!A:A, TCS!B:B, "")</f>
        <v>3695.93</v>
      </c>
      <c r="G1002" s="4">
        <f>_xlfn.XLOOKUP($A1002, Infosys!A:A, Infosys!B:B,"")</f>
        <v>1511.38</v>
      </c>
      <c r="H1002" s="4">
        <f>_xlfn.XLOOKUP($A1002, 'L &amp; T'!A:A, 'L &amp; T'!B:B, "")</f>
        <v>3545.5</v>
      </c>
    </row>
    <row r="1003" spans="1:8" x14ac:dyDescent="0.3">
      <c r="A1003" s="1">
        <v>45302</v>
      </c>
      <c r="B1003" s="4">
        <f>_xlfn.XLOOKUP($A1003, 'Nifty 50'!A:A, 'Nifty 50'!B:B, "")</f>
        <v>21647.200000000001</v>
      </c>
      <c r="C1003" s="4">
        <f>_xlfn.XLOOKUP($A1003, Reliance!A:A, Reliance!B:B, "")</f>
        <v>1359.9</v>
      </c>
      <c r="D1003" s="4">
        <f>_xlfn.XLOOKUP($A1003, HDFC!A:A, HDFC!B:B, "")</f>
        <v>822.45</v>
      </c>
      <c r="E1003" s="4">
        <f>_xlfn.XLOOKUP($A1003, ITC!A:A, ITC!B:B, "")</f>
        <v>437.67</v>
      </c>
      <c r="F1003" s="4">
        <f>_xlfn.XLOOKUP($A1003, TCS!A:A, TCS!B:B, "")</f>
        <v>3718.32</v>
      </c>
      <c r="G1003" s="4">
        <f>_xlfn.XLOOKUP($A1003, Infosys!A:A, Infosys!B:B,"")</f>
        <v>1485.83</v>
      </c>
      <c r="H1003" s="4">
        <f>_xlfn.XLOOKUP($A1003, 'L &amp; T'!A:A, 'L &amp; T'!B:B, "")</f>
        <v>3504.85</v>
      </c>
    </row>
    <row r="1004" spans="1:8" x14ac:dyDescent="0.3">
      <c r="A1004" s="1">
        <v>45303</v>
      </c>
      <c r="B1004" s="4">
        <f>_xlfn.XLOOKUP($A1004, 'Nifty 50'!A:A, 'Nifty 50'!B:B, "")</f>
        <v>21894.55</v>
      </c>
      <c r="C1004" s="4">
        <f>_xlfn.XLOOKUP($A1004, Reliance!A:A, Reliance!B:B, "")</f>
        <v>1370.72</v>
      </c>
      <c r="D1004" s="4">
        <f>_xlfn.XLOOKUP($A1004, HDFC!A:A, HDFC!B:B, "")</f>
        <v>818.56</v>
      </c>
      <c r="E1004" s="4">
        <f>_xlfn.XLOOKUP($A1004, ITC!A:A, ITC!B:B, "")</f>
        <v>441.5</v>
      </c>
      <c r="F1004" s="4">
        <f>_xlfn.XLOOKUP($A1004, TCS!A:A, TCS!B:B, "")</f>
        <v>3864.89</v>
      </c>
      <c r="G1004" s="4">
        <f>_xlfn.XLOOKUP($A1004, Infosys!A:A, Infosys!B:B,"")</f>
        <v>1603.71</v>
      </c>
      <c r="H1004" s="4">
        <f>_xlfn.XLOOKUP($A1004, 'L &amp; T'!A:A, 'L &amp; T'!B:B, "")</f>
        <v>3568.8</v>
      </c>
    </row>
    <row r="1005" spans="1:8" x14ac:dyDescent="0.3">
      <c r="A1005" s="1">
        <v>45306</v>
      </c>
      <c r="B1005" s="4">
        <f>_xlfn.XLOOKUP($A1005, 'Nifty 50'!A:A, 'Nifty 50'!B:B, "")</f>
        <v>22097.45</v>
      </c>
      <c r="C1005" s="4">
        <f>_xlfn.XLOOKUP($A1005, Reliance!A:A, Reliance!B:B, "")</f>
        <v>1394.13</v>
      </c>
      <c r="D1005" s="4">
        <f>_xlfn.XLOOKUP($A1005, HDFC!A:A, HDFC!B:B, "")</f>
        <v>834.32</v>
      </c>
      <c r="E1005" s="4">
        <f>_xlfn.XLOOKUP($A1005, ITC!A:A, ITC!B:B, "")</f>
        <v>442.36</v>
      </c>
      <c r="F1005" s="4">
        <f>_xlfn.XLOOKUP($A1005, TCS!A:A, TCS!B:B, "")</f>
        <v>3885.8</v>
      </c>
      <c r="G1005" s="4">
        <f>_xlfn.XLOOKUP($A1005, Infosys!A:A, Infosys!B:B,"")</f>
        <v>1642.84</v>
      </c>
      <c r="H1005" s="4">
        <f>_xlfn.XLOOKUP($A1005, 'L &amp; T'!A:A, 'L &amp; T'!B:B, "")</f>
        <v>3543.05</v>
      </c>
    </row>
    <row r="1006" spans="1:8" x14ac:dyDescent="0.3">
      <c r="A1006" s="1">
        <v>45307</v>
      </c>
      <c r="B1006" s="4">
        <f>_xlfn.XLOOKUP($A1006, 'Nifty 50'!A:A, 'Nifty 50'!B:B, "")</f>
        <v>22032.3</v>
      </c>
      <c r="C1006" s="4">
        <f>_xlfn.XLOOKUP($A1006, Reliance!A:A, Reliance!B:B, "")</f>
        <v>1374.63</v>
      </c>
      <c r="D1006" s="4">
        <f>_xlfn.XLOOKUP($A1006, HDFC!A:A, HDFC!B:B, "")</f>
        <v>837.49</v>
      </c>
      <c r="E1006" s="4">
        <f>_xlfn.XLOOKUP($A1006, ITC!A:A, ITC!B:B, "")</f>
        <v>446.8</v>
      </c>
      <c r="F1006" s="4">
        <f>_xlfn.XLOOKUP($A1006, TCS!A:A, TCS!B:B, "")</f>
        <v>3843.49</v>
      </c>
      <c r="G1006" s="4">
        <f>_xlfn.XLOOKUP($A1006, Infosys!A:A, Infosys!B:B,"")</f>
        <v>1622.41</v>
      </c>
      <c r="H1006" s="4">
        <f>_xlfn.XLOOKUP($A1006, 'L &amp; T'!A:A, 'L &amp; T'!B:B, "")</f>
        <v>3573.5</v>
      </c>
    </row>
    <row r="1007" spans="1:8" x14ac:dyDescent="0.3">
      <c r="A1007" s="1">
        <v>45308</v>
      </c>
      <c r="B1007" s="4">
        <f>_xlfn.XLOOKUP($A1007, 'Nifty 50'!A:A, 'Nifty 50'!B:B, "")</f>
        <v>21571.95</v>
      </c>
      <c r="C1007" s="4">
        <f>_xlfn.XLOOKUP($A1007, Reliance!A:A, Reliance!B:B, "")</f>
        <v>1361.57</v>
      </c>
      <c r="D1007" s="4">
        <f>_xlfn.XLOOKUP($A1007, HDFC!A:A, HDFC!B:B, "")</f>
        <v>766.84</v>
      </c>
      <c r="E1007" s="4">
        <f>_xlfn.XLOOKUP($A1007, ITC!A:A, ITC!B:B, "")</f>
        <v>441.41</v>
      </c>
      <c r="F1007" s="4">
        <f>_xlfn.XLOOKUP($A1007, TCS!A:A, TCS!B:B, "")</f>
        <v>3866.68</v>
      </c>
      <c r="G1007" s="4">
        <f>_xlfn.XLOOKUP($A1007, Infosys!A:A, Infosys!B:B,"")</f>
        <v>1631.01</v>
      </c>
      <c r="H1007" s="4">
        <f>_xlfn.XLOOKUP($A1007, 'L &amp; T'!A:A, 'L &amp; T'!B:B, "")</f>
        <v>3570.95</v>
      </c>
    </row>
    <row r="1008" spans="1:8" x14ac:dyDescent="0.3">
      <c r="A1008" s="1">
        <v>45309</v>
      </c>
      <c r="B1008" s="4">
        <f>_xlfn.XLOOKUP($A1008, 'Nifty 50'!A:A, 'Nifty 50'!B:B, "")</f>
        <v>21462.25</v>
      </c>
      <c r="C1008" s="4">
        <f>_xlfn.XLOOKUP($A1008, Reliance!A:A, Reliance!B:B, "")</f>
        <v>1367.95</v>
      </c>
      <c r="D1008" s="4">
        <f>_xlfn.XLOOKUP($A1008, HDFC!A:A, HDFC!B:B, "")</f>
        <v>741.23</v>
      </c>
      <c r="E1008" s="4">
        <f>_xlfn.XLOOKUP($A1008, ITC!A:A, ITC!B:B, "")</f>
        <v>440.37</v>
      </c>
      <c r="F1008" s="4">
        <f>_xlfn.XLOOKUP($A1008, TCS!A:A, TCS!B:B, "")</f>
        <v>3884.6</v>
      </c>
      <c r="G1008" s="4">
        <f>_xlfn.XLOOKUP($A1008, Infosys!A:A, Infosys!B:B,"")</f>
        <v>1633.4</v>
      </c>
      <c r="H1008" s="4">
        <f>_xlfn.XLOOKUP($A1008, 'L &amp; T'!A:A, 'L &amp; T'!B:B, "")</f>
        <v>3596</v>
      </c>
    </row>
    <row r="1009" spans="1:8" x14ac:dyDescent="0.3">
      <c r="A1009" s="1">
        <v>45310</v>
      </c>
      <c r="B1009" s="4">
        <f>_xlfn.XLOOKUP($A1009, 'Nifty 50'!A:A, 'Nifty 50'!B:B, "")</f>
        <v>21622.400000000001</v>
      </c>
      <c r="C1009" s="4">
        <f>_xlfn.XLOOKUP($A1009, Reliance!A:A, Reliance!B:B, "")</f>
        <v>1367.45</v>
      </c>
      <c r="D1009" s="4">
        <f>_xlfn.XLOOKUP($A1009, HDFC!A:A, HDFC!B:B, "")</f>
        <v>733.5</v>
      </c>
      <c r="E1009" s="4">
        <f>_xlfn.XLOOKUP($A1009, ITC!A:A, ITC!B:B, "")</f>
        <v>446.05</v>
      </c>
      <c r="F1009" s="4">
        <f>_xlfn.XLOOKUP($A1009, TCS!A:A, TCS!B:B, "")</f>
        <v>3943.05</v>
      </c>
      <c r="G1009" s="4">
        <f>_xlfn.XLOOKUP($A1009, Infosys!A:A, Infosys!B:B,"")</f>
        <v>1649.9</v>
      </c>
      <c r="H1009" s="4">
        <f>_xlfn.XLOOKUP($A1009, 'L &amp; T'!A:A, 'L &amp; T'!B:B, "")</f>
        <v>3646</v>
      </c>
    </row>
    <row r="1010" spans="1:8" x14ac:dyDescent="0.3">
      <c r="A1010" s="1">
        <v>45311</v>
      </c>
      <c r="B1010" s="4">
        <f>_xlfn.XLOOKUP($A1010, 'Nifty 50'!A:A, 'Nifty 50'!B:B, "")</f>
        <v>21571.8</v>
      </c>
      <c r="C1010" s="4">
        <f>_xlfn.XLOOKUP($A1010, Reliance!A:A, Reliance!B:B, "")</f>
        <v>1356.65</v>
      </c>
      <c r="D1010" s="4">
        <f>_xlfn.XLOOKUP($A1010, HDFC!A:A, HDFC!B:B, "")</f>
        <v>737.59</v>
      </c>
      <c r="E1010" s="4">
        <f>_xlfn.XLOOKUP($A1010, ITC!A:A, ITC!B:B, "")</f>
        <v>468.4</v>
      </c>
      <c r="F1010" s="4">
        <f>_xlfn.XLOOKUP($A1010, TCS!A:A, TCS!B:B, "")</f>
        <v>3860.65</v>
      </c>
      <c r="G1010" s="4">
        <f>_xlfn.XLOOKUP($A1010, Infosys!A:A, Infosys!B:B,"")</f>
        <v>1648.85</v>
      </c>
      <c r="H1010" s="4">
        <f>_xlfn.XLOOKUP($A1010, 'L &amp; T'!A:A, 'L &amp; T'!B:B, "")</f>
        <v>3634.5</v>
      </c>
    </row>
    <row r="1011" spans="1:8" x14ac:dyDescent="0.3">
      <c r="A1011" s="1">
        <v>45314</v>
      </c>
      <c r="B1011" s="4">
        <f>_xlfn.XLOOKUP($A1011, 'Nifty 50'!A:A, 'Nifty 50'!B:B, "")</f>
        <v>21238.799999999999</v>
      </c>
      <c r="C1011" s="4">
        <f>_xlfn.XLOOKUP($A1011, Reliance!A:A, Reliance!B:B, "")</f>
        <v>1328.57</v>
      </c>
      <c r="D1011" s="4">
        <f>_xlfn.XLOOKUP($A1011, HDFC!A:A, HDFC!B:B, "")</f>
        <v>711.9</v>
      </c>
      <c r="E1011" s="4">
        <f>_xlfn.XLOOKUP($A1011, ITC!A:A, ITC!B:B, "")</f>
        <v>434.5</v>
      </c>
      <c r="F1011" s="4">
        <f>_xlfn.XLOOKUP($A1011, TCS!A:A, TCS!B:B, "")</f>
        <v>3858.25</v>
      </c>
      <c r="G1011" s="4">
        <f>_xlfn.XLOOKUP($A1011, Infosys!A:A, Infosys!B:B,"")</f>
        <v>1632.95</v>
      </c>
      <c r="H1011" s="4">
        <f>_xlfn.XLOOKUP($A1011, 'L &amp; T'!A:A, 'L &amp; T'!B:B, "")</f>
        <v>3551</v>
      </c>
    </row>
    <row r="1012" spans="1:8" x14ac:dyDescent="0.3">
      <c r="A1012" s="1">
        <v>45315</v>
      </c>
      <c r="B1012" s="4">
        <f>_xlfn.XLOOKUP($A1012, 'Nifty 50'!A:A, 'Nifty 50'!B:B, "")</f>
        <v>21453.95</v>
      </c>
      <c r="C1012" s="4">
        <f>_xlfn.XLOOKUP($A1012, Reliance!A:A, Reliance!B:B, "")</f>
        <v>1343.88</v>
      </c>
      <c r="D1012" s="4">
        <f>_xlfn.XLOOKUP($A1012, HDFC!A:A, HDFC!B:B, "")</f>
        <v>726.14</v>
      </c>
      <c r="E1012" s="4">
        <f>_xlfn.XLOOKUP($A1012, ITC!A:A, ITC!B:B, "")</f>
        <v>438.57</v>
      </c>
      <c r="F1012" s="4">
        <f>_xlfn.XLOOKUP($A1012, TCS!A:A, TCS!B:B, "")</f>
        <v>3841.8</v>
      </c>
      <c r="G1012" s="4">
        <f>_xlfn.XLOOKUP($A1012, Infosys!A:A, Infosys!B:B,"")</f>
        <v>1666.01</v>
      </c>
      <c r="H1012" s="4">
        <f>_xlfn.XLOOKUP($A1012, 'L &amp; T'!A:A, 'L &amp; T'!B:B, "")</f>
        <v>3589.2</v>
      </c>
    </row>
    <row r="1013" spans="1:8" x14ac:dyDescent="0.3">
      <c r="A1013" s="1">
        <v>45316</v>
      </c>
      <c r="B1013" s="4">
        <f>_xlfn.XLOOKUP($A1013, 'Nifty 50'!A:A, 'Nifty 50'!B:B, "")</f>
        <v>21352.6</v>
      </c>
      <c r="C1013" s="4">
        <f>_xlfn.XLOOKUP($A1013, Reliance!A:A, Reliance!B:B, "")</f>
        <v>1353.07</v>
      </c>
      <c r="D1013" s="4">
        <f>_xlfn.XLOOKUP($A1013, HDFC!A:A, HDFC!B:B, "")</f>
        <v>715.67</v>
      </c>
      <c r="E1013" s="4">
        <f>_xlfn.XLOOKUP($A1013, ITC!A:A, ITC!B:B, "")</f>
        <v>431.05</v>
      </c>
      <c r="F1013" s="4">
        <f>_xlfn.XLOOKUP($A1013, TCS!A:A, TCS!B:B, "")</f>
        <v>3810.3</v>
      </c>
      <c r="G1013" s="4">
        <f>_xlfn.XLOOKUP($A1013, Infosys!A:A, Infosys!B:B,"")</f>
        <v>1659.75</v>
      </c>
      <c r="H1013" s="4">
        <f>_xlfn.XLOOKUP($A1013, 'L &amp; T'!A:A, 'L &amp; T'!B:B, "")</f>
        <v>3593.45</v>
      </c>
    </row>
    <row r="1014" spans="1:8" x14ac:dyDescent="0.3">
      <c r="A1014" s="1">
        <v>45320</v>
      </c>
      <c r="B1014" s="4">
        <f>_xlfn.XLOOKUP($A1014, 'Nifty 50'!A:A, 'Nifty 50'!B:B, "")</f>
        <v>21737.599999999999</v>
      </c>
      <c r="C1014" s="4">
        <f>_xlfn.XLOOKUP($A1014, Reliance!A:A, Reliance!B:B, "")</f>
        <v>1448.05</v>
      </c>
      <c r="D1014" s="4">
        <f>_xlfn.XLOOKUP($A1014, HDFC!A:A, HDFC!B:B, "")</f>
        <v>725.52</v>
      </c>
      <c r="E1014" s="4">
        <f>_xlfn.XLOOKUP($A1014, ITC!A:A, ITC!B:B, "")</f>
        <v>425.52</v>
      </c>
      <c r="F1014" s="4">
        <f>_xlfn.XLOOKUP($A1014, TCS!A:A, TCS!B:B, "")</f>
        <v>3801</v>
      </c>
      <c r="G1014" s="4">
        <f>_xlfn.XLOOKUP($A1014, Infosys!A:A, Infosys!B:B,"")</f>
        <v>1647.32</v>
      </c>
      <c r="H1014" s="4">
        <f>_xlfn.XLOOKUP($A1014, 'L &amp; T'!A:A, 'L &amp; T'!B:B, "")</f>
        <v>3708</v>
      </c>
    </row>
    <row r="1015" spans="1:8" x14ac:dyDescent="0.3">
      <c r="A1015" s="1">
        <v>45321</v>
      </c>
      <c r="B1015" s="4">
        <f>_xlfn.XLOOKUP($A1015, 'Nifty 50'!A:A, 'Nifty 50'!B:B, "")</f>
        <v>21522.1</v>
      </c>
      <c r="C1015" s="4">
        <f>_xlfn.XLOOKUP($A1015, Reliance!A:A, Reliance!B:B, "")</f>
        <v>1407.63</v>
      </c>
      <c r="D1015" s="4">
        <f>_xlfn.XLOOKUP($A1015, HDFC!A:A, HDFC!B:B, "")</f>
        <v>720.36</v>
      </c>
      <c r="E1015" s="4">
        <f>_xlfn.XLOOKUP($A1015, ITC!A:A, ITC!B:B, "")</f>
        <v>414.4</v>
      </c>
      <c r="F1015" s="4">
        <f>_xlfn.XLOOKUP($A1015, TCS!A:A, TCS!B:B, "")</f>
        <v>3800.55</v>
      </c>
      <c r="G1015" s="4">
        <f>_xlfn.XLOOKUP($A1015, Infosys!A:A, Infosys!B:B,"")</f>
        <v>1642.19</v>
      </c>
      <c r="H1015" s="4">
        <f>_xlfn.XLOOKUP($A1015, 'L &amp; T'!A:A, 'L &amp; T'!B:B, "")</f>
        <v>3633.3</v>
      </c>
    </row>
    <row r="1016" spans="1:8" x14ac:dyDescent="0.3">
      <c r="A1016" s="1">
        <v>45322</v>
      </c>
      <c r="B1016" s="4">
        <f>_xlfn.XLOOKUP($A1016, 'Nifty 50'!A:A, 'Nifty 50'!B:B, "")</f>
        <v>21725.7</v>
      </c>
      <c r="C1016" s="4">
        <f>_xlfn.XLOOKUP($A1016, Reliance!A:A, Reliance!B:B, "")</f>
        <v>1426.63</v>
      </c>
      <c r="D1016" s="4">
        <f>_xlfn.XLOOKUP($A1016, HDFC!A:A, HDFC!B:B, "")</f>
        <v>729.46</v>
      </c>
      <c r="E1016" s="4">
        <f>_xlfn.XLOOKUP($A1016, ITC!A:A, ITC!B:B, "")</f>
        <v>417.71</v>
      </c>
      <c r="F1016" s="4">
        <f>_xlfn.XLOOKUP($A1016, TCS!A:A, TCS!B:B, "")</f>
        <v>3815.95</v>
      </c>
      <c r="G1016" s="4">
        <f>_xlfn.XLOOKUP($A1016, Infosys!A:A, Infosys!B:B,"")</f>
        <v>1651.59</v>
      </c>
      <c r="H1016" s="4">
        <f>_xlfn.XLOOKUP($A1016, 'L &amp; T'!A:A, 'L &amp; T'!B:B, "")</f>
        <v>3479.75</v>
      </c>
    </row>
    <row r="1017" spans="1:8" x14ac:dyDescent="0.3">
      <c r="A1017" s="1">
        <v>45323</v>
      </c>
      <c r="B1017" s="4">
        <f>_xlfn.XLOOKUP($A1017, 'Nifty 50'!A:A, 'Nifty 50'!B:B, "")</f>
        <v>21697.45</v>
      </c>
      <c r="C1017" s="4">
        <f>_xlfn.XLOOKUP($A1017, Reliance!A:A, Reliance!B:B, "")</f>
        <v>1426.65</v>
      </c>
      <c r="D1017" s="4">
        <f>_xlfn.XLOOKUP($A1017, HDFC!A:A, HDFC!B:B, "")</f>
        <v>731.36</v>
      </c>
      <c r="E1017" s="4">
        <f>_xlfn.XLOOKUP($A1017, ITC!A:A, ITC!B:B, "")</f>
        <v>418.99</v>
      </c>
      <c r="F1017" s="4">
        <f>_xlfn.XLOOKUP($A1017, TCS!A:A, TCS!B:B, "")</f>
        <v>3854.15</v>
      </c>
      <c r="G1017" s="4">
        <f>_xlfn.XLOOKUP($A1017, Infosys!A:A, Infosys!B:B,"")</f>
        <v>1647.76</v>
      </c>
      <c r="H1017" s="4">
        <f>_xlfn.XLOOKUP($A1017, 'L &amp; T'!A:A, 'L &amp; T'!B:B, "")</f>
        <v>3398</v>
      </c>
    </row>
    <row r="1018" spans="1:8" x14ac:dyDescent="0.3">
      <c r="A1018" s="1">
        <v>45324</v>
      </c>
      <c r="B1018" s="4">
        <f>_xlfn.XLOOKUP($A1018, 'Nifty 50'!A:A, 'Nifty 50'!B:B, "")</f>
        <v>21853.8</v>
      </c>
      <c r="C1018" s="4">
        <f>_xlfn.XLOOKUP($A1018, Reliance!A:A, Reliance!B:B, "")</f>
        <v>1457.7</v>
      </c>
      <c r="D1018" s="4">
        <f>_xlfn.XLOOKUP($A1018, HDFC!A:A, HDFC!B:B, "")</f>
        <v>721.28</v>
      </c>
      <c r="E1018" s="4">
        <f>_xlfn.XLOOKUP($A1018, ITC!A:A, ITC!B:B, "")</f>
        <v>416.34</v>
      </c>
      <c r="F1018" s="4">
        <f>_xlfn.XLOOKUP($A1018, TCS!A:A, TCS!B:B, "")</f>
        <v>3966.3</v>
      </c>
      <c r="G1018" s="4">
        <f>_xlfn.XLOOKUP($A1018, Infosys!A:A, Infosys!B:B,"")</f>
        <v>1683.86</v>
      </c>
      <c r="H1018" s="4">
        <f>_xlfn.XLOOKUP($A1018, 'L &amp; T'!A:A, 'L &amp; T'!B:B, "")</f>
        <v>3376.05</v>
      </c>
    </row>
    <row r="1019" spans="1:8" x14ac:dyDescent="0.3">
      <c r="A1019" s="1">
        <v>45327</v>
      </c>
      <c r="B1019" s="4">
        <f>_xlfn.XLOOKUP($A1019, 'Nifty 50'!A:A, 'Nifty 50'!B:B, "")</f>
        <v>21771.7</v>
      </c>
      <c r="C1019" s="4">
        <f>_xlfn.XLOOKUP($A1019, Reliance!A:A, Reliance!B:B, "")</f>
        <v>1439.03</v>
      </c>
      <c r="D1019" s="4">
        <f>_xlfn.XLOOKUP($A1019, HDFC!A:A, HDFC!B:B, "")</f>
        <v>720.63</v>
      </c>
      <c r="E1019" s="4">
        <f>_xlfn.XLOOKUP($A1019, ITC!A:A, ITC!B:B, "")</f>
        <v>414.4</v>
      </c>
      <c r="F1019" s="4">
        <f>_xlfn.XLOOKUP($A1019, TCS!A:A, TCS!B:B, "")</f>
        <v>3973.3</v>
      </c>
      <c r="G1019" s="4">
        <f>_xlfn.XLOOKUP($A1019, Infosys!A:A, Infosys!B:B,"")</f>
        <v>1677.74</v>
      </c>
      <c r="H1019" s="4">
        <f>_xlfn.XLOOKUP($A1019, 'L &amp; T'!A:A, 'L &amp; T'!B:B, "")</f>
        <v>3341.75</v>
      </c>
    </row>
    <row r="1020" spans="1:8" x14ac:dyDescent="0.3">
      <c r="A1020" s="1">
        <v>45328</v>
      </c>
      <c r="B1020" s="4">
        <f>_xlfn.XLOOKUP($A1020, 'Nifty 50'!A:A, 'Nifty 50'!B:B, "")</f>
        <v>21929.4</v>
      </c>
      <c r="C1020" s="4">
        <f>_xlfn.XLOOKUP($A1020, Reliance!A:A, Reliance!B:B, "")</f>
        <v>1427.8</v>
      </c>
      <c r="D1020" s="4">
        <f>_xlfn.XLOOKUP($A1020, HDFC!A:A, HDFC!B:B, "")</f>
        <v>720.26</v>
      </c>
      <c r="E1020" s="4">
        <f>_xlfn.XLOOKUP($A1020, ITC!A:A, ITC!B:B, "")</f>
        <v>408.11</v>
      </c>
      <c r="F1020" s="4">
        <f>_xlfn.XLOOKUP($A1020, TCS!A:A, TCS!B:B, "")</f>
        <v>4136</v>
      </c>
      <c r="G1020" s="4">
        <f>_xlfn.XLOOKUP($A1020, Infosys!A:A, Infosys!B:B,"")</f>
        <v>1719.76</v>
      </c>
      <c r="H1020" s="4">
        <f>_xlfn.XLOOKUP($A1020, 'L &amp; T'!A:A, 'L &amp; T'!B:B, "")</f>
        <v>3424.25</v>
      </c>
    </row>
    <row r="1021" spans="1:8" x14ac:dyDescent="0.3">
      <c r="A1021" s="1">
        <v>45329</v>
      </c>
      <c r="B1021" s="4">
        <f>_xlfn.XLOOKUP($A1021, 'Nifty 50'!A:A, 'Nifty 50'!B:B, "")</f>
        <v>21930.5</v>
      </c>
      <c r="C1021" s="4">
        <f>_xlfn.XLOOKUP($A1021, Reliance!A:A, Reliance!B:B, "")</f>
        <v>1442.15</v>
      </c>
      <c r="D1021" s="4">
        <f>_xlfn.XLOOKUP($A1021, HDFC!A:A, HDFC!B:B, "")</f>
        <v>713.2</v>
      </c>
      <c r="E1021" s="4">
        <f>_xlfn.XLOOKUP($A1021, ITC!A:A, ITC!B:B, "")</f>
        <v>408.49</v>
      </c>
      <c r="F1021" s="4">
        <f>_xlfn.XLOOKUP($A1021, TCS!A:A, TCS!B:B, "")</f>
        <v>4083.4</v>
      </c>
      <c r="G1021" s="4">
        <f>_xlfn.XLOOKUP($A1021, Infosys!A:A, Infosys!B:B,"")</f>
        <v>1684.26</v>
      </c>
      <c r="H1021" s="4">
        <f>_xlfn.XLOOKUP($A1021, 'L &amp; T'!A:A, 'L &amp; T'!B:B, "")</f>
        <v>3394.7</v>
      </c>
    </row>
    <row r="1022" spans="1:8" x14ac:dyDescent="0.3">
      <c r="A1022" s="1">
        <v>45330</v>
      </c>
      <c r="B1022" s="4">
        <f>_xlfn.XLOOKUP($A1022, 'Nifty 50'!A:A, 'Nifty 50'!B:B, "")</f>
        <v>21717.95</v>
      </c>
      <c r="C1022" s="4">
        <f>_xlfn.XLOOKUP($A1022, Reliance!A:A, Reliance!B:B, "")</f>
        <v>1450.13</v>
      </c>
      <c r="D1022" s="4">
        <f>_xlfn.XLOOKUP($A1022, HDFC!A:A, HDFC!B:B, "")</f>
        <v>699.78</v>
      </c>
      <c r="E1022" s="4">
        <f>_xlfn.XLOOKUP($A1022, ITC!A:A, ITC!B:B, "")</f>
        <v>392.17</v>
      </c>
      <c r="F1022" s="4">
        <f>_xlfn.XLOOKUP($A1022, TCS!A:A, TCS!B:B, "")</f>
        <v>4134.1000000000004</v>
      </c>
      <c r="G1022" s="4">
        <f>_xlfn.XLOOKUP($A1022, Infosys!A:A, Infosys!B:B,"")</f>
        <v>1682.62</v>
      </c>
      <c r="H1022" s="4">
        <f>_xlfn.XLOOKUP($A1022, 'L &amp; T'!A:A, 'L &amp; T'!B:B, "")</f>
        <v>3335.5</v>
      </c>
    </row>
    <row r="1023" spans="1:8" x14ac:dyDescent="0.3">
      <c r="A1023" s="1">
        <v>45331</v>
      </c>
      <c r="B1023" s="4">
        <f>_xlfn.XLOOKUP($A1023, 'Nifty 50'!A:A, 'Nifty 50'!B:B, "")</f>
        <v>21782.5</v>
      </c>
      <c r="C1023" s="4">
        <f>_xlfn.XLOOKUP($A1023, Reliance!A:A, Reliance!B:B, "")</f>
        <v>1460.75</v>
      </c>
      <c r="D1023" s="4">
        <f>_xlfn.XLOOKUP($A1023, HDFC!A:A, HDFC!B:B, "")</f>
        <v>700.06</v>
      </c>
      <c r="E1023" s="4">
        <f>_xlfn.XLOOKUP($A1023, ITC!A:A, ITC!B:B, "")</f>
        <v>393.07</v>
      </c>
      <c r="F1023" s="4">
        <f>_xlfn.XLOOKUP($A1023, TCS!A:A, TCS!B:B, "")</f>
        <v>4133.7</v>
      </c>
      <c r="G1023" s="4">
        <f>_xlfn.XLOOKUP($A1023, Infosys!A:A, Infosys!B:B,"")</f>
        <v>1659.99</v>
      </c>
      <c r="H1023" s="4">
        <f>_xlfn.XLOOKUP($A1023, 'L &amp; T'!A:A, 'L &amp; T'!B:B, "")</f>
        <v>3324.55</v>
      </c>
    </row>
    <row r="1024" spans="1:8" x14ac:dyDescent="0.3">
      <c r="A1024" s="1">
        <v>45334</v>
      </c>
      <c r="B1024" s="4">
        <f>_xlfn.XLOOKUP($A1024, 'Nifty 50'!A:A, 'Nifty 50'!B:B, "")</f>
        <v>21616.05</v>
      </c>
      <c r="C1024" s="4">
        <f>_xlfn.XLOOKUP($A1024, Reliance!A:A, Reliance!B:B, "")</f>
        <v>1452.35</v>
      </c>
      <c r="D1024" s="4">
        <f>_xlfn.XLOOKUP($A1024, HDFC!A:A, HDFC!B:B, "")</f>
        <v>693.28</v>
      </c>
      <c r="E1024" s="4">
        <f>_xlfn.XLOOKUP($A1024, ITC!A:A, ITC!B:B, "")</f>
        <v>384.89</v>
      </c>
      <c r="F1024" s="4">
        <f>_xlfn.XLOOKUP($A1024, TCS!A:A, TCS!B:B, "")</f>
        <v>4120.7</v>
      </c>
      <c r="G1024" s="4">
        <f>_xlfn.XLOOKUP($A1024, Infosys!A:A, Infosys!B:B,"")</f>
        <v>1670.69</v>
      </c>
      <c r="H1024" s="4">
        <f>_xlfn.XLOOKUP($A1024, 'L &amp; T'!A:A, 'L &amp; T'!B:B, "")</f>
        <v>3299.55</v>
      </c>
    </row>
    <row r="1025" spans="1:8" x14ac:dyDescent="0.3">
      <c r="A1025" s="1">
        <v>45335</v>
      </c>
      <c r="B1025" s="4">
        <f>_xlfn.XLOOKUP($A1025, 'Nifty 50'!A:A, 'Nifty 50'!B:B, "")</f>
        <v>21743.25</v>
      </c>
      <c r="C1025" s="4">
        <f>_xlfn.XLOOKUP($A1025, Reliance!A:A, Reliance!B:B, "")</f>
        <v>1465.1</v>
      </c>
      <c r="D1025" s="4">
        <f>_xlfn.XLOOKUP($A1025, HDFC!A:A, HDFC!B:B, "")</f>
        <v>695.49</v>
      </c>
      <c r="E1025" s="4">
        <f>_xlfn.XLOOKUP($A1025, ITC!A:A, ITC!B:B, "")</f>
        <v>384.79</v>
      </c>
      <c r="F1025" s="4">
        <f>_xlfn.XLOOKUP($A1025, TCS!A:A, TCS!B:B, "")</f>
        <v>4149.5</v>
      </c>
      <c r="G1025" s="4">
        <f>_xlfn.XLOOKUP($A1025, Infosys!A:A, Infosys!B:B,"")</f>
        <v>1675.11</v>
      </c>
      <c r="H1025" s="4">
        <f>_xlfn.XLOOKUP($A1025, 'L &amp; T'!A:A, 'L &amp; T'!B:B, "")</f>
        <v>3321.5</v>
      </c>
    </row>
    <row r="1026" spans="1:8" x14ac:dyDescent="0.3">
      <c r="A1026" s="1">
        <v>45336</v>
      </c>
      <c r="B1026" s="4">
        <f>_xlfn.XLOOKUP($A1026, 'Nifty 50'!A:A, 'Nifty 50'!B:B, "")</f>
        <v>21840.05</v>
      </c>
      <c r="C1026" s="4">
        <f>_xlfn.XLOOKUP($A1026, Reliance!A:A, Reliance!B:B, "")</f>
        <v>1481.38</v>
      </c>
      <c r="D1026" s="4">
        <f>_xlfn.XLOOKUP($A1026, HDFC!A:A, HDFC!B:B, "")</f>
        <v>690.31</v>
      </c>
      <c r="E1026" s="4">
        <f>_xlfn.XLOOKUP($A1026, ITC!A:A, ITC!B:B, "")</f>
        <v>389.33</v>
      </c>
      <c r="F1026" s="4">
        <f>_xlfn.XLOOKUP($A1026, TCS!A:A, TCS!B:B, "")</f>
        <v>4100.1000000000004</v>
      </c>
      <c r="G1026" s="4">
        <f>_xlfn.XLOOKUP($A1026, Infosys!A:A, Infosys!B:B,"")</f>
        <v>1656.86</v>
      </c>
      <c r="H1026" s="4">
        <f>_xlfn.XLOOKUP($A1026, 'L &amp; T'!A:A, 'L &amp; T'!B:B, "")</f>
        <v>3309</v>
      </c>
    </row>
    <row r="1027" spans="1:8" x14ac:dyDescent="0.3">
      <c r="A1027" s="1">
        <v>45337</v>
      </c>
      <c r="B1027" s="4">
        <f>_xlfn.XLOOKUP($A1027, 'Nifty 50'!A:A, 'Nifty 50'!B:B, "")</f>
        <v>21910.75</v>
      </c>
      <c r="C1027" s="4">
        <f>_xlfn.XLOOKUP($A1027, Reliance!A:A, Reliance!B:B, "")</f>
        <v>1470.6</v>
      </c>
      <c r="D1027" s="4">
        <f>_xlfn.XLOOKUP($A1027, HDFC!A:A, HDFC!B:B, "")</f>
        <v>705.27</v>
      </c>
      <c r="E1027" s="4">
        <f>_xlfn.XLOOKUP($A1027, ITC!A:A, ITC!B:B, "")</f>
        <v>382.1</v>
      </c>
      <c r="F1027" s="4">
        <f>_xlfn.XLOOKUP($A1027, TCS!A:A, TCS!B:B, "")</f>
        <v>4103.2</v>
      </c>
      <c r="G1027" s="4">
        <f>_xlfn.XLOOKUP($A1027, Infosys!A:A, Infosys!B:B,"")</f>
        <v>1666.96</v>
      </c>
      <c r="H1027" s="4">
        <f>_xlfn.XLOOKUP($A1027, 'L &amp; T'!A:A, 'L &amp; T'!B:B, "")</f>
        <v>3300.3</v>
      </c>
    </row>
    <row r="1028" spans="1:8" x14ac:dyDescent="0.3">
      <c r="A1028" s="1">
        <v>45338</v>
      </c>
      <c r="B1028" s="4">
        <f>_xlfn.XLOOKUP($A1028, 'Nifty 50'!A:A, 'Nifty 50'!B:B, "")</f>
        <v>22040.7</v>
      </c>
      <c r="C1028" s="4">
        <f>_xlfn.XLOOKUP($A1028, Reliance!A:A, Reliance!B:B, "")</f>
        <v>1460.57</v>
      </c>
      <c r="D1028" s="4">
        <f>_xlfn.XLOOKUP($A1028, HDFC!A:A, HDFC!B:B, "")</f>
        <v>708.19</v>
      </c>
      <c r="E1028" s="4">
        <f>_xlfn.XLOOKUP($A1028, ITC!A:A, ITC!B:B, "")</f>
        <v>382.76</v>
      </c>
      <c r="F1028" s="4">
        <f>_xlfn.XLOOKUP($A1028, TCS!A:A, TCS!B:B, "")</f>
        <v>4128.3</v>
      </c>
      <c r="G1028" s="4">
        <f>_xlfn.XLOOKUP($A1028, Infosys!A:A, Infosys!B:B,"")</f>
        <v>1692.11</v>
      </c>
      <c r="H1028" s="4">
        <f>_xlfn.XLOOKUP($A1028, 'L &amp; T'!A:A, 'L &amp; T'!B:B, "")</f>
        <v>3386.75</v>
      </c>
    </row>
    <row r="1029" spans="1:8" x14ac:dyDescent="0.3">
      <c r="A1029" s="1">
        <v>45341</v>
      </c>
      <c r="B1029" s="4">
        <f>_xlfn.XLOOKUP($A1029, 'Nifty 50'!A:A, 'Nifty 50'!B:B, "")</f>
        <v>22122.25</v>
      </c>
      <c r="C1029" s="4">
        <f>_xlfn.XLOOKUP($A1029, Reliance!A:A, Reliance!B:B, "")</f>
        <v>1474</v>
      </c>
      <c r="D1029" s="4">
        <f>_xlfn.XLOOKUP($A1029, HDFC!A:A, HDFC!B:B, "")</f>
        <v>706.79</v>
      </c>
      <c r="E1029" s="4">
        <f>_xlfn.XLOOKUP($A1029, ITC!A:A, ITC!B:B, "")</f>
        <v>387.16</v>
      </c>
      <c r="F1029" s="4">
        <f>_xlfn.XLOOKUP($A1029, TCS!A:A, TCS!B:B, "")</f>
        <v>4103.8</v>
      </c>
      <c r="G1029" s="4">
        <f>_xlfn.XLOOKUP($A1029, Infosys!A:A, Infosys!B:B,"")</f>
        <v>1690.22</v>
      </c>
      <c r="H1029" s="4">
        <f>_xlfn.XLOOKUP($A1029, 'L &amp; T'!A:A, 'L &amp; T'!B:B, "")</f>
        <v>3339.85</v>
      </c>
    </row>
    <row r="1030" spans="1:8" x14ac:dyDescent="0.3">
      <c r="A1030" s="1">
        <v>45342</v>
      </c>
      <c r="B1030" s="4">
        <f>_xlfn.XLOOKUP($A1030, 'Nifty 50'!A:A, 'Nifty 50'!B:B, "")</f>
        <v>22196.95</v>
      </c>
      <c r="C1030" s="4">
        <f>_xlfn.XLOOKUP($A1030, Reliance!A:A, Reliance!B:B, "")</f>
        <v>1471.03</v>
      </c>
      <c r="D1030" s="4">
        <f>_xlfn.XLOOKUP($A1030, HDFC!A:A, HDFC!B:B, "")</f>
        <v>725.35</v>
      </c>
      <c r="E1030" s="4">
        <f>_xlfn.XLOOKUP($A1030, ITC!A:A, ITC!B:B, "")</f>
        <v>384.18</v>
      </c>
      <c r="F1030" s="4">
        <f>_xlfn.XLOOKUP($A1030, TCS!A:A, TCS!B:B, "")</f>
        <v>4030.65</v>
      </c>
      <c r="G1030" s="4">
        <f>_xlfn.XLOOKUP($A1030, Infosys!A:A, Infosys!B:B,"")</f>
        <v>1675.81</v>
      </c>
      <c r="H1030" s="4">
        <f>_xlfn.XLOOKUP($A1030, 'L &amp; T'!A:A, 'L &amp; T'!B:B, "")</f>
        <v>3356.75</v>
      </c>
    </row>
    <row r="1031" spans="1:8" x14ac:dyDescent="0.3">
      <c r="A1031" s="1">
        <v>45343</v>
      </c>
      <c r="B1031" s="4">
        <f>_xlfn.XLOOKUP($A1031, 'Nifty 50'!A:A, 'Nifty 50'!B:B, "")</f>
        <v>22055.05</v>
      </c>
      <c r="C1031" s="4">
        <f>_xlfn.XLOOKUP($A1031, Reliance!A:A, Reliance!B:B, "")</f>
        <v>1467.7</v>
      </c>
      <c r="D1031" s="4">
        <f>_xlfn.XLOOKUP($A1031, HDFC!A:A, HDFC!B:B, "")</f>
        <v>717.79</v>
      </c>
      <c r="E1031" s="4">
        <f>_xlfn.XLOOKUP($A1031, ITC!A:A, ITC!B:B, "")</f>
        <v>381.57</v>
      </c>
      <c r="F1031" s="4">
        <f>_xlfn.XLOOKUP($A1031, TCS!A:A, TCS!B:B, "")</f>
        <v>3991.5</v>
      </c>
      <c r="G1031" s="4">
        <f>_xlfn.XLOOKUP($A1031, Infosys!A:A, Infosys!B:B,"")</f>
        <v>1646.27</v>
      </c>
      <c r="H1031" s="4">
        <f>_xlfn.XLOOKUP($A1031, 'L &amp; T'!A:A, 'L &amp; T'!B:B, "")</f>
        <v>3296.4</v>
      </c>
    </row>
    <row r="1032" spans="1:8" x14ac:dyDescent="0.3">
      <c r="A1032" s="1">
        <v>45344</v>
      </c>
      <c r="B1032" s="4">
        <f>_xlfn.XLOOKUP($A1032, 'Nifty 50'!A:A, 'Nifty 50'!B:B, "")</f>
        <v>22217.45</v>
      </c>
      <c r="C1032" s="4">
        <f>_xlfn.XLOOKUP($A1032, Reliance!A:A, Reliance!B:B, "")</f>
        <v>1481.75</v>
      </c>
      <c r="D1032" s="4">
        <f>_xlfn.XLOOKUP($A1032, HDFC!A:A, HDFC!B:B, "")</f>
        <v>708.01</v>
      </c>
      <c r="E1032" s="4">
        <f>_xlfn.XLOOKUP($A1032, ITC!A:A, ITC!B:B, "")</f>
        <v>392.08</v>
      </c>
      <c r="F1032" s="4">
        <f>_xlfn.XLOOKUP($A1032, TCS!A:A, TCS!B:B, "")</f>
        <v>4087.1</v>
      </c>
      <c r="G1032" s="4">
        <f>_xlfn.XLOOKUP($A1032, Infosys!A:A, Infosys!B:B,"")</f>
        <v>1671.93</v>
      </c>
      <c r="H1032" s="4">
        <f>_xlfn.XLOOKUP($A1032, 'L &amp; T'!A:A, 'L &amp; T'!B:B, "")</f>
        <v>3363.75</v>
      </c>
    </row>
    <row r="1033" spans="1:8" x14ac:dyDescent="0.3">
      <c r="A1033" s="1">
        <v>45345</v>
      </c>
      <c r="B1033" s="4">
        <f>_xlfn.XLOOKUP($A1033, 'Nifty 50'!A:A, 'Nifty 50'!B:B, "")</f>
        <v>22212.7</v>
      </c>
      <c r="C1033" s="4">
        <f>_xlfn.XLOOKUP($A1033, Reliance!A:A, Reliance!B:B, "")</f>
        <v>1493.63</v>
      </c>
      <c r="D1033" s="4">
        <f>_xlfn.XLOOKUP($A1033, HDFC!A:A, HDFC!B:B, "")</f>
        <v>708.54</v>
      </c>
      <c r="E1033" s="4">
        <f>_xlfn.XLOOKUP($A1033, ITC!A:A, ITC!B:B, "")</f>
        <v>389.19</v>
      </c>
      <c r="F1033" s="4">
        <f>_xlfn.XLOOKUP($A1033, TCS!A:A, TCS!B:B, "")</f>
        <v>4052.1</v>
      </c>
      <c r="G1033" s="4">
        <f>_xlfn.XLOOKUP($A1033, Infosys!A:A, Infosys!B:B,"")</f>
        <v>1667.45</v>
      </c>
      <c r="H1033" s="4">
        <f>_xlfn.XLOOKUP($A1033, 'L &amp; T'!A:A, 'L &amp; T'!B:B, "")</f>
        <v>3387.95</v>
      </c>
    </row>
    <row r="1034" spans="1:8" x14ac:dyDescent="0.3">
      <c r="A1034" s="1">
        <v>45348</v>
      </c>
      <c r="B1034" s="4">
        <f>_xlfn.XLOOKUP($A1034, 'Nifty 50'!A:A, 'Nifty 50'!B:B, "")</f>
        <v>22122.05</v>
      </c>
      <c r="C1034" s="4">
        <f>_xlfn.XLOOKUP($A1034, Reliance!A:A, Reliance!B:B, "")</f>
        <v>1487.32</v>
      </c>
      <c r="D1034" s="4">
        <f>_xlfn.XLOOKUP($A1034, HDFC!A:A, HDFC!B:B, "")</f>
        <v>709.38</v>
      </c>
      <c r="E1034" s="4">
        <f>_xlfn.XLOOKUP($A1034, ITC!A:A, ITC!B:B, "")</f>
        <v>387.11</v>
      </c>
      <c r="F1034" s="4">
        <f>_xlfn.XLOOKUP($A1034, TCS!A:A, TCS!B:B, "")</f>
        <v>4001.05</v>
      </c>
      <c r="G1034" s="4">
        <f>_xlfn.XLOOKUP($A1034, Infosys!A:A, Infosys!B:B,"")</f>
        <v>1650.85</v>
      </c>
      <c r="H1034" s="4">
        <f>_xlfn.XLOOKUP($A1034, 'L &amp; T'!A:A, 'L &amp; T'!B:B, "")</f>
        <v>3470.15</v>
      </c>
    </row>
    <row r="1035" spans="1:8" x14ac:dyDescent="0.3">
      <c r="A1035" s="1">
        <v>45349</v>
      </c>
      <c r="B1035" s="4">
        <f>_xlfn.XLOOKUP($A1035, 'Nifty 50'!A:A, 'Nifty 50'!B:B, "")</f>
        <v>22198.35</v>
      </c>
      <c r="C1035" s="4">
        <f>_xlfn.XLOOKUP($A1035, Reliance!A:A, Reliance!B:B, "")</f>
        <v>1485.65</v>
      </c>
      <c r="D1035" s="4">
        <f>_xlfn.XLOOKUP($A1035, HDFC!A:A, HDFC!B:B, "")</f>
        <v>708.31</v>
      </c>
      <c r="E1035" s="4">
        <f>_xlfn.XLOOKUP($A1035, ITC!A:A, ITC!B:B, "")</f>
        <v>388.95</v>
      </c>
      <c r="F1035" s="4">
        <f>_xlfn.XLOOKUP($A1035, TCS!A:A, TCS!B:B, "")</f>
        <v>4104.3999999999996</v>
      </c>
      <c r="G1035" s="4">
        <f>_xlfn.XLOOKUP($A1035, Infosys!A:A, Infosys!B:B,"")</f>
        <v>1654.28</v>
      </c>
      <c r="H1035" s="4">
        <f>_xlfn.XLOOKUP($A1035, 'L &amp; T'!A:A, 'L &amp; T'!B:B, "")</f>
        <v>3506.45</v>
      </c>
    </row>
    <row r="1036" spans="1:8" x14ac:dyDescent="0.3">
      <c r="A1036" s="1">
        <v>45350</v>
      </c>
      <c r="B1036" s="4">
        <f>_xlfn.XLOOKUP($A1036, 'Nifty 50'!A:A, 'Nifty 50'!B:B, "")</f>
        <v>21951.15</v>
      </c>
      <c r="C1036" s="4">
        <f>_xlfn.XLOOKUP($A1036, Reliance!A:A, Reliance!B:B, "")</f>
        <v>1455.63</v>
      </c>
      <c r="D1036" s="4">
        <f>_xlfn.XLOOKUP($A1036, HDFC!A:A, HDFC!B:B, "")</f>
        <v>702.95</v>
      </c>
      <c r="E1036" s="4">
        <f>_xlfn.XLOOKUP($A1036, ITC!A:A, ITC!B:B, "")</f>
        <v>386.26</v>
      </c>
      <c r="F1036" s="4">
        <f>_xlfn.XLOOKUP($A1036, TCS!A:A, TCS!B:B, "")</f>
        <v>4118.95</v>
      </c>
      <c r="G1036" s="4">
        <f>_xlfn.XLOOKUP($A1036, Infosys!A:A, Infosys!B:B,"")</f>
        <v>1661.88</v>
      </c>
      <c r="H1036" s="4">
        <f>_xlfn.XLOOKUP($A1036, 'L &amp; T'!A:A, 'L &amp; T'!B:B, "")</f>
        <v>3470.2</v>
      </c>
    </row>
    <row r="1037" spans="1:8" x14ac:dyDescent="0.3">
      <c r="A1037" s="1">
        <v>45351</v>
      </c>
      <c r="B1037" s="4">
        <f>_xlfn.XLOOKUP($A1037, 'Nifty 50'!A:A, 'Nifty 50'!B:B, "")</f>
        <v>21982.799999999999</v>
      </c>
      <c r="C1037" s="4">
        <f>_xlfn.XLOOKUP($A1037, Reliance!A:A, Reliance!B:B, "")</f>
        <v>1460.8</v>
      </c>
      <c r="D1037" s="4">
        <f>_xlfn.XLOOKUP($A1037, HDFC!A:A, HDFC!B:B, "")</f>
        <v>699.96</v>
      </c>
      <c r="E1037" s="4">
        <f>_xlfn.XLOOKUP($A1037, ITC!A:A, ITC!B:B, "")</f>
        <v>384.36</v>
      </c>
      <c r="F1037" s="4">
        <f>_xlfn.XLOOKUP($A1037, TCS!A:A, TCS!B:B, "")</f>
        <v>4095.1</v>
      </c>
      <c r="G1037" s="4">
        <f>_xlfn.XLOOKUP($A1037, Infosys!A:A, Infosys!B:B,"")</f>
        <v>1664.52</v>
      </c>
      <c r="H1037" s="4">
        <f>_xlfn.XLOOKUP($A1037, 'L &amp; T'!A:A, 'L &amp; T'!B:B, "")</f>
        <v>3477.55</v>
      </c>
    </row>
    <row r="1038" spans="1:8" x14ac:dyDescent="0.3">
      <c r="A1038" s="1">
        <v>45352</v>
      </c>
      <c r="B1038" s="4">
        <f>_xlfn.XLOOKUP($A1038, 'Nifty 50'!A:A, 'Nifty 50'!B:B, "")</f>
        <v>22338.75</v>
      </c>
      <c r="C1038" s="4">
        <f>_xlfn.XLOOKUP($A1038, Reliance!A:A, Reliance!B:B, "")</f>
        <v>1492.13</v>
      </c>
      <c r="D1038" s="4">
        <f>_xlfn.XLOOKUP($A1038, HDFC!A:A, HDFC!B:B, "")</f>
        <v>713.6</v>
      </c>
      <c r="E1038" s="4">
        <f>_xlfn.XLOOKUP($A1038, ITC!A:A, ITC!B:B, "")</f>
        <v>387.39</v>
      </c>
      <c r="F1038" s="4">
        <f>_xlfn.XLOOKUP($A1038, TCS!A:A, TCS!B:B, "")</f>
        <v>4094.35</v>
      </c>
      <c r="G1038" s="4">
        <f>_xlfn.XLOOKUP($A1038, Infosys!A:A, Infosys!B:B,"")</f>
        <v>1645.43</v>
      </c>
      <c r="H1038" s="4">
        <f>_xlfn.XLOOKUP($A1038, 'L &amp; T'!A:A, 'L &amp; T'!B:B, "")</f>
        <v>3633.5</v>
      </c>
    </row>
    <row r="1039" spans="1:8" x14ac:dyDescent="0.3">
      <c r="A1039" s="1">
        <v>45353</v>
      </c>
      <c r="B1039" s="4">
        <f>_xlfn.XLOOKUP($A1039, 'Nifty 50'!A:A, 'Nifty 50'!B:B, "")</f>
        <v>22378.400000000001</v>
      </c>
      <c r="C1039" s="4">
        <f>_xlfn.XLOOKUP($A1039, Reliance!A:A, Reliance!B:B, "")</f>
        <v>1491.08</v>
      </c>
      <c r="D1039" s="4">
        <f>_xlfn.XLOOKUP($A1039, HDFC!A:A, HDFC!B:B, "")</f>
        <v>713.6</v>
      </c>
      <c r="E1039" s="4">
        <f>_xlfn.XLOOKUP($A1039, ITC!A:A, ITC!B:B, "")</f>
        <v>412.05</v>
      </c>
      <c r="F1039" s="4">
        <f>_xlfn.XLOOKUP($A1039, TCS!A:A, TCS!B:B, "")</f>
        <v>4107.1000000000004</v>
      </c>
      <c r="G1039" s="4">
        <f>_xlfn.XLOOKUP($A1039, Infosys!A:A, Infosys!B:B,"")</f>
        <v>1656.3</v>
      </c>
      <c r="H1039" s="4">
        <f>_xlfn.XLOOKUP($A1039, 'L &amp; T'!A:A, 'L &amp; T'!B:B, "")</f>
        <v>3655.25</v>
      </c>
    </row>
    <row r="1040" spans="1:8" x14ac:dyDescent="0.3">
      <c r="A1040" s="1">
        <v>45355</v>
      </c>
      <c r="B1040" s="4">
        <f>_xlfn.XLOOKUP($A1040, 'Nifty 50'!A:A, 'Nifty 50'!B:B, "")</f>
        <v>22405.599999999999</v>
      </c>
      <c r="C1040" s="4">
        <f>_xlfn.XLOOKUP($A1040, Reliance!A:A, Reliance!B:B, "")</f>
        <v>1507.4</v>
      </c>
      <c r="D1040" s="4">
        <f>_xlfn.XLOOKUP($A1040, HDFC!A:A, HDFC!B:B, "")</f>
        <v>714.57</v>
      </c>
      <c r="E1040" s="4">
        <f>_xlfn.XLOOKUP($A1040, ITC!A:A, ITC!B:B, "")</f>
        <v>387.01</v>
      </c>
      <c r="F1040" s="4">
        <f>_xlfn.XLOOKUP($A1040, TCS!A:A, TCS!B:B, "")</f>
        <v>4080.7</v>
      </c>
      <c r="G1040" s="4">
        <f>_xlfn.XLOOKUP($A1040, Infosys!A:A, Infosys!B:B,"")</f>
        <v>1628.03</v>
      </c>
      <c r="H1040" s="4">
        <f>_xlfn.XLOOKUP($A1040, 'L &amp; T'!A:A, 'L &amp; T'!B:B, "")</f>
        <v>3644.45</v>
      </c>
    </row>
    <row r="1041" spans="1:8" x14ac:dyDescent="0.3">
      <c r="A1041" s="1">
        <v>45356</v>
      </c>
      <c r="B1041" s="4">
        <f>_xlfn.XLOOKUP($A1041, 'Nifty 50'!A:A, 'Nifty 50'!B:B, "")</f>
        <v>22356.3</v>
      </c>
      <c r="C1041" s="4">
        <f>_xlfn.XLOOKUP($A1041, Reliance!A:A, Reliance!B:B, "")</f>
        <v>1500.2</v>
      </c>
      <c r="D1041" s="4">
        <f>_xlfn.XLOOKUP($A1041, HDFC!A:A, HDFC!B:B, "")</f>
        <v>718.64</v>
      </c>
      <c r="E1041" s="4">
        <f>_xlfn.XLOOKUP($A1041, ITC!A:A, ITC!B:B, "")</f>
        <v>384.22</v>
      </c>
      <c r="F1041" s="4">
        <f>_xlfn.XLOOKUP($A1041, TCS!A:A, TCS!B:B, "")</f>
        <v>4012.1</v>
      </c>
      <c r="G1041" s="4">
        <f>_xlfn.XLOOKUP($A1041, Infosys!A:A, Infosys!B:B,"")</f>
        <v>1597.5</v>
      </c>
      <c r="H1041" s="4">
        <f>_xlfn.XLOOKUP($A1041, 'L &amp; T'!A:A, 'L &amp; T'!B:B, "")</f>
        <v>3612.6</v>
      </c>
    </row>
    <row r="1042" spans="1:8" x14ac:dyDescent="0.3">
      <c r="A1042" s="1">
        <v>45357</v>
      </c>
      <c r="B1042" s="4">
        <f>_xlfn.XLOOKUP($A1042, 'Nifty 50'!A:A, 'Nifty 50'!B:B, "")</f>
        <v>22474.05</v>
      </c>
      <c r="C1042" s="4">
        <f>_xlfn.XLOOKUP($A1042, Reliance!A:A, Reliance!B:B, "")</f>
        <v>1503</v>
      </c>
      <c r="D1042" s="4">
        <f>_xlfn.XLOOKUP($A1042, HDFC!A:A, HDFC!B:B, "")</f>
        <v>719.51</v>
      </c>
      <c r="E1042" s="4">
        <f>_xlfn.XLOOKUP($A1042, ITC!A:A, ITC!B:B, "")</f>
        <v>385.83</v>
      </c>
      <c r="F1042" s="4">
        <f>_xlfn.XLOOKUP($A1042, TCS!A:A, TCS!B:B, "")</f>
        <v>4064.3</v>
      </c>
      <c r="G1042" s="4">
        <f>_xlfn.XLOOKUP($A1042, Infosys!A:A, Infosys!B:B,"")</f>
        <v>1608.48</v>
      </c>
      <c r="H1042" s="4">
        <f>_xlfn.XLOOKUP($A1042, 'L &amp; T'!A:A, 'L &amp; T'!B:B, "")</f>
        <v>3642.2</v>
      </c>
    </row>
    <row r="1043" spans="1:8" x14ac:dyDescent="0.3">
      <c r="A1043" s="1">
        <v>45358</v>
      </c>
      <c r="B1043" s="4">
        <f>_xlfn.XLOOKUP($A1043, 'Nifty 50'!A:A, 'Nifty 50'!B:B, "")</f>
        <v>22493.55</v>
      </c>
      <c r="C1043" s="4">
        <f>_xlfn.XLOOKUP($A1043, Reliance!A:A, Reliance!B:B, "")</f>
        <v>1478.93</v>
      </c>
      <c r="D1043" s="4">
        <f>_xlfn.XLOOKUP($A1043, HDFC!A:A, HDFC!B:B, "")</f>
        <v>721.26</v>
      </c>
      <c r="E1043" s="4">
        <f>_xlfn.XLOOKUP($A1043, ITC!A:A, ITC!B:B, "")</f>
        <v>391.22</v>
      </c>
      <c r="F1043" s="4">
        <f>_xlfn.XLOOKUP($A1043, TCS!A:A, TCS!B:B, "")</f>
        <v>4108.6000000000004</v>
      </c>
      <c r="G1043" s="4">
        <f>_xlfn.XLOOKUP($A1043, Infosys!A:A, Infosys!B:B,"")</f>
        <v>1607.39</v>
      </c>
      <c r="H1043" s="4">
        <f>_xlfn.XLOOKUP($A1043, 'L &amp; T'!A:A, 'L &amp; T'!B:B, "")</f>
        <v>3676.95</v>
      </c>
    </row>
    <row r="1044" spans="1:8" x14ac:dyDescent="0.3">
      <c r="A1044" s="1">
        <v>45362</v>
      </c>
      <c r="B1044" s="4">
        <f>_xlfn.XLOOKUP($A1044, 'Nifty 50'!A:A, 'Nifty 50'!B:B, "")</f>
        <v>22332.65</v>
      </c>
      <c r="C1044" s="4">
        <f>_xlfn.XLOOKUP($A1044, Reliance!A:A, Reliance!B:B, "")</f>
        <v>1466.6</v>
      </c>
      <c r="D1044" s="4">
        <f>_xlfn.XLOOKUP($A1044, HDFC!A:A, HDFC!B:B, "")</f>
        <v>712.13</v>
      </c>
      <c r="E1044" s="4">
        <f>_xlfn.XLOOKUP($A1044, ITC!A:A, ITC!B:B, "")</f>
        <v>387.3</v>
      </c>
      <c r="F1044" s="4">
        <f>_xlfn.XLOOKUP($A1044, TCS!A:A, TCS!B:B, "")</f>
        <v>4122.3500000000004</v>
      </c>
      <c r="G1044" s="4">
        <f>_xlfn.XLOOKUP($A1044, Infosys!A:A, Infosys!B:B,"")</f>
        <v>1591.63</v>
      </c>
      <c r="H1044" s="4">
        <f>_xlfn.XLOOKUP($A1044, 'L &amp; T'!A:A, 'L &amp; T'!B:B, "")</f>
        <v>3640.6</v>
      </c>
    </row>
    <row r="1045" spans="1:8" x14ac:dyDescent="0.3">
      <c r="A1045" s="1">
        <v>45363</v>
      </c>
      <c r="B1045" s="4">
        <f>_xlfn.XLOOKUP($A1045, 'Nifty 50'!A:A, 'Nifty 50'!B:B, "")</f>
        <v>22335.7</v>
      </c>
      <c r="C1045" s="4">
        <f>_xlfn.XLOOKUP($A1045, Reliance!A:A, Reliance!B:B, "")</f>
        <v>1475.43</v>
      </c>
      <c r="D1045" s="4">
        <f>_xlfn.XLOOKUP($A1045, HDFC!A:A, HDFC!B:B, "")</f>
        <v>727.96</v>
      </c>
      <c r="E1045" s="4">
        <f>_xlfn.XLOOKUP($A1045, ITC!A:A, ITC!B:B, "")</f>
        <v>382.61</v>
      </c>
      <c r="F1045" s="4">
        <f>_xlfn.XLOOKUP($A1045, TCS!A:A, TCS!B:B, "")</f>
        <v>4192.25</v>
      </c>
      <c r="G1045" s="4">
        <f>_xlfn.XLOOKUP($A1045, Infosys!A:A, Infosys!B:B,"")</f>
        <v>1603.91</v>
      </c>
      <c r="H1045" s="4">
        <f>_xlfn.XLOOKUP($A1045, 'L &amp; T'!A:A, 'L &amp; T'!B:B, "")</f>
        <v>3621.65</v>
      </c>
    </row>
    <row r="1046" spans="1:8" x14ac:dyDescent="0.3">
      <c r="A1046" s="1">
        <v>45364</v>
      </c>
      <c r="B1046" s="4">
        <f>_xlfn.XLOOKUP($A1046, 'Nifty 50'!A:A, 'Nifty 50'!B:B, "")</f>
        <v>21997.7</v>
      </c>
      <c r="C1046" s="4">
        <f>_xlfn.XLOOKUP($A1046, Reliance!A:A, Reliance!B:B, "")</f>
        <v>1432.18</v>
      </c>
      <c r="D1046" s="4">
        <f>_xlfn.XLOOKUP($A1046, HDFC!A:A, HDFC!B:B, "")</f>
        <v>728.39</v>
      </c>
      <c r="E1046" s="4">
        <f>_xlfn.XLOOKUP($A1046, ITC!A:A, ITC!B:B, "")</f>
        <v>399.64</v>
      </c>
      <c r="F1046" s="4">
        <f>_xlfn.XLOOKUP($A1046, TCS!A:A, TCS!B:B, "")</f>
        <v>4149</v>
      </c>
      <c r="G1046" s="4">
        <f>_xlfn.XLOOKUP($A1046, Infosys!A:A, Infosys!B:B,"")</f>
        <v>1602.37</v>
      </c>
      <c r="H1046" s="4">
        <f>_xlfn.XLOOKUP($A1046, 'L &amp; T'!A:A, 'L &amp; T'!B:B, "")</f>
        <v>3538.55</v>
      </c>
    </row>
    <row r="1047" spans="1:8" x14ac:dyDescent="0.3">
      <c r="A1047" s="1">
        <v>45365</v>
      </c>
      <c r="B1047" s="4">
        <f>_xlfn.XLOOKUP($A1047, 'Nifty 50'!A:A, 'Nifty 50'!B:B, "")</f>
        <v>22146.65</v>
      </c>
      <c r="C1047" s="4">
        <f>_xlfn.XLOOKUP($A1047, Reliance!A:A, Reliance!B:B, "")</f>
        <v>1431.47</v>
      </c>
      <c r="D1047" s="4">
        <f>_xlfn.XLOOKUP($A1047, HDFC!A:A, HDFC!B:B, "")</f>
        <v>725.92</v>
      </c>
      <c r="E1047" s="4">
        <f>_xlfn.XLOOKUP($A1047, ITC!A:A, ITC!B:B, "")</f>
        <v>396.99</v>
      </c>
      <c r="F1047" s="4">
        <f>_xlfn.XLOOKUP($A1047, TCS!A:A, TCS!B:B, "")</f>
        <v>4207.6000000000004</v>
      </c>
      <c r="G1047" s="4">
        <f>_xlfn.XLOOKUP($A1047, Infosys!A:A, Infosys!B:B,"")</f>
        <v>1644.04</v>
      </c>
      <c r="H1047" s="4">
        <f>_xlfn.XLOOKUP($A1047, 'L &amp; T'!A:A, 'L &amp; T'!B:B, "")</f>
        <v>3608.2</v>
      </c>
    </row>
    <row r="1048" spans="1:8" x14ac:dyDescent="0.3">
      <c r="A1048" s="1">
        <v>45366</v>
      </c>
      <c r="B1048" s="4">
        <f>_xlfn.XLOOKUP($A1048, 'Nifty 50'!A:A, 'Nifty 50'!B:B, "")</f>
        <v>22023.35</v>
      </c>
      <c r="C1048" s="4">
        <f>_xlfn.XLOOKUP($A1048, Reliance!A:A, Reliance!B:B, "")</f>
        <v>1418.22</v>
      </c>
      <c r="D1048" s="4">
        <f>_xlfn.XLOOKUP($A1048, HDFC!A:A, HDFC!B:B, "")</f>
        <v>724.52</v>
      </c>
      <c r="E1048" s="4">
        <f>_xlfn.XLOOKUP($A1048, ITC!A:A, ITC!B:B, "")</f>
        <v>396.47</v>
      </c>
      <c r="F1048" s="4">
        <f>_xlfn.XLOOKUP($A1048, TCS!A:A, TCS!B:B, "")</f>
        <v>4219.25</v>
      </c>
      <c r="G1048" s="4">
        <f>_xlfn.XLOOKUP($A1048, Infosys!A:A, Infosys!B:B,"")</f>
        <v>1624.84</v>
      </c>
      <c r="H1048" s="4">
        <f>_xlfn.XLOOKUP($A1048, 'L &amp; T'!A:A, 'L &amp; T'!B:B, "")</f>
        <v>3537.15</v>
      </c>
    </row>
    <row r="1049" spans="1:8" x14ac:dyDescent="0.3">
      <c r="A1049" s="1">
        <v>45369</v>
      </c>
      <c r="B1049" s="4">
        <f>_xlfn.XLOOKUP($A1049, 'Nifty 50'!A:A, 'Nifty 50'!B:B, "")</f>
        <v>22055.7</v>
      </c>
      <c r="C1049" s="4">
        <f>_xlfn.XLOOKUP($A1049, Reliance!A:A, Reliance!B:B, "")</f>
        <v>1439.47</v>
      </c>
      <c r="D1049" s="4">
        <f>_xlfn.XLOOKUP($A1049, HDFC!A:A, HDFC!B:B, "")</f>
        <v>721.23</v>
      </c>
      <c r="E1049" s="4">
        <f>_xlfn.XLOOKUP($A1049, ITC!A:A, ITC!B:B, "")</f>
        <v>394.91</v>
      </c>
      <c r="F1049" s="4">
        <f>_xlfn.XLOOKUP($A1049, TCS!A:A, TCS!B:B, "")</f>
        <v>4152.5</v>
      </c>
      <c r="G1049" s="4">
        <f>_xlfn.XLOOKUP($A1049, Infosys!A:A, Infosys!B:B,"")</f>
        <v>1593.67</v>
      </c>
      <c r="H1049" s="4">
        <f>_xlfn.XLOOKUP($A1049, 'L &amp; T'!A:A, 'L &amp; T'!B:B, "")</f>
        <v>3561.2</v>
      </c>
    </row>
    <row r="1050" spans="1:8" x14ac:dyDescent="0.3">
      <c r="A1050" s="1">
        <v>45370</v>
      </c>
      <c r="B1050" s="4">
        <f>_xlfn.XLOOKUP($A1050, 'Nifty 50'!A:A, 'Nifty 50'!B:B, "")</f>
        <v>21817.45</v>
      </c>
      <c r="C1050" s="4">
        <f>_xlfn.XLOOKUP($A1050, Reliance!A:A, Reliance!B:B, "")</f>
        <v>1425.25</v>
      </c>
      <c r="D1050" s="4">
        <f>_xlfn.XLOOKUP($A1050, HDFC!A:A, HDFC!B:B, "")</f>
        <v>722.88</v>
      </c>
      <c r="E1050" s="4">
        <f>_xlfn.XLOOKUP($A1050, ITC!A:A, ITC!B:B, "")</f>
        <v>387.44</v>
      </c>
      <c r="F1050" s="4">
        <f>_xlfn.XLOOKUP($A1050, TCS!A:A, TCS!B:B, "")</f>
        <v>3977.3</v>
      </c>
      <c r="G1050" s="4">
        <f>_xlfn.XLOOKUP($A1050, Infosys!A:A, Infosys!B:B,"")</f>
        <v>1552.7</v>
      </c>
      <c r="H1050" s="4">
        <f>_xlfn.XLOOKUP($A1050, 'L &amp; T'!A:A, 'L &amp; T'!B:B, "")</f>
        <v>3501.7</v>
      </c>
    </row>
    <row r="1051" spans="1:8" x14ac:dyDescent="0.3">
      <c r="A1051" s="1">
        <v>45371</v>
      </c>
      <c r="B1051" s="4">
        <f>_xlfn.XLOOKUP($A1051, 'Nifty 50'!A:A, 'Nifty 50'!B:B, "")</f>
        <v>21839.1</v>
      </c>
      <c r="C1051" s="4">
        <f>_xlfn.XLOOKUP($A1051, Reliance!A:A, Reliance!B:B, "")</f>
        <v>1443.75</v>
      </c>
      <c r="D1051" s="4">
        <f>_xlfn.XLOOKUP($A1051, HDFC!A:A, HDFC!B:B, "")</f>
        <v>713.75</v>
      </c>
      <c r="E1051" s="4">
        <f>_xlfn.XLOOKUP($A1051, ITC!A:A, ITC!B:B, "")</f>
        <v>393.26</v>
      </c>
      <c r="F1051" s="4">
        <f>_xlfn.XLOOKUP($A1051, TCS!A:A, TCS!B:B, "")</f>
        <v>3970.9</v>
      </c>
      <c r="G1051" s="4">
        <f>_xlfn.XLOOKUP($A1051, Infosys!A:A, Infosys!B:B,"")</f>
        <v>1546.24</v>
      </c>
      <c r="H1051" s="4">
        <f>_xlfn.XLOOKUP($A1051, 'L &amp; T'!A:A, 'L &amp; T'!B:B, "")</f>
        <v>3509.7</v>
      </c>
    </row>
    <row r="1052" spans="1:8" x14ac:dyDescent="0.3">
      <c r="A1052" s="1">
        <v>45372</v>
      </c>
      <c r="B1052" s="4">
        <f>_xlfn.XLOOKUP($A1052, 'Nifty 50'!A:A, 'Nifty 50'!B:B, "")</f>
        <v>22011.95</v>
      </c>
      <c r="C1052" s="4">
        <f>_xlfn.XLOOKUP($A1052, Reliance!A:A, Reliance!B:B, "")</f>
        <v>1450.97</v>
      </c>
      <c r="D1052" s="4">
        <f>_xlfn.XLOOKUP($A1052, HDFC!A:A, HDFC!B:B, "")</f>
        <v>721.08</v>
      </c>
      <c r="E1052" s="4">
        <f>_xlfn.XLOOKUP($A1052, ITC!A:A, ITC!B:B, "")</f>
        <v>398.51</v>
      </c>
      <c r="F1052" s="4">
        <f>_xlfn.XLOOKUP($A1052, TCS!A:A, TCS!B:B, "")</f>
        <v>3972.95</v>
      </c>
      <c r="G1052" s="4">
        <f>_xlfn.XLOOKUP($A1052, Infosys!A:A, Infosys!B:B,"")</f>
        <v>1545.99</v>
      </c>
      <c r="H1052" s="4">
        <f>_xlfn.XLOOKUP($A1052, 'L &amp; T'!A:A, 'L &amp; T'!B:B, "")</f>
        <v>3560</v>
      </c>
    </row>
    <row r="1053" spans="1:8" x14ac:dyDescent="0.3">
      <c r="A1053" s="1">
        <v>45373</v>
      </c>
      <c r="B1053" s="4">
        <f>_xlfn.XLOOKUP($A1053, 'Nifty 50'!A:A, 'Nifty 50'!B:B, "")</f>
        <v>22096.75</v>
      </c>
      <c r="C1053" s="4">
        <f>_xlfn.XLOOKUP($A1053, Reliance!A:A, Reliance!B:B, "")</f>
        <v>1455.03</v>
      </c>
      <c r="D1053" s="4">
        <f>_xlfn.XLOOKUP($A1053, HDFC!A:A, HDFC!B:B, "")</f>
        <v>719.63</v>
      </c>
      <c r="E1053" s="4">
        <f>_xlfn.XLOOKUP($A1053, ITC!A:A, ITC!B:B, "")</f>
        <v>405.46</v>
      </c>
      <c r="F1053" s="4">
        <f>_xlfn.XLOOKUP($A1053, TCS!A:A, TCS!B:B, "")</f>
        <v>3910.9</v>
      </c>
      <c r="G1053" s="4">
        <f>_xlfn.XLOOKUP($A1053, Infosys!A:A, Infosys!B:B,"")</f>
        <v>1500.39</v>
      </c>
      <c r="H1053" s="4">
        <f>_xlfn.XLOOKUP($A1053, 'L &amp; T'!A:A, 'L &amp; T'!B:B, "")</f>
        <v>3617.8</v>
      </c>
    </row>
    <row r="1054" spans="1:8" x14ac:dyDescent="0.3">
      <c r="A1054" s="1">
        <v>45377</v>
      </c>
      <c r="B1054" s="4">
        <f>_xlfn.XLOOKUP($A1054, 'Nifty 50'!A:A, 'Nifty 50'!B:B, "")</f>
        <v>22004.7</v>
      </c>
      <c r="C1054" s="4">
        <f>_xlfn.XLOOKUP($A1054, Reliance!A:A, Reliance!B:B, "")</f>
        <v>1441.57</v>
      </c>
      <c r="D1054" s="4">
        <f>_xlfn.XLOOKUP($A1054, HDFC!A:A, HDFC!B:B, "")</f>
        <v>710.93</v>
      </c>
      <c r="E1054" s="4">
        <f>_xlfn.XLOOKUP($A1054, ITC!A:A, ITC!B:B, "")</f>
        <v>404.56</v>
      </c>
      <c r="F1054" s="4">
        <f>_xlfn.XLOOKUP($A1054, TCS!A:A, TCS!B:B, "")</f>
        <v>3877.5</v>
      </c>
      <c r="G1054" s="4">
        <f>_xlfn.XLOOKUP($A1054, Infosys!A:A, Infosys!B:B,"")</f>
        <v>1484.29</v>
      </c>
      <c r="H1054" s="4">
        <f>_xlfn.XLOOKUP($A1054, 'L &amp; T'!A:A, 'L &amp; T'!B:B, "")</f>
        <v>3670.1</v>
      </c>
    </row>
    <row r="1055" spans="1:8" x14ac:dyDescent="0.3">
      <c r="A1055" s="1">
        <v>45378</v>
      </c>
      <c r="B1055" s="4">
        <f>_xlfn.XLOOKUP($A1055, 'Nifty 50'!A:A, 'Nifty 50'!B:B, "")</f>
        <v>22123.65</v>
      </c>
      <c r="C1055" s="4">
        <f>_xlfn.XLOOKUP($A1055, Reliance!A:A, Reliance!B:B, "")</f>
        <v>1492.85</v>
      </c>
      <c r="D1055" s="4">
        <f>_xlfn.XLOOKUP($A1055, HDFC!A:A, HDFC!B:B, "")</f>
        <v>718.56</v>
      </c>
      <c r="E1055" s="4">
        <f>_xlfn.XLOOKUP($A1055, ITC!A:A, ITC!B:B, "")</f>
        <v>404.89</v>
      </c>
      <c r="F1055" s="4">
        <f>_xlfn.XLOOKUP($A1055, TCS!A:A, TCS!B:B, "")</f>
        <v>3840.9</v>
      </c>
      <c r="G1055" s="4">
        <f>_xlfn.XLOOKUP($A1055, Infosys!A:A, Infosys!B:B,"")</f>
        <v>1475.54</v>
      </c>
      <c r="H1055" s="4">
        <f>_xlfn.XLOOKUP($A1055, 'L &amp; T'!A:A, 'L &amp; T'!B:B, "")</f>
        <v>3706.4</v>
      </c>
    </row>
    <row r="1056" spans="1:8" x14ac:dyDescent="0.3">
      <c r="A1056" s="1">
        <v>45379</v>
      </c>
      <c r="B1056" s="4">
        <f>_xlfn.XLOOKUP($A1056, 'Nifty 50'!A:A, 'Nifty 50'!B:B, "")</f>
        <v>22326.9</v>
      </c>
      <c r="C1056" s="4">
        <f>_xlfn.XLOOKUP($A1056, Reliance!A:A, Reliance!B:B, "")</f>
        <v>1485.85</v>
      </c>
      <c r="D1056" s="4">
        <f>_xlfn.XLOOKUP($A1056, HDFC!A:A, HDFC!B:B, "")</f>
        <v>722.15</v>
      </c>
      <c r="E1056" s="4">
        <f>_xlfn.XLOOKUP($A1056, ITC!A:A, ITC!B:B, "")</f>
        <v>405.23</v>
      </c>
      <c r="F1056" s="4">
        <f>_xlfn.XLOOKUP($A1056, TCS!A:A, TCS!B:B, "")</f>
        <v>3876.3</v>
      </c>
      <c r="G1056" s="4">
        <f>_xlfn.XLOOKUP($A1056, Infosys!A:A, Infosys!B:B,"")</f>
        <v>1489.66</v>
      </c>
      <c r="H1056" s="4">
        <f>_xlfn.XLOOKUP($A1056, 'L &amp; T'!A:A, 'L &amp; T'!B:B, "")</f>
        <v>3763.9</v>
      </c>
    </row>
    <row r="1057" spans="1:8" x14ac:dyDescent="0.3">
      <c r="A1057" s="1">
        <v>45383</v>
      </c>
      <c r="B1057" s="4">
        <f>_xlfn.XLOOKUP($A1057, 'Nifty 50'!A:A, 'Nifty 50'!B:B, "")</f>
        <v>22462</v>
      </c>
      <c r="C1057" s="4">
        <f>_xlfn.XLOOKUP($A1057, Reliance!A:A, Reliance!B:B, "")</f>
        <v>1484.78</v>
      </c>
      <c r="D1057" s="4">
        <f>_xlfn.XLOOKUP($A1057, HDFC!A:A, HDFC!B:B, "")</f>
        <v>733.43</v>
      </c>
      <c r="E1057" s="4">
        <f>_xlfn.XLOOKUP($A1057, ITC!A:A, ITC!B:B, "")</f>
        <v>403.66</v>
      </c>
      <c r="F1057" s="4">
        <f>_xlfn.XLOOKUP($A1057, TCS!A:A, TCS!B:B, "")</f>
        <v>3916.75</v>
      </c>
      <c r="G1057" s="4">
        <f>_xlfn.XLOOKUP($A1057, Infosys!A:A, Infosys!B:B,"")</f>
        <v>1487.07</v>
      </c>
      <c r="H1057" s="4">
        <f>_xlfn.XLOOKUP($A1057, 'L &amp; T'!A:A, 'L &amp; T'!B:B, "")</f>
        <v>3838</v>
      </c>
    </row>
    <row r="1058" spans="1:8" x14ac:dyDescent="0.3">
      <c r="A1058" s="1">
        <v>45384</v>
      </c>
      <c r="B1058" s="4">
        <f>_xlfn.XLOOKUP($A1058, 'Nifty 50'!A:A, 'Nifty 50'!B:B, "")</f>
        <v>22453.3</v>
      </c>
      <c r="C1058" s="4">
        <f>_xlfn.XLOOKUP($A1058, Reliance!A:A, Reliance!B:B, "")</f>
        <v>1486.95</v>
      </c>
      <c r="D1058" s="4">
        <f>_xlfn.XLOOKUP($A1058, HDFC!A:A, HDFC!B:B, "")</f>
        <v>738.24</v>
      </c>
      <c r="E1058" s="4">
        <f>_xlfn.XLOOKUP($A1058, ITC!A:A, ITC!B:B, "")</f>
        <v>402.86</v>
      </c>
      <c r="F1058" s="4">
        <f>_xlfn.XLOOKUP($A1058, TCS!A:A, TCS!B:B, "")</f>
        <v>3883.8</v>
      </c>
      <c r="G1058" s="4">
        <f>_xlfn.XLOOKUP($A1058, Infosys!A:A, Infosys!B:B,"")</f>
        <v>1474.54</v>
      </c>
      <c r="H1058" s="4">
        <f>_xlfn.XLOOKUP($A1058, 'L &amp; T'!A:A, 'L &amp; T'!B:B, "")</f>
        <v>3807.4</v>
      </c>
    </row>
    <row r="1059" spans="1:8" x14ac:dyDescent="0.3">
      <c r="A1059" s="1">
        <v>45385</v>
      </c>
      <c r="B1059" s="4">
        <f>_xlfn.XLOOKUP($A1059, 'Nifty 50'!A:A, 'Nifty 50'!B:B, "")</f>
        <v>22434.65</v>
      </c>
      <c r="C1059" s="4">
        <f>_xlfn.XLOOKUP($A1059, Reliance!A:A, Reliance!B:B, "")</f>
        <v>1471.6</v>
      </c>
      <c r="D1059" s="4">
        <f>_xlfn.XLOOKUP($A1059, HDFC!A:A, HDFC!B:B, "")</f>
        <v>739.31</v>
      </c>
      <c r="E1059" s="4">
        <f>_xlfn.XLOOKUP($A1059, ITC!A:A, ITC!B:B, "")</f>
        <v>402.24</v>
      </c>
      <c r="F1059" s="4">
        <f>_xlfn.XLOOKUP($A1059, TCS!A:A, TCS!B:B, "")</f>
        <v>3947.3</v>
      </c>
      <c r="G1059" s="4">
        <f>_xlfn.XLOOKUP($A1059, Infosys!A:A, Infosys!B:B,"")</f>
        <v>1472.35</v>
      </c>
      <c r="H1059" s="4">
        <f>_xlfn.XLOOKUP($A1059, 'L &amp; T'!A:A, 'L &amp; T'!B:B, "")</f>
        <v>3782.45</v>
      </c>
    </row>
    <row r="1060" spans="1:8" x14ac:dyDescent="0.3">
      <c r="A1060" s="1">
        <v>45386</v>
      </c>
      <c r="B1060" s="4">
        <f>_xlfn.XLOOKUP($A1060, 'Nifty 50'!A:A, 'Nifty 50'!B:B, "")</f>
        <v>22514.65</v>
      </c>
      <c r="C1060" s="4">
        <f>_xlfn.XLOOKUP($A1060, Reliance!A:A, Reliance!B:B, "")</f>
        <v>1462.93</v>
      </c>
      <c r="D1060" s="4">
        <f>_xlfn.XLOOKUP($A1060, HDFC!A:A, HDFC!B:B, "")</f>
        <v>761.9</v>
      </c>
      <c r="E1060" s="4">
        <f>_xlfn.XLOOKUP($A1060, ITC!A:A, ITC!B:B, "")</f>
        <v>399.93</v>
      </c>
      <c r="F1060" s="4">
        <f>_xlfn.XLOOKUP($A1060, TCS!A:A, TCS!B:B, "")</f>
        <v>4003.3</v>
      </c>
      <c r="G1060" s="4">
        <f>_xlfn.XLOOKUP($A1060, Infosys!A:A, Infosys!B:B,"")</f>
        <v>1478.37</v>
      </c>
      <c r="H1060" s="4">
        <f>_xlfn.XLOOKUP($A1060, 'L &amp; T'!A:A, 'L &amp; T'!B:B, "")</f>
        <v>3797.85</v>
      </c>
    </row>
    <row r="1061" spans="1:8" x14ac:dyDescent="0.3">
      <c r="A1061" s="1">
        <v>45387</v>
      </c>
      <c r="B1061" s="4">
        <f>_xlfn.XLOOKUP($A1061, 'Nifty 50'!A:A, 'Nifty 50'!B:B, "")</f>
        <v>22513.7</v>
      </c>
      <c r="C1061" s="4">
        <f>_xlfn.XLOOKUP($A1061, Reliance!A:A, Reliance!B:B, "")</f>
        <v>1460.1</v>
      </c>
      <c r="D1061" s="4">
        <f>_xlfn.XLOOKUP($A1061, HDFC!A:A, HDFC!B:B, "")</f>
        <v>772.85</v>
      </c>
      <c r="E1061" s="4">
        <f>_xlfn.XLOOKUP($A1061, ITC!A:A, ITC!B:B, "")</f>
        <v>404.47</v>
      </c>
      <c r="F1061" s="4">
        <f>_xlfn.XLOOKUP($A1061, TCS!A:A, TCS!B:B, "")</f>
        <v>3979.25</v>
      </c>
      <c r="G1061" s="4">
        <f>_xlfn.XLOOKUP($A1061, Infosys!A:A, Infosys!B:B,"")</f>
        <v>1470.81</v>
      </c>
      <c r="H1061" s="4">
        <f>_xlfn.XLOOKUP($A1061, 'L &amp; T'!A:A, 'L &amp; T'!B:B, "")</f>
        <v>3743.1</v>
      </c>
    </row>
    <row r="1062" spans="1:8" x14ac:dyDescent="0.3">
      <c r="A1062" s="1">
        <v>45390</v>
      </c>
      <c r="B1062" s="4">
        <f>_xlfn.XLOOKUP($A1062, 'Nifty 50'!A:A, 'Nifty 50'!B:B, "")</f>
        <v>22666.3</v>
      </c>
      <c r="C1062" s="4">
        <f>_xlfn.XLOOKUP($A1062, Reliance!A:A, Reliance!B:B, "")</f>
        <v>1485.97</v>
      </c>
      <c r="D1062" s="4">
        <f>_xlfn.XLOOKUP($A1062, HDFC!A:A, HDFC!B:B, "")</f>
        <v>771.38</v>
      </c>
      <c r="E1062" s="4">
        <f>_xlfn.XLOOKUP($A1062, ITC!A:A, ITC!B:B, "")</f>
        <v>405.93</v>
      </c>
      <c r="F1062" s="4">
        <f>_xlfn.XLOOKUP($A1062, TCS!A:A, TCS!B:B, "")</f>
        <v>3972.55</v>
      </c>
      <c r="G1062" s="4">
        <f>_xlfn.XLOOKUP($A1062, Infosys!A:A, Infosys!B:B,"")</f>
        <v>1468.43</v>
      </c>
      <c r="H1062" s="4">
        <f>_xlfn.XLOOKUP($A1062, 'L &amp; T'!A:A, 'L &amp; T'!B:B, "")</f>
        <v>3807.85</v>
      </c>
    </row>
    <row r="1063" spans="1:8" x14ac:dyDescent="0.3">
      <c r="A1063" s="1">
        <v>45391</v>
      </c>
      <c r="B1063" s="4">
        <f>_xlfn.XLOOKUP($A1063, 'Nifty 50'!A:A, 'Nifty 50'!B:B, "")</f>
        <v>22642.75</v>
      </c>
      <c r="C1063" s="4">
        <f>_xlfn.XLOOKUP($A1063, Reliance!A:A, Reliance!B:B, "")</f>
        <v>1463.65</v>
      </c>
      <c r="D1063" s="4">
        <f>_xlfn.XLOOKUP($A1063, HDFC!A:A, HDFC!B:B, "")</f>
        <v>772.35</v>
      </c>
      <c r="E1063" s="4">
        <f>_xlfn.XLOOKUP($A1063, ITC!A:A, ITC!B:B, "")</f>
        <v>403.33</v>
      </c>
      <c r="F1063" s="4">
        <f>_xlfn.XLOOKUP($A1063, TCS!A:A, TCS!B:B, "")</f>
        <v>3946.55</v>
      </c>
      <c r="G1063" s="4">
        <f>_xlfn.XLOOKUP($A1063, Infosys!A:A, Infosys!B:B,"")</f>
        <v>1486.47</v>
      </c>
      <c r="H1063" s="4">
        <f>_xlfn.XLOOKUP($A1063, 'L &amp; T'!A:A, 'L &amp; T'!B:B, "")</f>
        <v>3785.25</v>
      </c>
    </row>
    <row r="1064" spans="1:8" x14ac:dyDescent="0.3">
      <c r="A1064" s="1">
        <v>45392</v>
      </c>
      <c r="B1064" s="4">
        <f>_xlfn.XLOOKUP($A1064, 'Nifty 50'!A:A, 'Nifty 50'!B:B, "")</f>
        <v>22753.8</v>
      </c>
      <c r="C1064" s="4">
        <f>_xlfn.XLOOKUP($A1064, Reliance!A:A, Reliance!B:B, "")</f>
        <v>1479.57</v>
      </c>
      <c r="D1064" s="4">
        <f>_xlfn.XLOOKUP($A1064, HDFC!A:A, HDFC!B:B, "")</f>
        <v>766.27</v>
      </c>
      <c r="E1064" s="4">
        <f>_xlfn.XLOOKUP($A1064, ITC!A:A, ITC!B:B, "")</f>
        <v>413.36</v>
      </c>
      <c r="F1064" s="4">
        <f>_xlfn.XLOOKUP($A1064, TCS!A:A, TCS!B:B, "")</f>
        <v>3984.65</v>
      </c>
      <c r="G1064" s="4">
        <f>_xlfn.XLOOKUP($A1064, Infosys!A:A, Infosys!B:B,"")</f>
        <v>1498.36</v>
      </c>
      <c r="H1064" s="4">
        <f>_xlfn.XLOOKUP($A1064, 'L &amp; T'!A:A, 'L &amp; T'!B:B, "")</f>
        <v>3753.2</v>
      </c>
    </row>
    <row r="1065" spans="1:8" x14ac:dyDescent="0.3">
      <c r="A1065" s="1">
        <v>45394</v>
      </c>
      <c r="B1065" s="4">
        <f>_xlfn.XLOOKUP($A1065, 'Nifty 50'!A:A, 'Nifty 50'!B:B, "")</f>
        <v>22519.4</v>
      </c>
      <c r="C1065" s="4">
        <f>_xlfn.XLOOKUP($A1065, Reliance!A:A, Reliance!B:B, "")</f>
        <v>1467.15</v>
      </c>
      <c r="D1065" s="4">
        <f>_xlfn.XLOOKUP($A1065, HDFC!A:A, HDFC!B:B, "")</f>
        <v>757.59</v>
      </c>
      <c r="E1065" s="4">
        <f>_xlfn.XLOOKUP($A1065, ITC!A:A, ITC!B:B, "")</f>
        <v>406.88</v>
      </c>
      <c r="F1065" s="4">
        <f>_xlfn.XLOOKUP($A1065, TCS!A:A, TCS!B:B, "")</f>
        <v>4001.4</v>
      </c>
      <c r="G1065" s="4">
        <f>_xlfn.XLOOKUP($A1065, Infosys!A:A, Infosys!B:B,"")</f>
        <v>1476.43</v>
      </c>
      <c r="H1065" s="4">
        <f>_xlfn.XLOOKUP($A1065, 'L &amp; T'!A:A, 'L &amp; T'!B:B, "")</f>
        <v>3679.25</v>
      </c>
    </row>
    <row r="1066" spans="1:8" x14ac:dyDescent="0.3">
      <c r="A1066" s="1">
        <v>45397</v>
      </c>
      <c r="B1066" s="4">
        <f>_xlfn.XLOOKUP($A1066, 'Nifty 50'!A:A, 'Nifty 50'!B:B, "")</f>
        <v>22272.5</v>
      </c>
      <c r="C1066" s="4">
        <f>_xlfn.XLOOKUP($A1066, Reliance!A:A, Reliance!B:B, "")</f>
        <v>1464.82</v>
      </c>
      <c r="D1066" s="4">
        <f>_xlfn.XLOOKUP($A1066, HDFC!A:A, HDFC!B:B, "")</f>
        <v>745.5</v>
      </c>
      <c r="E1066" s="4">
        <f>_xlfn.XLOOKUP($A1066, ITC!A:A, ITC!B:B, "")</f>
        <v>402.91</v>
      </c>
      <c r="F1066" s="4">
        <f>_xlfn.XLOOKUP($A1066, TCS!A:A, TCS!B:B, "")</f>
        <v>3941.2</v>
      </c>
      <c r="G1066" s="4">
        <f>_xlfn.XLOOKUP($A1066, Infosys!A:A, Infosys!B:B,"")</f>
        <v>1459.92</v>
      </c>
      <c r="H1066" s="4">
        <f>_xlfn.XLOOKUP($A1066, 'L &amp; T'!A:A, 'L &amp; T'!B:B, "")</f>
        <v>3600.8</v>
      </c>
    </row>
    <row r="1067" spans="1:8" x14ac:dyDescent="0.3">
      <c r="A1067" s="1">
        <v>45398</v>
      </c>
      <c r="B1067" s="4">
        <f>_xlfn.XLOOKUP($A1067, 'Nifty 50'!A:A, 'Nifty 50'!B:B, "")</f>
        <v>22147.9</v>
      </c>
      <c r="C1067" s="4">
        <f>_xlfn.XLOOKUP($A1067, Reliance!A:A, Reliance!B:B, "")</f>
        <v>1465.75</v>
      </c>
      <c r="D1067" s="4">
        <f>_xlfn.XLOOKUP($A1067, HDFC!A:A, HDFC!B:B, "")</f>
        <v>752.75</v>
      </c>
      <c r="E1067" s="4">
        <f>_xlfn.XLOOKUP($A1067, ITC!A:A, ITC!B:B, "")</f>
        <v>402.91</v>
      </c>
      <c r="F1067" s="4">
        <f>_xlfn.XLOOKUP($A1067, TCS!A:A, TCS!B:B, "")</f>
        <v>3872.8</v>
      </c>
      <c r="G1067" s="4">
        <f>_xlfn.XLOOKUP($A1067, Infosys!A:A, Infosys!B:B,"")</f>
        <v>1406.52</v>
      </c>
      <c r="H1067" s="4">
        <f>_xlfn.XLOOKUP($A1067, 'L &amp; T'!A:A, 'L &amp; T'!B:B, "")</f>
        <v>3543.45</v>
      </c>
    </row>
    <row r="1068" spans="1:8" x14ac:dyDescent="0.3">
      <c r="A1068" s="1">
        <v>45400</v>
      </c>
      <c r="B1068" s="4">
        <f>_xlfn.XLOOKUP($A1068, 'Nifty 50'!A:A, 'Nifty 50'!B:B, "")</f>
        <v>21995.85</v>
      </c>
      <c r="C1068" s="4">
        <f>_xlfn.XLOOKUP($A1068, Reliance!A:A, Reliance!B:B, "")</f>
        <v>1464.32</v>
      </c>
      <c r="D1068" s="4">
        <f>_xlfn.XLOOKUP($A1068, HDFC!A:A, HDFC!B:B, "")</f>
        <v>745.5</v>
      </c>
      <c r="E1068" s="4">
        <f>_xlfn.XLOOKUP($A1068, ITC!A:A, ITC!B:B, "")</f>
        <v>396.24</v>
      </c>
      <c r="F1068" s="4">
        <f>_xlfn.XLOOKUP($A1068, TCS!A:A, TCS!B:B, "")</f>
        <v>3862</v>
      </c>
      <c r="G1068" s="4">
        <f>_xlfn.XLOOKUP($A1068, Infosys!A:A, Infosys!B:B,"")</f>
        <v>1411.3</v>
      </c>
      <c r="H1068" s="4">
        <f>_xlfn.XLOOKUP($A1068, 'L &amp; T'!A:A, 'L &amp; T'!B:B, "")</f>
        <v>3550.95</v>
      </c>
    </row>
    <row r="1069" spans="1:8" x14ac:dyDescent="0.3">
      <c r="A1069" s="1">
        <v>45401</v>
      </c>
      <c r="B1069" s="4">
        <f>_xlfn.XLOOKUP($A1069, 'Nifty 50'!A:A, 'Nifty 50'!B:B, "")</f>
        <v>22147</v>
      </c>
      <c r="C1069" s="4">
        <f>_xlfn.XLOOKUP($A1069, Reliance!A:A, Reliance!B:B, "")</f>
        <v>1470.13</v>
      </c>
      <c r="D1069" s="4">
        <f>_xlfn.XLOOKUP($A1069, HDFC!A:A, HDFC!B:B, "")</f>
        <v>763.75</v>
      </c>
      <c r="E1069" s="4">
        <f>_xlfn.XLOOKUP($A1069, ITC!A:A, ITC!B:B, "")</f>
        <v>401.82</v>
      </c>
      <c r="F1069" s="4">
        <f>_xlfn.XLOOKUP($A1069, TCS!A:A, TCS!B:B, "")</f>
        <v>3826.2</v>
      </c>
      <c r="G1069" s="4">
        <f>_xlfn.XLOOKUP($A1069, Infosys!A:A, Infosys!B:B,"")</f>
        <v>1403.34</v>
      </c>
      <c r="H1069" s="4">
        <f>_xlfn.XLOOKUP($A1069, 'L &amp; T'!A:A, 'L &amp; T'!B:B, "")</f>
        <v>3518.35</v>
      </c>
    </row>
    <row r="1070" spans="1:8" x14ac:dyDescent="0.3">
      <c r="A1070" s="1">
        <v>45404</v>
      </c>
      <c r="B1070" s="4">
        <f>_xlfn.XLOOKUP($A1070, 'Nifty 50'!A:A, 'Nifty 50'!B:B, "")</f>
        <v>22336.400000000001</v>
      </c>
      <c r="C1070" s="4">
        <f>_xlfn.XLOOKUP($A1070, Reliance!A:A, Reliance!B:B, "")</f>
        <v>1479.85</v>
      </c>
      <c r="D1070" s="4">
        <f>_xlfn.XLOOKUP($A1070, HDFC!A:A, HDFC!B:B, "")</f>
        <v>754.22</v>
      </c>
      <c r="E1070" s="4">
        <f>_xlfn.XLOOKUP($A1070, ITC!A:A, ITC!B:B, "")</f>
        <v>402.34</v>
      </c>
      <c r="F1070" s="4">
        <f>_xlfn.XLOOKUP($A1070, TCS!A:A, TCS!B:B, "")</f>
        <v>3864.6</v>
      </c>
      <c r="G1070" s="4">
        <f>_xlfn.XLOOKUP($A1070, Infosys!A:A, Infosys!B:B,"")</f>
        <v>1424.72</v>
      </c>
      <c r="H1070" s="4">
        <f>_xlfn.XLOOKUP($A1070, 'L &amp; T'!A:A, 'L &amp; T'!B:B, "")</f>
        <v>3612.7</v>
      </c>
    </row>
    <row r="1071" spans="1:8" x14ac:dyDescent="0.3">
      <c r="A1071" s="1">
        <v>45405</v>
      </c>
      <c r="B1071" s="4">
        <f>_xlfn.XLOOKUP($A1071, 'Nifty 50'!A:A, 'Nifty 50'!B:B, "")</f>
        <v>22368</v>
      </c>
      <c r="C1071" s="4">
        <f>_xlfn.XLOOKUP($A1071, Reliance!A:A, Reliance!B:B, "")</f>
        <v>1459.32</v>
      </c>
      <c r="D1071" s="4">
        <f>_xlfn.XLOOKUP($A1071, HDFC!A:A, HDFC!B:B, "")</f>
        <v>751.93</v>
      </c>
      <c r="E1071" s="4">
        <f>_xlfn.XLOOKUP($A1071, ITC!A:A, ITC!B:B, "")</f>
        <v>406.03</v>
      </c>
      <c r="F1071" s="4">
        <f>_xlfn.XLOOKUP($A1071, TCS!A:A, TCS!B:B, "")</f>
        <v>3874.7</v>
      </c>
      <c r="G1071" s="4">
        <f>_xlfn.XLOOKUP($A1071, Infosys!A:A, Infosys!B:B,"")</f>
        <v>1434.32</v>
      </c>
      <c r="H1071" s="4">
        <f>_xlfn.XLOOKUP($A1071, 'L &amp; T'!A:A, 'L &amp; T'!B:B, "")</f>
        <v>3610.15</v>
      </c>
    </row>
    <row r="1072" spans="1:8" x14ac:dyDescent="0.3">
      <c r="A1072" s="1">
        <v>45406</v>
      </c>
      <c r="B1072" s="4">
        <f>_xlfn.XLOOKUP($A1072, 'Nifty 50'!A:A, 'Nifty 50'!B:B, "")</f>
        <v>22402.400000000001</v>
      </c>
      <c r="C1072" s="4">
        <f>_xlfn.XLOOKUP($A1072, Reliance!A:A, Reliance!B:B, "")</f>
        <v>1450.18</v>
      </c>
      <c r="D1072" s="4">
        <f>_xlfn.XLOOKUP($A1072, HDFC!A:A, HDFC!B:B, "")</f>
        <v>753.97</v>
      </c>
      <c r="E1072" s="4">
        <f>_xlfn.XLOOKUP($A1072, ITC!A:A, ITC!B:B, "")</f>
        <v>405.74</v>
      </c>
      <c r="F1072" s="4">
        <f>_xlfn.XLOOKUP($A1072, TCS!A:A, TCS!B:B, "")</f>
        <v>3831.05</v>
      </c>
      <c r="G1072" s="4">
        <f>_xlfn.XLOOKUP($A1072, Infosys!A:A, Infosys!B:B,"")</f>
        <v>1422.73</v>
      </c>
      <c r="H1072" s="4">
        <f>_xlfn.XLOOKUP($A1072, 'L &amp; T'!A:A, 'L &amp; T'!B:B, "")</f>
        <v>3634.85</v>
      </c>
    </row>
    <row r="1073" spans="1:8" x14ac:dyDescent="0.3">
      <c r="A1073" s="1">
        <v>45407</v>
      </c>
      <c r="B1073" s="4">
        <f>_xlfn.XLOOKUP($A1073, 'Nifty 50'!A:A, 'Nifty 50'!B:B, "")</f>
        <v>22570.35</v>
      </c>
      <c r="C1073" s="4">
        <f>_xlfn.XLOOKUP($A1073, Reliance!A:A, Reliance!B:B, "")</f>
        <v>1459.97</v>
      </c>
      <c r="D1073" s="4">
        <f>_xlfn.XLOOKUP($A1073, HDFC!A:A, HDFC!B:B, "")</f>
        <v>753.5</v>
      </c>
      <c r="E1073" s="4">
        <f>_xlfn.XLOOKUP($A1073, ITC!A:A, ITC!B:B, "")</f>
        <v>413.93</v>
      </c>
      <c r="F1073" s="4">
        <f>_xlfn.XLOOKUP($A1073, TCS!A:A, TCS!B:B, "")</f>
        <v>3852.2</v>
      </c>
      <c r="G1073" s="4">
        <f>_xlfn.XLOOKUP($A1073, Infosys!A:A, Infosys!B:B,"")</f>
        <v>1430.39</v>
      </c>
      <c r="H1073" s="4">
        <f>_xlfn.XLOOKUP($A1073, 'L &amp; T'!A:A, 'L &amp; T'!B:B, "")</f>
        <v>3652.3</v>
      </c>
    </row>
    <row r="1074" spans="1:8" x14ac:dyDescent="0.3">
      <c r="A1074" s="1">
        <v>45408</v>
      </c>
      <c r="B1074" s="4">
        <f>_xlfn.XLOOKUP($A1074, 'Nifty 50'!A:A, 'Nifty 50'!B:B, "")</f>
        <v>22419.95</v>
      </c>
      <c r="C1074" s="4">
        <f>_xlfn.XLOOKUP($A1074, Reliance!A:A, Reliance!B:B, "")</f>
        <v>1452.55</v>
      </c>
      <c r="D1074" s="4">
        <f>_xlfn.XLOOKUP($A1074, HDFC!A:A, HDFC!B:B, "")</f>
        <v>753.03</v>
      </c>
      <c r="E1074" s="4">
        <f>_xlfn.XLOOKUP($A1074, ITC!A:A, ITC!B:B, "")</f>
        <v>416.25</v>
      </c>
      <c r="F1074" s="4">
        <f>_xlfn.XLOOKUP($A1074, TCS!A:A, TCS!B:B, "")</f>
        <v>3821.35</v>
      </c>
      <c r="G1074" s="4">
        <f>_xlfn.XLOOKUP($A1074, Infosys!A:A, Infosys!B:B,"")</f>
        <v>1422.23</v>
      </c>
      <c r="H1074" s="4">
        <f>_xlfn.XLOOKUP($A1074, 'L &amp; T'!A:A, 'L &amp; T'!B:B, "")</f>
        <v>3605.2</v>
      </c>
    </row>
    <row r="1075" spans="1:8" x14ac:dyDescent="0.3">
      <c r="A1075" s="1">
        <v>45411</v>
      </c>
      <c r="B1075" s="4">
        <f>_xlfn.XLOOKUP($A1075, 'Nifty 50'!A:A, 'Nifty 50'!B:B, "")</f>
        <v>22643.4</v>
      </c>
      <c r="C1075" s="4">
        <f>_xlfn.XLOOKUP($A1075, Reliance!A:A, Reliance!B:B, "")</f>
        <v>1465.03</v>
      </c>
      <c r="D1075" s="4">
        <f>_xlfn.XLOOKUP($A1075, HDFC!A:A, HDFC!B:B, "")</f>
        <v>762.85</v>
      </c>
      <c r="E1075" s="4">
        <f>_xlfn.XLOOKUP($A1075, ITC!A:A, ITC!B:B, "")</f>
        <v>414.54</v>
      </c>
      <c r="F1075" s="4">
        <f>_xlfn.XLOOKUP($A1075, TCS!A:A, TCS!B:B, "")</f>
        <v>3870.2</v>
      </c>
      <c r="G1075" s="4">
        <f>_xlfn.XLOOKUP($A1075, Infosys!A:A, Infosys!B:B,"")</f>
        <v>1426.71</v>
      </c>
      <c r="H1075" s="4">
        <f>_xlfn.XLOOKUP($A1075, 'L &amp; T'!A:A, 'L &amp; T'!B:B, "")</f>
        <v>3634.3</v>
      </c>
    </row>
    <row r="1076" spans="1:8" x14ac:dyDescent="0.3">
      <c r="A1076" s="1">
        <v>45412</v>
      </c>
      <c r="B1076" s="4">
        <f>_xlfn.XLOOKUP($A1076, 'Nifty 50'!A:A, 'Nifty 50'!B:B, "")</f>
        <v>22604.85</v>
      </c>
      <c r="C1076" s="4">
        <f>_xlfn.XLOOKUP($A1076, Reliance!A:A, Reliance!B:B, "")</f>
        <v>1467</v>
      </c>
      <c r="D1076" s="4">
        <f>_xlfn.XLOOKUP($A1076, HDFC!A:A, HDFC!B:B, "")</f>
        <v>758.16</v>
      </c>
      <c r="E1076" s="4">
        <f>_xlfn.XLOOKUP($A1076, ITC!A:A, ITC!B:B, "")</f>
        <v>412.13</v>
      </c>
      <c r="F1076" s="4">
        <f>_xlfn.XLOOKUP($A1076, TCS!A:A, TCS!B:B, "")</f>
        <v>3820.65</v>
      </c>
      <c r="G1076" s="4">
        <f>_xlfn.XLOOKUP($A1076, Infosys!A:A, Infosys!B:B,"")</f>
        <v>1412.59</v>
      </c>
      <c r="H1076" s="4">
        <f>_xlfn.XLOOKUP($A1076, 'L &amp; T'!A:A, 'L &amp; T'!B:B, "")</f>
        <v>3594.3</v>
      </c>
    </row>
    <row r="1077" spans="1:8" x14ac:dyDescent="0.3">
      <c r="A1077" s="1">
        <v>45414</v>
      </c>
      <c r="B1077" s="4">
        <f>_xlfn.XLOOKUP($A1077, 'Nifty 50'!A:A, 'Nifty 50'!B:B, "")</f>
        <v>22648.2</v>
      </c>
      <c r="C1077" s="4">
        <f>_xlfn.XLOOKUP($A1077, Reliance!A:A, Reliance!B:B, "")</f>
        <v>1466.55</v>
      </c>
      <c r="D1077" s="4">
        <f>_xlfn.XLOOKUP($A1077, HDFC!A:A, HDFC!B:B, "")</f>
        <v>764.22</v>
      </c>
      <c r="E1077" s="4">
        <f>_xlfn.XLOOKUP($A1077, ITC!A:A, ITC!B:B, "")</f>
        <v>415.3</v>
      </c>
      <c r="F1077" s="4">
        <f>_xlfn.XLOOKUP($A1077, TCS!A:A, TCS!B:B, "")</f>
        <v>3863.3</v>
      </c>
      <c r="G1077" s="4">
        <f>_xlfn.XLOOKUP($A1077, Infosys!A:A, Infosys!B:B,"")</f>
        <v>1406.52</v>
      </c>
      <c r="H1077" s="4">
        <f>_xlfn.XLOOKUP($A1077, 'L &amp; T'!A:A, 'L &amp; T'!B:B, "")</f>
        <v>3599.5</v>
      </c>
    </row>
    <row r="1078" spans="1:8" x14ac:dyDescent="0.3">
      <c r="A1078" s="1">
        <v>45415</v>
      </c>
      <c r="B1078" s="4">
        <f>_xlfn.XLOOKUP($A1078, 'Nifty 50'!A:A, 'Nifty 50'!B:B, "")</f>
        <v>22475.85</v>
      </c>
      <c r="C1078" s="4">
        <f>_xlfn.XLOOKUP($A1078, Reliance!A:A, Reliance!B:B, "")</f>
        <v>1434</v>
      </c>
      <c r="D1078" s="4">
        <f>_xlfn.XLOOKUP($A1078, HDFC!A:A, HDFC!B:B, "")</f>
        <v>757.91</v>
      </c>
      <c r="E1078" s="4">
        <f>_xlfn.XLOOKUP($A1078, ITC!A:A, ITC!B:B, "")</f>
        <v>412.89</v>
      </c>
      <c r="F1078" s="4">
        <f>_xlfn.XLOOKUP($A1078, TCS!A:A, TCS!B:B, "")</f>
        <v>3843.4</v>
      </c>
      <c r="G1078" s="4">
        <f>_xlfn.XLOOKUP($A1078, Infosys!A:A, Infosys!B:B,"")</f>
        <v>1408.36</v>
      </c>
      <c r="H1078" s="4">
        <f>_xlfn.XLOOKUP($A1078, 'L &amp; T'!A:A, 'L &amp; T'!B:B, "")</f>
        <v>3499.8</v>
      </c>
    </row>
    <row r="1079" spans="1:8" x14ac:dyDescent="0.3">
      <c r="A1079" s="1">
        <v>45418</v>
      </c>
      <c r="B1079" s="4">
        <f>_xlfn.XLOOKUP($A1079, 'Nifty 50'!A:A, 'Nifty 50'!B:B, "")</f>
        <v>22442.7</v>
      </c>
      <c r="C1079" s="4">
        <f>_xlfn.XLOOKUP($A1079, Reliance!A:A, Reliance!B:B, "")</f>
        <v>1419.53</v>
      </c>
      <c r="D1079" s="4">
        <f>_xlfn.XLOOKUP($A1079, HDFC!A:A, HDFC!B:B, "")</f>
        <v>759.44</v>
      </c>
      <c r="E1079" s="4">
        <f>_xlfn.XLOOKUP($A1079, ITC!A:A, ITC!B:B, "")</f>
        <v>411.28</v>
      </c>
      <c r="F1079" s="4">
        <f>_xlfn.XLOOKUP($A1079, TCS!A:A, TCS!B:B, "")</f>
        <v>3921.05</v>
      </c>
      <c r="G1079" s="4">
        <f>_xlfn.XLOOKUP($A1079, Infosys!A:A, Infosys!B:B,"")</f>
        <v>1417.91</v>
      </c>
      <c r="H1079" s="4">
        <f>_xlfn.XLOOKUP($A1079, 'L &amp; T'!A:A, 'L &amp; T'!B:B, "")</f>
        <v>3463.3</v>
      </c>
    </row>
    <row r="1080" spans="1:8" x14ac:dyDescent="0.3">
      <c r="A1080" s="1">
        <v>45419</v>
      </c>
      <c r="B1080" s="4">
        <f>_xlfn.XLOOKUP($A1080, 'Nifty 50'!A:A, 'Nifty 50'!B:B, "")</f>
        <v>22302.5</v>
      </c>
      <c r="C1080" s="4">
        <f>_xlfn.XLOOKUP($A1080, Reliance!A:A, Reliance!B:B, "")</f>
        <v>1401.47</v>
      </c>
      <c r="D1080" s="4">
        <f>_xlfn.XLOOKUP($A1080, HDFC!A:A, HDFC!B:B, "")</f>
        <v>751.21</v>
      </c>
      <c r="E1080" s="4">
        <f>_xlfn.XLOOKUP($A1080, ITC!A:A, ITC!B:B, "")</f>
        <v>416.58</v>
      </c>
      <c r="F1080" s="4">
        <f>_xlfn.XLOOKUP($A1080, TCS!A:A, TCS!B:B, "")</f>
        <v>3978.95</v>
      </c>
      <c r="G1080" s="4">
        <f>_xlfn.XLOOKUP($A1080, Infosys!A:A, Infosys!B:B,"")</f>
        <v>1432.88</v>
      </c>
      <c r="H1080" s="4">
        <f>_xlfn.XLOOKUP($A1080, 'L &amp; T'!A:A, 'L &amp; T'!B:B, "")</f>
        <v>3427.75</v>
      </c>
    </row>
    <row r="1081" spans="1:8" x14ac:dyDescent="0.3">
      <c r="A1081" s="1">
        <v>45420</v>
      </c>
      <c r="B1081" s="4">
        <f>_xlfn.XLOOKUP($A1081, 'Nifty 50'!A:A, 'Nifty 50'!B:B, "")</f>
        <v>22302.5</v>
      </c>
      <c r="C1081" s="4">
        <f>_xlfn.XLOOKUP($A1081, Reliance!A:A, Reliance!B:B, "")</f>
        <v>1418.55</v>
      </c>
      <c r="D1081" s="4">
        <f>_xlfn.XLOOKUP($A1081, HDFC!A:A, HDFC!B:B, "")</f>
        <v>739.49</v>
      </c>
      <c r="E1081" s="4">
        <f>_xlfn.XLOOKUP($A1081, ITC!A:A, ITC!B:B, "")</f>
        <v>417.19</v>
      </c>
      <c r="F1081" s="4">
        <f>_xlfn.XLOOKUP($A1081, TCS!A:A, TCS!B:B, "")</f>
        <v>3976.95</v>
      </c>
      <c r="G1081" s="4">
        <f>_xlfn.XLOOKUP($A1081, Infosys!A:A, Infosys!B:B,"")</f>
        <v>1419.3</v>
      </c>
      <c r="H1081" s="4">
        <f>_xlfn.XLOOKUP($A1081, 'L &amp; T'!A:A, 'L &amp; T'!B:B, "")</f>
        <v>3486.85</v>
      </c>
    </row>
    <row r="1082" spans="1:8" x14ac:dyDescent="0.3">
      <c r="A1082" s="1">
        <v>45421</v>
      </c>
      <c r="B1082" s="4">
        <f>_xlfn.XLOOKUP($A1082, 'Nifty 50'!A:A, 'Nifty 50'!B:B, "")</f>
        <v>21957.5</v>
      </c>
      <c r="C1082" s="4">
        <f>_xlfn.XLOOKUP($A1082, Reliance!A:A, Reliance!B:B, "")</f>
        <v>1394.13</v>
      </c>
      <c r="D1082" s="4">
        <f>_xlfn.XLOOKUP($A1082, HDFC!A:A, HDFC!B:B, "")</f>
        <v>721.95</v>
      </c>
      <c r="E1082" s="4">
        <f>_xlfn.XLOOKUP($A1082, ITC!A:A, ITC!B:B, "")</f>
        <v>402.15</v>
      </c>
      <c r="F1082" s="4">
        <f>_xlfn.XLOOKUP($A1082, TCS!A:A, TCS!B:B, "")</f>
        <v>3960.2</v>
      </c>
      <c r="G1082" s="4">
        <f>_xlfn.XLOOKUP($A1082, Infosys!A:A, Infosys!B:B,"")</f>
        <v>1431.48</v>
      </c>
      <c r="H1082" s="4">
        <f>_xlfn.XLOOKUP($A1082, 'L &amp; T'!A:A, 'L &amp; T'!B:B, "")</f>
        <v>3275.45</v>
      </c>
    </row>
    <row r="1083" spans="1:8" x14ac:dyDescent="0.3">
      <c r="A1083" s="1">
        <v>45422</v>
      </c>
      <c r="B1083" s="4">
        <f>_xlfn.XLOOKUP($A1083, 'Nifty 50'!A:A, 'Nifty 50'!B:B, "")</f>
        <v>22055.200000000001</v>
      </c>
      <c r="C1083" s="4">
        <f>_xlfn.XLOOKUP($A1083, Reliance!A:A, Reliance!B:B, "")</f>
        <v>1407.43</v>
      </c>
      <c r="D1083" s="4">
        <f>_xlfn.XLOOKUP($A1083, HDFC!A:A, HDFC!B:B, "")</f>
        <v>717.17</v>
      </c>
      <c r="E1083" s="4">
        <f>_xlfn.XLOOKUP($A1083, ITC!A:A, ITC!B:B, "")</f>
        <v>409.95</v>
      </c>
      <c r="F1083" s="4">
        <f>_xlfn.XLOOKUP($A1083, TCS!A:A, TCS!B:B, "")</f>
        <v>3893.9</v>
      </c>
      <c r="G1083" s="4">
        <f>_xlfn.XLOOKUP($A1083, Infosys!A:A, Infosys!B:B,"")</f>
        <v>1416.92</v>
      </c>
      <c r="H1083" s="4">
        <f>_xlfn.XLOOKUP($A1083, 'L &amp; T'!A:A, 'L &amp; T'!B:B, "")</f>
        <v>3271.45</v>
      </c>
    </row>
    <row r="1084" spans="1:8" x14ac:dyDescent="0.3">
      <c r="A1084" s="1">
        <v>45425</v>
      </c>
      <c r="B1084" s="4">
        <f>_xlfn.XLOOKUP($A1084, 'Nifty 50'!A:A, 'Nifty 50'!B:B, "")</f>
        <v>22104.05</v>
      </c>
      <c r="C1084" s="4">
        <f>_xlfn.XLOOKUP($A1084, Reliance!A:A, Reliance!B:B, "")</f>
        <v>1402.7</v>
      </c>
      <c r="D1084" s="4">
        <f>_xlfn.XLOOKUP($A1084, HDFC!A:A, HDFC!B:B, "")</f>
        <v>725.82</v>
      </c>
      <c r="E1084" s="4">
        <f>_xlfn.XLOOKUP($A1084, ITC!A:A, ITC!B:B, "")</f>
        <v>408.54</v>
      </c>
      <c r="F1084" s="4">
        <f>_xlfn.XLOOKUP($A1084, TCS!A:A, TCS!B:B, "")</f>
        <v>3947.8</v>
      </c>
      <c r="G1084" s="4">
        <f>_xlfn.XLOOKUP($A1084, Infosys!A:A, Infosys!B:B,"")</f>
        <v>1415.47</v>
      </c>
      <c r="H1084" s="4">
        <f>_xlfn.XLOOKUP($A1084, 'L &amp; T'!A:A, 'L &amp; T'!B:B, "")</f>
        <v>3293.85</v>
      </c>
    </row>
    <row r="1085" spans="1:8" x14ac:dyDescent="0.3">
      <c r="A1085" s="1">
        <v>45426</v>
      </c>
      <c r="B1085" s="4">
        <f>_xlfn.XLOOKUP($A1085, 'Nifty 50'!A:A, 'Nifty 50'!B:B, "")</f>
        <v>22217.85</v>
      </c>
      <c r="C1085" s="4">
        <f>_xlfn.XLOOKUP($A1085, Reliance!A:A, Reliance!B:B, "")</f>
        <v>1420.07</v>
      </c>
      <c r="D1085" s="4">
        <f>_xlfn.XLOOKUP($A1085, HDFC!A:A, HDFC!B:B, "")</f>
        <v>728.66</v>
      </c>
      <c r="E1085" s="4">
        <f>_xlfn.XLOOKUP($A1085, ITC!A:A, ITC!B:B, "")</f>
        <v>406.5</v>
      </c>
      <c r="F1085" s="4">
        <f>_xlfn.XLOOKUP($A1085, TCS!A:A, TCS!B:B, "")</f>
        <v>3901.2</v>
      </c>
      <c r="G1085" s="4">
        <f>_xlfn.XLOOKUP($A1085, Infosys!A:A, Infosys!B:B,"")</f>
        <v>1416.72</v>
      </c>
      <c r="H1085" s="4">
        <f>_xlfn.XLOOKUP($A1085, 'L &amp; T'!A:A, 'L &amp; T'!B:B, "")</f>
        <v>3379.45</v>
      </c>
    </row>
    <row r="1086" spans="1:8" x14ac:dyDescent="0.3">
      <c r="A1086" s="1">
        <v>45427</v>
      </c>
      <c r="B1086" s="4">
        <f>_xlfn.XLOOKUP($A1086, 'Nifty 50'!A:A, 'Nifty 50'!B:B, "")</f>
        <v>22200.55</v>
      </c>
      <c r="C1086" s="4">
        <f>_xlfn.XLOOKUP($A1086, Reliance!A:A, Reliance!B:B, "")</f>
        <v>1416.28</v>
      </c>
      <c r="D1086" s="4">
        <f>_xlfn.XLOOKUP($A1086, HDFC!A:A, HDFC!B:B, "")</f>
        <v>717.46</v>
      </c>
      <c r="E1086" s="4">
        <f>_xlfn.XLOOKUP($A1086, ITC!A:A, ITC!B:B, "")</f>
        <v>404.7</v>
      </c>
      <c r="F1086" s="4">
        <f>_xlfn.XLOOKUP($A1086, TCS!A:A, TCS!B:B, "")</f>
        <v>3880.4</v>
      </c>
      <c r="G1086" s="4">
        <f>_xlfn.XLOOKUP($A1086, Infosys!A:A, Infosys!B:B,"")</f>
        <v>1411.99</v>
      </c>
      <c r="H1086" s="4">
        <f>_xlfn.XLOOKUP($A1086, 'L &amp; T'!A:A, 'L &amp; T'!B:B, "")</f>
        <v>3411.3</v>
      </c>
    </row>
    <row r="1087" spans="1:8" x14ac:dyDescent="0.3">
      <c r="A1087" s="1">
        <v>45428</v>
      </c>
      <c r="B1087" s="4">
        <f>_xlfn.XLOOKUP($A1087, 'Nifty 50'!A:A, 'Nifty 50'!B:B, "")</f>
        <v>22403.85</v>
      </c>
      <c r="C1087" s="4">
        <f>_xlfn.XLOOKUP($A1087, Reliance!A:A, Reliance!B:B, "")</f>
        <v>1425.35</v>
      </c>
      <c r="D1087" s="4">
        <f>_xlfn.XLOOKUP($A1087, HDFC!A:A, HDFC!B:B, "")</f>
        <v>728.31</v>
      </c>
      <c r="E1087" s="4">
        <f>_xlfn.XLOOKUP($A1087, ITC!A:A, ITC!B:B, "")</f>
        <v>408.16</v>
      </c>
      <c r="F1087" s="4">
        <f>_xlfn.XLOOKUP($A1087, TCS!A:A, TCS!B:B, "")</f>
        <v>3900.95</v>
      </c>
      <c r="G1087" s="4">
        <f>_xlfn.XLOOKUP($A1087, Infosys!A:A, Infosys!B:B,"")</f>
        <v>1445.2</v>
      </c>
      <c r="H1087" s="4">
        <f>_xlfn.XLOOKUP($A1087, 'L &amp; T'!A:A, 'L &amp; T'!B:B, "")</f>
        <v>3460.6</v>
      </c>
    </row>
    <row r="1088" spans="1:8" x14ac:dyDescent="0.3">
      <c r="A1088" s="1">
        <v>45429</v>
      </c>
      <c r="B1088" s="4">
        <f>_xlfn.XLOOKUP($A1088, 'Nifty 50'!A:A, 'Nifty 50'!B:B, "")</f>
        <v>22466.1</v>
      </c>
      <c r="C1088" s="4">
        <f>_xlfn.XLOOKUP($A1088, Reliance!A:A, Reliance!B:B, "")</f>
        <v>1435.7</v>
      </c>
      <c r="D1088" s="4">
        <f>_xlfn.XLOOKUP($A1088, HDFC!A:A, HDFC!B:B, "")</f>
        <v>730.23</v>
      </c>
      <c r="E1088" s="4">
        <f>_xlfn.XLOOKUP($A1088, ITC!A:A, ITC!B:B, "")</f>
        <v>412.74</v>
      </c>
      <c r="F1088" s="4">
        <f>_xlfn.XLOOKUP($A1088, TCS!A:A, TCS!B:B, "")</f>
        <v>3834.1</v>
      </c>
      <c r="G1088" s="4">
        <f>_xlfn.XLOOKUP($A1088, Infosys!A:A, Infosys!B:B,"")</f>
        <v>1436.21</v>
      </c>
      <c r="H1088" s="4">
        <f>_xlfn.XLOOKUP($A1088, 'L &amp; T'!A:A, 'L &amp; T'!B:B, "")</f>
        <v>3450.75</v>
      </c>
    </row>
    <row r="1089" spans="1:8" x14ac:dyDescent="0.3">
      <c r="A1089" s="1">
        <v>45430</v>
      </c>
      <c r="B1089" s="4">
        <f>_xlfn.XLOOKUP($A1089, 'Nifty 50'!A:A, 'Nifty 50'!B:B, "")</f>
        <v>22502</v>
      </c>
      <c r="C1089" s="4">
        <f>_xlfn.XLOOKUP($A1089, Reliance!A:A, Reliance!B:B, "")</f>
        <v>1434.83</v>
      </c>
      <c r="D1089" s="4">
        <f>_xlfn.XLOOKUP($A1089, HDFC!A:A, HDFC!B:B, "")</f>
        <v>731.21</v>
      </c>
      <c r="E1089" s="4">
        <f>_xlfn.XLOOKUP($A1089, ITC!A:A, ITC!B:B, "")</f>
        <v>436.65</v>
      </c>
      <c r="F1089" s="4">
        <f>_xlfn.XLOOKUP($A1089, TCS!A:A, TCS!B:B, "")</f>
        <v>3851.45</v>
      </c>
      <c r="G1089" s="4">
        <f>_xlfn.XLOOKUP($A1089, Infosys!A:A, Infosys!B:B,"")</f>
        <v>1443.65</v>
      </c>
      <c r="H1089" s="4">
        <f>_xlfn.XLOOKUP($A1089, 'L &amp; T'!A:A, 'L &amp; T'!B:B, "")</f>
        <v>3464.2</v>
      </c>
    </row>
    <row r="1090" spans="1:8" x14ac:dyDescent="0.3">
      <c r="A1090" s="1">
        <v>45433</v>
      </c>
      <c r="B1090" s="4">
        <f>_xlfn.XLOOKUP($A1090, 'Nifty 50'!A:A, 'Nifty 50'!B:B, "")</f>
        <v>22529.05</v>
      </c>
      <c r="C1090" s="4">
        <f>_xlfn.XLOOKUP($A1090, Reliance!A:A, Reliance!B:B, "")</f>
        <v>1436.13</v>
      </c>
      <c r="D1090" s="4">
        <f>_xlfn.XLOOKUP($A1090, HDFC!A:A, HDFC!B:B, "")</f>
        <v>727.59</v>
      </c>
      <c r="E1090" s="4">
        <f>_xlfn.XLOOKUP($A1090, ITC!A:A, ITC!B:B, "")</f>
        <v>411.33</v>
      </c>
      <c r="F1090" s="4">
        <f>_xlfn.XLOOKUP($A1090, TCS!A:A, TCS!B:B, "")</f>
        <v>3820.2</v>
      </c>
      <c r="G1090" s="4">
        <f>_xlfn.XLOOKUP($A1090, Infosys!A:A, Infosys!B:B,"")</f>
        <v>1426.11</v>
      </c>
      <c r="H1090" s="4">
        <f>_xlfn.XLOOKUP($A1090, 'L &amp; T'!A:A, 'L &amp; T'!B:B, "")</f>
        <v>3440.95</v>
      </c>
    </row>
    <row r="1091" spans="1:8" x14ac:dyDescent="0.3">
      <c r="A1091" s="1">
        <v>45434</v>
      </c>
      <c r="B1091" s="4">
        <f>_xlfn.XLOOKUP($A1091, 'Nifty 50'!A:A, 'Nifty 50'!B:B, "")</f>
        <v>22597.8</v>
      </c>
      <c r="C1091" s="4">
        <f>_xlfn.XLOOKUP($A1091, Reliance!A:A, Reliance!B:B, "")</f>
        <v>1460.65</v>
      </c>
      <c r="D1091" s="4">
        <f>_xlfn.XLOOKUP($A1091, HDFC!A:A, HDFC!B:B, "")</f>
        <v>727.79</v>
      </c>
      <c r="E1091" s="4">
        <f>_xlfn.XLOOKUP($A1091, ITC!A:A, ITC!B:B, "")</f>
        <v>416.15</v>
      </c>
      <c r="F1091" s="4">
        <f>_xlfn.XLOOKUP($A1091, TCS!A:A, TCS!B:B, "")</f>
        <v>3832</v>
      </c>
      <c r="G1091" s="4">
        <f>_xlfn.XLOOKUP($A1091, Infosys!A:A, Infosys!B:B,"")</f>
        <v>1446.65</v>
      </c>
      <c r="H1091" s="4">
        <f>_xlfn.XLOOKUP($A1091, 'L &amp; T'!A:A, 'L &amp; T'!B:B, "")</f>
        <v>3460.85</v>
      </c>
    </row>
    <row r="1092" spans="1:8" x14ac:dyDescent="0.3">
      <c r="A1092" s="1">
        <v>45435</v>
      </c>
      <c r="B1092" s="4">
        <f>_xlfn.XLOOKUP($A1092, 'Nifty 50'!A:A, 'Nifty 50'!B:B, "")</f>
        <v>22967.65</v>
      </c>
      <c r="C1092" s="4">
        <f>_xlfn.XLOOKUP($A1092, Reliance!A:A, Reliance!B:B, "")</f>
        <v>1486.05</v>
      </c>
      <c r="D1092" s="4">
        <f>_xlfn.XLOOKUP($A1092, HDFC!A:A, HDFC!B:B, "")</f>
        <v>744.45</v>
      </c>
      <c r="E1092" s="4">
        <f>_xlfn.XLOOKUP($A1092, ITC!A:A, ITC!B:B, "")</f>
        <v>417.52</v>
      </c>
      <c r="F1092" s="4">
        <f>_xlfn.XLOOKUP($A1092, TCS!A:A, TCS!B:B, "")</f>
        <v>3893.45</v>
      </c>
      <c r="G1092" s="4">
        <f>_xlfn.XLOOKUP($A1092, Infosys!A:A, Infosys!B:B,"")</f>
        <v>1464.15</v>
      </c>
      <c r="H1092" s="4">
        <f>_xlfn.XLOOKUP($A1092, 'L &amp; T'!A:A, 'L &amp; T'!B:B, "")</f>
        <v>3585.4</v>
      </c>
    </row>
    <row r="1093" spans="1:8" x14ac:dyDescent="0.3">
      <c r="A1093" s="1">
        <v>45436</v>
      </c>
      <c r="B1093" s="4">
        <f>_xlfn.XLOOKUP($A1093, 'Nifty 50'!A:A, 'Nifty 50'!B:B, "")</f>
        <v>22957.1</v>
      </c>
      <c r="C1093" s="4">
        <f>_xlfn.XLOOKUP($A1093, Reliance!A:A, Reliance!B:B, "")</f>
        <v>1480.25</v>
      </c>
      <c r="D1093" s="4">
        <f>_xlfn.XLOOKUP($A1093, HDFC!A:A, HDFC!B:B, "")</f>
        <v>756.72</v>
      </c>
      <c r="E1093" s="4">
        <f>_xlfn.XLOOKUP($A1093, ITC!A:A, ITC!B:B, "")</f>
        <v>412.65</v>
      </c>
      <c r="F1093" s="4">
        <f>_xlfn.XLOOKUP($A1093, TCS!A:A, TCS!B:B, "")</f>
        <v>3849.5</v>
      </c>
      <c r="G1093" s="4">
        <f>_xlfn.XLOOKUP($A1093, Infosys!A:A, Infosys!B:B,"")</f>
        <v>1456.89</v>
      </c>
      <c r="H1093" s="4">
        <f>_xlfn.XLOOKUP($A1093, 'L &amp; T'!A:A, 'L &amp; T'!B:B, "")</f>
        <v>3625.9</v>
      </c>
    </row>
    <row r="1094" spans="1:8" x14ac:dyDescent="0.3">
      <c r="A1094" s="1">
        <v>45439</v>
      </c>
      <c r="B1094" s="4">
        <f>_xlfn.XLOOKUP($A1094, 'Nifty 50'!A:A, 'Nifty 50'!B:B, "")</f>
        <v>22932.45</v>
      </c>
      <c r="C1094" s="4">
        <f>_xlfn.XLOOKUP($A1094, Reliance!A:A, Reliance!B:B, "")</f>
        <v>1466.25</v>
      </c>
      <c r="D1094" s="4">
        <f>_xlfn.XLOOKUP($A1094, HDFC!A:A, HDFC!B:B, "")</f>
        <v>761.95</v>
      </c>
      <c r="E1094" s="4">
        <f>_xlfn.XLOOKUP($A1094, ITC!A:A, ITC!B:B, "")</f>
        <v>408.2</v>
      </c>
      <c r="F1094" s="4">
        <f>_xlfn.XLOOKUP($A1094, TCS!A:A, TCS!B:B, "")</f>
        <v>3847.05</v>
      </c>
      <c r="G1094" s="4">
        <f>_xlfn.XLOOKUP($A1094, Infosys!A:A, Infosys!B:B,"")</f>
        <v>1463.1</v>
      </c>
      <c r="H1094" s="4">
        <f>_xlfn.XLOOKUP($A1094, 'L &amp; T'!A:A, 'L &amp; T'!B:B, "")</f>
        <v>3652</v>
      </c>
    </row>
    <row r="1095" spans="1:8" x14ac:dyDescent="0.3">
      <c r="A1095" s="1">
        <v>45440</v>
      </c>
      <c r="B1095" s="4">
        <f>_xlfn.XLOOKUP($A1095, 'Nifty 50'!A:A, 'Nifty 50'!B:B, "")</f>
        <v>22888.15</v>
      </c>
      <c r="C1095" s="4">
        <f>_xlfn.XLOOKUP($A1095, Reliance!A:A, Reliance!B:B, "")</f>
        <v>1456.2</v>
      </c>
      <c r="D1095" s="4">
        <f>_xlfn.XLOOKUP($A1095, HDFC!A:A, HDFC!B:B, "")</f>
        <v>763.35</v>
      </c>
      <c r="E1095" s="4">
        <f>_xlfn.XLOOKUP($A1095, ITC!A:A, ITC!B:B, "")</f>
        <v>405.84</v>
      </c>
      <c r="F1095" s="4">
        <f>_xlfn.XLOOKUP($A1095, TCS!A:A, TCS!B:B, "")</f>
        <v>3839.9</v>
      </c>
      <c r="G1095" s="4">
        <f>_xlfn.XLOOKUP($A1095, Infosys!A:A, Infosys!B:B,"")</f>
        <v>1458.83</v>
      </c>
      <c r="H1095" s="4">
        <f>_xlfn.XLOOKUP($A1095, 'L &amp; T'!A:A, 'L &amp; T'!B:B, "")</f>
        <v>3658.2</v>
      </c>
    </row>
    <row r="1096" spans="1:8" x14ac:dyDescent="0.3">
      <c r="A1096" s="1">
        <v>45441</v>
      </c>
      <c r="B1096" s="4">
        <f>_xlfn.XLOOKUP($A1096, 'Nifty 50'!A:A, 'Nifty 50'!B:B, "")</f>
        <v>22704.7</v>
      </c>
      <c r="C1096" s="4">
        <f>_xlfn.XLOOKUP($A1096, Reliance!A:A, Reliance!B:B, "")</f>
        <v>1440.78</v>
      </c>
      <c r="D1096" s="4">
        <f>_xlfn.XLOOKUP($A1096, HDFC!A:A, HDFC!B:B, "")</f>
        <v>752.28</v>
      </c>
      <c r="E1096" s="4">
        <f>_xlfn.XLOOKUP($A1096, ITC!A:A, ITC!B:B, "")</f>
        <v>407.68</v>
      </c>
      <c r="F1096" s="4">
        <f>_xlfn.XLOOKUP($A1096, TCS!A:A, TCS!B:B, "")</f>
        <v>3803.65</v>
      </c>
      <c r="G1096" s="4">
        <f>_xlfn.XLOOKUP($A1096, Infosys!A:A, Infosys!B:B,"")</f>
        <v>1442.82</v>
      </c>
      <c r="H1096" s="4">
        <f>_xlfn.XLOOKUP($A1096, 'L &amp; T'!A:A, 'L &amp; T'!B:B, "")</f>
        <v>3634.8</v>
      </c>
    </row>
    <row r="1097" spans="1:8" x14ac:dyDescent="0.3">
      <c r="A1097" s="1">
        <v>45442</v>
      </c>
      <c r="B1097" s="4">
        <f>_xlfn.XLOOKUP($A1097, 'Nifty 50'!A:A, 'Nifty 50'!B:B, "")</f>
        <v>22488.65</v>
      </c>
      <c r="C1097" s="4">
        <f>_xlfn.XLOOKUP($A1097, Reliance!A:A, Reliance!B:B, "")</f>
        <v>1424.85</v>
      </c>
      <c r="D1097" s="4">
        <f>_xlfn.XLOOKUP($A1097, HDFC!A:A, HDFC!B:B, "")</f>
        <v>755.55</v>
      </c>
      <c r="E1097" s="4">
        <f>_xlfn.XLOOKUP($A1097, ITC!A:A, ITC!B:B, "")</f>
        <v>400.97</v>
      </c>
      <c r="F1097" s="4">
        <f>_xlfn.XLOOKUP($A1097, TCS!A:A, TCS!B:B, "")</f>
        <v>3736.1</v>
      </c>
      <c r="G1097" s="4">
        <f>_xlfn.XLOOKUP($A1097, Infosys!A:A, Infosys!B:B,"")</f>
        <v>1419.45</v>
      </c>
      <c r="H1097" s="4">
        <f>_xlfn.XLOOKUP($A1097, 'L &amp; T'!A:A, 'L &amp; T'!B:B, "")</f>
        <v>3634.7</v>
      </c>
    </row>
    <row r="1098" spans="1:8" x14ac:dyDescent="0.3">
      <c r="A1098" s="1">
        <v>45443</v>
      </c>
      <c r="B1098" s="4">
        <f>_xlfn.XLOOKUP($A1098, 'Nifty 50'!A:A, 'Nifty 50'!B:B, "")</f>
        <v>22530.7</v>
      </c>
      <c r="C1098" s="4">
        <f>_xlfn.XLOOKUP($A1098, Reliance!A:A, Reliance!B:B, "")</f>
        <v>1430.4</v>
      </c>
      <c r="D1098" s="4">
        <f>_xlfn.XLOOKUP($A1098, HDFC!A:A, HDFC!B:B, "")</f>
        <v>763.87</v>
      </c>
      <c r="E1098" s="4">
        <f>_xlfn.XLOOKUP($A1098, ITC!A:A, ITC!B:B, "")</f>
        <v>403.43</v>
      </c>
      <c r="F1098" s="4">
        <f>_xlfn.XLOOKUP($A1098, TCS!A:A, TCS!B:B, "")</f>
        <v>3670.95</v>
      </c>
      <c r="G1098" s="4">
        <f>_xlfn.XLOOKUP($A1098, Infosys!A:A, Infosys!B:B,"")</f>
        <v>1406.9</v>
      </c>
      <c r="H1098" s="4">
        <f>_xlfn.XLOOKUP($A1098, 'L &amp; T'!A:A, 'L &amp; T'!B:B, "")</f>
        <v>3669.3</v>
      </c>
    </row>
    <row r="1099" spans="1:8" x14ac:dyDescent="0.3">
      <c r="A1099" s="1">
        <v>45446</v>
      </c>
      <c r="B1099" s="4">
        <f>_xlfn.XLOOKUP($A1099, 'Nifty 50'!A:A, 'Nifty 50'!B:B, "")</f>
        <v>23263.9</v>
      </c>
      <c r="C1099" s="4">
        <f>_xlfn.XLOOKUP($A1099, Reliance!A:A, Reliance!B:B, "")</f>
        <v>1510.32</v>
      </c>
      <c r="D1099" s="4">
        <f>_xlfn.XLOOKUP($A1099, HDFC!A:A, HDFC!B:B, "")</f>
        <v>784.15</v>
      </c>
      <c r="E1099" s="4">
        <f>_xlfn.XLOOKUP($A1099, ITC!A:A, ITC!B:B, "")</f>
        <v>407.12</v>
      </c>
      <c r="F1099" s="4">
        <f>_xlfn.XLOOKUP($A1099, TCS!A:A, TCS!B:B, "")</f>
        <v>3702.85</v>
      </c>
      <c r="G1099" s="4">
        <f>_xlfn.XLOOKUP($A1099, Infosys!A:A, Infosys!B:B,"")</f>
        <v>1405.9</v>
      </c>
      <c r="H1099" s="4">
        <f>_xlfn.XLOOKUP($A1099, 'L &amp; T'!A:A, 'L &amp; T'!B:B, "")</f>
        <v>3897.15</v>
      </c>
    </row>
    <row r="1100" spans="1:8" x14ac:dyDescent="0.3">
      <c r="A1100" s="1">
        <v>45447</v>
      </c>
      <c r="B1100" s="4">
        <f>_xlfn.XLOOKUP($A1100, 'Nifty 50'!A:A, 'Nifty 50'!B:B, "")</f>
        <v>21884.5</v>
      </c>
      <c r="C1100" s="4">
        <f>_xlfn.XLOOKUP($A1100, Reliance!A:A, Reliance!B:B, "")</f>
        <v>1397.28</v>
      </c>
      <c r="D1100" s="4">
        <f>_xlfn.XLOOKUP($A1100, HDFC!A:A, HDFC!B:B, "")</f>
        <v>739.73</v>
      </c>
      <c r="E1100" s="4">
        <f>_xlfn.XLOOKUP($A1100, ITC!A:A, ITC!B:B, "")</f>
        <v>392.79</v>
      </c>
      <c r="F1100" s="4">
        <f>_xlfn.XLOOKUP($A1100, TCS!A:A, TCS!B:B, "")</f>
        <v>3715</v>
      </c>
      <c r="G1100" s="4">
        <f>_xlfn.XLOOKUP($A1100, Infosys!A:A, Infosys!B:B,"")</f>
        <v>1393.65</v>
      </c>
      <c r="H1100" s="4">
        <f>_xlfn.XLOOKUP($A1100, 'L &amp; T'!A:A, 'L &amp; T'!B:B, "")</f>
        <v>3403.2</v>
      </c>
    </row>
    <row r="1101" spans="1:8" x14ac:dyDescent="0.3">
      <c r="A1101" s="1">
        <v>45448</v>
      </c>
      <c r="B1101" s="4">
        <f>_xlfn.XLOOKUP($A1101, 'Nifty 50'!A:A, 'Nifty 50'!B:B, "")</f>
        <v>22620.35</v>
      </c>
      <c r="C1101" s="4">
        <f>_xlfn.XLOOKUP($A1101, Reliance!A:A, Reliance!B:B, "")</f>
        <v>1420.75</v>
      </c>
      <c r="D1101" s="4">
        <f>_xlfn.XLOOKUP($A1101, HDFC!A:A, HDFC!B:B, "")</f>
        <v>773.97</v>
      </c>
      <c r="E1101" s="4">
        <f>_xlfn.XLOOKUP($A1101, ITC!A:A, ITC!B:B, "")</f>
        <v>407.07</v>
      </c>
      <c r="F1101" s="4">
        <f>_xlfn.XLOOKUP($A1101, TCS!A:A, TCS!B:B, "")</f>
        <v>3746.45</v>
      </c>
      <c r="G1101" s="4">
        <f>_xlfn.XLOOKUP($A1101, Infosys!A:A, Infosys!B:B,"")</f>
        <v>1430.1</v>
      </c>
      <c r="H1101" s="4">
        <f>_xlfn.XLOOKUP($A1101, 'L &amp; T'!A:A, 'L &amp; T'!B:B, "")</f>
        <v>3409</v>
      </c>
    </row>
    <row r="1102" spans="1:8" x14ac:dyDescent="0.3">
      <c r="A1102" s="1">
        <v>45449</v>
      </c>
      <c r="B1102" s="4">
        <f>_xlfn.XLOOKUP($A1102, 'Nifty 50'!A:A, 'Nifty 50'!B:B, "")</f>
        <v>22821.4</v>
      </c>
      <c r="C1102" s="4">
        <f>_xlfn.XLOOKUP($A1102, Reliance!A:A, Reliance!B:B, "")</f>
        <v>1431.6</v>
      </c>
      <c r="D1102" s="4">
        <f>_xlfn.XLOOKUP($A1102, HDFC!A:A, HDFC!B:B, "")</f>
        <v>777.91</v>
      </c>
      <c r="E1102" s="4">
        <f>_xlfn.XLOOKUP($A1102, ITC!A:A, ITC!B:B, "")</f>
        <v>411.89</v>
      </c>
      <c r="F1102" s="4">
        <f>_xlfn.XLOOKUP($A1102, TCS!A:A, TCS!B:B, "")</f>
        <v>3830.4</v>
      </c>
      <c r="G1102" s="4">
        <f>_xlfn.XLOOKUP($A1102, Infosys!A:A, Infosys!B:B,"")</f>
        <v>1472.25</v>
      </c>
      <c r="H1102" s="4">
        <f>_xlfn.XLOOKUP($A1102, 'L &amp; T'!A:A, 'L &amp; T'!B:B, "")</f>
        <v>3482.55</v>
      </c>
    </row>
    <row r="1103" spans="1:8" x14ac:dyDescent="0.3">
      <c r="A1103" s="1">
        <v>45450</v>
      </c>
      <c r="B1103" s="4">
        <f>_xlfn.XLOOKUP($A1103, 'Nifty 50'!A:A, 'Nifty 50'!B:B, "")</f>
        <v>23290.15</v>
      </c>
      <c r="C1103" s="4">
        <f>_xlfn.XLOOKUP($A1103, Reliance!A:A, Reliance!B:B, "")</f>
        <v>1469.95</v>
      </c>
      <c r="D1103" s="4">
        <f>_xlfn.XLOOKUP($A1103, HDFC!A:A, HDFC!B:B, "")</f>
        <v>784.72</v>
      </c>
      <c r="E1103" s="4">
        <f>_xlfn.XLOOKUP($A1103, ITC!A:A, ITC!B:B, "")</f>
        <v>415.44</v>
      </c>
      <c r="F1103" s="4">
        <f>_xlfn.XLOOKUP($A1103, TCS!A:A, TCS!B:B, "")</f>
        <v>3893.95</v>
      </c>
      <c r="G1103" s="4">
        <f>_xlfn.XLOOKUP($A1103, Infosys!A:A, Infosys!B:B,"")</f>
        <v>1533.6</v>
      </c>
      <c r="H1103" s="4">
        <f>_xlfn.XLOOKUP($A1103, 'L &amp; T'!A:A, 'L &amp; T'!B:B, "")</f>
        <v>3532.5</v>
      </c>
    </row>
    <row r="1104" spans="1:8" x14ac:dyDescent="0.3">
      <c r="A1104" s="1">
        <v>45453</v>
      </c>
      <c r="B1104" s="4">
        <f>_xlfn.XLOOKUP($A1104, 'Nifty 50'!A:A, 'Nifty 50'!B:B, "")</f>
        <v>23259.200000000001</v>
      </c>
      <c r="C1104" s="4">
        <f>_xlfn.XLOOKUP($A1104, Reliance!A:A, Reliance!B:B, "")</f>
        <v>1471.4</v>
      </c>
      <c r="D1104" s="4">
        <f>_xlfn.XLOOKUP($A1104, HDFC!A:A, HDFC!B:B, "")</f>
        <v>778.71</v>
      </c>
      <c r="E1104" s="4">
        <f>_xlfn.XLOOKUP($A1104, ITC!A:A, ITC!B:B, "")</f>
        <v>413.31</v>
      </c>
      <c r="F1104" s="4">
        <f>_xlfn.XLOOKUP($A1104, TCS!A:A, TCS!B:B, "")</f>
        <v>3858.7</v>
      </c>
      <c r="G1104" s="4">
        <f>_xlfn.XLOOKUP($A1104, Infosys!A:A, Infosys!B:B,"")</f>
        <v>1499.75</v>
      </c>
      <c r="H1104" s="4">
        <f>_xlfn.XLOOKUP($A1104, 'L &amp; T'!A:A, 'L &amp; T'!B:B, "")</f>
        <v>3543.75</v>
      </c>
    </row>
    <row r="1105" spans="1:8" x14ac:dyDescent="0.3">
      <c r="A1105" s="1">
        <v>45454</v>
      </c>
      <c r="B1105" s="4">
        <f>_xlfn.XLOOKUP($A1105, 'Nifty 50'!A:A, 'Nifty 50'!B:B, "")</f>
        <v>23264.85</v>
      </c>
      <c r="C1105" s="4">
        <f>_xlfn.XLOOKUP($A1105, Reliance!A:A, Reliance!B:B, "")</f>
        <v>1456.68</v>
      </c>
      <c r="D1105" s="4">
        <f>_xlfn.XLOOKUP($A1105, HDFC!A:A, HDFC!B:B, "")</f>
        <v>780.46</v>
      </c>
      <c r="E1105" s="4">
        <f>_xlfn.XLOOKUP($A1105, ITC!A:A, ITC!B:B, "")</f>
        <v>409.62</v>
      </c>
      <c r="F1105" s="4">
        <f>_xlfn.XLOOKUP($A1105, TCS!A:A, TCS!B:B, "")</f>
        <v>3852.1</v>
      </c>
      <c r="G1105" s="4">
        <f>_xlfn.XLOOKUP($A1105, Infosys!A:A, Infosys!B:B,"")</f>
        <v>1495.75</v>
      </c>
      <c r="H1105" s="4">
        <f>_xlfn.XLOOKUP($A1105, 'L &amp; T'!A:A, 'L &amp; T'!B:B, "")</f>
        <v>3598.7</v>
      </c>
    </row>
    <row r="1106" spans="1:8" x14ac:dyDescent="0.3">
      <c r="A1106" s="1">
        <v>45455</v>
      </c>
      <c r="B1106" s="4">
        <f>_xlfn.XLOOKUP($A1106, 'Nifty 50'!A:A, 'Nifty 50'!B:B, "")</f>
        <v>23322.95</v>
      </c>
      <c r="C1106" s="4">
        <f>_xlfn.XLOOKUP($A1106, Reliance!A:A, Reliance!B:B, "")</f>
        <v>1463.32</v>
      </c>
      <c r="D1106" s="4">
        <f>_xlfn.XLOOKUP($A1106, HDFC!A:A, HDFC!B:B, "")</f>
        <v>785.12</v>
      </c>
      <c r="E1106" s="4">
        <f>_xlfn.XLOOKUP($A1106, ITC!A:A, ITC!B:B, "")</f>
        <v>408.96</v>
      </c>
      <c r="F1106" s="4">
        <f>_xlfn.XLOOKUP($A1106, TCS!A:A, TCS!B:B, "")</f>
        <v>3831.65</v>
      </c>
      <c r="G1106" s="4">
        <f>_xlfn.XLOOKUP($A1106, Infosys!A:A, Infosys!B:B,"")</f>
        <v>1485.2</v>
      </c>
      <c r="H1106" s="4">
        <f>_xlfn.XLOOKUP($A1106, 'L &amp; T'!A:A, 'L &amp; T'!B:B, "")</f>
        <v>3630.3</v>
      </c>
    </row>
    <row r="1107" spans="1:8" x14ac:dyDescent="0.3">
      <c r="A1107" s="1">
        <v>45456</v>
      </c>
      <c r="B1107" s="4">
        <f>_xlfn.XLOOKUP($A1107, 'Nifty 50'!A:A, 'Nifty 50'!B:B, "")</f>
        <v>23398.9</v>
      </c>
      <c r="C1107" s="4">
        <f>_xlfn.XLOOKUP($A1107, Reliance!A:A, Reliance!B:B, "")</f>
        <v>1465.25</v>
      </c>
      <c r="D1107" s="4">
        <f>_xlfn.XLOOKUP($A1107, HDFC!A:A, HDFC!B:B, "")</f>
        <v>788.41</v>
      </c>
      <c r="E1107" s="4">
        <f>_xlfn.XLOOKUP($A1107, ITC!A:A, ITC!B:B, "")</f>
        <v>407.07</v>
      </c>
      <c r="F1107" s="4">
        <f>_xlfn.XLOOKUP($A1107, TCS!A:A, TCS!B:B, "")</f>
        <v>3878.15</v>
      </c>
      <c r="G1107" s="4">
        <f>_xlfn.XLOOKUP($A1107, Infosys!A:A, Infosys!B:B,"")</f>
        <v>1493.95</v>
      </c>
      <c r="H1107" s="4">
        <f>_xlfn.XLOOKUP($A1107, 'L &amp; T'!A:A, 'L &amp; T'!B:B, "")</f>
        <v>3703.65</v>
      </c>
    </row>
    <row r="1108" spans="1:8" x14ac:dyDescent="0.3">
      <c r="A1108" s="1">
        <v>45457</v>
      </c>
      <c r="B1108" s="4">
        <f>_xlfn.XLOOKUP($A1108, 'Nifty 50'!A:A, 'Nifty 50'!B:B, "")</f>
        <v>23465.599999999999</v>
      </c>
      <c r="C1108" s="4">
        <f>_xlfn.XLOOKUP($A1108, Reliance!A:A, Reliance!B:B, "")</f>
        <v>1477.55</v>
      </c>
      <c r="D1108" s="4">
        <f>_xlfn.XLOOKUP($A1108, HDFC!A:A, HDFC!B:B, "")</f>
        <v>796.47</v>
      </c>
      <c r="E1108" s="4">
        <f>_xlfn.XLOOKUP($A1108, ITC!A:A, ITC!B:B, "")</f>
        <v>407.87</v>
      </c>
      <c r="F1108" s="4">
        <f>_xlfn.XLOOKUP($A1108, TCS!A:A, TCS!B:B, "")</f>
        <v>3832.05</v>
      </c>
      <c r="G1108" s="4">
        <f>_xlfn.XLOOKUP($A1108, Infosys!A:A, Infosys!B:B,"")</f>
        <v>1488.9</v>
      </c>
      <c r="H1108" s="4">
        <f>_xlfn.XLOOKUP($A1108, 'L &amp; T'!A:A, 'L &amp; T'!B:B, "")</f>
        <v>3687.8</v>
      </c>
    </row>
    <row r="1109" spans="1:8" x14ac:dyDescent="0.3">
      <c r="A1109" s="1">
        <v>45461</v>
      </c>
      <c r="B1109" s="4">
        <f>_xlfn.XLOOKUP($A1109, 'Nifty 50'!A:A, 'Nifty 50'!B:B, "")</f>
        <v>23557.9</v>
      </c>
      <c r="C1109" s="4">
        <f>_xlfn.XLOOKUP($A1109, Reliance!A:A, Reliance!B:B, "")</f>
        <v>1481.03</v>
      </c>
      <c r="D1109" s="4">
        <f>_xlfn.XLOOKUP($A1109, HDFC!A:A, HDFC!B:B, "")</f>
        <v>801.9</v>
      </c>
      <c r="E1109" s="4">
        <f>_xlfn.XLOOKUP($A1109, ITC!A:A, ITC!B:B, "")</f>
        <v>405.6</v>
      </c>
      <c r="F1109" s="4">
        <f>_xlfn.XLOOKUP($A1109, TCS!A:A, TCS!B:B, "")</f>
        <v>3815.1</v>
      </c>
      <c r="G1109" s="4">
        <f>_xlfn.XLOOKUP($A1109, Infosys!A:A, Infosys!B:B,"")</f>
        <v>1498.2</v>
      </c>
      <c r="H1109" s="4">
        <f>_xlfn.XLOOKUP($A1109, 'L &amp; T'!A:A, 'L &amp; T'!B:B, "")</f>
        <v>3689.2</v>
      </c>
    </row>
    <row r="1110" spans="1:8" x14ac:dyDescent="0.3">
      <c r="A1110" s="1">
        <v>45462</v>
      </c>
      <c r="B1110" s="4">
        <f>_xlfn.XLOOKUP($A1110, 'Nifty 50'!A:A, 'Nifty 50'!B:B, "")</f>
        <v>23516</v>
      </c>
      <c r="C1110" s="4">
        <f>_xlfn.XLOOKUP($A1110, Reliance!A:A, Reliance!B:B, "")</f>
        <v>1458.65</v>
      </c>
      <c r="D1110" s="4">
        <f>_xlfn.XLOOKUP($A1110, HDFC!A:A, HDFC!B:B, "")</f>
        <v>826.87</v>
      </c>
      <c r="E1110" s="4">
        <f>_xlfn.XLOOKUP($A1110, ITC!A:A, ITC!B:B, "")</f>
        <v>400.78</v>
      </c>
      <c r="F1110" s="4">
        <f>_xlfn.XLOOKUP($A1110, TCS!A:A, TCS!B:B, "")</f>
        <v>3801.7</v>
      </c>
      <c r="G1110" s="4">
        <f>_xlfn.XLOOKUP($A1110, Infosys!A:A, Infosys!B:B,"")</f>
        <v>1511.35</v>
      </c>
      <c r="H1110" s="4">
        <f>_xlfn.XLOOKUP($A1110, 'L &amp; T'!A:A, 'L &amp; T'!B:B, "")</f>
        <v>3589.95</v>
      </c>
    </row>
    <row r="1111" spans="1:8" x14ac:dyDescent="0.3">
      <c r="A1111" s="1">
        <v>45463</v>
      </c>
      <c r="B1111" s="4">
        <f>_xlfn.XLOOKUP($A1111, 'Nifty 50'!A:A, 'Nifty 50'!B:B, "")</f>
        <v>23567</v>
      </c>
      <c r="C1111" s="4">
        <f>_xlfn.XLOOKUP($A1111, Reliance!A:A, Reliance!B:B, "")</f>
        <v>1473.7</v>
      </c>
      <c r="D1111" s="4">
        <f>_xlfn.XLOOKUP($A1111, HDFC!A:A, HDFC!B:B, "")</f>
        <v>832.6</v>
      </c>
      <c r="E1111" s="4">
        <f>_xlfn.XLOOKUP($A1111, ITC!A:A, ITC!B:B, "")</f>
        <v>400.45</v>
      </c>
      <c r="F1111" s="4">
        <f>_xlfn.XLOOKUP($A1111, TCS!A:A, TCS!B:B, "")</f>
        <v>3787.25</v>
      </c>
      <c r="G1111" s="4">
        <f>_xlfn.XLOOKUP($A1111, Infosys!A:A, Infosys!B:B,"")</f>
        <v>1515.4</v>
      </c>
      <c r="H1111" s="4">
        <f>_xlfn.XLOOKUP($A1111, 'L &amp; T'!A:A, 'L &amp; T'!B:B, "")</f>
        <v>3594.45</v>
      </c>
    </row>
    <row r="1112" spans="1:8" x14ac:dyDescent="0.3">
      <c r="A1112" s="1">
        <v>45464</v>
      </c>
      <c r="B1112" s="4">
        <f>_xlfn.XLOOKUP($A1112, 'Nifty 50'!A:A, 'Nifty 50'!B:B, "")</f>
        <v>23501.1</v>
      </c>
      <c r="C1112" s="4">
        <f>_xlfn.XLOOKUP($A1112, Reliance!A:A, Reliance!B:B, "")</f>
        <v>1454.2</v>
      </c>
      <c r="D1112" s="4">
        <f>_xlfn.XLOOKUP($A1112, HDFC!A:A, HDFC!B:B, "")</f>
        <v>830.81</v>
      </c>
      <c r="E1112" s="4">
        <f>_xlfn.XLOOKUP($A1112, ITC!A:A, ITC!B:B, "")</f>
        <v>396.95</v>
      </c>
      <c r="F1112" s="4">
        <f>_xlfn.XLOOKUP($A1112, TCS!A:A, TCS!B:B, "")</f>
        <v>3810.75</v>
      </c>
      <c r="G1112" s="4">
        <f>_xlfn.XLOOKUP($A1112, Infosys!A:A, Infosys!B:B,"")</f>
        <v>1532.7</v>
      </c>
      <c r="H1112" s="4">
        <f>_xlfn.XLOOKUP($A1112, 'L &amp; T'!A:A, 'L &amp; T'!B:B, "")</f>
        <v>3535</v>
      </c>
    </row>
    <row r="1113" spans="1:8" x14ac:dyDescent="0.3">
      <c r="A1113" s="1">
        <v>45467</v>
      </c>
      <c r="B1113" s="4">
        <f>_xlfn.XLOOKUP($A1113, 'Nifty 50'!A:A, 'Nifty 50'!B:B, "")</f>
        <v>23537.85</v>
      </c>
      <c r="C1113" s="4">
        <f>_xlfn.XLOOKUP($A1113, Reliance!A:A, Reliance!B:B, "")</f>
        <v>1441.47</v>
      </c>
      <c r="D1113" s="4">
        <f>_xlfn.XLOOKUP($A1113, HDFC!A:A, HDFC!B:B, "")</f>
        <v>834.12</v>
      </c>
      <c r="E1113" s="4">
        <f>_xlfn.XLOOKUP($A1113, ITC!A:A, ITC!B:B, "")</f>
        <v>400.45</v>
      </c>
      <c r="F1113" s="4">
        <f>_xlfn.XLOOKUP($A1113, TCS!A:A, TCS!B:B, "")</f>
        <v>3816.8</v>
      </c>
      <c r="G1113" s="4">
        <f>_xlfn.XLOOKUP($A1113, Infosys!A:A, Infosys!B:B,"")</f>
        <v>1527.15</v>
      </c>
      <c r="H1113" s="4">
        <f>_xlfn.XLOOKUP($A1113, 'L &amp; T'!A:A, 'L &amp; T'!B:B, "")</f>
        <v>3531.6</v>
      </c>
    </row>
    <row r="1114" spans="1:8" x14ac:dyDescent="0.3">
      <c r="A1114" s="1">
        <v>45468</v>
      </c>
      <c r="B1114" s="4">
        <f>_xlfn.XLOOKUP($A1114, 'Nifty 50'!A:A, 'Nifty 50'!B:B, "")</f>
        <v>23721.3</v>
      </c>
      <c r="C1114" s="4">
        <f>_xlfn.XLOOKUP($A1114, Reliance!A:A, Reliance!B:B, "")</f>
        <v>1454.15</v>
      </c>
      <c r="D1114" s="4">
        <f>_xlfn.XLOOKUP($A1114, HDFC!A:A, HDFC!B:B, "")</f>
        <v>853.55</v>
      </c>
      <c r="E1114" s="4">
        <f>_xlfn.XLOOKUP($A1114, ITC!A:A, ITC!B:B, "")</f>
        <v>400.45</v>
      </c>
      <c r="F1114" s="4">
        <f>_xlfn.XLOOKUP($A1114, TCS!A:A, TCS!B:B, "")</f>
        <v>3838.45</v>
      </c>
      <c r="G1114" s="4">
        <f>_xlfn.XLOOKUP($A1114, Infosys!A:A, Infosys!B:B,"")</f>
        <v>1541.95</v>
      </c>
      <c r="H1114" s="4">
        <f>_xlfn.XLOOKUP($A1114, 'L &amp; T'!A:A, 'L &amp; T'!B:B, "")</f>
        <v>3587.8</v>
      </c>
    </row>
    <row r="1115" spans="1:8" x14ac:dyDescent="0.3">
      <c r="A1115" s="1">
        <v>45469</v>
      </c>
      <c r="B1115" s="4">
        <f>_xlfn.XLOOKUP($A1115, 'Nifty 50'!A:A, 'Nifty 50'!B:B, "")</f>
        <v>23868.799999999999</v>
      </c>
      <c r="C1115" s="4">
        <f>_xlfn.XLOOKUP($A1115, Reliance!A:A, Reliance!B:B, "")</f>
        <v>1514.03</v>
      </c>
      <c r="D1115" s="4">
        <f>_xlfn.XLOOKUP($A1115, HDFC!A:A, HDFC!B:B, "")</f>
        <v>848.64</v>
      </c>
      <c r="E1115" s="4">
        <f>_xlfn.XLOOKUP($A1115, ITC!A:A, ITC!B:B, "")</f>
        <v>401.06</v>
      </c>
      <c r="F1115" s="4">
        <f>_xlfn.XLOOKUP($A1115, TCS!A:A, TCS!B:B, "")</f>
        <v>3855.85</v>
      </c>
      <c r="G1115" s="4">
        <f>_xlfn.XLOOKUP($A1115, Infosys!A:A, Infosys!B:B,"")</f>
        <v>1540.7</v>
      </c>
      <c r="H1115" s="4">
        <f>_xlfn.XLOOKUP($A1115, 'L &amp; T'!A:A, 'L &amp; T'!B:B, "")</f>
        <v>3602.95</v>
      </c>
    </row>
    <row r="1116" spans="1:8" x14ac:dyDescent="0.3">
      <c r="A1116" s="1">
        <v>45470</v>
      </c>
      <c r="B1116" s="4">
        <f>_xlfn.XLOOKUP($A1116, 'Nifty 50'!A:A, 'Nifty 50'!B:B, "")</f>
        <v>24044.5</v>
      </c>
      <c r="C1116" s="4">
        <f>_xlfn.XLOOKUP($A1116, Reliance!A:A, Reliance!B:B, "")</f>
        <v>1530.55</v>
      </c>
      <c r="D1116" s="4">
        <f>_xlfn.XLOOKUP($A1116, HDFC!A:A, HDFC!B:B, "")</f>
        <v>845.97</v>
      </c>
      <c r="E1116" s="4">
        <f>_xlfn.XLOOKUP($A1116, ITC!A:A, ITC!B:B, "")</f>
        <v>402.62</v>
      </c>
      <c r="F1116" s="4">
        <f>_xlfn.XLOOKUP($A1116, TCS!A:A, TCS!B:B, "")</f>
        <v>3934.15</v>
      </c>
      <c r="G1116" s="4">
        <f>_xlfn.XLOOKUP($A1116, Infosys!A:A, Infosys!B:B,"")</f>
        <v>1573.35</v>
      </c>
      <c r="H1116" s="4">
        <f>_xlfn.XLOOKUP($A1116, 'L &amp; T'!A:A, 'L &amp; T'!B:B, "")</f>
        <v>3564.4</v>
      </c>
    </row>
    <row r="1117" spans="1:8" x14ac:dyDescent="0.3">
      <c r="A1117" s="1">
        <v>45471</v>
      </c>
      <c r="B1117" s="4">
        <f>_xlfn.XLOOKUP($A1117, 'Nifty 50'!A:A, 'Nifty 50'!B:B, "")</f>
        <v>24010.6</v>
      </c>
      <c r="C1117" s="4">
        <f>_xlfn.XLOOKUP($A1117, Reliance!A:A, Reliance!B:B, "")</f>
        <v>1565.4</v>
      </c>
      <c r="D1117" s="4">
        <f>_xlfn.XLOOKUP($A1117, HDFC!A:A, HDFC!B:B, "")</f>
        <v>839.81</v>
      </c>
      <c r="E1117" s="4">
        <f>_xlfn.XLOOKUP($A1117, ITC!A:A, ITC!B:B, "")</f>
        <v>401.96</v>
      </c>
      <c r="F1117" s="4">
        <f>_xlfn.XLOOKUP($A1117, TCS!A:A, TCS!B:B, "")</f>
        <v>3904.15</v>
      </c>
      <c r="G1117" s="4">
        <f>_xlfn.XLOOKUP($A1117, Infosys!A:A, Infosys!B:B,"")</f>
        <v>1566.75</v>
      </c>
      <c r="H1117" s="4">
        <f>_xlfn.XLOOKUP($A1117, 'L &amp; T'!A:A, 'L &amp; T'!B:B, "")</f>
        <v>3548.45</v>
      </c>
    </row>
    <row r="1118" spans="1:8" x14ac:dyDescent="0.3">
      <c r="A1118" s="1">
        <v>45474</v>
      </c>
      <c r="B1118" s="4">
        <f>_xlfn.XLOOKUP($A1118, 'Nifty 50'!A:A, 'Nifty 50'!B:B, "")</f>
        <v>24141.95</v>
      </c>
      <c r="C1118" s="4">
        <f>_xlfn.XLOOKUP($A1118, Reliance!A:A, Reliance!B:B, "")</f>
        <v>1560.15</v>
      </c>
      <c r="D1118" s="4">
        <f>_xlfn.XLOOKUP($A1118, HDFC!A:A, HDFC!B:B, "")</f>
        <v>850.48</v>
      </c>
      <c r="E1118" s="4">
        <f>_xlfn.XLOOKUP($A1118, ITC!A:A, ITC!B:B, "")</f>
        <v>405.89</v>
      </c>
      <c r="F1118" s="4">
        <f>_xlfn.XLOOKUP($A1118, TCS!A:A, TCS!B:B, "")</f>
        <v>3978.2</v>
      </c>
      <c r="G1118" s="4">
        <f>_xlfn.XLOOKUP($A1118, Infosys!A:A, Infosys!B:B,"")</f>
        <v>1590.8</v>
      </c>
      <c r="H1118" s="4">
        <f>_xlfn.XLOOKUP($A1118, 'L &amp; T'!A:A, 'L &amp; T'!B:B, "")</f>
        <v>3526.55</v>
      </c>
    </row>
    <row r="1119" spans="1:8" x14ac:dyDescent="0.3">
      <c r="A1119" s="1">
        <v>45475</v>
      </c>
      <c r="B1119" s="4">
        <f>_xlfn.XLOOKUP($A1119, 'Nifty 50'!A:A, 'Nifty 50'!B:B, "")</f>
        <v>24123.85</v>
      </c>
      <c r="C1119" s="4">
        <f>_xlfn.XLOOKUP($A1119, Reliance!A:A, Reliance!B:B, "")</f>
        <v>1565.18</v>
      </c>
      <c r="D1119" s="4">
        <f>_xlfn.XLOOKUP($A1119, HDFC!A:A, HDFC!B:B, "")</f>
        <v>863.15</v>
      </c>
      <c r="E1119" s="4">
        <f>_xlfn.XLOOKUP($A1119, ITC!A:A, ITC!B:B, "")</f>
        <v>402.53</v>
      </c>
      <c r="F1119" s="4">
        <f>_xlfn.XLOOKUP($A1119, TCS!A:A, TCS!B:B, "")</f>
        <v>4017.4</v>
      </c>
      <c r="G1119" s="4">
        <f>_xlfn.XLOOKUP($A1119, Infosys!A:A, Infosys!B:B,"")</f>
        <v>1621.05</v>
      </c>
      <c r="H1119" s="4">
        <f>_xlfn.XLOOKUP($A1119, 'L &amp; T'!A:A, 'L &amp; T'!B:B, "")</f>
        <v>3626.5</v>
      </c>
    </row>
    <row r="1120" spans="1:8" x14ac:dyDescent="0.3">
      <c r="A1120" s="1">
        <v>45476</v>
      </c>
      <c r="B1120" s="4">
        <f>_xlfn.XLOOKUP($A1120, 'Nifty 50'!A:A, 'Nifty 50'!B:B, "")</f>
        <v>24286.5</v>
      </c>
      <c r="C1120" s="4">
        <f>_xlfn.XLOOKUP($A1120, Reliance!A:A, Reliance!B:B, "")</f>
        <v>1552.43</v>
      </c>
      <c r="D1120" s="4">
        <f>_xlfn.XLOOKUP($A1120, HDFC!A:A, HDFC!B:B, "")</f>
        <v>882.13</v>
      </c>
      <c r="E1120" s="4">
        <f>_xlfn.XLOOKUP($A1120, ITC!A:A, ITC!B:B, "")</f>
        <v>405.18</v>
      </c>
      <c r="F1120" s="4">
        <f>_xlfn.XLOOKUP($A1120, TCS!A:A, TCS!B:B, "")</f>
        <v>3965.25</v>
      </c>
      <c r="G1120" s="4">
        <f>_xlfn.XLOOKUP($A1120, Infosys!A:A, Infosys!B:B,"")</f>
        <v>1627.4</v>
      </c>
      <c r="H1120" s="4">
        <f>_xlfn.XLOOKUP($A1120, 'L &amp; T'!A:A, 'L &amp; T'!B:B, "")</f>
        <v>3614.35</v>
      </c>
    </row>
    <row r="1121" spans="1:8" x14ac:dyDescent="0.3">
      <c r="A1121" s="1">
        <v>45477</v>
      </c>
      <c r="B1121" s="4">
        <f>_xlfn.XLOOKUP($A1121, 'Nifty 50'!A:A, 'Nifty 50'!B:B, "")</f>
        <v>24302.15</v>
      </c>
      <c r="C1121" s="4">
        <f>_xlfn.XLOOKUP($A1121, Reliance!A:A, Reliance!B:B, "")</f>
        <v>1554.03</v>
      </c>
      <c r="D1121" s="4">
        <f>_xlfn.XLOOKUP($A1121, HDFC!A:A, HDFC!B:B, "")</f>
        <v>861.43</v>
      </c>
      <c r="E1121" s="4">
        <f>_xlfn.XLOOKUP($A1121, ITC!A:A, ITC!B:B, "")</f>
        <v>405.89</v>
      </c>
      <c r="F1121" s="4">
        <f>_xlfn.XLOOKUP($A1121, TCS!A:A, TCS!B:B, "")</f>
        <v>4020.95</v>
      </c>
      <c r="G1121" s="4">
        <f>_xlfn.XLOOKUP($A1121, Infosys!A:A, Infosys!B:B,"")</f>
        <v>1650.65</v>
      </c>
      <c r="H1121" s="4">
        <f>_xlfn.XLOOKUP($A1121, 'L &amp; T'!A:A, 'L &amp; T'!B:B, "")</f>
        <v>3573.3</v>
      </c>
    </row>
    <row r="1122" spans="1:8" x14ac:dyDescent="0.3">
      <c r="A1122" s="1">
        <v>45478</v>
      </c>
      <c r="B1122" s="4">
        <f>_xlfn.XLOOKUP($A1122, 'Nifty 50'!A:A, 'Nifty 50'!B:B, "")</f>
        <v>24323.85</v>
      </c>
      <c r="C1122" s="4">
        <f>_xlfn.XLOOKUP($A1122, Reliance!A:A, Reliance!B:B, "")</f>
        <v>1588.63</v>
      </c>
      <c r="D1122" s="4">
        <f>_xlfn.XLOOKUP($A1122, HDFC!A:A, HDFC!B:B, "")</f>
        <v>822</v>
      </c>
      <c r="E1122" s="4">
        <f>_xlfn.XLOOKUP($A1122, ITC!A:A, ITC!B:B, "")</f>
        <v>410.24</v>
      </c>
      <c r="F1122" s="4">
        <f>_xlfn.XLOOKUP($A1122, TCS!A:A, TCS!B:B, "")</f>
        <v>4011.8</v>
      </c>
      <c r="G1122" s="4">
        <f>_xlfn.XLOOKUP($A1122, Infosys!A:A, Infosys!B:B,"")</f>
        <v>1647.45</v>
      </c>
      <c r="H1122" s="4">
        <f>_xlfn.XLOOKUP($A1122, 'L &amp; T'!A:A, 'L &amp; T'!B:B, "")</f>
        <v>3627.15</v>
      </c>
    </row>
    <row r="1123" spans="1:8" x14ac:dyDescent="0.3">
      <c r="A1123" s="1">
        <v>45481</v>
      </c>
      <c r="B1123" s="4">
        <f>_xlfn.XLOOKUP($A1123, 'Nifty 50'!A:A, 'Nifty 50'!B:B, "")</f>
        <v>24320.55</v>
      </c>
      <c r="C1123" s="4">
        <f>_xlfn.XLOOKUP($A1123, Reliance!A:A, Reliance!B:B, "")</f>
        <v>1600.9</v>
      </c>
      <c r="D1123" s="4">
        <f>_xlfn.XLOOKUP($A1123, HDFC!A:A, HDFC!B:B, "")</f>
        <v>815.65</v>
      </c>
      <c r="E1123" s="4">
        <f>_xlfn.XLOOKUP($A1123, ITC!A:A, ITC!B:B, "")</f>
        <v>419.65</v>
      </c>
      <c r="F1123" s="4">
        <f>_xlfn.XLOOKUP($A1123, TCS!A:A, TCS!B:B, "")</f>
        <v>3993.2</v>
      </c>
      <c r="G1123" s="4">
        <f>_xlfn.XLOOKUP($A1123, Infosys!A:A, Infosys!B:B,"")</f>
        <v>1661.65</v>
      </c>
      <c r="H1123" s="4">
        <f>_xlfn.XLOOKUP($A1123, 'L &amp; T'!A:A, 'L &amp; T'!B:B, "")</f>
        <v>3632</v>
      </c>
    </row>
    <row r="1124" spans="1:8" x14ac:dyDescent="0.3">
      <c r="A1124" s="1">
        <v>45482</v>
      </c>
      <c r="B1124" s="4">
        <f>_xlfn.XLOOKUP($A1124, 'Nifty 50'!A:A, 'Nifty 50'!B:B, "")</f>
        <v>24433.200000000001</v>
      </c>
      <c r="C1124" s="4">
        <f>_xlfn.XLOOKUP($A1124, Reliance!A:A, Reliance!B:B, "")</f>
        <v>1590.28</v>
      </c>
      <c r="D1124" s="4">
        <f>_xlfn.XLOOKUP($A1124, HDFC!A:A, HDFC!B:B, "")</f>
        <v>816.22</v>
      </c>
      <c r="E1124" s="4">
        <f>_xlfn.XLOOKUP($A1124, ITC!A:A, ITC!B:B, "")</f>
        <v>428.17</v>
      </c>
      <c r="F1124" s="4">
        <f>_xlfn.XLOOKUP($A1124, TCS!A:A, TCS!B:B, "")</f>
        <v>3985.5</v>
      </c>
      <c r="G1124" s="4">
        <f>_xlfn.XLOOKUP($A1124, Infosys!A:A, Infosys!B:B,"")</f>
        <v>1657.15</v>
      </c>
      <c r="H1124" s="4">
        <f>_xlfn.XLOOKUP($A1124, 'L &amp; T'!A:A, 'L &amp; T'!B:B, "")</f>
        <v>3666.1</v>
      </c>
    </row>
    <row r="1125" spans="1:8" x14ac:dyDescent="0.3">
      <c r="A1125" s="1">
        <v>45483</v>
      </c>
      <c r="B1125" s="4">
        <f>_xlfn.XLOOKUP($A1125, 'Nifty 50'!A:A, 'Nifty 50'!B:B, "")</f>
        <v>24324.45</v>
      </c>
      <c r="C1125" s="4">
        <f>_xlfn.XLOOKUP($A1125, Reliance!A:A, Reliance!B:B, "")</f>
        <v>1584.22</v>
      </c>
      <c r="D1125" s="4">
        <f>_xlfn.XLOOKUP($A1125, HDFC!A:A, HDFC!B:B, "")</f>
        <v>811.03</v>
      </c>
      <c r="E1125" s="4">
        <f>_xlfn.XLOOKUP($A1125, ITC!A:A, ITC!B:B, "")</f>
        <v>427.08</v>
      </c>
      <c r="F1125" s="4">
        <f>_xlfn.XLOOKUP($A1125, TCS!A:A, TCS!B:B, "")</f>
        <v>3909.15</v>
      </c>
      <c r="G1125" s="4">
        <f>_xlfn.XLOOKUP($A1125, Infosys!A:A, Infosys!B:B,"")</f>
        <v>1648.25</v>
      </c>
      <c r="H1125" s="4">
        <f>_xlfn.XLOOKUP($A1125, 'L &amp; T'!A:A, 'L &amp; T'!B:B, "")</f>
        <v>3650.05</v>
      </c>
    </row>
    <row r="1126" spans="1:8" x14ac:dyDescent="0.3">
      <c r="A1126" s="1">
        <v>45484</v>
      </c>
      <c r="B1126" s="4">
        <f>_xlfn.XLOOKUP($A1126, 'Nifty 50'!A:A, 'Nifty 50'!B:B, "")</f>
        <v>24315.95</v>
      </c>
      <c r="C1126" s="4">
        <f>_xlfn.XLOOKUP($A1126, Reliance!A:A, Reliance!B:B, "")</f>
        <v>1580.65</v>
      </c>
      <c r="D1126" s="4">
        <f>_xlfn.XLOOKUP($A1126, HDFC!A:A, HDFC!B:B, "")</f>
        <v>808.94</v>
      </c>
      <c r="E1126" s="4">
        <f>_xlfn.XLOOKUP($A1126, ITC!A:A, ITC!B:B, "")</f>
        <v>433.89</v>
      </c>
      <c r="F1126" s="4">
        <f>_xlfn.XLOOKUP($A1126, TCS!A:A, TCS!B:B, "")</f>
        <v>3923.7</v>
      </c>
      <c r="G1126" s="4">
        <f>_xlfn.XLOOKUP($A1126, Infosys!A:A, Infosys!B:B,"")</f>
        <v>1652.7</v>
      </c>
      <c r="H1126" s="4">
        <f>_xlfn.XLOOKUP($A1126, 'L &amp; T'!A:A, 'L &amp; T'!B:B, "")</f>
        <v>3621.1</v>
      </c>
    </row>
    <row r="1127" spans="1:8" x14ac:dyDescent="0.3">
      <c r="A1127" s="1">
        <v>45485</v>
      </c>
      <c r="B1127" s="4">
        <f>_xlfn.XLOOKUP($A1127, 'Nifty 50'!A:A, 'Nifty 50'!B:B, "")</f>
        <v>24502.15</v>
      </c>
      <c r="C1127" s="4">
        <f>_xlfn.XLOOKUP($A1127, Reliance!A:A, Reliance!B:B, "")</f>
        <v>1596.72</v>
      </c>
      <c r="D1127" s="4">
        <f>_xlfn.XLOOKUP($A1127, HDFC!A:A, HDFC!B:B, "")</f>
        <v>809.34</v>
      </c>
      <c r="E1127" s="4">
        <f>_xlfn.XLOOKUP($A1127, ITC!A:A, ITC!B:B, "")</f>
        <v>434.27</v>
      </c>
      <c r="F1127" s="4">
        <f>_xlfn.XLOOKUP($A1127, TCS!A:A, TCS!B:B, "")</f>
        <v>4183.95</v>
      </c>
      <c r="G1127" s="4">
        <f>_xlfn.XLOOKUP($A1127, Infosys!A:A, Infosys!B:B,"")</f>
        <v>1711.75</v>
      </c>
      <c r="H1127" s="4">
        <f>_xlfn.XLOOKUP($A1127, 'L &amp; T'!A:A, 'L &amp; T'!B:B, "")</f>
        <v>3649.35</v>
      </c>
    </row>
    <row r="1128" spans="1:8" x14ac:dyDescent="0.3">
      <c r="A1128" s="1">
        <v>45488</v>
      </c>
      <c r="B1128" s="4">
        <f>_xlfn.XLOOKUP($A1128, 'Nifty 50'!A:A, 'Nifty 50'!B:B, "")</f>
        <v>24586.7</v>
      </c>
      <c r="C1128" s="4">
        <f>_xlfn.XLOOKUP($A1128, Reliance!A:A, Reliance!B:B, "")</f>
        <v>1597.22</v>
      </c>
      <c r="D1128" s="4">
        <f>_xlfn.XLOOKUP($A1128, HDFC!A:A, HDFC!B:B, "")</f>
        <v>809.04</v>
      </c>
      <c r="E1128" s="4">
        <f>_xlfn.XLOOKUP($A1128, ITC!A:A, ITC!B:B, "")</f>
        <v>438.38</v>
      </c>
      <c r="F1128" s="4">
        <f>_xlfn.XLOOKUP($A1128, TCS!A:A, TCS!B:B, "")</f>
        <v>4169.2</v>
      </c>
      <c r="G1128" s="4">
        <f>_xlfn.XLOOKUP($A1128, Infosys!A:A, Infosys!B:B,"")</f>
        <v>1707.05</v>
      </c>
      <c r="H1128" s="4">
        <f>_xlfn.XLOOKUP($A1128, 'L &amp; T'!A:A, 'L &amp; T'!B:B, "")</f>
        <v>3651.6</v>
      </c>
    </row>
    <row r="1129" spans="1:8" x14ac:dyDescent="0.3">
      <c r="A1129" s="1">
        <v>45489</v>
      </c>
      <c r="B1129" s="4">
        <f>_xlfn.XLOOKUP($A1129, 'Nifty 50'!A:A, 'Nifty 50'!B:B, "")</f>
        <v>24613</v>
      </c>
      <c r="C1129" s="4">
        <f>_xlfn.XLOOKUP($A1129, Reliance!A:A, Reliance!B:B, "")</f>
        <v>1576.25</v>
      </c>
      <c r="D1129" s="4">
        <f>_xlfn.XLOOKUP($A1129, HDFC!A:A, HDFC!B:B, "")</f>
        <v>807.86</v>
      </c>
      <c r="E1129" s="4">
        <f>_xlfn.XLOOKUP($A1129, ITC!A:A, ITC!B:B, "")</f>
        <v>440.42</v>
      </c>
      <c r="F1129" s="4">
        <f>_xlfn.XLOOKUP($A1129, TCS!A:A, TCS!B:B, "")</f>
        <v>4178.45</v>
      </c>
      <c r="G1129" s="4">
        <f>_xlfn.XLOOKUP($A1129, Infosys!A:A, Infosys!B:B,"")</f>
        <v>1726.05</v>
      </c>
      <c r="H1129" s="4">
        <f>_xlfn.XLOOKUP($A1129, 'L &amp; T'!A:A, 'L &amp; T'!B:B, "")</f>
        <v>3636.55</v>
      </c>
    </row>
    <row r="1130" spans="1:8" x14ac:dyDescent="0.3">
      <c r="A1130" s="1">
        <v>45491</v>
      </c>
      <c r="B1130" s="4">
        <f>_xlfn.XLOOKUP($A1130, 'Nifty 50'!A:A, 'Nifty 50'!B:B, "")</f>
        <v>24800.85</v>
      </c>
      <c r="C1130" s="4">
        <f>_xlfn.XLOOKUP($A1130, Reliance!A:A, Reliance!B:B, "")</f>
        <v>1586.68</v>
      </c>
      <c r="D1130" s="4">
        <f>_xlfn.XLOOKUP($A1130, HDFC!A:A, HDFC!B:B, "")</f>
        <v>805.4</v>
      </c>
      <c r="E1130" s="4">
        <f>_xlfn.XLOOKUP($A1130, ITC!A:A, ITC!B:B, "")</f>
        <v>444.86</v>
      </c>
      <c r="F1130" s="4">
        <f>_xlfn.XLOOKUP($A1130, TCS!A:A, TCS!B:B, "")</f>
        <v>4315.55</v>
      </c>
      <c r="G1130" s="4">
        <f>_xlfn.XLOOKUP($A1130, Infosys!A:A, Infosys!B:B,"")</f>
        <v>1758.05</v>
      </c>
      <c r="H1130" s="4">
        <f>_xlfn.XLOOKUP($A1130, 'L &amp; T'!A:A, 'L &amp; T'!B:B, "")</f>
        <v>3656.2</v>
      </c>
    </row>
    <row r="1131" spans="1:8" x14ac:dyDescent="0.3">
      <c r="A1131" s="1">
        <v>45492</v>
      </c>
      <c r="B1131" s="4">
        <f>_xlfn.XLOOKUP($A1131, 'Nifty 50'!A:A, 'Nifty 50'!B:B, "")</f>
        <v>24530.9</v>
      </c>
      <c r="C1131" s="4">
        <f>_xlfn.XLOOKUP($A1131, Reliance!A:A, Reliance!B:B, "")</f>
        <v>1555.15</v>
      </c>
      <c r="D1131" s="4">
        <f>_xlfn.XLOOKUP($A1131, HDFC!A:A, HDFC!B:B, "")</f>
        <v>801.66</v>
      </c>
      <c r="E1131" s="4">
        <f>_xlfn.XLOOKUP($A1131, ITC!A:A, ITC!B:B, "")</f>
        <v>448.93</v>
      </c>
      <c r="F1131" s="4">
        <f>_xlfn.XLOOKUP($A1131, TCS!A:A, TCS!B:B, "")</f>
        <v>4302.3999999999996</v>
      </c>
      <c r="G1131" s="4">
        <f>_xlfn.XLOOKUP($A1131, Infosys!A:A, Infosys!B:B,"")</f>
        <v>1792.95</v>
      </c>
      <c r="H1131" s="4">
        <f>_xlfn.XLOOKUP($A1131, 'L &amp; T'!A:A, 'L &amp; T'!B:B, "")</f>
        <v>3618.5</v>
      </c>
    </row>
    <row r="1132" spans="1:8" x14ac:dyDescent="0.3">
      <c r="A1132" s="1">
        <v>45495</v>
      </c>
      <c r="B1132" s="4">
        <f>_xlfn.XLOOKUP($A1132, 'Nifty 50'!A:A, 'Nifty 50'!B:B, "")</f>
        <v>24509.25</v>
      </c>
      <c r="C1132" s="4">
        <f>_xlfn.XLOOKUP($A1132, Reliance!A:A, Reliance!B:B, "")</f>
        <v>1500.68</v>
      </c>
      <c r="D1132" s="4">
        <f>_xlfn.XLOOKUP($A1132, HDFC!A:A, HDFC!B:B, "")</f>
        <v>819.24</v>
      </c>
      <c r="E1132" s="4">
        <f>_xlfn.XLOOKUP($A1132, ITC!A:A, ITC!B:B, "")</f>
        <v>441.36</v>
      </c>
      <c r="F1132" s="4">
        <f>_xlfn.XLOOKUP($A1132, TCS!A:A, TCS!B:B, "")</f>
        <v>4287.3500000000004</v>
      </c>
      <c r="G1132" s="4">
        <f>_xlfn.XLOOKUP($A1132, Infosys!A:A, Infosys!B:B,"")</f>
        <v>1810.85</v>
      </c>
      <c r="H1132" s="4">
        <f>_xlfn.XLOOKUP($A1132, 'L &amp; T'!A:A, 'L &amp; T'!B:B, "")</f>
        <v>3651.45</v>
      </c>
    </row>
    <row r="1133" spans="1:8" x14ac:dyDescent="0.3">
      <c r="A1133" s="1">
        <v>45496</v>
      </c>
      <c r="B1133" s="4">
        <f>_xlfn.XLOOKUP($A1133, 'Nifty 50'!A:A, 'Nifty 50'!B:B, "")</f>
        <v>24479.05</v>
      </c>
      <c r="C1133" s="4">
        <f>_xlfn.XLOOKUP($A1133, Reliance!A:A, Reliance!B:B, "")</f>
        <v>1487.9</v>
      </c>
      <c r="D1133" s="4">
        <f>_xlfn.XLOOKUP($A1133, HDFC!A:A, HDFC!B:B, "")</f>
        <v>807.19</v>
      </c>
      <c r="E1133" s="4">
        <f>_xlfn.XLOOKUP($A1133, ITC!A:A, ITC!B:B, "")</f>
        <v>465.63</v>
      </c>
      <c r="F1133" s="4">
        <f>_xlfn.XLOOKUP($A1133, TCS!A:A, TCS!B:B, "")</f>
        <v>4302.3500000000004</v>
      </c>
      <c r="G1133" s="4">
        <f>_xlfn.XLOOKUP($A1133, Infosys!A:A, Infosys!B:B,"")</f>
        <v>1836.9</v>
      </c>
      <c r="H1133" s="4">
        <f>_xlfn.XLOOKUP($A1133, 'L &amp; T'!A:A, 'L &amp; T'!B:B, "")</f>
        <v>3538.05</v>
      </c>
    </row>
    <row r="1134" spans="1:8" x14ac:dyDescent="0.3">
      <c r="A1134" s="1">
        <v>45497</v>
      </c>
      <c r="B1134" s="4">
        <f>_xlfn.XLOOKUP($A1134, 'Nifty 50'!A:A, 'Nifty 50'!B:B, "")</f>
        <v>24413.5</v>
      </c>
      <c r="C1134" s="4">
        <f>_xlfn.XLOOKUP($A1134, Reliance!A:A, Reliance!B:B, "")</f>
        <v>1495.7</v>
      </c>
      <c r="D1134" s="4">
        <f>_xlfn.XLOOKUP($A1134, HDFC!A:A, HDFC!B:B, "")</f>
        <v>800.03</v>
      </c>
      <c r="E1134" s="4">
        <f>_xlfn.XLOOKUP($A1134, ITC!A:A, ITC!B:B, "")</f>
        <v>467.38</v>
      </c>
      <c r="F1134" s="4">
        <f>_xlfn.XLOOKUP($A1134, TCS!A:A, TCS!B:B, "")</f>
        <v>4306.25</v>
      </c>
      <c r="G1134" s="4">
        <f>_xlfn.XLOOKUP($A1134, Infosys!A:A, Infosys!B:B,"")</f>
        <v>1833.95</v>
      </c>
      <c r="H1134" s="4">
        <f>_xlfn.XLOOKUP($A1134, 'L &amp; T'!A:A, 'L &amp; T'!B:B, "")</f>
        <v>3519.45</v>
      </c>
    </row>
    <row r="1135" spans="1:8" x14ac:dyDescent="0.3">
      <c r="A1135" s="1">
        <v>45498</v>
      </c>
      <c r="B1135" s="4">
        <f>_xlfn.XLOOKUP($A1135, 'Nifty 50'!A:A, 'Nifty 50'!B:B, "")</f>
        <v>24406.1</v>
      </c>
      <c r="C1135" s="4">
        <f>_xlfn.XLOOKUP($A1135, Reliance!A:A, Reliance!B:B, "")</f>
        <v>1492.4</v>
      </c>
      <c r="D1135" s="4">
        <f>_xlfn.XLOOKUP($A1135, HDFC!A:A, HDFC!B:B, "")</f>
        <v>806.29</v>
      </c>
      <c r="E1135" s="4">
        <f>_xlfn.XLOOKUP($A1135, ITC!A:A, ITC!B:B, "")</f>
        <v>463.5</v>
      </c>
      <c r="F1135" s="4">
        <f>_xlfn.XLOOKUP($A1135, TCS!A:A, TCS!B:B, "")</f>
        <v>4322.5</v>
      </c>
      <c r="G1135" s="4">
        <f>_xlfn.XLOOKUP($A1135, Infosys!A:A, Infosys!B:B,"")</f>
        <v>1824.85</v>
      </c>
      <c r="H1135" s="4">
        <f>_xlfn.XLOOKUP($A1135, 'L &amp; T'!A:A, 'L &amp; T'!B:B, "")</f>
        <v>3619.15</v>
      </c>
    </row>
    <row r="1136" spans="1:8" x14ac:dyDescent="0.3">
      <c r="A1136" s="1">
        <v>45499</v>
      </c>
      <c r="B1136" s="4">
        <f>_xlfn.XLOOKUP($A1136, 'Nifty 50'!A:A, 'Nifty 50'!B:B, "")</f>
        <v>24834.85</v>
      </c>
      <c r="C1136" s="4">
        <f>_xlfn.XLOOKUP($A1136, Reliance!A:A, Reliance!B:B, "")</f>
        <v>1509.03</v>
      </c>
      <c r="D1136" s="4">
        <f>_xlfn.XLOOKUP($A1136, HDFC!A:A, HDFC!B:B, "")</f>
        <v>807.07</v>
      </c>
      <c r="E1136" s="4">
        <f>_xlfn.XLOOKUP($A1136, ITC!A:A, ITC!B:B, "")</f>
        <v>475.09</v>
      </c>
      <c r="F1136" s="4">
        <f>_xlfn.XLOOKUP($A1136, TCS!A:A, TCS!B:B, "")</f>
        <v>4387.8500000000004</v>
      </c>
      <c r="G1136" s="4">
        <f>_xlfn.XLOOKUP($A1136, Infosys!A:A, Infosys!B:B,"")</f>
        <v>1878.9</v>
      </c>
      <c r="H1136" s="4">
        <f>_xlfn.XLOOKUP($A1136, 'L &amp; T'!A:A, 'L &amp; T'!B:B, "")</f>
        <v>3679.9</v>
      </c>
    </row>
    <row r="1137" spans="1:8" x14ac:dyDescent="0.3">
      <c r="A1137" s="1">
        <v>45502</v>
      </c>
      <c r="B1137" s="4">
        <f>_xlfn.XLOOKUP($A1137, 'Nifty 50'!A:A, 'Nifty 50'!B:B, "")</f>
        <v>24836.1</v>
      </c>
      <c r="C1137" s="4">
        <f>_xlfn.XLOOKUP($A1137, Reliance!A:A, Reliance!B:B, "")</f>
        <v>1520.1</v>
      </c>
      <c r="D1137" s="4">
        <f>_xlfn.XLOOKUP($A1137, HDFC!A:A, HDFC!B:B, "")</f>
        <v>800.53</v>
      </c>
      <c r="E1137" s="4">
        <f>_xlfn.XLOOKUP($A1137, ITC!A:A, ITC!B:B, "")</f>
        <v>469.27</v>
      </c>
      <c r="F1137" s="4">
        <f>_xlfn.XLOOKUP($A1137, TCS!A:A, TCS!B:B, "")</f>
        <v>4381.1000000000004</v>
      </c>
      <c r="G1137" s="4">
        <f>_xlfn.XLOOKUP($A1137, Infosys!A:A, Infosys!B:B,"")</f>
        <v>1871.1</v>
      </c>
      <c r="H1137" s="4">
        <f>_xlfn.XLOOKUP($A1137, 'L &amp; T'!A:A, 'L &amp; T'!B:B, "")</f>
        <v>3774.95</v>
      </c>
    </row>
    <row r="1138" spans="1:8" x14ac:dyDescent="0.3">
      <c r="A1138" s="1">
        <v>45503</v>
      </c>
      <c r="B1138" s="4">
        <f>_xlfn.XLOOKUP($A1138, 'Nifty 50'!A:A, 'Nifty 50'!B:B, "")</f>
        <v>24857.3</v>
      </c>
      <c r="C1138" s="4">
        <f>_xlfn.XLOOKUP($A1138, Reliance!A:A, Reliance!B:B, "")</f>
        <v>1513.15</v>
      </c>
      <c r="D1138" s="4">
        <f>_xlfn.XLOOKUP($A1138, HDFC!A:A, HDFC!B:B, "")</f>
        <v>805.77</v>
      </c>
      <c r="E1138" s="4">
        <f>_xlfn.XLOOKUP($A1138, ITC!A:A, ITC!B:B, "")</f>
        <v>463.45</v>
      </c>
      <c r="F1138" s="4">
        <f>_xlfn.XLOOKUP($A1138, TCS!A:A, TCS!B:B, "")</f>
        <v>4365.3500000000004</v>
      </c>
      <c r="G1138" s="4">
        <f>_xlfn.XLOOKUP($A1138, Infosys!A:A, Infosys!B:B,"")</f>
        <v>1877.15</v>
      </c>
      <c r="H1138" s="4">
        <f>_xlfn.XLOOKUP($A1138, 'L &amp; T'!A:A, 'L &amp; T'!B:B, "")</f>
        <v>3784.65</v>
      </c>
    </row>
    <row r="1139" spans="1:8" x14ac:dyDescent="0.3">
      <c r="A1139" s="1">
        <v>45504</v>
      </c>
      <c r="B1139" s="4">
        <f>_xlfn.XLOOKUP($A1139, 'Nifty 50'!A:A, 'Nifty 50'!B:B, "")</f>
        <v>24951.15</v>
      </c>
      <c r="C1139" s="4">
        <f>_xlfn.XLOOKUP($A1139, Reliance!A:A, Reliance!B:B, "")</f>
        <v>1505.43</v>
      </c>
      <c r="D1139" s="4">
        <f>_xlfn.XLOOKUP($A1139, HDFC!A:A, HDFC!B:B, "")</f>
        <v>805.87</v>
      </c>
      <c r="E1139" s="4">
        <f>_xlfn.XLOOKUP($A1139, ITC!A:A, ITC!B:B, "")</f>
        <v>468.61</v>
      </c>
      <c r="F1139" s="4">
        <f>_xlfn.XLOOKUP($A1139, TCS!A:A, TCS!B:B, "")</f>
        <v>4385.3500000000004</v>
      </c>
      <c r="G1139" s="4">
        <f>_xlfn.XLOOKUP($A1139, Infosys!A:A, Infosys!B:B,"")</f>
        <v>1868.25</v>
      </c>
      <c r="H1139" s="4">
        <f>_xlfn.XLOOKUP($A1139, 'L &amp; T'!A:A, 'L &amp; T'!B:B, "")</f>
        <v>3815</v>
      </c>
    </row>
    <row r="1140" spans="1:8" x14ac:dyDescent="0.3">
      <c r="A1140" s="1">
        <v>45505</v>
      </c>
      <c r="B1140" s="4">
        <f>_xlfn.XLOOKUP($A1140, 'Nifty 50'!A:A, 'Nifty 50'!B:B, "")</f>
        <v>25010.9</v>
      </c>
      <c r="C1140" s="4">
        <f>_xlfn.XLOOKUP($A1140, Reliance!A:A, Reliance!B:B, "")</f>
        <v>1515.3</v>
      </c>
      <c r="D1140" s="4">
        <f>_xlfn.XLOOKUP($A1140, HDFC!A:A, HDFC!B:B, "")</f>
        <v>817.37</v>
      </c>
      <c r="E1140" s="4">
        <f>_xlfn.XLOOKUP($A1140, ITC!A:A, ITC!B:B, "")</f>
        <v>467.05</v>
      </c>
      <c r="F1140" s="4">
        <f>_xlfn.XLOOKUP($A1140, TCS!A:A, TCS!B:B, "")</f>
        <v>4397.1000000000004</v>
      </c>
      <c r="G1140" s="4">
        <f>_xlfn.XLOOKUP($A1140, Infosys!A:A, Infosys!B:B,"")</f>
        <v>1852.6</v>
      </c>
      <c r="H1140" s="4">
        <f>_xlfn.XLOOKUP($A1140, 'L &amp; T'!A:A, 'L &amp; T'!B:B, "")</f>
        <v>3779.3</v>
      </c>
    </row>
    <row r="1141" spans="1:8" x14ac:dyDescent="0.3">
      <c r="A1141" s="1">
        <v>45506</v>
      </c>
      <c r="B1141" s="4">
        <f>_xlfn.XLOOKUP($A1141, 'Nifty 50'!A:A, 'Nifty 50'!B:B, "")</f>
        <v>24717.7</v>
      </c>
      <c r="C1141" s="4">
        <f>_xlfn.XLOOKUP($A1141, Reliance!A:A, Reliance!B:B, "")</f>
        <v>1499.32</v>
      </c>
      <c r="D1141" s="4">
        <f>_xlfn.XLOOKUP($A1141, HDFC!A:A, HDFC!B:B, "")</f>
        <v>827.52</v>
      </c>
      <c r="E1141" s="4">
        <f>_xlfn.XLOOKUP($A1141, ITC!A:A, ITC!B:B, "")</f>
        <v>462.7</v>
      </c>
      <c r="F1141" s="4">
        <f>_xlfn.XLOOKUP($A1141, TCS!A:A, TCS!B:B, "")</f>
        <v>4283.05</v>
      </c>
      <c r="G1141" s="4">
        <f>_xlfn.XLOOKUP($A1141, Infosys!A:A, Infosys!B:B,"")</f>
        <v>1821.2</v>
      </c>
      <c r="H1141" s="4">
        <f>_xlfn.XLOOKUP($A1141, 'L &amp; T'!A:A, 'L &amp; T'!B:B, "")</f>
        <v>3665.7</v>
      </c>
    </row>
    <row r="1142" spans="1:8" x14ac:dyDescent="0.3">
      <c r="A1142" s="1">
        <v>45509</v>
      </c>
      <c r="B1142" s="4">
        <f>_xlfn.XLOOKUP($A1142, 'Nifty 50'!A:A, 'Nifty 50'!B:B, "")</f>
        <v>24055.599999999999</v>
      </c>
      <c r="C1142" s="4">
        <f>_xlfn.XLOOKUP($A1142, Reliance!A:A, Reliance!B:B, "")</f>
        <v>1447.32</v>
      </c>
      <c r="D1142" s="4">
        <f>_xlfn.XLOOKUP($A1142, HDFC!A:A, HDFC!B:B, "")</f>
        <v>805.87</v>
      </c>
      <c r="E1142" s="4">
        <f>_xlfn.XLOOKUP($A1142, ITC!A:A, ITC!B:B, "")</f>
        <v>459.76</v>
      </c>
      <c r="F1142" s="4">
        <f>_xlfn.XLOOKUP($A1142, TCS!A:A, TCS!B:B, "")</f>
        <v>4155.05</v>
      </c>
      <c r="G1142" s="4">
        <f>_xlfn.XLOOKUP($A1142, Infosys!A:A, Infosys!B:B,"")</f>
        <v>1751.9</v>
      </c>
      <c r="H1142" s="4">
        <f>_xlfn.XLOOKUP($A1142, 'L &amp; T'!A:A, 'L &amp; T'!B:B, "")</f>
        <v>3528</v>
      </c>
    </row>
    <row r="1143" spans="1:8" x14ac:dyDescent="0.3">
      <c r="A1143" s="1">
        <v>45510</v>
      </c>
      <c r="B1143" s="4">
        <f>_xlfn.XLOOKUP($A1143, 'Nifty 50'!A:A, 'Nifty 50'!B:B, "")</f>
        <v>23992.55</v>
      </c>
      <c r="C1143" s="4">
        <f>_xlfn.XLOOKUP($A1143, Reliance!A:A, Reliance!B:B, "")</f>
        <v>1456.05</v>
      </c>
      <c r="D1143" s="4">
        <f>_xlfn.XLOOKUP($A1143, HDFC!A:A, HDFC!B:B, "")</f>
        <v>798.61</v>
      </c>
      <c r="E1143" s="4">
        <f>_xlfn.XLOOKUP($A1143, ITC!A:A, ITC!B:B, "")</f>
        <v>460.05</v>
      </c>
      <c r="F1143" s="4">
        <f>_xlfn.XLOOKUP($A1143, TCS!A:A, TCS!B:B, "")</f>
        <v>4171.2</v>
      </c>
      <c r="G1143" s="4">
        <f>_xlfn.XLOOKUP($A1143, Infosys!A:A, Infosys!B:B,"")</f>
        <v>1751.1</v>
      </c>
      <c r="H1143" s="4">
        <f>_xlfn.XLOOKUP($A1143, 'L &amp; T'!A:A, 'L &amp; T'!B:B, "")</f>
        <v>3576.2</v>
      </c>
    </row>
    <row r="1144" spans="1:8" x14ac:dyDescent="0.3">
      <c r="A1144" s="1">
        <v>45511</v>
      </c>
      <c r="B1144" s="4">
        <f>_xlfn.XLOOKUP($A1144, 'Nifty 50'!A:A, 'Nifty 50'!B:B, "")</f>
        <v>24297.5</v>
      </c>
      <c r="C1144" s="4">
        <f>_xlfn.XLOOKUP($A1144, Reliance!A:A, Reliance!B:B, "")</f>
        <v>1464.82</v>
      </c>
      <c r="D1144" s="4">
        <f>_xlfn.XLOOKUP($A1144, HDFC!A:A, HDFC!B:B, "")</f>
        <v>809.74</v>
      </c>
      <c r="E1144" s="4">
        <f>_xlfn.XLOOKUP($A1144, ITC!A:A, ITC!B:B, "")</f>
        <v>466.05</v>
      </c>
      <c r="F1144" s="4">
        <f>_xlfn.XLOOKUP($A1144, TCS!A:A, TCS!B:B, "")</f>
        <v>4200.45</v>
      </c>
      <c r="G1144" s="4">
        <f>_xlfn.XLOOKUP($A1144, Infosys!A:A, Infosys!B:B,"")</f>
        <v>1791.65</v>
      </c>
      <c r="H1144" s="4">
        <f>_xlfn.XLOOKUP($A1144, 'L &amp; T'!A:A, 'L &amp; T'!B:B, "")</f>
        <v>3638.25</v>
      </c>
    </row>
    <row r="1145" spans="1:8" x14ac:dyDescent="0.3">
      <c r="A1145" s="1">
        <v>45512</v>
      </c>
      <c r="B1145" s="4">
        <f>_xlfn.XLOOKUP($A1145, 'Nifty 50'!A:A, 'Nifty 50'!B:B, "")</f>
        <v>24117</v>
      </c>
      <c r="C1145" s="4">
        <f>_xlfn.XLOOKUP($A1145, Reliance!A:A, Reliance!B:B, "")</f>
        <v>1449.13</v>
      </c>
      <c r="D1145" s="4">
        <f>_xlfn.XLOOKUP($A1145, HDFC!A:A, HDFC!B:B, "")</f>
        <v>819.31</v>
      </c>
      <c r="E1145" s="4">
        <f>_xlfn.XLOOKUP($A1145, ITC!A:A, ITC!B:B, "")</f>
        <v>468.04</v>
      </c>
      <c r="F1145" s="4">
        <f>_xlfn.XLOOKUP($A1145, TCS!A:A, TCS!B:B, "")</f>
        <v>4172.55</v>
      </c>
      <c r="G1145" s="4">
        <f>_xlfn.XLOOKUP($A1145, Infosys!A:A, Infosys!B:B,"")</f>
        <v>1743.15</v>
      </c>
      <c r="H1145" s="4">
        <f>_xlfn.XLOOKUP($A1145, 'L &amp; T'!A:A, 'L &amp; T'!B:B, "")</f>
        <v>3553.55</v>
      </c>
    </row>
    <row r="1146" spans="1:8" x14ac:dyDescent="0.3">
      <c r="A1146" s="1">
        <v>45513</v>
      </c>
      <c r="B1146" s="4">
        <f>_xlfn.XLOOKUP($A1146, 'Nifty 50'!A:A, 'Nifty 50'!B:B, "")</f>
        <v>24367.5</v>
      </c>
      <c r="C1146" s="4">
        <f>_xlfn.XLOOKUP($A1146, Reliance!A:A, Reliance!B:B, "")</f>
        <v>1474.3</v>
      </c>
      <c r="D1146" s="4">
        <f>_xlfn.XLOOKUP($A1146, HDFC!A:A, HDFC!B:B, "")</f>
        <v>823.05</v>
      </c>
      <c r="E1146" s="4">
        <f>_xlfn.XLOOKUP($A1146, ITC!A:A, ITC!B:B, "")</f>
        <v>469.13</v>
      </c>
      <c r="F1146" s="4">
        <f>_xlfn.XLOOKUP($A1146, TCS!A:A, TCS!B:B, "")</f>
        <v>4228.75</v>
      </c>
      <c r="G1146" s="4">
        <f>_xlfn.XLOOKUP($A1146, Infosys!A:A, Infosys!B:B,"")</f>
        <v>1770.75</v>
      </c>
      <c r="H1146" s="4">
        <f>_xlfn.XLOOKUP($A1146, 'L &amp; T'!A:A, 'L &amp; T'!B:B, "")</f>
        <v>3592.05</v>
      </c>
    </row>
    <row r="1147" spans="1:8" x14ac:dyDescent="0.3">
      <c r="A1147" s="1">
        <v>45516</v>
      </c>
      <c r="B1147" s="4">
        <f>_xlfn.XLOOKUP($A1147, 'Nifty 50'!A:A, 'Nifty 50'!B:B, "")</f>
        <v>24347</v>
      </c>
      <c r="C1147" s="4">
        <f>_xlfn.XLOOKUP($A1147, Reliance!A:A, Reliance!B:B, "")</f>
        <v>1460.63</v>
      </c>
      <c r="D1147" s="4">
        <f>_xlfn.XLOOKUP($A1147, HDFC!A:A, HDFC!B:B, "")</f>
        <v>827.99</v>
      </c>
      <c r="E1147" s="4">
        <f>_xlfn.XLOOKUP($A1147, ITC!A:A, ITC!B:B, "")</f>
        <v>467.9</v>
      </c>
      <c r="F1147" s="4">
        <f>_xlfn.XLOOKUP($A1147, TCS!A:A, TCS!B:B, "")</f>
        <v>4195.6499999999996</v>
      </c>
      <c r="G1147" s="4">
        <f>_xlfn.XLOOKUP($A1147, Infosys!A:A, Infosys!B:B,"")</f>
        <v>1797.4</v>
      </c>
      <c r="H1147" s="4">
        <f>_xlfn.XLOOKUP($A1147, 'L &amp; T'!A:A, 'L &amp; T'!B:B, "")</f>
        <v>3571.95</v>
      </c>
    </row>
    <row r="1148" spans="1:8" x14ac:dyDescent="0.3">
      <c r="A1148" s="1">
        <v>45517</v>
      </c>
      <c r="B1148" s="4">
        <f>_xlfn.XLOOKUP($A1148, 'Nifty 50'!A:A, 'Nifty 50'!B:B, "")</f>
        <v>24139</v>
      </c>
      <c r="C1148" s="4">
        <f>_xlfn.XLOOKUP($A1148, Reliance!A:A, Reliance!B:B, "")</f>
        <v>1463.63</v>
      </c>
      <c r="D1148" s="4">
        <f>_xlfn.XLOOKUP($A1148, HDFC!A:A, HDFC!B:B, "")</f>
        <v>799.61</v>
      </c>
      <c r="E1148" s="4">
        <f>_xlfn.XLOOKUP($A1148, ITC!A:A, ITC!B:B, "")</f>
        <v>463.55</v>
      </c>
      <c r="F1148" s="4">
        <f>_xlfn.XLOOKUP($A1148, TCS!A:A, TCS!B:B, "")</f>
        <v>4196.95</v>
      </c>
      <c r="G1148" s="4">
        <f>_xlfn.XLOOKUP($A1148, Infosys!A:A, Infosys!B:B,"")</f>
        <v>1797.45</v>
      </c>
      <c r="H1148" s="4">
        <f>_xlfn.XLOOKUP($A1148, 'L &amp; T'!A:A, 'L &amp; T'!B:B, "")</f>
        <v>3551.8</v>
      </c>
    </row>
    <row r="1149" spans="1:8" x14ac:dyDescent="0.3">
      <c r="A1149" s="1">
        <v>45518</v>
      </c>
      <c r="B1149" s="4">
        <f>_xlfn.XLOOKUP($A1149, 'Nifty 50'!A:A, 'Nifty 50'!B:B, "")</f>
        <v>24143.75</v>
      </c>
      <c r="C1149" s="4">
        <f>_xlfn.XLOOKUP($A1149, Reliance!A:A, Reliance!B:B, "")</f>
        <v>1461.85</v>
      </c>
      <c r="D1149" s="4">
        <f>_xlfn.XLOOKUP($A1149, HDFC!A:A, HDFC!B:B, "")</f>
        <v>801.9</v>
      </c>
      <c r="E1149" s="4">
        <f>_xlfn.XLOOKUP($A1149, ITC!A:A, ITC!B:B, "")</f>
        <v>465.63</v>
      </c>
      <c r="F1149" s="4">
        <f>_xlfn.XLOOKUP($A1149, TCS!A:A, TCS!B:B, "")</f>
        <v>4295.25</v>
      </c>
      <c r="G1149" s="4">
        <f>_xlfn.XLOOKUP($A1149, Infosys!A:A, Infosys!B:B,"")</f>
        <v>1823.25</v>
      </c>
      <c r="H1149" s="4">
        <f>_xlfn.XLOOKUP($A1149, 'L &amp; T'!A:A, 'L &amp; T'!B:B, "")</f>
        <v>3545.2</v>
      </c>
    </row>
    <row r="1150" spans="1:8" x14ac:dyDescent="0.3">
      <c r="A1150" s="1">
        <v>45520</v>
      </c>
      <c r="B1150" s="4">
        <f>_xlfn.XLOOKUP($A1150, 'Nifty 50'!A:A, 'Nifty 50'!B:B, "")</f>
        <v>24541.15</v>
      </c>
      <c r="C1150" s="4">
        <f>_xlfn.XLOOKUP($A1150, Reliance!A:A, Reliance!B:B, "")</f>
        <v>1478.2</v>
      </c>
      <c r="D1150" s="4">
        <f>_xlfn.XLOOKUP($A1150, HDFC!A:A, HDFC!B:B, "")</f>
        <v>814.02</v>
      </c>
      <c r="E1150" s="4">
        <f>_xlfn.XLOOKUP($A1150, ITC!A:A, ITC!B:B, "")</f>
        <v>475.51</v>
      </c>
      <c r="F1150" s="4">
        <f>_xlfn.XLOOKUP($A1150, TCS!A:A, TCS!B:B, "")</f>
        <v>4416.05</v>
      </c>
      <c r="G1150" s="4">
        <f>_xlfn.XLOOKUP($A1150, Infosys!A:A, Infosys!B:B,"")</f>
        <v>1858.95</v>
      </c>
      <c r="H1150" s="4">
        <f>_xlfn.XLOOKUP($A1150, 'L &amp; T'!A:A, 'L &amp; T'!B:B, "")</f>
        <v>3568.35</v>
      </c>
    </row>
    <row r="1151" spans="1:8" x14ac:dyDescent="0.3">
      <c r="A1151" s="1">
        <v>45523</v>
      </c>
      <c r="B1151" s="4">
        <f>_xlfn.XLOOKUP($A1151, 'Nifty 50'!A:A, 'Nifty 50'!B:B, "")</f>
        <v>24572.65</v>
      </c>
      <c r="C1151" s="4">
        <f>_xlfn.XLOOKUP($A1151, Reliance!A:A, Reliance!B:B, "")</f>
        <v>1488.4</v>
      </c>
      <c r="D1151" s="4">
        <f>_xlfn.XLOOKUP($A1151, HDFC!A:A, HDFC!B:B, "")</f>
        <v>813.75</v>
      </c>
      <c r="E1151" s="4">
        <f>_xlfn.XLOOKUP($A1151, ITC!A:A, ITC!B:B, "")</f>
        <v>474.38</v>
      </c>
      <c r="F1151" s="4">
        <f>_xlfn.XLOOKUP($A1151, TCS!A:A, TCS!B:B, "")</f>
        <v>4490</v>
      </c>
      <c r="G1151" s="4">
        <f>_xlfn.XLOOKUP($A1151, Infosys!A:A, Infosys!B:B,"")</f>
        <v>1864.8</v>
      </c>
      <c r="H1151" s="4">
        <f>_xlfn.XLOOKUP($A1151, 'L &amp; T'!A:A, 'L &amp; T'!B:B, "")</f>
        <v>3555.05</v>
      </c>
    </row>
    <row r="1152" spans="1:8" x14ac:dyDescent="0.3">
      <c r="A1152" s="1">
        <v>45524</v>
      </c>
      <c r="B1152" s="4">
        <f>_xlfn.XLOOKUP($A1152, 'Nifty 50'!A:A, 'Nifty 50'!B:B, "")</f>
        <v>24698.85</v>
      </c>
      <c r="C1152" s="4">
        <f>_xlfn.XLOOKUP($A1152, Reliance!A:A, Reliance!B:B, "")</f>
        <v>1495.95</v>
      </c>
      <c r="D1152" s="4">
        <f>_xlfn.XLOOKUP($A1152, HDFC!A:A, HDFC!B:B, "")</f>
        <v>816.82</v>
      </c>
      <c r="E1152" s="4">
        <f>_xlfn.XLOOKUP($A1152, ITC!A:A, ITC!B:B, "")</f>
        <v>471.87</v>
      </c>
      <c r="F1152" s="4">
        <f>_xlfn.XLOOKUP($A1152, TCS!A:A, TCS!B:B, "")</f>
        <v>4523.3</v>
      </c>
      <c r="G1152" s="4">
        <f>_xlfn.XLOOKUP($A1152, Infosys!A:A, Infosys!B:B,"")</f>
        <v>1872.2</v>
      </c>
      <c r="H1152" s="4">
        <f>_xlfn.XLOOKUP($A1152, 'L &amp; T'!A:A, 'L &amp; T'!B:B, "")</f>
        <v>3572.7</v>
      </c>
    </row>
    <row r="1153" spans="1:8" x14ac:dyDescent="0.3">
      <c r="A1153" s="1">
        <v>45525</v>
      </c>
      <c r="B1153" s="4">
        <f>_xlfn.XLOOKUP($A1153, 'Nifty 50'!A:A, 'Nifty 50'!B:B, "")</f>
        <v>24770.2</v>
      </c>
      <c r="C1153" s="4">
        <f>_xlfn.XLOOKUP($A1153, Reliance!A:A, Reliance!B:B, "")</f>
        <v>1498.68</v>
      </c>
      <c r="D1153" s="4">
        <f>_xlfn.XLOOKUP($A1153, HDFC!A:A, HDFC!B:B, "")</f>
        <v>810.88</v>
      </c>
      <c r="E1153" s="4">
        <f>_xlfn.XLOOKUP($A1153, ITC!A:A, ITC!B:B, "")</f>
        <v>478.11</v>
      </c>
      <c r="F1153" s="4">
        <f>_xlfn.XLOOKUP($A1153, TCS!A:A, TCS!B:B, "")</f>
        <v>4551.5</v>
      </c>
      <c r="G1153" s="4">
        <f>_xlfn.XLOOKUP($A1153, Infosys!A:A, Infosys!B:B,"")</f>
        <v>1872.7</v>
      </c>
      <c r="H1153" s="4">
        <f>_xlfn.XLOOKUP($A1153, 'L &amp; T'!A:A, 'L &amp; T'!B:B, "")</f>
        <v>3596.05</v>
      </c>
    </row>
    <row r="1154" spans="1:8" x14ac:dyDescent="0.3">
      <c r="A1154" s="1">
        <v>45526</v>
      </c>
      <c r="B1154" s="4">
        <f>_xlfn.XLOOKUP($A1154, 'Nifty 50'!A:A, 'Nifty 50'!B:B, "")</f>
        <v>24811.5</v>
      </c>
      <c r="C1154" s="4">
        <f>_xlfn.XLOOKUP($A1154, Reliance!A:A, Reliance!B:B, "")</f>
        <v>1498.13</v>
      </c>
      <c r="D1154" s="4">
        <f>_xlfn.XLOOKUP($A1154, HDFC!A:A, HDFC!B:B, "")</f>
        <v>813.63</v>
      </c>
      <c r="E1154" s="4">
        <f>_xlfn.XLOOKUP($A1154, ITC!A:A, ITC!B:B, "")</f>
        <v>477.31</v>
      </c>
      <c r="F1154" s="4">
        <f>_xlfn.XLOOKUP($A1154, TCS!A:A, TCS!B:B, "")</f>
        <v>4502</v>
      </c>
      <c r="G1154" s="4">
        <f>_xlfn.XLOOKUP($A1154, Infosys!A:A, Infosys!B:B,"")</f>
        <v>1880.25</v>
      </c>
      <c r="H1154" s="4">
        <f>_xlfn.XLOOKUP($A1154, 'L &amp; T'!A:A, 'L &amp; T'!B:B, "")</f>
        <v>3606.5</v>
      </c>
    </row>
    <row r="1155" spans="1:8" x14ac:dyDescent="0.3">
      <c r="A1155" s="1">
        <v>45527</v>
      </c>
      <c r="B1155" s="4">
        <f>_xlfn.XLOOKUP($A1155, 'Nifty 50'!A:A, 'Nifty 50'!B:B, "")</f>
        <v>24823.15</v>
      </c>
      <c r="C1155" s="4">
        <f>_xlfn.XLOOKUP($A1155, Reliance!A:A, Reliance!B:B, "")</f>
        <v>1499.97</v>
      </c>
      <c r="D1155" s="4">
        <f>_xlfn.XLOOKUP($A1155, HDFC!A:A, HDFC!B:B, "")</f>
        <v>810.51</v>
      </c>
      <c r="E1155" s="4">
        <f>_xlfn.XLOOKUP($A1155, ITC!A:A, ITC!B:B, "")</f>
        <v>478.49</v>
      </c>
      <c r="F1155" s="4">
        <f>_xlfn.XLOOKUP($A1155, TCS!A:A, TCS!B:B, "")</f>
        <v>4463.8999999999996</v>
      </c>
      <c r="G1155" s="4">
        <f>_xlfn.XLOOKUP($A1155, Infosys!A:A, Infosys!B:B,"")</f>
        <v>1862.1</v>
      </c>
      <c r="H1155" s="4">
        <f>_xlfn.XLOOKUP($A1155, 'L &amp; T'!A:A, 'L &amp; T'!B:B, "")</f>
        <v>3598.55</v>
      </c>
    </row>
    <row r="1156" spans="1:8" x14ac:dyDescent="0.3">
      <c r="A1156" s="1">
        <v>45530</v>
      </c>
      <c r="B1156" s="4">
        <f>_xlfn.XLOOKUP($A1156, 'Nifty 50'!A:A, 'Nifty 50'!B:B, "")</f>
        <v>25010.6</v>
      </c>
      <c r="C1156" s="4">
        <f>_xlfn.XLOOKUP($A1156, Reliance!A:A, Reliance!B:B, "")</f>
        <v>1512.6</v>
      </c>
      <c r="D1156" s="4">
        <f>_xlfn.XLOOKUP($A1156, HDFC!A:A, HDFC!B:B, "")</f>
        <v>817.94</v>
      </c>
      <c r="E1156" s="4">
        <f>_xlfn.XLOOKUP($A1156, ITC!A:A, ITC!B:B, "")</f>
        <v>478.4</v>
      </c>
      <c r="F1156" s="4">
        <f>_xlfn.XLOOKUP($A1156, TCS!A:A, TCS!B:B, "")</f>
        <v>4502.45</v>
      </c>
      <c r="G1156" s="4">
        <f>_xlfn.XLOOKUP($A1156, Infosys!A:A, Infosys!B:B,"")</f>
        <v>1876.15</v>
      </c>
      <c r="H1156" s="4">
        <f>_xlfn.XLOOKUP($A1156, 'L &amp; T'!A:A, 'L &amp; T'!B:B, "")</f>
        <v>3641.9</v>
      </c>
    </row>
    <row r="1157" spans="1:8" x14ac:dyDescent="0.3">
      <c r="A1157" s="1">
        <v>45531</v>
      </c>
      <c r="B1157" s="4">
        <f>_xlfn.XLOOKUP($A1157, 'Nifty 50'!A:A, 'Nifty 50'!B:B, "")</f>
        <v>25017.75</v>
      </c>
      <c r="C1157" s="4">
        <f>_xlfn.XLOOKUP($A1157, Reliance!A:A, Reliance!B:B, "")</f>
        <v>1500.45</v>
      </c>
      <c r="D1157" s="4">
        <f>_xlfn.XLOOKUP($A1157, HDFC!A:A, HDFC!B:B, "")</f>
        <v>816.84</v>
      </c>
      <c r="E1157" s="4">
        <f>_xlfn.XLOOKUP($A1157, ITC!A:A, ITC!B:B, "")</f>
        <v>473.57</v>
      </c>
      <c r="F1157" s="4">
        <f>_xlfn.XLOOKUP($A1157, TCS!A:A, TCS!B:B, "")</f>
        <v>4497.1499999999996</v>
      </c>
      <c r="G1157" s="4">
        <f>_xlfn.XLOOKUP($A1157, Infosys!A:A, Infosys!B:B,"")</f>
        <v>1900.1</v>
      </c>
      <c r="H1157" s="4">
        <f>_xlfn.XLOOKUP($A1157, 'L &amp; T'!A:A, 'L &amp; T'!B:B, "")</f>
        <v>3702.7</v>
      </c>
    </row>
    <row r="1158" spans="1:8" x14ac:dyDescent="0.3">
      <c r="A1158" s="1">
        <v>45532</v>
      </c>
      <c r="B1158" s="4">
        <f>_xlfn.XLOOKUP($A1158, 'Nifty 50'!A:A, 'Nifty 50'!B:B, "")</f>
        <v>25052.35</v>
      </c>
      <c r="C1158" s="4">
        <f>_xlfn.XLOOKUP($A1158, Reliance!A:A, Reliance!B:B, "")</f>
        <v>1498.3</v>
      </c>
      <c r="D1158" s="4">
        <f>_xlfn.XLOOKUP($A1158, HDFC!A:A, HDFC!B:B, "")</f>
        <v>816.52</v>
      </c>
      <c r="E1158" s="4">
        <f>_xlfn.XLOOKUP($A1158, ITC!A:A, ITC!B:B, "")</f>
        <v>470.45</v>
      </c>
      <c r="F1158" s="4">
        <f>_xlfn.XLOOKUP($A1158, TCS!A:A, TCS!B:B, "")</f>
        <v>4506.05</v>
      </c>
      <c r="G1158" s="4">
        <f>_xlfn.XLOOKUP($A1158, Infosys!A:A, Infosys!B:B,"")</f>
        <v>1939.1</v>
      </c>
      <c r="H1158" s="4">
        <f>_xlfn.XLOOKUP($A1158, 'L &amp; T'!A:A, 'L &amp; T'!B:B, "")</f>
        <v>3689.05</v>
      </c>
    </row>
    <row r="1159" spans="1:8" x14ac:dyDescent="0.3">
      <c r="A1159" s="1">
        <v>45533</v>
      </c>
      <c r="B1159" s="4">
        <f>_xlfn.XLOOKUP($A1159, 'Nifty 50'!A:A, 'Nifty 50'!B:B, "")</f>
        <v>25151.95</v>
      </c>
      <c r="C1159" s="4">
        <f>_xlfn.XLOOKUP($A1159, Reliance!A:A, Reliance!B:B, "")</f>
        <v>1520.93</v>
      </c>
      <c r="D1159" s="4">
        <f>_xlfn.XLOOKUP($A1159, HDFC!A:A, HDFC!B:B, "")</f>
        <v>817.24</v>
      </c>
      <c r="E1159" s="4">
        <f>_xlfn.XLOOKUP($A1159, ITC!A:A, ITC!B:B, "")</f>
        <v>477.83</v>
      </c>
      <c r="F1159" s="4">
        <f>_xlfn.XLOOKUP($A1159, TCS!A:A, TCS!B:B, "")</f>
        <v>4511.8</v>
      </c>
      <c r="G1159" s="4">
        <f>_xlfn.XLOOKUP($A1159, Infosys!A:A, Infosys!B:B,"")</f>
        <v>1933.35</v>
      </c>
      <c r="H1159" s="4">
        <f>_xlfn.XLOOKUP($A1159, 'L &amp; T'!A:A, 'L &amp; T'!B:B, "")</f>
        <v>3683.45</v>
      </c>
    </row>
    <row r="1160" spans="1:8" x14ac:dyDescent="0.3">
      <c r="A1160" s="1">
        <v>45534</v>
      </c>
      <c r="B1160" s="4">
        <f>_xlfn.XLOOKUP($A1160, 'Nifty 50'!A:A, 'Nifty 50'!B:B, "")</f>
        <v>25235.9</v>
      </c>
      <c r="C1160" s="4">
        <f>_xlfn.XLOOKUP($A1160, Reliance!A:A, Reliance!B:B, "")</f>
        <v>1509.63</v>
      </c>
      <c r="D1160" s="4">
        <f>_xlfn.XLOOKUP($A1160, HDFC!A:A, HDFC!B:B, "")</f>
        <v>816.42</v>
      </c>
      <c r="E1160" s="4">
        <f>_xlfn.XLOOKUP($A1160, ITC!A:A, ITC!B:B, "")</f>
        <v>474.8</v>
      </c>
      <c r="F1160" s="4">
        <f>_xlfn.XLOOKUP($A1160, TCS!A:A, TCS!B:B, "")</f>
        <v>4553.75</v>
      </c>
      <c r="G1160" s="4">
        <f>_xlfn.XLOOKUP($A1160, Infosys!A:A, Infosys!B:B,"")</f>
        <v>1943.7</v>
      </c>
      <c r="H1160" s="4">
        <f>_xlfn.XLOOKUP($A1160, 'L &amp; T'!A:A, 'L &amp; T'!B:B, "")</f>
        <v>3704.65</v>
      </c>
    </row>
    <row r="1161" spans="1:8" x14ac:dyDescent="0.3">
      <c r="A1161" s="1">
        <v>45537</v>
      </c>
      <c r="B1161" s="4">
        <f>_xlfn.XLOOKUP($A1161, 'Nifty 50'!A:A, 'Nifty 50'!B:B, "")</f>
        <v>25278.7</v>
      </c>
      <c r="C1161" s="4">
        <f>_xlfn.XLOOKUP($A1161, Reliance!A:A, Reliance!B:B, "")</f>
        <v>1516.25</v>
      </c>
      <c r="D1161" s="4">
        <f>_xlfn.XLOOKUP($A1161, HDFC!A:A, HDFC!B:B, "")</f>
        <v>811.46</v>
      </c>
      <c r="E1161" s="4">
        <f>_xlfn.XLOOKUP($A1161, ITC!A:A, ITC!B:B, "")</f>
        <v>482.51</v>
      </c>
      <c r="F1161" s="4">
        <f>_xlfn.XLOOKUP($A1161, TCS!A:A, TCS!B:B, "")</f>
        <v>4521.05</v>
      </c>
      <c r="G1161" s="4">
        <f>_xlfn.XLOOKUP($A1161, Infosys!A:A, Infosys!B:B,"")</f>
        <v>1964.5</v>
      </c>
      <c r="H1161" s="4">
        <f>_xlfn.XLOOKUP($A1161, 'L &amp; T'!A:A, 'L &amp; T'!B:B, "")</f>
        <v>3683.1</v>
      </c>
    </row>
    <row r="1162" spans="1:8" x14ac:dyDescent="0.3">
      <c r="A1162" s="1">
        <v>45538</v>
      </c>
      <c r="B1162" s="4">
        <f>_xlfn.XLOOKUP($A1162, 'Nifty 50'!A:A, 'Nifty 50'!B:B, "")</f>
        <v>25279.85</v>
      </c>
      <c r="C1162" s="4">
        <f>_xlfn.XLOOKUP($A1162, Reliance!A:A, Reliance!B:B, "")</f>
        <v>1509.13</v>
      </c>
      <c r="D1162" s="4">
        <f>_xlfn.XLOOKUP($A1162, HDFC!A:A, HDFC!B:B, "")</f>
        <v>816.64</v>
      </c>
      <c r="E1162" s="4">
        <f>_xlfn.XLOOKUP($A1162, ITC!A:A, ITC!B:B, "")</f>
        <v>481.9</v>
      </c>
      <c r="F1162" s="4">
        <f>_xlfn.XLOOKUP($A1162, TCS!A:A, TCS!B:B, "")</f>
        <v>4512.3500000000004</v>
      </c>
      <c r="G1162" s="4">
        <f>_xlfn.XLOOKUP($A1162, Infosys!A:A, Infosys!B:B,"")</f>
        <v>1941.25</v>
      </c>
      <c r="H1162" s="4">
        <f>_xlfn.XLOOKUP($A1162, 'L &amp; T'!A:A, 'L &amp; T'!B:B, "")</f>
        <v>3690.15</v>
      </c>
    </row>
    <row r="1163" spans="1:8" x14ac:dyDescent="0.3">
      <c r="A1163" s="1">
        <v>45539</v>
      </c>
      <c r="B1163" s="4">
        <f>_xlfn.XLOOKUP($A1163, 'Nifty 50'!A:A, 'Nifty 50'!B:B, "")</f>
        <v>25198.7</v>
      </c>
      <c r="C1163" s="4">
        <f>_xlfn.XLOOKUP($A1163, Reliance!A:A, Reliance!B:B, "")</f>
        <v>1514.55</v>
      </c>
      <c r="D1163" s="4">
        <f>_xlfn.XLOOKUP($A1163, HDFC!A:A, HDFC!B:B, "")</f>
        <v>818.86</v>
      </c>
      <c r="E1163" s="4">
        <f>_xlfn.XLOOKUP($A1163, ITC!A:A, ITC!B:B, "")</f>
        <v>479.01</v>
      </c>
      <c r="F1163" s="4">
        <f>_xlfn.XLOOKUP($A1163, TCS!A:A, TCS!B:B, "")</f>
        <v>4479.25</v>
      </c>
      <c r="G1163" s="4">
        <f>_xlfn.XLOOKUP($A1163, Infosys!A:A, Infosys!B:B,"")</f>
        <v>1922.45</v>
      </c>
      <c r="H1163" s="4">
        <f>_xlfn.XLOOKUP($A1163, 'L &amp; T'!A:A, 'L &amp; T'!B:B, "")</f>
        <v>3650.8</v>
      </c>
    </row>
    <row r="1164" spans="1:8" x14ac:dyDescent="0.3">
      <c r="A1164" s="1">
        <v>45540</v>
      </c>
      <c r="B1164" s="4">
        <f>_xlfn.XLOOKUP($A1164, 'Nifty 50'!A:A, 'Nifty 50'!B:B, "")</f>
        <v>25145.1</v>
      </c>
      <c r="C1164" s="4">
        <f>_xlfn.XLOOKUP($A1164, Reliance!A:A, Reliance!B:B, "")</f>
        <v>1492.97</v>
      </c>
      <c r="D1164" s="4">
        <f>_xlfn.XLOOKUP($A1164, HDFC!A:A, HDFC!B:B, "")</f>
        <v>820.68</v>
      </c>
      <c r="E1164" s="4">
        <f>_xlfn.XLOOKUP($A1164, ITC!A:A, ITC!B:B, "")</f>
        <v>483.6</v>
      </c>
      <c r="F1164" s="4">
        <f>_xlfn.XLOOKUP($A1164, TCS!A:A, TCS!B:B, "")</f>
        <v>4475.95</v>
      </c>
      <c r="G1164" s="4">
        <f>_xlfn.XLOOKUP($A1164, Infosys!A:A, Infosys!B:B,"")</f>
        <v>1933.15</v>
      </c>
      <c r="H1164" s="4">
        <f>_xlfn.XLOOKUP($A1164, 'L &amp; T'!A:A, 'L &amp; T'!B:B, "")</f>
        <v>3624.15</v>
      </c>
    </row>
    <row r="1165" spans="1:8" x14ac:dyDescent="0.3">
      <c r="A1165" s="1">
        <v>45541</v>
      </c>
      <c r="B1165" s="4">
        <f>_xlfn.XLOOKUP($A1165, 'Nifty 50'!A:A, 'Nifty 50'!B:B, "")</f>
        <v>24852.15</v>
      </c>
      <c r="C1165" s="4">
        <f>_xlfn.XLOOKUP($A1165, Reliance!A:A, Reliance!B:B, "")</f>
        <v>1464.82</v>
      </c>
      <c r="D1165" s="4">
        <f>_xlfn.XLOOKUP($A1165, HDFC!A:A, HDFC!B:B, "")</f>
        <v>816.44</v>
      </c>
      <c r="E1165" s="4">
        <f>_xlfn.XLOOKUP($A1165, ITC!A:A, ITC!B:B, "")</f>
        <v>474.61</v>
      </c>
      <c r="F1165" s="4">
        <f>_xlfn.XLOOKUP($A1165, TCS!A:A, TCS!B:B, "")</f>
        <v>4456.75</v>
      </c>
      <c r="G1165" s="4">
        <f>_xlfn.XLOOKUP($A1165, Infosys!A:A, Infosys!B:B,"")</f>
        <v>1901.85</v>
      </c>
      <c r="H1165" s="4">
        <f>_xlfn.XLOOKUP($A1165, 'L &amp; T'!A:A, 'L &amp; T'!B:B, "")</f>
        <v>3574.75</v>
      </c>
    </row>
    <row r="1166" spans="1:8" x14ac:dyDescent="0.3">
      <c r="A1166" s="1">
        <v>45544</v>
      </c>
      <c r="B1166" s="4">
        <f>_xlfn.XLOOKUP($A1166, 'Nifty 50'!A:A, 'Nifty 50'!B:B, "")</f>
        <v>24936.400000000001</v>
      </c>
      <c r="C1166" s="4">
        <f>_xlfn.XLOOKUP($A1166, Reliance!A:A, Reliance!B:B, "")</f>
        <v>1462.45</v>
      </c>
      <c r="D1166" s="4">
        <f>_xlfn.XLOOKUP($A1166, HDFC!A:A, HDFC!B:B, "")</f>
        <v>821.21</v>
      </c>
      <c r="E1166" s="4">
        <f>_xlfn.XLOOKUP($A1166, ITC!A:A, ITC!B:B, "")</f>
        <v>484.12</v>
      </c>
      <c r="F1166" s="4">
        <f>_xlfn.XLOOKUP($A1166, TCS!A:A, TCS!B:B, "")</f>
        <v>4449.55</v>
      </c>
      <c r="G1166" s="4">
        <f>_xlfn.XLOOKUP($A1166, Infosys!A:A, Infosys!B:B,"")</f>
        <v>1894.65</v>
      </c>
      <c r="H1166" s="4">
        <f>_xlfn.XLOOKUP($A1166, 'L &amp; T'!A:A, 'L &amp; T'!B:B, "")</f>
        <v>3578.3</v>
      </c>
    </row>
    <row r="1167" spans="1:8" x14ac:dyDescent="0.3">
      <c r="A1167" s="1">
        <v>45545</v>
      </c>
      <c r="B1167" s="4">
        <f>_xlfn.XLOOKUP($A1167, 'Nifty 50'!A:A, 'Nifty 50'!B:B, "")</f>
        <v>25041.1</v>
      </c>
      <c r="C1167" s="4">
        <f>_xlfn.XLOOKUP($A1167, Reliance!A:A, Reliance!B:B, "")</f>
        <v>1461.53</v>
      </c>
      <c r="D1167" s="4">
        <f>_xlfn.XLOOKUP($A1167, HDFC!A:A, HDFC!B:B, "")</f>
        <v>823.13</v>
      </c>
      <c r="E1167" s="4">
        <f>_xlfn.XLOOKUP($A1167, ITC!A:A, ITC!B:B, "")</f>
        <v>485.87</v>
      </c>
      <c r="F1167" s="4">
        <f>_xlfn.XLOOKUP($A1167, TCS!A:A, TCS!B:B, "")</f>
        <v>4507.8500000000004</v>
      </c>
      <c r="G1167" s="4">
        <f>_xlfn.XLOOKUP($A1167, Infosys!A:A, Infosys!B:B,"")</f>
        <v>1912.3</v>
      </c>
      <c r="H1167" s="4">
        <f>_xlfn.XLOOKUP($A1167, 'L &amp; T'!A:A, 'L &amp; T'!B:B, "")</f>
        <v>3596.15</v>
      </c>
    </row>
    <row r="1168" spans="1:8" x14ac:dyDescent="0.3">
      <c r="A1168" s="1">
        <v>45546</v>
      </c>
      <c r="B1168" s="4">
        <f>_xlfn.XLOOKUP($A1168, 'Nifty 50'!A:A, 'Nifty 50'!B:B, "")</f>
        <v>24918.45</v>
      </c>
      <c r="C1168" s="4">
        <f>_xlfn.XLOOKUP($A1168, Reliance!A:A, Reliance!B:B, "")</f>
        <v>1451.5</v>
      </c>
      <c r="D1168" s="4">
        <f>_xlfn.XLOOKUP($A1168, HDFC!A:A, HDFC!B:B, "")</f>
        <v>819.91</v>
      </c>
      <c r="E1168" s="4">
        <f>_xlfn.XLOOKUP($A1168, ITC!A:A, ITC!B:B, "")</f>
        <v>486.58</v>
      </c>
      <c r="F1168" s="4">
        <f>_xlfn.XLOOKUP($A1168, TCS!A:A, TCS!B:B, "")</f>
        <v>4479.3500000000004</v>
      </c>
      <c r="G1168" s="4">
        <f>_xlfn.XLOOKUP($A1168, Infosys!A:A, Infosys!B:B,"")</f>
        <v>1910.15</v>
      </c>
      <c r="H1168" s="4">
        <f>_xlfn.XLOOKUP($A1168, 'L &amp; T'!A:A, 'L &amp; T'!B:B, "")</f>
        <v>3536.95</v>
      </c>
    </row>
    <row r="1169" spans="1:8" x14ac:dyDescent="0.3">
      <c r="A1169" s="1">
        <v>45547</v>
      </c>
      <c r="B1169" s="4">
        <f>_xlfn.XLOOKUP($A1169, 'Nifty 50'!A:A, 'Nifty 50'!B:B, "")</f>
        <v>25388.9</v>
      </c>
      <c r="C1169" s="4">
        <f>_xlfn.XLOOKUP($A1169, Reliance!A:A, Reliance!B:B, "")</f>
        <v>1479.8</v>
      </c>
      <c r="D1169" s="4">
        <f>_xlfn.XLOOKUP($A1169, HDFC!A:A, HDFC!B:B, "")</f>
        <v>831.23</v>
      </c>
      <c r="E1169" s="4">
        <f>_xlfn.XLOOKUP($A1169, ITC!A:A, ITC!B:B, "")</f>
        <v>491.45</v>
      </c>
      <c r="F1169" s="4">
        <f>_xlfn.XLOOKUP($A1169, TCS!A:A, TCS!B:B, "")</f>
        <v>4517.7</v>
      </c>
      <c r="G1169" s="4">
        <f>_xlfn.XLOOKUP($A1169, Infosys!A:A, Infosys!B:B,"")</f>
        <v>1950.45</v>
      </c>
      <c r="H1169" s="4">
        <f>_xlfn.XLOOKUP($A1169, 'L &amp; T'!A:A, 'L &amp; T'!B:B, "")</f>
        <v>3622</v>
      </c>
    </row>
    <row r="1170" spans="1:8" x14ac:dyDescent="0.3">
      <c r="A1170" s="1">
        <v>45548</v>
      </c>
      <c r="B1170" s="4">
        <f>_xlfn.XLOOKUP($A1170, 'Nifty 50'!A:A, 'Nifty 50'!B:B, "")</f>
        <v>25356.5</v>
      </c>
      <c r="C1170" s="4">
        <f>_xlfn.XLOOKUP($A1170, Reliance!A:A, Reliance!B:B, "")</f>
        <v>1472.63</v>
      </c>
      <c r="D1170" s="4">
        <f>_xlfn.XLOOKUP($A1170, HDFC!A:A, HDFC!B:B, "")</f>
        <v>830.91</v>
      </c>
      <c r="E1170" s="4">
        <f>_xlfn.XLOOKUP($A1170, ITC!A:A, ITC!B:B, "")</f>
        <v>486.11</v>
      </c>
      <c r="F1170" s="4">
        <f>_xlfn.XLOOKUP($A1170, TCS!A:A, TCS!B:B, "")</f>
        <v>4522.6000000000004</v>
      </c>
      <c r="G1170" s="4">
        <f>_xlfn.XLOOKUP($A1170, Infosys!A:A, Infosys!B:B,"")</f>
        <v>1944.1</v>
      </c>
      <c r="H1170" s="4">
        <f>_xlfn.XLOOKUP($A1170, 'L &amp; T'!A:A, 'L &amp; T'!B:B, "")</f>
        <v>3613</v>
      </c>
    </row>
    <row r="1171" spans="1:8" x14ac:dyDescent="0.3">
      <c r="A1171" s="1">
        <v>45551</v>
      </c>
      <c r="B1171" s="4">
        <f>_xlfn.XLOOKUP($A1171, 'Nifty 50'!A:A, 'Nifty 50'!B:B, "")</f>
        <v>25383.75</v>
      </c>
      <c r="C1171" s="4">
        <f>_xlfn.XLOOKUP($A1171, Reliance!A:A, Reliance!B:B, "")</f>
        <v>1471.35</v>
      </c>
      <c r="D1171" s="4">
        <f>_xlfn.XLOOKUP($A1171, HDFC!A:A, HDFC!B:B, "")</f>
        <v>833.4</v>
      </c>
      <c r="E1171" s="4">
        <f>_xlfn.XLOOKUP($A1171, ITC!A:A, ITC!B:B, "")</f>
        <v>483.51</v>
      </c>
      <c r="F1171" s="4">
        <f>_xlfn.XLOOKUP($A1171, TCS!A:A, TCS!B:B, "")</f>
        <v>4513.25</v>
      </c>
      <c r="G1171" s="4">
        <f>_xlfn.XLOOKUP($A1171, Infosys!A:A, Infosys!B:B,"")</f>
        <v>1950.25</v>
      </c>
      <c r="H1171" s="4">
        <f>_xlfn.XLOOKUP($A1171, 'L &amp; T'!A:A, 'L &amp; T'!B:B, "")</f>
        <v>3662.25</v>
      </c>
    </row>
    <row r="1172" spans="1:8" x14ac:dyDescent="0.3">
      <c r="A1172" s="1">
        <v>45552</v>
      </c>
      <c r="B1172" s="4">
        <f>_xlfn.XLOOKUP($A1172, 'Nifty 50'!A:A, 'Nifty 50'!B:B, "")</f>
        <v>25418.55</v>
      </c>
      <c r="C1172" s="4">
        <f>_xlfn.XLOOKUP($A1172, Reliance!A:A, Reliance!B:B, "")</f>
        <v>1472.3</v>
      </c>
      <c r="D1172" s="4">
        <f>_xlfn.XLOOKUP($A1172, HDFC!A:A, HDFC!B:B, "")</f>
        <v>832.33</v>
      </c>
      <c r="E1172" s="4">
        <f>_xlfn.XLOOKUP($A1172, ITC!A:A, ITC!B:B, "")</f>
        <v>480.34</v>
      </c>
      <c r="F1172" s="4">
        <f>_xlfn.XLOOKUP($A1172, TCS!A:A, TCS!B:B, "")</f>
        <v>4505.6499999999996</v>
      </c>
      <c r="G1172" s="4">
        <f>_xlfn.XLOOKUP($A1172, Infosys!A:A, Infosys!B:B,"")</f>
        <v>1952.55</v>
      </c>
      <c r="H1172" s="4">
        <f>_xlfn.XLOOKUP($A1172, 'L &amp; T'!A:A, 'L &amp; T'!B:B, "")</f>
        <v>3695.2</v>
      </c>
    </row>
    <row r="1173" spans="1:8" x14ac:dyDescent="0.3">
      <c r="A1173" s="1">
        <v>45553</v>
      </c>
      <c r="B1173" s="4">
        <f>_xlfn.XLOOKUP($A1173, 'Nifty 50'!A:A, 'Nifty 50'!B:B, "")</f>
        <v>25377.55</v>
      </c>
      <c r="C1173" s="4">
        <f>_xlfn.XLOOKUP($A1173, Reliance!A:A, Reliance!B:B, "")</f>
        <v>1463.45</v>
      </c>
      <c r="D1173" s="4">
        <f>_xlfn.XLOOKUP($A1173, HDFC!A:A, HDFC!B:B, "")</f>
        <v>845.3</v>
      </c>
      <c r="E1173" s="4">
        <f>_xlfn.XLOOKUP($A1173, ITC!A:A, ITC!B:B, "")</f>
        <v>479.96</v>
      </c>
      <c r="F1173" s="4">
        <f>_xlfn.XLOOKUP($A1173, TCS!A:A, TCS!B:B, "")</f>
        <v>4346.1499999999996</v>
      </c>
      <c r="G1173" s="4">
        <f>_xlfn.XLOOKUP($A1173, Infosys!A:A, Infosys!B:B,"")</f>
        <v>1892.15</v>
      </c>
      <c r="H1173" s="4">
        <f>_xlfn.XLOOKUP($A1173, 'L &amp; T'!A:A, 'L &amp; T'!B:B, "")</f>
        <v>3730.45</v>
      </c>
    </row>
    <row r="1174" spans="1:8" x14ac:dyDescent="0.3">
      <c r="A1174" s="1">
        <v>45554</v>
      </c>
      <c r="B1174" s="4">
        <f>_xlfn.XLOOKUP($A1174, 'Nifty 50'!A:A, 'Nifty 50'!B:B, "")</f>
        <v>25415.8</v>
      </c>
      <c r="C1174" s="4">
        <f>_xlfn.XLOOKUP($A1174, Reliance!A:A, Reliance!B:B, "")</f>
        <v>1469.68</v>
      </c>
      <c r="D1174" s="4">
        <f>_xlfn.XLOOKUP($A1174, HDFC!A:A, HDFC!B:B, "")</f>
        <v>852.13</v>
      </c>
      <c r="E1174" s="4">
        <f>_xlfn.XLOOKUP($A1174, ITC!A:A, ITC!B:B, "")</f>
        <v>480.81</v>
      </c>
      <c r="F1174" s="4">
        <f>_xlfn.XLOOKUP($A1174, TCS!A:A, TCS!B:B, "")</f>
        <v>4296.1499999999996</v>
      </c>
      <c r="G1174" s="4">
        <f>_xlfn.XLOOKUP($A1174, Infosys!A:A, Infosys!B:B,"")</f>
        <v>1894.2</v>
      </c>
      <c r="H1174" s="4">
        <f>_xlfn.XLOOKUP($A1174, 'L &amp; T'!A:A, 'L &amp; T'!B:B, "")</f>
        <v>3683.7</v>
      </c>
    </row>
    <row r="1175" spans="1:8" x14ac:dyDescent="0.3">
      <c r="A1175" s="1">
        <v>45555</v>
      </c>
      <c r="B1175" s="4">
        <f>_xlfn.XLOOKUP($A1175, 'Nifty 50'!A:A, 'Nifty 50'!B:B, "")</f>
        <v>25790.95</v>
      </c>
      <c r="C1175" s="4">
        <f>_xlfn.XLOOKUP($A1175, Reliance!A:A, Reliance!B:B, "")</f>
        <v>1485.93</v>
      </c>
      <c r="D1175" s="4">
        <f>_xlfn.XLOOKUP($A1175, HDFC!A:A, HDFC!B:B, "")</f>
        <v>868.44</v>
      </c>
      <c r="E1175" s="4">
        <f>_xlfn.XLOOKUP($A1175, ITC!A:A, ITC!B:B, "")</f>
        <v>486.63</v>
      </c>
      <c r="F1175" s="4">
        <f>_xlfn.XLOOKUP($A1175, TCS!A:A, TCS!B:B, "")</f>
        <v>4284.8999999999996</v>
      </c>
      <c r="G1175" s="4">
        <f>_xlfn.XLOOKUP($A1175, Infosys!A:A, Infosys!B:B,"")</f>
        <v>1905.75</v>
      </c>
      <c r="H1175" s="4">
        <f>_xlfn.XLOOKUP($A1175, 'L &amp; T'!A:A, 'L &amp; T'!B:B, "")</f>
        <v>3793.9</v>
      </c>
    </row>
    <row r="1176" spans="1:8" x14ac:dyDescent="0.3">
      <c r="A1176" s="1">
        <v>45558</v>
      </c>
      <c r="B1176" s="4">
        <f>_xlfn.XLOOKUP($A1176, 'Nifty 50'!A:A, 'Nifty 50'!B:B, "")</f>
        <v>25939.05</v>
      </c>
      <c r="C1176" s="4">
        <f>_xlfn.XLOOKUP($A1176, Reliance!A:A, Reliance!B:B, "")</f>
        <v>1493.38</v>
      </c>
      <c r="D1176" s="4">
        <f>_xlfn.XLOOKUP($A1176, HDFC!A:A, HDFC!B:B, "")</f>
        <v>877.72</v>
      </c>
      <c r="E1176" s="4">
        <f>_xlfn.XLOOKUP($A1176, ITC!A:A, ITC!B:B, "")</f>
        <v>489.04</v>
      </c>
      <c r="F1176" s="4">
        <f>_xlfn.XLOOKUP($A1176, TCS!A:A, TCS!B:B, "")</f>
        <v>4268.5</v>
      </c>
      <c r="G1176" s="4">
        <f>_xlfn.XLOOKUP($A1176, Infosys!A:A, Infosys!B:B,"")</f>
        <v>1896.45</v>
      </c>
      <c r="H1176" s="4">
        <f>_xlfn.XLOOKUP($A1176, 'L &amp; T'!A:A, 'L &amp; T'!B:B, "")</f>
        <v>3787.7</v>
      </c>
    </row>
    <row r="1177" spans="1:8" x14ac:dyDescent="0.3">
      <c r="A1177" s="1">
        <v>45559</v>
      </c>
      <c r="B1177" s="4">
        <f>_xlfn.XLOOKUP($A1177, 'Nifty 50'!A:A, 'Nifty 50'!B:B, "")</f>
        <v>25940.400000000001</v>
      </c>
      <c r="C1177" s="4">
        <f>_xlfn.XLOOKUP($A1177, Reliance!A:A, Reliance!B:B, "")</f>
        <v>1489.38</v>
      </c>
      <c r="D1177" s="4">
        <f>_xlfn.XLOOKUP($A1177, HDFC!A:A, HDFC!B:B, "")</f>
        <v>881.83</v>
      </c>
      <c r="E1177" s="4">
        <f>_xlfn.XLOOKUP($A1177, ITC!A:A, ITC!B:B, "")</f>
        <v>487.43</v>
      </c>
      <c r="F1177" s="4">
        <f>_xlfn.XLOOKUP($A1177, TCS!A:A, TCS!B:B, "")</f>
        <v>4271.3</v>
      </c>
      <c r="G1177" s="4">
        <f>_xlfn.XLOOKUP($A1177, Infosys!A:A, Infosys!B:B,"")</f>
        <v>1898.6</v>
      </c>
      <c r="H1177" s="4">
        <f>_xlfn.XLOOKUP($A1177, 'L &amp; T'!A:A, 'L &amp; T'!B:B, "")</f>
        <v>3791.6</v>
      </c>
    </row>
    <row r="1178" spans="1:8" x14ac:dyDescent="0.3">
      <c r="A1178" s="1">
        <v>45560</v>
      </c>
      <c r="B1178" s="4">
        <f>_xlfn.XLOOKUP($A1178, 'Nifty 50'!A:A, 'Nifty 50'!B:B, "")</f>
        <v>26004.15</v>
      </c>
      <c r="C1178" s="4">
        <f>_xlfn.XLOOKUP($A1178, Reliance!A:A, Reliance!B:B, "")</f>
        <v>1493.95</v>
      </c>
      <c r="D1178" s="4">
        <f>_xlfn.XLOOKUP($A1178, HDFC!A:A, HDFC!B:B, "")</f>
        <v>887.34</v>
      </c>
      <c r="E1178" s="4">
        <f>_xlfn.XLOOKUP($A1178, ITC!A:A, ITC!B:B, "")</f>
        <v>489.61</v>
      </c>
      <c r="F1178" s="4">
        <f>_xlfn.XLOOKUP($A1178, TCS!A:A, TCS!B:B, "")</f>
        <v>4274.75</v>
      </c>
      <c r="G1178" s="4">
        <f>_xlfn.XLOOKUP($A1178, Infosys!A:A, Infosys!B:B,"")</f>
        <v>1895.3</v>
      </c>
      <c r="H1178" s="4">
        <f>_xlfn.XLOOKUP($A1178, 'L &amp; T'!A:A, 'L &amp; T'!B:B, "")</f>
        <v>3793.85</v>
      </c>
    </row>
    <row r="1179" spans="1:8" x14ac:dyDescent="0.3">
      <c r="A1179" s="1">
        <v>45561</v>
      </c>
      <c r="B1179" s="4">
        <f>_xlfn.XLOOKUP($A1179, 'Nifty 50'!A:A, 'Nifty 50'!B:B, "")</f>
        <v>26216.05</v>
      </c>
      <c r="C1179" s="4">
        <f>_xlfn.XLOOKUP($A1179, Reliance!A:A, Reliance!B:B, "")</f>
        <v>1497.95</v>
      </c>
      <c r="D1179" s="4">
        <f>_xlfn.XLOOKUP($A1179, HDFC!A:A, HDFC!B:B, "")</f>
        <v>889.51</v>
      </c>
      <c r="E1179" s="4">
        <f>_xlfn.XLOOKUP($A1179, ITC!A:A, ITC!B:B, "")</f>
        <v>494.53</v>
      </c>
      <c r="F1179" s="4">
        <f>_xlfn.XLOOKUP($A1179, TCS!A:A, TCS!B:B, "")</f>
        <v>4292.5</v>
      </c>
      <c r="G1179" s="4">
        <f>_xlfn.XLOOKUP($A1179, Infosys!A:A, Infosys!B:B,"")</f>
        <v>1900.25</v>
      </c>
      <c r="H1179" s="4">
        <f>_xlfn.XLOOKUP($A1179, 'L &amp; T'!A:A, 'L &amp; T'!B:B, "")</f>
        <v>3762.15</v>
      </c>
    </row>
    <row r="1180" spans="1:8" x14ac:dyDescent="0.3">
      <c r="A1180" s="1">
        <v>45562</v>
      </c>
      <c r="B1180" s="4">
        <f>_xlfn.XLOOKUP($A1180, 'Nifty 50'!A:A, 'Nifty 50'!B:B, "")</f>
        <v>26178.95</v>
      </c>
      <c r="C1180" s="4">
        <f>_xlfn.XLOOKUP($A1180, Reliance!A:A, Reliance!B:B, "")</f>
        <v>1526.18</v>
      </c>
      <c r="D1180" s="4">
        <f>_xlfn.XLOOKUP($A1180, HDFC!A:A, HDFC!B:B, "")</f>
        <v>874.15</v>
      </c>
      <c r="E1180" s="4">
        <f>_xlfn.XLOOKUP($A1180, ITC!A:A, ITC!B:B, "")</f>
        <v>494.48</v>
      </c>
      <c r="F1180" s="4">
        <f>_xlfn.XLOOKUP($A1180, TCS!A:A, TCS!B:B, "")</f>
        <v>4308.7</v>
      </c>
      <c r="G1180" s="4">
        <f>_xlfn.XLOOKUP($A1180, Infosys!A:A, Infosys!B:B,"")</f>
        <v>1906.75</v>
      </c>
      <c r="H1180" s="4">
        <f>_xlfn.XLOOKUP($A1180, 'L &amp; T'!A:A, 'L &amp; T'!B:B, "")</f>
        <v>3705.65</v>
      </c>
    </row>
    <row r="1181" spans="1:8" x14ac:dyDescent="0.3">
      <c r="A1181" s="1">
        <v>45565</v>
      </c>
      <c r="B1181" s="4">
        <f>_xlfn.XLOOKUP($A1181, 'Nifty 50'!A:A, 'Nifty 50'!B:B, "")</f>
        <v>25810.85</v>
      </c>
      <c r="C1181" s="4">
        <f>_xlfn.XLOOKUP($A1181, Reliance!A:A, Reliance!B:B, "")</f>
        <v>1476.57</v>
      </c>
      <c r="D1181" s="4">
        <f>_xlfn.XLOOKUP($A1181, HDFC!A:A, HDFC!B:B, "")</f>
        <v>863.88</v>
      </c>
      <c r="E1181" s="4">
        <f>_xlfn.XLOOKUP($A1181, ITC!A:A, ITC!B:B, "")</f>
        <v>490.18</v>
      </c>
      <c r="F1181" s="4">
        <f>_xlfn.XLOOKUP($A1181, TCS!A:A, TCS!B:B, "")</f>
        <v>4268.5</v>
      </c>
      <c r="G1181" s="4">
        <f>_xlfn.XLOOKUP($A1181, Infosys!A:A, Infosys!B:B,"")</f>
        <v>1875.6</v>
      </c>
      <c r="H1181" s="4">
        <f>_xlfn.XLOOKUP($A1181, 'L &amp; T'!A:A, 'L &amp; T'!B:B, "")</f>
        <v>3675.55</v>
      </c>
    </row>
    <row r="1182" spans="1:8" x14ac:dyDescent="0.3">
      <c r="A1182" s="1">
        <v>45566</v>
      </c>
      <c r="B1182" s="4">
        <f>_xlfn.XLOOKUP($A1182, 'Nifty 50'!A:A, 'Nifty 50'!B:B, "")</f>
        <v>25796.9</v>
      </c>
      <c r="C1182" s="4">
        <f>_xlfn.XLOOKUP($A1182, Reliance!A:A, Reliance!B:B, "")</f>
        <v>1464.82</v>
      </c>
      <c r="D1182" s="4">
        <f>_xlfn.XLOOKUP($A1182, HDFC!A:A, HDFC!B:B, "")</f>
        <v>860.96</v>
      </c>
      <c r="E1182" s="4">
        <f>_xlfn.XLOOKUP($A1182, ITC!A:A, ITC!B:B, "")</f>
        <v>488.33</v>
      </c>
      <c r="F1182" s="4">
        <f>_xlfn.XLOOKUP($A1182, TCS!A:A, TCS!B:B, "")</f>
        <v>4287.8999999999996</v>
      </c>
      <c r="G1182" s="4">
        <f>_xlfn.XLOOKUP($A1182, Infosys!A:A, Infosys!B:B,"")</f>
        <v>1904.35</v>
      </c>
      <c r="H1182" s="4">
        <f>_xlfn.XLOOKUP($A1182, 'L &amp; T'!A:A, 'L &amp; T'!B:B, "")</f>
        <v>3653.5</v>
      </c>
    </row>
    <row r="1183" spans="1:8" x14ac:dyDescent="0.3">
      <c r="A1183" s="1">
        <v>45568</v>
      </c>
      <c r="B1183" s="4">
        <f>_xlfn.XLOOKUP($A1183, 'Nifty 50'!A:A, 'Nifty 50'!B:B, "")</f>
        <v>25250.1</v>
      </c>
      <c r="C1183" s="4">
        <f>_xlfn.XLOOKUP($A1183, Reliance!A:A, Reliance!B:B, "")</f>
        <v>1406.97</v>
      </c>
      <c r="D1183" s="4">
        <f>_xlfn.XLOOKUP($A1183, HDFC!A:A, HDFC!B:B, "")</f>
        <v>838.91</v>
      </c>
      <c r="E1183" s="4">
        <f>_xlfn.XLOOKUP($A1183, ITC!A:A, ITC!B:B, "")</f>
        <v>485.07</v>
      </c>
      <c r="F1183" s="4">
        <f>_xlfn.XLOOKUP($A1183, TCS!A:A, TCS!B:B, "")</f>
        <v>4232.75</v>
      </c>
      <c r="G1183" s="4">
        <f>_xlfn.XLOOKUP($A1183, Infosys!A:A, Infosys!B:B,"")</f>
        <v>1893.4</v>
      </c>
      <c r="H1183" s="4">
        <f>_xlfn.XLOOKUP($A1183, 'L &amp; T'!A:A, 'L &amp; T'!B:B, "")</f>
        <v>3497.65</v>
      </c>
    </row>
    <row r="1184" spans="1:8" x14ac:dyDescent="0.3">
      <c r="A1184" s="1">
        <v>45569</v>
      </c>
      <c r="B1184" s="4">
        <f>_xlfn.XLOOKUP($A1184, 'Nifty 50'!A:A, 'Nifty 50'!B:B, "")</f>
        <v>25014.6</v>
      </c>
      <c r="C1184" s="4">
        <f>_xlfn.XLOOKUP($A1184, Reliance!A:A, Reliance!B:B, "")</f>
        <v>1386.53</v>
      </c>
      <c r="D1184" s="4">
        <f>_xlfn.XLOOKUP($A1184, HDFC!A:A, HDFC!B:B, "")</f>
        <v>826.77</v>
      </c>
      <c r="E1184" s="4">
        <f>_xlfn.XLOOKUP($A1184, ITC!A:A, ITC!B:B, "")</f>
        <v>476.36</v>
      </c>
      <c r="F1184" s="4">
        <f>_xlfn.XLOOKUP($A1184, TCS!A:A, TCS!B:B, "")</f>
        <v>4252.25</v>
      </c>
      <c r="G1184" s="4">
        <f>_xlfn.XLOOKUP($A1184, Infosys!A:A, Infosys!B:B,"")</f>
        <v>1918.15</v>
      </c>
      <c r="H1184" s="4">
        <f>_xlfn.XLOOKUP($A1184, 'L &amp; T'!A:A, 'L &amp; T'!B:B, "")</f>
        <v>3493.95</v>
      </c>
    </row>
    <row r="1185" spans="1:8" x14ac:dyDescent="0.3">
      <c r="A1185" s="1">
        <v>45572</v>
      </c>
      <c r="B1185" s="4">
        <f>_xlfn.XLOOKUP($A1185, 'Nifty 50'!A:A, 'Nifty 50'!B:B, "")</f>
        <v>24795.75</v>
      </c>
      <c r="C1185" s="4">
        <f>_xlfn.XLOOKUP($A1185, Reliance!A:A, Reliance!B:B, "")</f>
        <v>1370.72</v>
      </c>
      <c r="D1185" s="4">
        <f>_xlfn.XLOOKUP($A1185, HDFC!A:A, HDFC!B:B, "")</f>
        <v>806.89</v>
      </c>
      <c r="E1185" s="4">
        <f>_xlfn.XLOOKUP($A1185, ITC!A:A, ITC!B:B, "")</f>
        <v>482.66</v>
      </c>
      <c r="F1185" s="4">
        <f>_xlfn.XLOOKUP($A1185, TCS!A:A, TCS!B:B, "")</f>
        <v>4272.8500000000004</v>
      </c>
      <c r="G1185" s="4">
        <f>_xlfn.XLOOKUP($A1185, Infosys!A:A, Infosys!B:B,"")</f>
        <v>1934.3</v>
      </c>
      <c r="H1185" s="4">
        <f>_xlfn.XLOOKUP($A1185, 'L &amp; T'!A:A, 'L &amp; T'!B:B, "")</f>
        <v>3468.35</v>
      </c>
    </row>
    <row r="1186" spans="1:8" x14ac:dyDescent="0.3">
      <c r="A1186" s="1">
        <v>45573</v>
      </c>
      <c r="B1186" s="4">
        <f>_xlfn.XLOOKUP($A1186, 'Nifty 50'!A:A, 'Nifty 50'!B:B, "")</f>
        <v>25013.15</v>
      </c>
      <c r="C1186" s="4">
        <f>_xlfn.XLOOKUP($A1186, Reliance!A:A, Reliance!B:B, "")</f>
        <v>1397.35</v>
      </c>
      <c r="D1186" s="4">
        <f>_xlfn.XLOOKUP($A1186, HDFC!A:A, HDFC!B:B, "")</f>
        <v>823.48</v>
      </c>
      <c r="E1186" s="4">
        <f>_xlfn.XLOOKUP($A1186, ITC!A:A, ITC!B:B, "")</f>
        <v>480.53</v>
      </c>
      <c r="F1186" s="4">
        <f>_xlfn.XLOOKUP($A1186, TCS!A:A, TCS!B:B, "")</f>
        <v>4253.25</v>
      </c>
      <c r="G1186" s="4">
        <f>_xlfn.XLOOKUP($A1186, Infosys!A:A, Infosys!B:B,"")</f>
        <v>1948.55</v>
      </c>
      <c r="H1186" s="4">
        <f>_xlfn.XLOOKUP($A1186, 'L &amp; T'!A:A, 'L &amp; T'!B:B, "")</f>
        <v>3532.4</v>
      </c>
    </row>
    <row r="1187" spans="1:8" x14ac:dyDescent="0.3">
      <c r="A1187" s="1">
        <v>45574</v>
      </c>
      <c r="B1187" s="4">
        <f>_xlfn.XLOOKUP($A1187, 'Nifty 50'!A:A, 'Nifty 50'!B:B, "")</f>
        <v>24981.95</v>
      </c>
      <c r="C1187" s="4">
        <f>_xlfn.XLOOKUP($A1187, Reliance!A:A, Reliance!B:B, "")</f>
        <v>1374.6</v>
      </c>
      <c r="D1187" s="4">
        <f>_xlfn.XLOOKUP($A1187, HDFC!A:A, HDFC!B:B, "")</f>
        <v>814.55</v>
      </c>
      <c r="E1187" s="4">
        <f>_xlfn.XLOOKUP($A1187, ITC!A:A, ITC!B:B, "")</f>
        <v>465.15</v>
      </c>
      <c r="F1187" s="4">
        <f>_xlfn.XLOOKUP($A1187, TCS!A:A, TCS!B:B, "")</f>
        <v>4252.95</v>
      </c>
      <c r="G1187" s="4">
        <f>_xlfn.XLOOKUP($A1187, Infosys!A:A, Infosys!B:B,"")</f>
        <v>1952.75</v>
      </c>
      <c r="H1187" s="4">
        <f>_xlfn.XLOOKUP($A1187, 'L &amp; T'!A:A, 'L &amp; T'!B:B, "")</f>
        <v>3487.1</v>
      </c>
    </row>
    <row r="1188" spans="1:8" x14ac:dyDescent="0.3">
      <c r="A1188" s="1">
        <v>45575</v>
      </c>
      <c r="B1188" s="4">
        <f>_xlfn.XLOOKUP($A1188, 'Nifty 50'!A:A, 'Nifty 50'!B:B, "")</f>
        <v>24998.45</v>
      </c>
      <c r="C1188" s="4">
        <f>_xlfn.XLOOKUP($A1188, Reliance!A:A, Reliance!B:B, "")</f>
        <v>1371.05</v>
      </c>
      <c r="D1188" s="4">
        <f>_xlfn.XLOOKUP($A1188, HDFC!A:A, HDFC!B:B, "")</f>
        <v>829.14</v>
      </c>
      <c r="E1188" s="4">
        <f>_xlfn.XLOOKUP($A1188, ITC!A:A, ITC!B:B, "")</f>
        <v>465.49</v>
      </c>
      <c r="F1188" s="4">
        <f>_xlfn.XLOOKUP($A1188, TCS!A:A, TCS!B:B, "")</f>
        <v>4227.3999999999996</v>
      </c>
      <c r="G1188" s="4">
        <f>_xlfn.XLOOKUP($A1188, Infosys!A:A, Infosys!B:B,"")</f>
        <v>1919</v>
      </c>
      <c r="H1188" s="4">
        <f>_xlfn.XLOOKUP($A1188, 'L &amp; T'!A:A, 'L &amp; T'!B:B, "")</f>
        <v>3460.35</v>
      </c>
    </row>
    <row r="1189" spans="1:8" x14ac:dyDescent="0.3">
      <c r="A1189" s="1">
        <v>45576</v>
      </c>
      <c r="B1189" s="4">
        <f>_xlfn.XLOOKUP($A1189, 'Nifty 50'!A:A, 'Nifty 50'!B:B, "")</f>
        <v>24964.25</v>
      </c>
      <c r="C1189" s="4">
        <f>_xlfn.XLOOKUP($A1189, Reliance!A:A, Reliance!B:B, "")</f>
        <v>1372.1</v>
      </c>
      <c r="D1189" s="4">
        <f>_xlfn.XLOOKUP($A1189, HDFC!A:A, HDFC!B:B, "")</f>
        <v>823.45</v>
      </c>
      <c r="E1189" s="4">
        <f>_xlfn.XLOOKUP($A1189, ITC!A:A, ITC!B:B, "")</f>
        <v>461.84</v>
      </c>
      <c r="F1189" s="4">
        <f>_xlfn.XLOOKUP($A1189, TCS!A:A, TCS!B:B, "")</f>
        <v>4149.2</v>
      </c>
      <c r="G1189" s="4">
        <f>_xlfn.XLOOKUP($A1189, Infosys!A:A, Infosys!B:B,"")</f>
        <v>1935.1</v>
      </c>
      <c r="H1189" s="4">
        <f>_xlfn.XLOOKUP($A1189, 'L &amp; T'!A:A, 'L &amp; T'!B:B, "")</f>
        <v>3482.55</v>
      </c>
    </row>
    <row r="1190" spans="1:8" x14ac:dyDescent="0.3">
      <c r="A1190" s="1">
        <v>45579</v>
      </c>
      <c r="B1190" s="4">
        <f>_xlfn.XLOOKUP($A1190, 'Nifty 50'!A:A, 'Nifty 50'!B:B, "")</f>
        <v>25127.95</v>
      </c>
      <c r="C1190" s="4">
        <f>_xlfn.XLOOKUP($A1190, Reliance!A:A, Reliance!B:B, "")</f>
        <v>1372.53</v>
      </c>
      <c r="D1190" s="4">
        <f>_xlfn.XLOOKUP($A1190, HDFC!A:A, HDFC!B:B, "")</f>
        <v>841.96</v>
      </c>
      <c r="E1190" s="4">
        <f>_xlfn.XLOOKUP($A1190, ITC!A:A, ITC!B:B, "")</f>
        <v>470.12</v>
      </c>
      <c r="F1190" s="4">
        <f>_xlfn.XLOOKUP($A1190, TCS!A:A, TCS!B:B, "")</f>
        <v>4136.6499999999996</v>
      </c>
      <c r="G1190" s="4">
        <f>_xlfn.XLOOKUP($A1190, Infosys!A:A, Infosys!B:B,"")</f>
        <v>1958.9</v>
      </c>
      <c r="H1190" s="4">
        <f>_xlfn.XLOOKUP($A1190, 'L &amp; T'!A:A, 'L &amp; T'!B:B, "")</f>
        <v>3555.05</v>
      </c>
    </row>
    <row r="1191" spans="1:8" x14ac:dyDescent="0.3">
      <c r="A1191" s="1">
        <v>45580</v>
      </c>
      <c r="B1191" s="4">
        <f>_xlfn.XLOOKUP($A1191, 'Nifty 50'!A:A, 'Nifty 50'!B:B, "")</f>
        <v>25057.35</v>
      </c>
      <c r="C1191" s="4">
        <f>_xlfn.XLOOKUP($A1191, Reliance!A:A, Reliance!B:B, "")</f>
        <v>1344.03</v>
      </c>
      <c r="D1191" s="4">
        <f>_xlfn.XLOOKUP($A1191, HDFC!A:A, HDFC!B:B, "")</f>
        <v>839.96</v>
      </c>
      <c r="E1191" s="4">
        <f>_xlfn.XLOOKUP($A1191, ITC!A:A, ITC!B:B, "")</f>
        <v>471.64</v>
      </c>
      <c r="F1191" s="4">
        <f>_xlfn.XLOOKUP($A1191, TCS!A:A, TCS!B:B, "")</f>
        <v>4116.8</v>
      </c>
      <c r="G1191" s="4">
        <f>_xlfn.XLOOKUP($A1191, Infosys!A:A, Infosys!B:B,"")</f>
        <v>1959.3</v>
      </c>
      <c r="H1191" s="4">
        <f>_xlfn.XLOOKUP($A1191, 'L &amp; T'!A:A, 'L &amp; T'!B:B, "")</f>
        <v>3551.9</v>
      </c>
    </row>
    <row r="1192" spans="1:8" x14ac:dyDescent="0.3">
      <c r="A1192" s="1">
        <v>45581</v>
      </c>
      <c r="B1192" s="4">
        <f>_xlfn.XLOOKUP($A1192, 'Nifty 50'!A:A, 'Nifty 50'!B:B, "")</f>
        <v>24971.3</v>
      </c>
      <c r="C1192" s="4">
        <f>_xlfn.XLOOKUP($A1192, Reliance!A:A, Reliance!B:B, "")</f>
        <v>1354.07</v>
      </c>
      <c r="D1192" s="4">
        <f>_xlfn.XLOOKUP($A1192, HDFC!A:A, HDFC!B:B, "")</f>
        <v>847.79</v>
      </c>
      <c r="E1192" s="4">
        <f>_xlfn.XLOOKUP($A1192, ITC!A:A, ITC!B:B, "")</f>
        <v>466.57</v>
      </c>
      <c r="F1192" s="4">
        <f>_xlfn.XLOOKUP($A1192, TCS!A:A, TCS!B:B, "")</f>
        <v>4094.95</v>
      </c>
      <c r="G1192" s="4">
        <f>_xlfn.XLOOKUP($A1192, Infosys!A:A, Infosys!B:B,"")</f>
        <v>1920.1</v>
      </c>
      <c r="H1192" s="4">
        <f>_xlfn.XLOOKUP($A1192, 'L &amp; T'!A:A, 'L &amp; T'!B:B, "")</f>
        <v>3532.6</v>
      </c>
    </row>
    <row r="1193" spans="1:8" x14ac:dyDescent="0.3">
      <c r="A1193" s="1">
        <v>45582</v>
      </c>
      <c r="B1193" s="4">
        <f>_xlfn.XLOOKUP($A1193, 'Nifty 50'!A:A, 'Nifty 50'!B:B, "")</f>
        <v>24749.85</v>
      </c>
      <c r="C1193" s="4">
        <f>_xlfn.XLOOKUP($A1193, Reliance!A:A, Reliance!B:B, "")</f>
        <v>1356.43</v>
      </c>
      <c r="D1193" s="4">
        <f>_xlfn.XLOOKUP($A1193, HDFC!A:A, HDFC!B:B, "")</f>
        <v>834.5</v>
      </c>
      <c r="E1193" s="4">
        <f>_xlfn.XLOOKUP($A1193, ITC!A:A, ITC!B:B, "")</f>
        <v>462.51</v>
      </c>
      <c r="F1193" s="4">
        <f>_xlfn.XLOOKUP($A1193, TCS!A:A, TCS!B:B, "")</f>
        <v>4109</v>
      </c>
      <c r="G1193" s="4">
        <f>_xlfn.XLOOKUP($A1193, Infosys!A:A, Infosys!B:B,"")</f>
        <v>1968.1</v>
      </c>
      <c r="H1193" s="4">
        <f>_xlfn.XLOOKUP($A1193, 'L &amp; T'!A:A, 'L &amp; T'!B:B, "")</f>
        <v>3570.3</v>
      </c>
    </row>
    <row r="1194" spans="1:8" x14ac:dyDescent="0.3">
      <c r="A1194" s="1">
        <v>45583</v>
      </c>
      <c r="B1194" s="4">
        <f>_xlfn.XLOOKUP($A1194, 'Nifty 50'!A:A, 'Nifty 50'!B:B, "")</f>
        <v>24854.05</v>
      </c>
      <c r="C1194" s="4">
        <f>_xlfn.XLOOKUP($A1194, Reliance!A:A, Reliance!B:B, "")</f>
        <v>1359.3</v>
      </c>
      <c r="D1194" s="4">
        <f>_xlfn.XLOOKUP($A1194, HDFC!A:A, HDFC!B:B, "")</f>
        <v>838.84</v>
      </c>
      <c r="E1194" s="4">
        <f>_xlfn.XLOOKUP($A1194, ITC!A:A, ITC!B:B, "")</f>
        <v>460.42</v>
      </c>
      <c r="F1194" s="4">
        <f>_xlfn.XLOOKUP($A1194, TCS!A:A, TCS!B:B, "")</f>
        <v>4123.05</v>
      </c>
      <c r="G1194" s="4">
        <f>_xlfn.XLOOKUP($A1194, Infosys!A:A, Infosys!B:B,"")</f>
        <v>1879.6</v>
      </c>
      <c r="H1194" s="4">
        <f>_xlfn.XLOOKUP($A1194, 'L &amp; T'!A:A, 'L &amp; T'!B:B, "")</f>
        <v>3577.8</v>
      </c>
    </row>
    <row r="1195" spans="1:8" x14ac:dyDescent="0.3">
      <c r="A1195" s="1">
        <v>45586</v>
      </c>
      <c r="B1195" s="4">
        <f>_xlfn.XLOOKUP($A1195, 'Nifty 50'!A:A, 'Nifty 50'!B:B, "")</f>
        <v>24781.1</v>
      </c>
      <c r="C1195" s="4">
        <f>_xlfn.XLOOKUP($A1195, Reliance!A:A, Reliance!B:B, "")</f>
        <v>1369.2</v>
      </c>
      <c r="D1195" s="4">
        <f>_xlfn.XLOOKUP($A1195, HDFC!A:A, HDFC!B:B, "")</f>
        <v>862.2</v>
      </c>
      <c r="E1195" s="4">
        <f>_xlfn.XLOOKUP($A1195, ITC!A:A, ITC!B:B, "")</f>
        <v>457.54</v>
      </c>
      <c r="F1195" s="4">
        <f>_xlfn.XLOOKUP($A1195, TCS!A:A, TCS!B:B, "")</f>
        <v>4079.85</v>
      </c>
      <c r="G1195" s="4">
        <f>_xlfn.XLOOKUP($A1195, Infosys!A:A, Infosys!B:B,"")</f>
        <v>1852.75</v>
      </c>
      <c r="H1195" s="4">
        <f>_xlfn.XLOOKUP($A1195, 'L &amp; T'!A:A, 'L &amp; T'!B:B, "")</f>
        <v>3585.6</v>
      </c>
    </row>
    <row r="1196" spans="1:8" x14ac:dyDescent="0.3">
      <c r="A1196" s="1">
        <v>45587</v>
      </c>
      <c r="B1196" s="4">
        <f>_xlfn.XLOOKUP($A1196, 'Nifty 50'!A:A, 'Nifty 50'!B:B, "")</f>
        <v>24472.1</v>
      </c>
      <c r="C1196" s="4">
        <f>_xlfn.XLOOKUP($A1196, Reliance!A:A, Reliance!B:B, "")</f>
        <v>1343.35</v>
      </c>
      <c r="D1196" s="4">
        <f>_xlfn.XLOOKUP($A1196, HDFC!A:A, HDFC!B:B, "")</f>
        <v>855.15</v>
      </c>
      <c r="E1196" s="4">
        <f>_xlfn.XLOOKUP($A1196, ITC!A:A, ITC!B:B, "")</f>
        <v>455.79</v>
      </c>
      <c r="F1196" s="4">
        <f>_xlfn.XLOOKUP($A1196, TCS!A:A, TCS!B:B, "")</f>
        <v>4015.5</v>
      </c>
      <c r="G1196" s="4">
        <f>_xlfn.XLOOKUP($A1196, Infosys!A:A, Infosys!B:B,"")</f>
        <v>1851.6</v>
      </c>
      <c r="H1196" s="4">
        <f>_xlfn.XLOOKUP($A1196, 'L &amp; T'!A:A, 'L &amp; T'!B:B, "")</f>
        <v>3511.9</v>
      </c>
    </row>
    <row r="1197" spans="1:8" x14ac:dyDescent="0.3">
      <c r="A1197" s="1">
        <v>45588</v>
      </c>
      <c r="B1197" s="4">
        <f>_xlfn.XLOOKUP($A1197, 'Nifty 50'!A:A, 'Nifty 50'!B:B, "")</f>
        <v>24435.5</v>
      </c>
      <c r="C1197" s="4">
        <f>_xlfn.XLOOKUP($A1197, Reliance!A:A, Reliance!B:B, "")</f>
        <v>1338.53</v>
      </c>
      <c r="D1197" s="4">
        <f>_xlfn.XLOOKUP($A1197, HDFC!A:A, HDFC!B:B, "")</f>
        <v>865.75</v>
      </c>
      <c r="E1197" s="4">
        <f>_xlfn.XLOOKUP($A1197, ITC!A:A, ITC!B:B, "")</f>
        <v>454.42</v>
      </c>
      <c r="F1197" s="4">
        <f>_xlfn.XLOOKUP($A1197, TCS!A:A, TCS!B:B, "")</f>
        <v>4066.25</v>
      </c>
      <c r="G1197" s="4">
        <f>_xlfn.XLOOKUP($A1197, Infosys!A:A, Infosys!B:B,"")</f>
        <v>1873.4</v>
      </c>
      <c r="H1197" s="4">
        <f>_xlfn.XLOOKUP($A1197, 'L &amp; T'!A:A, 'L &amp; T'!B:B, "")</f>
        <v>3455.4</v>
      </c>
    </row>
    <row r="1198" spans="1:8" x14ac:dyDescent="0.3">
      <c r="A1198" s="1">
        <v>45589</v>
      </c>
      <c r="B1198" s="4">
        <f>_xlfn.XLOOKUP($A1198, 'Nifty 50'!A:A, 'Nifty 50'!B:B, "")</f>
        <v>24399.4</v>
      </c>
      <c r="C1198" s="4">
        <f>_xlfn.XLOOKUP($A1198, Reliance!A:A, Reliance!B:B, "")</f>
        <v>1339.8</v>
      </c>
      <c r="D1198" s="4">
        <f>_xlfn.XLOOKUP($A1198, HDFC!A:A, HDFC!B:B, "")</f>
        <v>872.65</v>
      </c>
      <c r="E1198" s="4">
        <f>_xlfn.XLOOKUP($A1198, ITC!A:A, ITC!B:B, "")</f>
        <v>446.23</v>
      </c>
      <c r="F1198" s="4">
        <f>_xlfn.XLOOKUP($A1198, TCS!A:A, TCS!B:B, "")</f>
        <v>4047.9</v>
      </c>
      <c r="G1198" s="4">
        <f>_xlfn.XLOOKUP($A1198, Infosys!A:A, Infosys!B:B,"")</f>
        <v>1863.35</v>
      </c>
      <c r="H1198" s="4">
        <f>_xlfn.XLOOKUP($A1198, 'L &amp; T'!A:A, 'L &amp; T'!B:B, "")</f>
        <v>3442.65</v>
      </c>
    </row>
    <row r="1199" spans="1:8" x14ac:dyDescent="0.3">
      <c r="A1199" s="1">
        <v>45590</v>
      </c>
      <c r="B1199" s="4">
        <f>_xlfn.XLOOKUP($A1199, 'Nifty 50'!A:A, 'Nifty 50'!B:B, "")</f>
        <v>24180.799999999999</v>
      </c>
      <c r="C1199" s="4">
        <f>_xlfn.XLOOKUP($A1199, Reliance!A:A, Reliance!B:B, "")</f>
        <v>1327.85</v>
      </c>
      <c r="D1199" s="4">
        <f>_xlfn.XLOOKUP($A1199, HDFC!A:A, HDFC!B:B, "")</f>
        <v>869.54</v>
      </c>
      <c r="E1199" s="4">
        <f>_xlfn.XLOOKUP($A1199, ITC!A:A, ITC!B:B, "")</f>
        <v>456.26</v>
      </c>
      <c r="F1199" s="4">
        <f>_xlfn.XLOOKUP($A1199, TCS!A:A, TCS!B:B, "")</f>
        <v>4057.55</v>
      </c>
      <c r="G1199" s="4">
        <f>_xlfn.XLOOKUP($A1199, Infosys!A:A, Infosys!B:B,"")</f>
        <v>1862.05</v>
      </c>
      <c r="H1199" s="4">
        <f>_xlfn.XLOOKUP($A1199, 'L &amp; T'!A:A, 'L &amp; T'!B:B, "")</f>
        <v>3326.4</v>
      </c>
    </row>
    <row r="1200" spans="1:8" x14ac:dyDescent="0.3">
      <c r="A1200" s="1">
        <v>45593</v>
      </c>
      <c r="B1200" s="4">
        <f>_xlfn.XLOOKUP($A1200, 'Nifty 50'!A:A, 'Nifty 50'!B:B, "")</f>
        <v>24339.15</v>
      </c>
      <c r="C1200" s="4">
        <f>_xlfn.XLOOKUP($A1200, Reliance!A:A, Reliance!B:B, "")</f>
        <v>1334.35</v>
      </c>
      <c r="D1200" s="4">
        <f>_xlfn.XLOOKUP($A1200, HDFC!A:A, HDFC!B:B, "")</f>
        <v>864.95</v>
      </c>
      <c r="E1200" s="4">
        <f>_xlfn.XLOOKUP($A1200, ITC!A:A, ITC!B:B, "")</f>
        <v>458.01</v>
      </c>
      <c r="F1200" s="4">
        <f>_xlfn.XLOOKUP($A1200, TCS!A:A, TCS!B:B, "")</f>
        <v>4090.85</v>
      </c>
      <c r="G1200" s="4">
        <f>_xlfn.XLOOKUP($A1200, Infosys!A:A, Infosys!B:B,"")</f>
        <v>1865.35</v>
      </c>
      <c r="H1200" s="4">
        <f>_xlfn.XLOOKUP($A1200, 'L &amp; T'!A:A, 'L &amp; T'!B:B, "")</f>
        <v>3340.8</v>
      </c>
    </row>
    <row r="1201" spans="1:8" x14ac:dyDescent="0.3">
      <c r="A1201" s="1">
        <v>45594</v>
      </c>
      <c r="B1201" s="4">
        <f>_xlfn.XLOOKUP($A1201, 'Nifty 50'!A:A, 'Nifty 50'!B:B, "")</f>
        <v>24466.85</v>
      </c>
      <c r="C1201" s="4">
        <f>_xlfn.XLOOKUP($A1201, Reliance!A:A, Reliance!B:B, "")</f>
        <v>1340</v>
      </c>
      <c r="D1201" s="4">
        <f>_xlfn.XLOOKUP($A1201, HDFC!A:A, HDFC!B:B, "")</f>
        <v>873.75</v>
      </c>
      <c r="E1201" s="4">
        <f>_xlfn.XLOOKUP($A1201, ITC!A:A, ITC!B:B, "")</f>
        <v>461.61</v>
      </c>
      <c r="F1201" s="4">
        <f>_xlfn.XLOOKUP($A1201, TCS!A:A, TCS!B:B, "")</f>
        <v>4075.25</v>
      </c>
      <c r="G1201" s="4">
        <f>_xlfn.XLOOKUP($A1201, Infosys!A:A, Infosys!B:B,"")</f>
        <v>1839.3</v>
      </c>
      <c r="H1201" s="4">
        <f>_xlfn.XLOOKUP($A1201, 'L &amp; T'!A:A, 'L &amp; T'!B:B, "")</f>
        <v>3380.9</v>
      </c>
    </row>
    <row r="1202" spans="1:8" x14ac:dyDescent="0.3">
      <c r="A1202" s="1">
        <v>45595</v>
      </c>
      <c r="B1202" s="4">
        <f>_xlfn.XLOOKUP($A1202, 'Nifty 50'!A:A, 'Nifty 50'!B:B, "")</f>
        <v>24340.85</v>
      </c>
      <c r="C1202" s="4">
        <f>_xlfn.XLOOKUP($A1202, Reliance!A:A, Reliance!B:B, "")</f>
        <v>1343.9</v>
      </c>
      <c r="D1202" s="4">
        <f>_xlfn.XLOOKUP($A1202, HDFC!A:A, HDFC!B:B, "")</f>
        <v>865.15</v>
      </c>
      <c r="E1202" s="4">
        <f>_xlfn.XLOOKUP($A1202, ITC!A:A, ITC!B:B, "")</f>
        <v>465.01</v>
      </c>
      <c r="F1202" s="4">
        <f>_xlfn.XLOOKUP($A1202, TCS!A:A, TCS!B:B, "")</f>
        <v>4084.65</v>
      </c>
      <c r="G1202" s="4">
        <f>_xlfn.XLOOKUP($A1202, Infosys!A:A, Infosys!B:B,"")</f>
        <v>1802.1</v>
      </c>
      <c r="H1202" s="4">
        <f>_xlfn.XLOOKUP($A1202, 'L &amp; T'!A:A, 'L &amp; T'!B:B, "")</f>
        <v>3408.35</v>
      </c>
    </row>
    <row r="1203" spans="1:8" x14ac:dyDescent="0.3">
      <c r="A1203" s="1">
        <v>45596</v>
      </c>
      <c r="B1203" s="4">
        <f>_xlfn.XLOOKUP($A1203, 'Nifty 50'!A:A, 'Nifty 50'!B:B, "")</f>
        <v>24205.35</v>
      </c>
      <c r="C1203" s="4">
        <f>_xlfn.XLOOKUP($A1203, Reliance!A:A, Reliance!B:B, "")</f>
        <v>1332.05</v>
      </c>
      <c r="D1203" s="4">
        <f>_xlfn.XLOOKUP($A1203, HDFC!A:A, HDFC!B:B, "")</f>
        <v>865.7</v>
      </c>
      <c r="E1203" s="4">
        <f>_xlfn.XLOOKUP($A1203, ITC!A:A, ITC!B:B, "")</f>
        <v>462.41</v>
      </c>
      <c r="F1203" s="4">
        <f>_xlfn.XLOOKUP($A1203, TCS!A:A, TCS!B:B, "")</f>
        <v>3968.45</v>
      </c>
      <c r="G1203" s="4">
        <f>_xlfn.XLOOKUP($A1203, Infosys!A:A, Infosys!B:B,"")</f>
        <v>1757.25</v>
      </c>
      <c r="H1203" s="4">
        <f>_xlfn.XLOOKUP($A1203, 'L &amp; T'!A:A, 'L &amp; T'!B:B, "")</f>
        <v>3622.3</v>
      </c>
    </row>
    <row r="1204" spans="1:8" x14ac:dyDescent="0.3">
      <c r="A1204" s="1">
        <v>45597</v>
      </c>
      <c r="B1204" s="4">
        <f>_xlfn.XLOOKUP($A1204, 'Nifty 50'!A:A, 'Nifty 50'!B:B, "")</f>
        <v>24304.35</v>
      </c>
      <c r="C1204" s="4">
        <f>_xlfn.XLOOKUP($A1204, Reliance!A:A, Reliance!B:B, "")</f>
        <v>1338.65</v>
      </c>
      <c r="D1204" s="4">
        <f>_xlfn.XLOOKUP($A1204, HDFC!A:A, HDFC!B:B, "")</f>
        <v>866.49</v>
      </c>
      <c r="E1204" s="4">
        <f>_xlfn.XLOOKUP($A1204, ITC!A:A, ITC!B:B, "")</f>
        <v>463.83</v>
      </c>
      <c r="F1204" s="4">
        <f>_xlfn.XLOOKUP($A1204, TCS!A:A, TCS!B:B, "")</f>
        <v>3984.2</v>
      </c>
      <c r="G1204" s="4">
        <f>_xlfn.XLOOKUP($A1204, Infosys!A:A, Infosys!B:B,"")</f>
        <v>1760.85</v>
      </c>
      <c r="H1204" s="4">
        <f>_xlfn.XLOOKUP($A1204, 'L &amp; T'!A:A, 'L &amp; T'!B:B, "")</f>
        <v>3626.35</v>
      </c>
    </row>
    <row r="1205" spans="1:8" x14ac:dyDescent="0.3">
      <c r="A1205" s="1">
        <v>45600</v>
      </c>
      <c r="B1205" s="4">
        <f>_xlfn.XLOOKUP($A1205, 'Nifty 50'!A:A, 'Nifty 50'!B:B, "")</f>
        <v>23995.35</v>
      </c>
      <c r="C1205" s="4">
        <f>_xlfn.XLOOKUP($A1205, Reliance!A:A, Reliance!B:B, "")</f>
        <v>1302.1500000000001</v>
      </c>
      <c r="D1205" s="4">
        <f>_xlfn.XLOOKUP($A1205, HDFC!A:A, HDFC!B:B, "")</f>
        <v>854.92</v>
      </c>
      <c r="E1205" s="4">
        <f>_xlfn.XLOOKUP($A1205, ITC!A:A, ITC!B:B, "")</f>
        <v>458.44</v>
      </c>
      <c r="F1205" s="4">
        <f>_xlfn.XLOOKUP($A1205, TCS!A:A, TCS!B:B, "")</f>
        <v>3964.15</v>
      </c>
      <c r="G1205" s="4">
        <f>_xlfn.XLOOKUP($A1205, Infosys!A:A, Infosys!B:B,"")</f>
        <v>1763.65</v>
      </c>
      <c r="H1205" s="4">
        <f>_xlfn.XLOOKUP($A1205, 'L &amp; T'!A:A, 'L &amp; T'!B:B, "")</f>
        <v>3574.45</v>
      </c>
    </row>
    <row r="1206" spans="1:8" x14ac:dyDescent="0.3">
      <c r="A1206" s="1">
        <v>45601</v>
      </c>
      <c r="B1206" s="4">
        <f>_xlfn.XLOOKUP($A1206, 'Nifty 50'!A:A, 'Nifty 50'!B:B, "")</f>
        <v>24213.3</v>
      </c>
      <c r="C1206" s="4">
        <f>_xlfn.XLOOKUP($A1206, Reliance!A:A, Reliance!B:B, "")</f>
        <v>1305.3</v>
      </c>
      <c r="D1206" s="4">
        <f>_xlfn.XLOOKUP($A1206, HDFC!A:A, HDFC!B:B, "")</f>
        <v>876.74</v>
      </c>
      <c r="E1206" s="4">
        <f>_xlfn.XLOOKUP($A1206, ITC!A:A, ITC!B:B, "")</f>
        <v>454.27</v>
      </c>
      <c r="F1206" s="4">
        <f>_xlfn.XLOOKUP($A1206, TCS!A:A, TCS!B:B, "")</f>
        <v>3971.35</v>
      </c>
      <c r="G1206" s="4">
        <f>_xlfn.XLOOKUP($A1206, Infosys!A:A, Infosys!B:B,"")</f>
        <v>1754.2</v>
      </c>
      <c r="H1206" s="4">
        <f>_xlfn.XLOOKUP($A1206, 'L &amp; T'!A:A, 'L &amp; T'!B:B, "")</f>
        <v>3574.8</v>
      </c>
    </row>
    <row r="1207" spans="1:8" x14ac:dyDescent="0.3">
      <c r="A1207" s="1">
        <v>45602</v>
      </c>
      <c r="B1207" s="4">
        <f>_xlfn.XLOOKUP($A1207, 'Nifty 50'!A:A, 'Nifty 50'!B:B, "")</f>
        <v>24484.05</v>
      </c>
      <c r="C1207" s="4">
        <f>_xlfn.XLOOKUP($A1207, Reliance!A:A, Reliance!B:B, "")</f>
        <v>1325.35</v>
      </c>
      <c r="D1207" s="4">
        <f>_xlfn.XLOOKUP($A1207, HDFC!A:A, HDFC!B:B, "")</f>
        <v>875.45</v>
      </c>
      <c r="E1207" s="4">
        <f>_xlfn.XLOOKUP($A1207, ITC!A:A, ITC!B:B, "")</f>
        <v>455.13</v>
      </c>
      <c r="F1207" s="4">
        <f>_xlfn.XLOOKUP($A1207, TCS!A:A, TCS!B:B, "")</f>
        <v>4139.6499999999996</v>
      </c>
      <c r="G1207" s="4">
        <f>_xlfn.XLOOKUP($A1207, Infosys!A:A, Infosys!B:B,"")</f>
        <v>1823.7</v>
      </c>
      <c r="H1207" s="4">
        <f>_xlfn.XLOOKUP($A1207, 'L &amp; T'!A:A, 'L &amp; T'!B:B, "")</f>
        <v>3645.45</v>
      </c>
    </row>
    <row r="1208" spans="1:8" x14ac:dyDescent="0.3">
      <c r="A1208" s="1">
        <v>45603</v>
      </c>
      <c r="B1208" s="4">
        <f>_xlfn.XLOOKUP($A1208, 'Nifty 50'!A:A, 'Nifty 50'!B:B, "")</f>
        <v>24199.35</v>
      </c>
      <c r="C1208" s="4">
        <f>_xlfn.XLOOKUP($A1208, Reliance!A:A, Reliance!B:B, "")</f>
        <v>1305.6500000000001</v>
      </c>
      <c r="D1208" s="4">
        <f>_xlfn.XLOOKUP($A1208, HDFC!A:A, HDFC!B:B, "")</f>
        <v>871.11</v>
      </c>
      <c r="E1208" s="4">
        <f>_xlfn.XLOOKUP($A1208, ITC!A:A, ITC!B:B, "")</f>
        <v>452.1</v>
      </c>
      <c r="F1208" s="4">
        <f>_xlfn.XLOOKUP($A1208, TCS!A:A, TCS!B:B, "")</f>
        <v>4150.8999999999996</v>
      </c>
      <c r="G1208" s="4">
        <f>_xlfn.XLOOKUP($A1208, Infosys!A:A, Infosys!B:B,"")</f>
        <v>1803.05</v>
      </c>
      <c r="H1208" s="4">
        <f>_xlfn.XLOOKUP($A1208, 'L &amp; T'!A:A, 'L &amp; T'!B:B, "")</f>
        <v>3646.55</v>
      </c>
    </row>
    <row r="1209" spans="1:8" x14ac:dyDescent="0.3">
      <c r="A1209" s="1">
        <v>45604</v>
      </c>
      <c r="B1209" s="4">
        <f>_xlfn.XLOOKUP($A1209, 'Nifty 50'!A:A, 'Nifty 50'!B:B, "")</f>
        <v>24148.2</v>
      </c>
      <c r="C1209" s="4">
        <f>_xlfn.XLOOKUP($A1209, Reliance!A:A, Reliance!B:B, "")</f>
        <v>1283.75</v>
      </c>
      <c r="D1209" s="4">
        <f>_xlfn.XLOOKUP($A1209, HDFC!A:A, HDFC!B:B, "")</f>
        <v>875.05</v>
      </c>
      <c r="E1209" s="4">
        <f>_xlfn.XLOOKUP($A1209, ITC!A:A, ITC!B:B, "")</f>
        <v>452.24</v>
      </c>
      <c r="F1209" s="4">
        <f>_xlfn.XLOOKUP($A1209, TCS!A:A, TCS!B:B, "")</f>
        <v>4147</v>
      </c>
      <c r="G1209" s="4">
        <f>_xlfn.XLOOKUP($A1209, Infosys!A:A, Infosys!B:B,"")</f>
        <v>1829.95</v>
      </c>
      <c r="H1209" s="4">
        <f>_xlfn.XLOOKUP($A1209, 'L &amp; T'!A:A, 'L &amp; T'!B:B, "")</f>
        <v>3660.3</v>
      </c>
    </row>
    <row r="1210" spans="1:8" x14ac:dyDescent="0.3">
      <c r="A1210" s="1">
        <v>45607</v>
      </c>
      <c r="B1210" s="4">
        <f>_xlfn.XLOOKUP($A1210, 'Nifty 50'!A:A, 'Nifty 50'!B:B, "")</f>
        <v>24141.3</v>
      </c>
      <c r="C1210" s="4">
        <f>_xlfn.XLOOKUP($A1210, Reliance!A:A, Reliance!B:B, "")</f>
        <v>1272.7</v>
      </c>
      <c r="D1210" s="4">
        <f>_xlfn.XLOOKUP($A1210, HDFC!A:A, HDFC!B:B, "")</f>
        <v>880.96</v>
      </c>
      <c r="E1210" s="4">
        <f>_xlfn.XLOOKUP($A1210, ITC!A:A, ITC!B:B, "")</f>
        <v>451.2</v>
      </c>
      <c r="F1210" s="4">
        <f>_xlfn.XLOOKUP($A1210, TCS!A:A, TCS!B:B, "")</f>
        <v>4198.7</v>
      </c>
      <c r="G1210" s="4">
        <f>_xlfn.XLOOKUP($A1210, Infosys!A:A, Infosys!B:B,"")</f>
        <v>1860.1</v>
      </c>
      <c r="H1210" s="4">
        <f>_xlfn.XLOOKUP($A1210, 'L &amp; T'!A:A, 'L &amp; T'!B:B, "")</f>
        <v>3628.85</v>
      </c>
    </row>
    <row r="1211" spans="1:8" x14ac:dyDescent="0.3">
      <c r="A1211" s="1">
        <v>45608</v>
      </c>
      <c r="B1211" s="4">
        <f>_xlfn.XLOOKUP($A1211, 'Nifty 50'!A:A, 'Nifty 50'!B:B, "")</f>
        <v>23883.45</v>
      </c>
      <c r="C1211" s="4">
        <f>_xlfn.XLOOKUP($A1211, Reliance!A:A, Reliance!B:B, "")</f>
        <v>1274.25</v>
      </c>
      <c r="D1211" s="4">
        <f>_xlfn.XLOOKUP($A1211, HDFC!A:A, HDFC!B:B, "")</f>
        <v>856.97</v>
      </c>
      <c r="E1211" s="4">
        <f>_xlfn.XLOOKUP($A1211, ITC!A:A, ITC!B:B, "")</f>
        <v>447.32</v>
      </c>
      <c r="F1211" s="4">
        <f>_xlfn.XLOOKUP($A1211, TCS!A:A, TCS!B:B, "")</f>
        <v>4197.3999999999996</v>
      </c>
      <c r="G1211" s="4">
        <f>_xlfn.XLOOKUP($A1211, Infosys!A:A, Infosys!B:B,"")</f>
        <v>1868.8</v>
      </c>
      <c r="H1211" s="4">
        <f>_xlfn.XLOOKUP($A1211, 'L &amp; T'!A:A, 'L &amp; T'!B:B, "")</f>
        <v>3591.35</v>
      </c>
    </row>
    <row r="1212" spans="1:8" x14ac:dyDescent="0.3">
      <c r="A1212" s="1">
        <v>45609</v>
      </c>
      <c r="B1212" s="4">
        <f>_xlfn.XLOOKUP($A1212, 'Nifty 50'!A:A, 'Nifty 50'!B:B, "")</f>
        <v>23559.05</v>
      </c>
      <c r="C1212" s="4">
        <f>_xlfn.XLOOKUP($A1212, Reliance!A:A, Reliance!B:B, "")</f>
        <v>1252.05</v>
      </c>
      <c r="D1212" s="4">
        <f>_xlfn.XLOOKUP($A1212, HDFC!A:A, HDFC!B:B, "")</f>
        <v>838.59</v>
      </c>
      <c r="E1212" s="4">
        <f>_xlfn.XLOOKUP($A1212, ITC!A:A, ITC!B:B, "")</f>
        <v>446.71</v>
      </c>
      <c r="F1212" s="4">
        <f>_xlfn.XLOOKUP($A1212, TCS!A:A, TCS!B:B, "")</f>
        <v>4150.3500000000004</v>
      </c>
      <c r="G1212" s="4">
        <f>_xlfn.XLOOKUP($A1212, Infosys!A:A, Infosys!B:B,"")</f>
        <v>1868.4</v>
      </c>
      <c r="H1212" s="4">
        <f>_xlfn.XLOOKUP($A1212, 'L &amp; T'!A:A, 'L &amp; T'!B:B, "")</f>
        <v>3547.95</v>
      </c>
    </row>
    <row r="1213" spans="1:8" x14ac:dyDescent="0.3">
      <c r="A1213" s="1">
        <v>45610</v>
      </c>
      <c r="B1213" s="4">
        <f>_xlfn.XLOOKUP($A1213, 'Nifty 50'!A:A, 'Nifty 50'!B:B, "")</f>
        <v>23532.7</v>
      </c>
      <c r="C1213" s="4">
        <f>_xlfn.XLOOKUP($A1213, Reliance!A:A, Reliance!B:B, "")</f>
        <v>1267.5999999999999</v>
      </c>
      <c r="D1213" s="4">
        <f>_xlfn.XLOOKUP($A1213, HDFC!A:A, HDFC!B:B, "")</f>
        <v>844.27</v>
      </c>
      <c r="E1213" s="4">
        <f>_xlfn.XLOOKUP($A1213, ITC!A:A, ITC!B:B, "")</f>
        <v>440.8</v>
      </c>
      <c r="F1213" s="4">
        <f>_xlfn.XLOOKUP($A1213, TCS!A:A, TCS!B:B, "")</f>
        <v>4145.8999999999996</v>
      </c>
      <c r="G1213" s="4">
        <f>_xlfn.XLOOKUP($A1213, Infosys!A:A, Infosys!B:B,"")</f>
        <v>1864.55</v>
      </c>
      <c r="H1213" s="4">
        <f>_xlfn.XLOOKUP($A1213, 'L &amp; T'!A:A, 'L &amp; T'!B:B, "")</f>
        <v>3526.25</v>
      </c>
    </row>
    <row r="1214" spans="1:8" x14ac:dyDescent="0.3">
      <c r="A1214" s="1">
        <v>45614</v>
      </c>
      <c r="B1214" s="4">
        <f>_xlfn.XLOOKUP($A1214, 'Nifty 50'!A:A, 'Nifty 50'!B:B, "")</f>
        <v>23453.8</v>
      </c>
      <c r="C1214" s="4">
        <f>_xlfn.XLOOKUP($A1214, Reliance!A:A, Reliance!B:B, "")</f>
        <v>1260.75</v>
      </c>
      <c r="D1214" s="4">
        <f>_xlfn.XLOOKUP($A1214, HDFC!A:A, HDFC!B:B, "")</f>
        <v>850.43</v>
      </c>
      <c r="E1214" s="4">
        <f>_xlfn.XLOOKUP($A1214, ITC!A:A, ITC!B:B, "")</f>
        <v>441.36</v>
      </c>
      <c r="F1214" s="4">
        <f>_xlfn.XLOOKUP($A1214, TCS!A:A, TCS!B:B, "")</f>
        <v>4019.5</v>
      </c>
      <c r="G1214" s="4">
        <f>_xlfn.XLOOKUP($A1214, Infosys!A:A, Infosys!B:B,"")</f>
        <v>1811.45</v>
      </c>
      <c r="H1214" s="4">
        <f>_xlfn.XLOOKUP($A1214, 'L &amp; T'!A:A, 'L &amp; T'!B:B, "")</f>
        <v>3542.15</v>
      </c>
    </row>
    <row r="1215" spans="1:8" x14ac:dyDescent="0.3">
      <c r="A1215" s="1">
        <v>45615</v>
      </c>
      <c r="B1215" s="4">
        <f>_xlfn.XLOOKUP($A1215, 'Nifty 50'!A:A, 'Nifty 50'!B:B, "")</f>
        <v>23518.5</v>
      </c>
      <c r="C1215" s="4">
        <f>_xlfn.XLOOKUP($A1215, Reliance!A:A, Reliance!B:B, "")</f>
        <v>1241.6500000000001</v>
      </c>
      <c r="D1215" s="4">
        <f>_xlfn.XLOOKUP($A1215, HDFC!A:A, HDFC!B:B, "")</f>
        <v>868.96</v>
      </c>
      <c r="E1215" s="4">
        <f>_xlfn.XLOOKUP($A1215, ITC!A:A, ITC!B:B, "")</f>
        <v>442.12</v>
      </c>
      <c r="F1215" s="4">
        <f>_xlfn.XLOOKUP($A1215, TCS!A:A, TCS!B:B, "")</f>
        <v>4039.55</v>
      </c>
      <c r="G1215" s="4">
        <f>_xlfn.XLOOKUP($A1215, Infosys!A:A, Infosys!B:B,"")</f>
        <v>1824.75</v>
      </c>
      <c r="H1215" s="4">
        <f>_xlfn.XLOOKUP($A1215, 'L &amp; T'!A:A, 'L &amp; T'!B:B, "")</f>
        <v>3505.9</v>
      </c>
    </row>
    <row r="1216" spans="1:8" x14ac:dyDescent="0.3">
      <c r="A1216" s="1">
        <v>45617</v>
      </c>
      <c r="B1216" s="4">
        <f>_xlfn.XLOOKUP($A1216, 'Nifty 50'!A:A, 'Nifty 50'!B:B, "")</f>
        <v>23349.9</v>
      </c>
      <c r="C1216" s="4">
        <f>_xlfn.XLOOKUP($A1216, Reliance!A:A, Reliance!B:B, "")</f>
        <v>1223</v>
      </c>
      <c r="D1216" s="4">
        <f>_xlfn.XLOOKUP($A1216, HDFC!A:A, HDFC!B:B, "")</f>
        <v>868.44</v>
      </c>
      <c r="E1216" s="4">
        <f>_xlfn.XLOOKUP($A1216, ITC!A:A, ITC!B:B, "")</f>
        <v>432.47</v>
      </c>
      <c r="F1216" s="4">
        <f>_xlfn.XLOOKUP($A1216, TCS!A:A, TCS!B:B, "")</f>
        <v>4072.85</v>
      </c>
      <c r="G1216" s="4">
        <f>_xlfn.XLOOKUP($A1216, Infosys!A:A, Infosys!B:B,"")</f>
        <v>1834.05</v>
      </c>
      <c r="H1216" s="4">
        <f>_xlfn.XLOOKUP($A1216, 'L &amp; T'!A:A, 'L &amp; T'!B:B, "")</f>
        <v>3483.5</v>
      </c>
    </row>
    <row r="1217" spans="1:8" x14ac:dyDescent="0.3">
      <c r="A1217" s="1">
        <v>45618</v>
      </c>
      <c r="B1217" s="4">
        <f>_xlfn.XLOOKUP($A1217, 'Nifty 50'!A:A, 'Nifty 50'!B:B, "")</f>
        <v>23907.25</v>
      </c>
      <c r="C1217" s="4">
        <f>_xlfn.XLOOKUP($A1217, Reliance!A:A, Reliance!B:B, "")</f>
        <v>1265.4000000000001</v>
      </c>
      <c r="D1217" s="4">
        <f>_xlfn.XLOOKUP($A1217, HDFC!A:A, HDFC!B:B, "")</f>
        <v>870.63</v>
      </c>
      <c r="E1217" s="4">
        <f>_xlfn.XLOOKUP($A1217, ITC!A:A, ITC!B:B, "")</f>
        <v>449.02</v>
      </c>
      <c r="F1217" s="4">
        <f>_xlfn.XLOOKUP($A1217, TCS!A:A, TCS!B:B, "")</f>
        <v>4244.6000000000004</v>
      </c>
      <c r="G1217" s="4">
        <f>_xlfn.XLOOKUP($A1217, Infosys!A:A, Infosys!B:B,"")</f>
        <v>1902.25</v>
      </c>
      <c r="H1217" s="4">
        <f>_xlfn.XLOOKUP($A1217, 'L &amp; T'!A:A, 'L &amp; T'!B:B, "")</f>
        <v>3603.5</v>
      </c>
    </row>
    <row r="1218" spans="1:8" x14ac:dyDescent="0.3">
      <c r="A1218" s="1">
        <v>45621</v>
      </c>
      <c r="B1218" s="4">
        <f>_xlfn.XLOOKUP($A1218, 'Nifty 50'!A:A, 'Nifty 50'!B:B, "")</f>
        <v>24221.9</v>
      </c>
      <c r="C1218" s="4">
        <f>_xlfn.XLOOKUP($A1218, Reliance!A:A, Reliance!B:B, "")</f>
        <v>1287</v>
      </c>
      <c r="D1218" s="4">
        <f>_xlfn.XLOOKUP($A1218, HDFC!A:A, HDFC!B:B, "")</f>
        <v>890.58</v>
      </c>
      <c r="E1218" s="4">
        <f>_xlfn.XLOOKUP($A1218, ITC!A:A, ITC!B:B, "")</f>
        <v>451.06</v>
      </c>
      <c r="F1218" s="4">
        <f>_xlfn.XLOOKUP($A1218, TCS!A:A, TCS!B:B, "")</f>
        <v>4315.1000000000004</v>
      </c>
      <c r="G1218" s="4">
        <f>_xlfn.XLOOKUP($A1218, Infosys!A:A, Infosys!B:B,"")</f>
        <v>1889.7</v>
      </c>
      <c r="H1218" s="4">
        <f>_xlfn.XLOOKUP($A1218, 'L &amp; T'!A:A, 'L &amp; T'!B:B, "")</f>
        <v>3753</v>
      </c>
    </row>
    <row r="1219" spans="1:8" x14ac:dyDescent="0.3">
      <c r="A1219" s="1">
        <v>45622</v>
      </c>
      <c r="B1219" s="4">
        <f>_xlfn.XLOOKUP($A1219, 'Nifty 50'!A:A, 'Nifty 50'!B:B, "")</f>
        <v>24194.5</v>
      </c>
      <c r="C1219" s="4">
        <f>_xlfn.XLOOKUP($A1219, Reliance!A:A, Reliance!B:B, "")</f>
        <v>1295.7</v>
      </c>
      <c r="D1219" s="4">
        <f>_xlfn.XLOOKUP($A1219, HDFC!A:A, HDFC!B:B, "")</f>
        <v>890.56</v>
      </c>
      <c r="E1219" s="4">
        <f>_xlfn.XLOOKUP($A1219, ITC!A:A, ITC!B:B, "")</f>
        <v>451.25</v>
      </c>
      <c r="F1219" s="4">
        <f>_xlfn.XLOOKUP($A1219, TCS!A:A, TCS!B:B, "")</f>
        <v>4352.7</v>
      </c>
      <c r="G1219" s="4">
        <f>_xlfn.XLOOKUP($A1219, Infosys!A:A, Infosys!B:B,"")</f>
        <v>1924.15</v>
      </c>
      <c r="H1219" s="4">
        <f>_xlfn.XLOOKUP($A1219, 'L &amp; T'!A:A, 'L &amp; T'!B:B, "")</f>
        <v>3702.6</v>
      </c>
    </row>
    <row r="1220" spans="1:8" x14ac:dyDescent="0.3">
      <c r="A1220" s="1">
        <v>45623</v>
      </c>
      <c r="B1220" s="4">
        <f>_xlfn.XLOOKUP($A1220, 'Nifty 50'!A:A, 'Nifty 50'!B:B, "")</f>
        <v>24274.9</v>
      </c>
      <c r="C1220" s="4">
        <f>_xlfn.XLOOKUP($A1220, Reliance!A:A, Reliance!B:B, "")</f>
        <v>1293.2</v>
      </c>
      <c r="D1220" s="4">
        <f>_xlfn.XLOOKUP($A1220, HDFC!A:A, HDFC!B:B, "")</f>
        <v>903.9</v>
      </c>
      <c r="E1220" s="4">
        <f>_xlfn.XLOOKUP($A1220, ITC!A:A, ITC!B:B, "")</f>
        <v>451.2</v>
      </c>
      <c r="F1220" s="4">
        <f>_xlfn.XLOOKUP($A1220, TCS!A:A, TCS!B:B, "")</f>
        <v>4332.55</v>
      </c>
      <c r="G1220" s="4">
        <f>_xlfn.XLOOKUP($A1220, Infosys!A:A, Infosys!B:B,"")</f>
        <v>1924.5</v>
      </c>
      <c r="H1220" s="4">
        <f>_xlfn.XLOOKUP($A1220, 'L &amp; T'!A:A, 'L &amp; T'!B:B, "")</f>
        <v>3698.7</v>
      </c>
    </row>
    <row r="1221" spans="1:8" x14ac:dyDescent="0.3">
      <c r="A1221" s="1">
        <v>45624</v>
      </c>
      <c r="B1221" s="4">
        <f>_xlfn.XLOOKUP($A1221, 'Nifty 50'!A:A, 'Nifty 50'!B:B, "")</f>
        <v>23914.15</v>
      </c>
      <c r="C1221" s="4">
        <f>_xlfn.XLOOKUP($A1221, Reliance!A:A, Reliance!B:B, "")</f>
        <v>1270.8</v>
      </c>
      <c r="D1221" s="4">
        <f>_xlfn.XLOOKUP($A1221, HDFC!A:A, HDFC!B:B, "")</f>
        <v>894.35</v>
      </c>
      <c r="E1221" s="4">
        <f>_xlfn.XLOOKUP($A1221, ITC!A:A, ITC!B:B, "")</f>
        <v>449.26</v>
      </c>
      <c r="F1221" s="4">
        <f>_xlfn.XLOOKUP($A1221, TCS!A:A, TCS!B:B, "")</f>
        <v>4244.8999999999996</v>
      </c>
      <c r="G1221" s="4">
        <f>_xlfn.XLOOKUP($A1221, Infosys!A:A, Infosys!B:B,"")</f>
        <v>1856.65</v>
      </c>
      <c r="H1221" s="4">
        <f>_xlfn.XLOOKUP($A1221, 'L &amp; T'!A:A, 'L &amp; T'!B:B, "")</f>
        <v>3666.05</v>
      </c>
    </row>
    <row r="1222" spans="1:8" x14ac:dyDescent="0.3">
      <c r="A1222" s="1">
        <v>45625</v>
      </c>
      <c r="B1222" s="4">
        <f>_xlfn.XLOOKUP($A1222, 'Nifty 50'!A:A, 'Nifty 50'!B:B, "")</f>
        <v>24131.1</v>
      </c>
      <c r="C1222" s="4">
        <f>_xlfn.XLOOKUP($A1222, Reliance!A:A, Reliance!B:B, "")</f>
        <v>1292.2</v>
      </c>
      <c r="D1222" s="4">
        <f>_xlfn.XLOOKUP($A1222, HDFC!A:A, HDFC!B:B, "")</f>
        <v>895.8</v>
      </c>
      <c r="E1222" s="4">
        <f>_xlfn.XLOOKUP($A1222, ITC!A:A, ITC!B:B, "")</f>
        <v>451.01</v>
      </c>
      <c r="F1222" s="4">
        <f>_xlfn.XLOOKUP($A1222, TCS!A:A, TCS!B:B, "")</f>
        <v>4270.8500000000004</v>
      </c>
      <c r="G1222" s="4">
        <f>_xlfn.XLOOKUP($A1222, Infosys!A:A, Infosys!B:B,"")</f>
        <v>1857.85</v>
      </c>
      <c r="H1222" s="4">
        <f>_xlfn.XLOOKUP($A1222, 'L &amp; T'!A:A, 'L &amp; T'!B:B, "")</f>
        <v>3724.8</v>
      </c>
    </row>
    <row r="1223" spans="1:8" x14ac:dyDescent="0.3">
      <c r="A1223" s="1">
        <v>45628</v>
      </c>
      <c r="B1223" s="4">
        <f>_xlfn.XLOOKUP($A1223, 'Nifty 50'!A:A, 'Nifty 50'!B:B, "")</f>
        <v>24276.05</v>
      </c>
      <c r="C1223" s="4">
        <f>_xlfn.XLOOKUP($A1223, Reliance!A:A, Reliance!B:B, "")</f>
        <v>1309.1500000000001</v>
      </c>
      <c r="D1223" s="4">
        <f>_xlfn.XLOOKUP($A1223, HDFC!A:A, HDFC!B:B, "")</f>
        <v>900.11</v>
      </c>
      <c r="E1223" s="4">
        <f>_xlfn.XLOOKUP($A1223, ITC!A:A, ITC!B:B, "")</f>
        <v>451.44</v>
      </c>
      <c r="F1223" s="4">
        <f>_xlfn.XLOOKUP($A1223, TCS!A:A, TCS!B:B, "")</f>
        <v>4276.6499999999996</v>
      </c>
      <c r="G1223" s="4">
        <f>_xlfn.XLOOKUP($A1223, Infosys!A:A, Infosys!B:B,"")</f>
        <v>1879.8</v>
      </c>
      <c r="H1223" s="4">
        <f>_xlfn.XLOOKUP($A1223, 'L &amp; T'!A:A, 'L &amp; T'!B:B, "")</f>
        <v>3704.05</v>
      </c>
    </row>
    <row r="1224" spans="1:8" x14ac:dyDescent="0.3">
      <c r="A1224" s="1">
        <v>45629</v>
      </c>
      <c r="B1224" s="4">
        <f>_xlfn.XLOOKUP($A1224, 'Nifty 50'!A:A, 'Nifty 50'!B:B, "")</f>
        <v>24457.15</v>
      </c>
      <c r="C1224" s="4">
        <f>_xlfn.XLOOKUP($A1224, Reliance!A:A, Reliance!B:B, "")</f>
        <v>1323.3</v>
      </c>
      <c r="D1224" s="4">
        <f>_xlfn.XLOOKUP($A1224, HDFC!A:A, HDFC!B:B, "")</f>
        <v>910.88</v>
      </c>
      <c r="E1224" s="4">
        <f>_xlfn.XLOOKUP($A1224, ITC!A:A, ITC!B:B, "")</f>
        <v>447.04</v>
      </c>
      <c r="F1224" s="4">
        <f>_xlfn.XLOOKUP($A1224, TCS!A:A, TCS!B:B, "")</f>
        <v>4302.75</v>
      </c>
      <c r="G1224" s="4">
        <f>_xlfn.XLOOKUP($A1224, Infosys!A:A, Infosys!B:B,"")</f>
        <v>1892.1</v>
      </c>
      <c r="H1224" s="4">
        <f>_xlfn.XLOOKUP($A1224, 'L &amp; T'!A:A, 'L &amp; T'!B:B, "")</f>
        <v>3787.05</v>
      </c>
    </row>
    <row r="1225" spans="1:8" x14ac:dyDescent="0.3">
      <c r="A1225" s="1">
        <v>45630</v>
      </c>
      <c r="B1225" s="4">
        <f>_xlfn.XLOOKUP($A1225, 'Nifty 50'!A:A, 'Nifty 50'!B:B, "")</f>
        <v>24467.45</v>
      </c>
      <c r="C1225" s="4">
        <f>_xlfn.XLOOKUP($A1225, Reliance!A:A, Reliance!B:B, "")</f>
        <v>1308.95</v>
      </c>
      <c r="D1225" s="4">
        <f>_xlfn.XLOOKUP($A1225, HDFC!A:A, HDFC!B:B, "")</f>
        <v>927.74</v>
      </c>
      <c r="E1225" s="4">
        <f>_xlfn.XLOOKUP($A1225, ITC!A:A, ITC!B:B, "")</f>
        <v>441.88</v>
      </c>
      <c r="F1225" s="4">
        <f>_xlfn.XLOOKUP($A1225, TCS!A:A, TCS!B:B, "")</f>
        <v>4354.3999999999996</v>
      </c>
      <c r="G1225" s="4">
        <f>_xlfn.XLOOKUP($A1225, Infosys!A:A, Infosys!B:B,"")</f>
        <v>1889.25</v>
      </c>
      <c r="H1225" s="4">
        <f>_xlfn.XLOOKUP($A1225, 'L &amp; T'!A:A, 'L &amp; T'!B:B, "")</f>
        <v>3789.9</v>
      </c>
    </row>
    <row r="1226" spans="1:8" x14ac:dyDescent="0.3">
      <c r="A1226" s="1">
        <v>45631</v>
      </c>
      <c r="B1226" s="4">
        <f>_xlfn.XLOOKUP($A1226, 'Nifty 50'!A:A, 'Nifty 50'!B:B, "")</f>
        <v>24708.400000000001</v>
      </c>
      <c r="C1226" s="4">
        <f>_xlfn.XLOOKUP($A1226, Reliance!A:A, Reliance!B:B, "")</f>
        <v>1322.05</v>
      </c>
      <c r="D1226" s="4">
        <f>_xlfn.XLOOKUP($A1226, HDFC!A:A, HDFC!B:B, "")</f>
        <v>930.56</v>
      </c>
      <c r="E1226" s="4">
        <f>_xlfn.XLOOKUP($A1226, ITC!A:A, ITC!B:B, "")</f>
        <v>442.26</v>
      </c>
      <c r="F1226" s="4">
        <f>_xlfn.XLOOKUP($A1226, TCS!A:A, TCS!B:B, "")</f>
        <v>4464.05</v>
      </c>
      <c r="G1226" s="4">
        <f>_xlfn.XLOOKUP($A1226, Infosys!A:A, Infosys!B:B,"")</f>
        <v>1934.85</v>
      </c>
      <c r="H1226" s="4">
        <f>_xlfn.XLOOKUP($A1226, 'L &amp; T'!A:A, 'L &amp; T'!B:B, "")</f>
        <v>3831.55</v>
      </c>
    </row>
    <row r="1227" spans="1:8" x14ac:dyDescent="0.3">
      <c r="A1227" s="1">
        <v>45632</v>
      </c>
      <c r="B1227" s="4">
        <f>_xlfn.XLOOKUP($A1227, 'Nifty 50'!A:A, 'Nifty 50'!B:B, "")</f>
        <v>24677.8</v>
      </c>
      <c r="C1227" s="4">
        <f>_xlfn.XLOOKUP($A1227, Reliance!A:A, Reliance!B:B, "")</f>
        <v>1311.55</v>
      </c>
      <c r="D1227" s="4">
        <f>_xlfn.XLOOKUP($A1227, HDFC!A:A, HDFC!B:B, "")</f>
        <v>925.62</v>
      </c>
      <c r="E1227" s="4">
        <f>_xlfn.XLOOKUP($A1227, ITC!A:A, ITC!B:B, "")</f>
        <v>445.71</v>
      </c>
      <c r="F1227" s="4">
        <f>_xlfn.XLOOKUP($A1227, TCS!A:A, TCS!B:B, "")</f>
        <v>4445.5</v>
      </c>
      <c r="G1227" s="4">
        <f>_xlfn.XLOOKUP($A1227, Infosys!A:A, Infosys!B:B,"")</f>
        <v>1922.4</v>
      </c>
      <c r="H1227" s="4">
        <f>_xlfn.XLOOKUP($A1227, 'L &amp; T'!A:A, 'L &amp; T'!B:B, "")</f>
        <v>3866.7</v>
      </c>
    </row>
    <row r="1228" spans="1:8" x14ac:dyDescent="0.3">
      <c r="A1228" s="1">
        <v>45635</v>
      </c>
      <c r="B1228" s="4">
        <f>_xlfn.XLOOKUP($A1228, 'Nifty 50'!A:A, 'Nifty 50'!B:B, "")</f>
        <v>24619</v>
      </c>
      <c r="C1228" s="4">
        <f>_xlfn.XLOOKUP($A1228, Reliance!A:A, Reliance!B:B, "")</f>
        <v>1295.1500000000001</v>
      </c>
      <c r="D1228" s="4">
        <f>_xlfn.XLOOKUP($A1228, HDFC!A:A, HDFC!B:B, "")</f>
        <v>932.68</v>
      </c>
      <c r="E1228" s="4">
        <f>_xlfn.XLOOKUP($A1228, ITC!A:A, ITC!B:B, "")</f>
        <v>439.85</v>
      </c>
      <c r="F1228" s="4">
        <f>_xlfn.XLOOKUP($A1228, TCS!A:A, TCS!B:B, "")</f>
        <v>4452.1499999999996</v>
      </c>
      <c r="G1228" s="4">
        <f>_xlfn.XLOOKUP($A1228, Infosys!A:A, Infosys!B:B,"")</f>
        <v>1923.65</v>
      </c>
      <c r="H1228" s="4">
        <f>_xlfn.XLOOKUP($A1228, 'L &amp; T'!A:A, 'L &amp; T'!B:B, "")</f>
        <v>3947.3</v>
      </c>
    </row>
    <row r="1229" spans="1:8" x14ac:dyDescent="0.3">
      <c r="A1229" s="1">
        <v>45636</v>
      </c>
      <c r="B1229" s="4">
        <f>_xlfn.XLOOKUP($A1229, 'Nifty 50'!A:A, 'Nifty 50'!B:B, "")</f>
        <v>24610.05</v>
      </c>
      <c r="C1229" s="4">
        <f>_xlfn.XLOOKUP($A1229, Reliance!A:A, Reliance!B:B, "")</f>
        <v>1284.8499999999999</v>
      </c>
      <c r="D1229" s="4">
        <f>_xlfn.XLOOKUP($A1229, HDFC!A:A, HDFC!B:B, "")</f>
        <v>931.73</v>
      </c>
      <c r="E1229" s="4">
        <f>_xlfn.XLOOKUP($A1229, ITC!A:A, ITC!B:B, "")</f>
        <v>440.32</v>
      </c>
      <c r="F1229" s="4">
        <f>_xlfn.XLOOKUP($A1229, TCS!A:A, TCS!B:B, "")</f>
        <v>4432.55</v>
      </c>
      <c r="G1229" s="4">
        <f>_xlfn.XLOOKUP($A1229, Infosys!A:A, Infosys!B:B,"")</f>
        <v>1948.55</v>
      </c>
      <c r="H1229" s="4">
        <f>_xlfn.XLOOKUP($A1229, 'L &amp; T'!A:A, 'L &amp; T'!B:B, "")</f>
        <v>3923.15</v>
      </c>
    </row>
    <row r="1230" spans="1:8" x14ac:dyDescent="0.3">
      <c r="A1230" s="1">
        <v>45637</v>
      </c>
      <c r="B1230" s="4">
        <f>_xlfn.XLOOKUP($A1230, 'Nifty 50'!A:A, 'Nifty 50'!B:B, "")</f>
        <v>24641.8</v>
      </c>
      <c r="C1230" s="4">
        <f>_xlfn.XLOOKUP($A1230, Reliance!A:A, Reliance!B:B, "")</f>
        <v>1278.2</v>
      </c>
      <c r="D1230" s="4">
        <f>_xlfn.XLOOKUP($A1230, HDFC!A:A, HDFC!B:B, "")</f>
        <v>929.24</v>
      </c>
      <c r="E1230" s="4">
        <f>_xlfn.XLOOKUP($A1230, ITC!A:A, ITC!B:B, "")</f>
        <v>440.13</v>
      </c>
      <c r="F1230" s="4">
        <f>_xlfn.XLOOKUP($A1230, TCS!A:A, TCS!B:B, "")</f>
        <v>4427.45</v>
      </c>
      <c r="G1230" s="4">
        <f>_xlfn.XLOOKUP($A1230, Infosys!A:A, Infosys!B:B,"")</f>
        <v>1974.15</v>
      </c>
      <c r="H1230" s="4">
        <f>_xlfn.XLOOKUP($A1230, 'L &amp; T'!A:A, 'L &amp; T'!B:B, "")</f>
        <v>3916.75</v>
      </c>
    </row>
    <row r="1231" spans="1:8" x14ac:dyDescent="0.3">
      <c r="A1231" s="1">
        <v>45638</v>
      </c>
      <c r="B1231" s="4">
        <f>_xlfn.XLOOKUP($A1231, 'Nifty 50'!A:A, 'Nifty 50'!B:B, "")</f>
        <v>24548.7</v>
      </c>
      <c r="C1231" s="4">
        <f>_xlfn.XLOOKUP($A1231, Reliance!A:A, Reliance!B:B, "")</f>
        <v>1262.9000000000001</v>
      </c>
      <c r="D1231" s="4">
        <f>_xlfn.XLOOKUP($A1231, HDFC!A:A, HDFC!B:B, "")</f>
        <v>927.32</v>
      </c>
      <c r="E1231" s="4">
        <f>_xlfn.XLOOKUP($A1231, ITC!A:A, ITC!B:B, "")</f>
        <v>435.73</v>
      </c>
      <c r="F1231" s="4">
        <f>_xlfn.XLOOKUP($A1231, TCS!A:A, TCS!B:B, "")</f>
        <v>4454.95</v>
      </c>
      <c r="G1231" s="4">
        <f>_xlfn.XLOOKUP($A1231, Infosys!A:A, Infosys!B:B,"")</f>
        <v>1987</v>
      </c>
      <c r="H1231" s="4">
        <f>_xlfn.XLOOKUP($A1231, 'L &amp; T'!A:A, 'L &amp; T'!B:B, "")</f>
        <v>3859.9</v>
      </c>
    </row>
    <row r="1232" spans="1:8" x14ac:dyDescent="0.3">
      <c r="A1232" s="1">
        <v>45639</v>
      </c>
      <c r="B1232" s="4">
        <f>_xlfn.XLOOKUP($A1232, 'Nifty 50'!A:A, 'Nifty 50'!B:B, "")</f>
        <v>24768.3</v>
      </c>
      <c r="C1232" s="4">
        <f>_xlfn.XLOOKUP($A1232, Reliance!A:A, Reliance!B:B, "")</f>
        <v>1272.8499999999999</v>
      </c>
      <c r="D1232" s="4">
        <f>_xlfn.XLOOKUP($A1232, HDFC!A:A, HDFC!B:B, "")</f>
        <v>933.55</v>
      </c>
      <c r="E1232" s="4">
        <f>_xlfn.XLOOKUP($A1232, ITC!A:A, ITC!B:B, "")</f>
        <v>444.63</v>
      </c>
      <c r="F1232" s="4">
        <f>_xlfn.XLOOKUP($A1232, TCS!A:A, TCS!B:B, "")</f>
        <v>4473.8999999999996</v>
      </c>
      <c r="G1232" s="4">
        <f>_xlfn.XLOOKUP($A1232, Infosys!A:A, Infosys!B:B,"")</f>
        <v>1999.7</v>
      </c>
      <c r="H1232" s="4">
        <f>_xlfn.XLOOKUP($A1232, 'L &amp; T'!A:A, 'L &amp; T'!B:B, "")</f>
        <v>3887</v>
      </c>
    </row>
    <row r="1233" spans="1:8" x14ac:dyDescent="0.3">
      <c r="A1233" s="1">
        <v>45642</v>
      </c>
      <c r="B1233" s="4">
        <f>_xlfn.XLOOKUP($A1233, 'Nifty 50'!A:A, 'Nifty 50'!B:B, "")</f>
        <v>24668.25</v>
      </c>
      <c r="C1233" s="4">
        <f>_xlfn.XLOOKUP($A1233, Reliance!A:A, Reliance!B:B, "")</f>
        <v>1268.3</v>
      </c>
      <c r="D1233" s="4">
        <f>_xlfn.XLOOKUP($A1233, HDFC!A:A, HDFC!B:B, "")</f>
        <v>930.29</v>
      </c>
      <c r="E1233" s="4">
        <f>_xlfn.XLOOKUP($A1233, ITC!A:A, ITC!B:B, "")</f>
        <v>444.72</v>
      </c>
      <c r="F1233" s="4">
        <f>_xlfn.XLOOKUP($A1233, TCS!A:A, TCS!B:B, "")</f>
        <v>4415.2</v>
      </c>
      <c r="G1233" s="4">
        <f>_xlfn.XLOOKUP($A1233, Infosys!A:A, Infosys!B:B,"")</f>
        <v>1980.05</v>
      </c>
      <c r="H1233" s="4">
        <f>_xlfn.XLOOKUP($A1233, 'L &amp; T'!A:A, 'L &amp; T'!B:B, "")</f>
        <v>3877.85</v>
      </c>
    </row>
    <row r="1234" spans="1:8" x14ac:dyDescent="0.3">
      <c r="A1234" s="1">
        <v>45643</v>
      </c>
      <c r="B1234" s="4">
        <f>_xlfn.XLOOKUP($A1234, 'Nifty 50'!A:A, 'Nifty 50'!B:B, "")</f>
        <v>24336</v>
      </c>
      <c r="C1234" s="4">
        <f>_xlfn.XLOOKUP($A1234, Reliance!A:A, Reliance!B:B, "")</f>
        <v>1245.3</v>
      </c>
      <c r="D1234" s="4">
        <f>_xlfn.XLOOKUP($A1234, HDFC!A:A, HDFC!B:B, "")</f>
        <v>914.35</v>
      </c>
      <c r="E1234" s="4">
        <f>_xlfn.XLOOKUP($A1234, ITC!A:A, ITC!B:B, "")</f>
        <v>444.2</v>
      </c>
      <c r="F1234" s="4">
        <f>_xlfn.XLOOKUP($A1234, TCS!A:A, TCS!B:B, "")</f>
        <v>4328.5</v>
      </c>
      <c r="G1234" s="4">
        <f>_xlfn.XLOOKUP($A1234, Infosys!A:A, Infosys!B:B,"")</f>
        <v>1976.6</v>
      </c>
      <c r="H1234" s="4">
        <f>_xlfn.XLOOKUP($A1234, 'L &amp; T'!A:A, 'L &amp; T'!B:B, "")</f>
        <v>3807.2</v>
      </c>
    </row>
    <row r="1235" spans="1:8" x14ac:dyDescent="0.3">
      <c r="A1235" s="1">
        <v>45644</v>
      </c>
      <c r="B1235" s="4">
        <f>_xlfn.XLOOKUP($A1235, 'Nifty 50'!A:A, 'Nifty 50'!B:B, "")</f>
        <v>24198.85</v>
      </c>
      <c r="C1235" s="4">
        <f>_xlfn.XLOOKUP($A1235, Reliance!A:A, Reliance!B:B, "")</f>
        <v>1253.25</v>
      </c>
      <c r="D1235" s="4">
        <f>_xlfn.XLOOKUP($A1235, HDFC!A:A, HDFC!B:B, "")</f>
        <v>903.1</v>
      </c>
      <c r="E1235" s="4">
        <f>_xlfn.XLOOKUP($A1235, ITC!A:A, ITC!B:B, "")</f>
        <v>445.1</v>
      </c>
      <c r="F1235" s="4">
        <f>_xlfn.XLOOKUP($A1235, TCS!A:A, TCS!B:B, "")</f>
        <v>4347.8500000000004</v>
      </c>
      <c r="G1235" s="4">
        <f>_xlfn.XLOOKUP($A1235, Infosys!A:A, Infosys!B:B,"")</f>
        <v>1979.15</v>
      </c>
      <c r="H1235" s="4">
        <f>_xlfn.XLOOKUP($A1235, 'L &amp; T'!A:A, 'L &amp; T'!B:B, "")</f>
        <v>3758.15</v>
      </c>
    </row>
    <row r="1236" spans="1:8" x14ac:dyDescent="0.3">
      <c r="A1236" s="1">
        <v>45645</v>
      </c>
      <c r="B1236" s="4">
        <f>_xlfn.XLOOKUP($A1236, 'Nifty 50'!A:A, 'Nifty 50'!B:B, "")</f>
        <v>23951.7</v>
      </c>
      <c r="C1236" s="4">
        <f>_xlfn.XLOOKUP($A1236, Reliance!A:A, Reliance!B:B, "")</f>
        <v>1230.45</v>
      </c>
      <c r="D1236" s="4">
        <f>_xlfn.XLOOKUP($A1236, HDFC!A:A, HDFC!B:B, "")</f>
        <v>894.52</v>
      </c>
      <c r="E1236" s="4">
        <f>_xlfn.XLOOKUP($A1236, ITC!A:A, ITC!B:B, "")</f>
        <v>441.36</v>
      </c>
      <c r="F1236" s="4">
        <f>_xlfn.XLOOKUP($A1236, TCS!A:A, TCS!B:B, "")</f>
        <v>4271.8999999999996</v>
      </c>
      <c r="G1236" s="4">
        <f>_xlfn.XLOOKUP($A1236, Infosys!A:A, Infosys!B:B,"")</f>
        <v>1946.2</v>
      </c>
      <c r="H1236" s="4">
        <f>_xlfn.XLOOKUP($A1236, 'L &amp; T'!A:A, 'L &amp; T'!B:B, "")</f>
        <v>3716.35</v>
      </c>
    </row>
    <row r="1237" spans="1:8" x14ac:dyDescent="0.3">
      <c r="A1237" s="1">
        <v>45646</v>
      </c>
      <c r="B1237" s="4">
        <f>_xlfn.XLOOKUP($A1237, 'Nifty 50'!A:A, 'Nifty 50'!B:B, "")</f>
        <v>23587.5</v>
      </c>
      <c r="C1237" s="4">
        <f>_xlfn.XLOOKUP($A1237, Reliance!A:A, Reliance!B:B, "")</f>
        <v>1205.3</v>
      </c>
      <c r="D1237" s="4">
        <f>_xlfn.XLOOKUP($A1237, HDFC!A:A, HDFC!B:B, "")</f>
        <v>883.55</v>
      </c>
      <c r="E1237" s="4">
        <f>_xlfn.XLOOKUP($A1237, ITC!A:A, ITC!B:B, "")</f>
        <v>439.57</v>
      </c>
      <c r="F1237" s="4">
        <f>_xlfn.XLOOKUP($A1237, TCS!A:A, TCS!B:B, "")</f>
        <v>4170.3</v>
      </c>
      <c r="G1237" s="4">
        <f>_xlfn.XLOOKUP($A1237, Infosys!A:A, Infosys!B:B,"")</f>
        <v>1922.15</v>
      </c>
      <c r="H1237" s="4">
        <f>_xlfn.XLOOKUP($A1237, 'L &amp; T'!A:A, 'L &amp; T'!B:B, "")</f>
        <v>3629.85</v>
      </c>
    </row>
    <row r="1238" spans="1:8" x14ac:dyDescent="0.3">
      <c r="A1238" s="1">
        <v>45649</v>
      </c>
      <c r="B1238" s="4">
        <f>_xlfn.XLOOKUP($A1238, 'Nifty 50'!A:A, 'Nifty 50'!B:B, "")</f>
        <v>23753.45</v>
      </c>
      <c r="C1238" s="4">
        <f>_xlfn.XLOOKUP($A1238, Reliance!A:A, Reliance!B:B, "")</f>
        <v>1222.3</v>
      </c>
      <c r="D1238" s="4">
        <f>_xlfn.XLOOKUP($A1238, HDFC!A:A, HDFC!B:B, "")</f>
        <v>898.26</v>
      </c>
      <c r="E1238" s="4">
        <f>_xlfn.XLOOKUP($A1238, ITC!A:A, ITC!B:B, "")</f>
        <v>448.65</v>
      </c>
      <c r="F1238" s="4">
        <f>_xlfn.XLOOKUP($A1238, TCS!A:A, TCS!B:B, "")</f>
        <v>4158.3</v>
      </c>
      <c r="G1238" s="4">
        <f>_xlfn.XLOOKUP($A1238, Infosys!A:A, Infosys!B:B,"")</f>
        <v>1924.3</v>
      </c>
      <c r="H1238" s="4">
        <f>_xlfn.XLOOKUP($A1238, 'L &amp; T'!A:A, 'L &amp; T'!B:B, "")</f>
        <v>3640.5</v>
      </c>
    </row>
    <row r="1239" spans="1:8" x14ac:dyDescent="0.3">
      <c r="A1239" s="1">
        <v>45650</v>
      </c>
      <c r="B1239" s="4">
        <f>_xlfn.XLOOKUP($A1239, 'Nifty 50'!A:A, 'Nifty 50'!B:B, "")</f>
        <v>23727.65</v>
      </c>
      <c r="C1239" s="4">
        <f>_xlfn.XLOOKUP($A1239, Reliance!A:A, Reliance!B:B, "")</f>
        <v>1222.75</v>
      </c>
      <c r="D1239" s="4">
        <f>_xlfn.XLOOKUP($A1239, HDFC!A:A, HDFC!B:B, "")</f>
        <v>896.82</v>
      </c>
      <c r="E1239" s="4">
        <f>_xlfn.XLOOKUP($A1239, ITC!A:A, ITC!B:B, "")</f>
        <v>452.62</v>
      </c>
      <c r="F1239" s="4">
        <f>_xlfn.XLOOKUP($A1239, TCS!A:A, TCS!B:B, "")</f>
        <v>4179.5</v>
      </c>
      <c r="G1239" s="4">
        <f>_xlfn.XLOOKUP($A1239, Infosys!A:A, Infosys!B:B,"")</f>
        <v>1909.05</v>
      </c>
      <c r="H1239" s="4">
        <f>_xlfn.XLOOKUP($A1239, 'L &amp; T'!A:A, 'L &amp; T'!B:B, "")</f>
        <v>3639.75</v>
      </c>
    </row>
    <row r="1240" spans="1:8" x14ac:dyDescent="0.3">
      <c r="A1240" s="1">
        <v>45652</v>
      </c>
      <c r="B1240" s="4">
        <f>_xlfn.XLOOKUP($A1240, 'Nifty 50'!A:A, 'Nifty 50'!B:B, "")</f>
        <v>23750.2</v>
      </c>
      <c r="C1240" s="4">
        <f>_xlfn.XLOOKUP($A1240, Reliance!A:A, Reliance!B:B, "")</f>
        <v>1216.55</v>
      </c>
      <c r="D1240" s="4">
        <f>_xlfn.XLOOKUP($A1240, HDFC!A:A, HDFC!B:B, "")</f>
        <v>893.15</v>
      </c>
      <c r="E1240" s="4">
        <f>_xlfn.XLOOKUP($A1240, ITC!A:A, ITC!B:B, "")</f>
        <v>451.2</v>
      </c>
      <c r="F1240" s="4">
        <f>_xlfn.XLOOKUP($A1240, TCS!A:A, TCS!B:B, "")</f>
        <v>4169.1000000000004</v>
      </c>
      <c r="G1240" s="4">
        <f>_xlfn.XLOOKUP($A1240, Infosys!A:A, Infosys!B:B,"")</f>
        <v>1907.4</v>
      </c>
      <c r="H1240" s="4">
        <f>_xlfn.XLOOKUP($A1240, 'L &amp; T'!A:A, 'L &amp; T'!B:B, "")</f>
        <v>3629.5</v>
      </c>
    </row>
    <row r="1241" spans="1:8" x14ac:dyDescent="0.3">
      <c r="A1241" s="1">
        <v>45653</v>
      </c>
      <c r="B1241" s="4">
        <f>_xlfn.XLOOKUP($A1241, 'Nifty 50'!A:A, 'Nifty 50'!B:B, "")</f>
        <v>23813.4</v>
      </c>
      <c r="C1241" s="4">
        <f>_xlfn.XLOOKUP($A1241, Reliance!A:A, Reliance!B:B, "")</f>
        <v>1221.05</v>
      </c>
      <c r="D1241" s="4">
        <f>_xlfn.XLOOKUP($A1241, HDFC!A:A, HDFC!B:B, "")</f>
        <v>896.89</v>
      </c>
      <c r="E1241" s="4">
        <f>_xlfn.XLOOKUP($A1241, ITC!A:A, ITC!B:B, "")</f>
        <v>452.76</v>
      </c>
      <c r="F1241" s="4">
        <f>_xlfn.XLOOKUP($A1241, TCS!A:A, TCS!B:B, "")</f>
        <v>4164.8500000000004</v>
      </c>
      <c r="G1241" s="4">
        <f>_xlfn.XLOOKUP($A1241, Infosys!A:A, Infosys!B:B,"")</f>
        <v>1916.75</v>
      </c>
      <c r="H1241" s="4">
        <f>_xlfn.XLOOKUP($A1241, 'L &amp; T'!A:A, 'L &amp; T'!B:B, "")</f>
        <v>3608.1</v>
      </c>
    </row>
    <row r="1242" spans="1:8" x14ac:dyDescent="0.3">
      <c r="A1242" s="1">
        <v>45656</v>
      </c>
      <c r="B1242" s="4">
        <f>_xlfn.XLOOKUP($A1242, 'Nifty 50'!A:A, 'Nifty 50'!B:B, "")</f>
        <v>23644.9</v>
      </c>
      <c r="C1242" s="4">
        <f>_xlfn.XLOOKUP($A1242, Reliance!A:A, Reliance!B:B, "")</f>
        <v>1210.7</v>
      </c>
      <c r="D1242" s="4">
        <f>_xlfn.XLOOKUP($A1242, HDFC!A:A, HDFC!B:B, "")</f>
        <v>886.74</v>
      </c>
      <c r="E1242" s="4">
        <f>_xlfn.XLOOKUP($A1242, ITC!A:A, ITC!B:B, "")</f>
        <v>451.25</v>
      </c>
      <c r="F1242" s="4">
        <f>_xlfn.XLOOKUP($A1242, TCS!A:A, TCS!B:B, "")</f>
        <v>4158.8</v>
      </c>
      <c r="G1242" s="4">
        <f>_xlfn.XLOOKUP($A1242, Infosys!A:A, Infosys!B:B,"")</f>
        <v>1906</v>
      </c>
      <c r="H1242" s="4">
        <f>_xlfn.XLOOKUP($A1242, 'L &amp; T'!A:A, 'L &amp; T'!B:B, "")</f>
        <v>3578.95</v>
      </c>
    </row>
    <row r="1243" spans="1:8" x14ac:dyDescent="0.3">
      <c r="A1243" s="1">
        <v>45657</v>
      </c>
      <c r="B1243" s="4">
        <f>_xlfn.XLOOKUP($A1243, 'Nifty 50'!A:A, 'Nifty 50'!B:B, "")</f>
        <v>23644.799999999999</v>
      </c>
      <c r="C1243" s="4">
        <f>_xlfn.XLOOKUP($A1243, Reliance!A:A, Reliance!B:B, "")</f>
        <v>1215.45</v>
      </c>
      <c r="D1243" s="4">
        <f>_xlfn.XLOOKUP($A1243, HDFC!A:A, HDFC!B:B, "")</f>
        <v>884.22</v>
      </c>
      <c r="E1243" s="4">
        <f>_xlfn.XLOOKUP($A1243, ITC!A:A, ITC!B:B, "")</f>
        <v>457.54</v>
      </c>
      <c r="F1243" s="4">
        <f>_xlfn.XLOOKUP($A1243, TCS!A:A, TCS!B:B, "")</f>
        <v>4094.8</v>
      </c>
      <c r="G1243" s="4">
        <f>_xlfn.XLOOKUP($A1243, Infosys!A:A, Infosys!B:B,"")</f>
        <v>1880</v>
      </c>
      <c r="H1243" s="4">
        <f>_xlfn.XLOOKUP($A1243, 'L &amp; T'!A:A, 'L &amp; T'!B:B, "")</f>
        <v>3607.65</v>
      </c>
    </row>
    <row r="1244" spans="1:8" x14ac:dyDescent="0.3">
      <c r="A1244" s="1">
        <v>45658</v>
      </c>
      <c r="B1244" s="4">
        <f>_xlfn.XLOOKUP($A1244, 'Nifty 50'!A:A, 'Nifty 50'!B:B, "")</f>
        <v>23742.9</v>
      </c>
      <c r="C1244" s="4">
        <f>_xlfn.XLOOKUP($A1244, Reliance!A:A, Reliance!B:B, "")</f>
        <v>1221.25</v>
      </c>
      <c r="D1244" s="4">
        <f>_xlfn.XLOOKUP($A1244, HDFC!A:A, HDFC!B:B, "")</f>
        <v>889.16</v>
      </c>
      <c r="E1244" s="4">
        <f>_xlfn.XLOOKUP($A1244, ITC!A:A, ITC!B:B, "")</f>
        <v>457.82</v>
      </c>
      <c r="F1244" s="4">
        <f>_xlfn.XLOOKUP($A1244, TCS!A:A, TCS!B:B, "")</f>
        <v>4112.45</v>
      </c>
      <c r="G1244" s="4">
        <f>_xlfn.XLOOKUP($A1244, Infosys!A:A, Infosys!B:B,"")</f>
        <v>1882.5</v>
      </c>
      <c r="H1244" s="4">
        <f>_xlfn.XLOOKUP($A1244, 'L &amp; T'!A:A, 'L &amp; T'!B:B, "")</f>
        <v>3667.5</v>
      </c>
    </row>
    <row r="1245" spans="1:8" x14ac:dyDescent="0.3">
      <c r="A1245" s="1">
        <v>45659</v>
      </c>
      <c r="B1245" s="4">
        <f>_xlfn.XLOOKUP($A1245, 'Nifty 50'!A:A, 'Nifty 50'!B:B, "")</f>
        <v>24188.65</v>
      </c>
      <c r="C1245" s="4">
        <f>_xlfn.XLOOKUP($A1245, Reliance!A:A, Reliance!B:B, "")</f>
        <v>1241.8</v>
      </c>
      <c r="D1245" s="4">
        <f>_xlfn.XLOOKUP($A1245, HDFC!A:A, HDFC!B:B, "")</f>
        <v>894.65</v>
      </c>
      <c r="E1245" s="4">
        <f>_xlfn.XLOOKUP($A1245, ITC!A:A, ITC!B:B, "")</f>
        <v>462.65</v>
      </c>
      <c r="F1245" s="4">
        <f>_xlfn.XLOOKUP($A1245, TCS!A:A, TCS!B:B, "")</f>
        <v>4175.75</v>
      </c>
      <c r="G1245" s="4">
        <f>_xlfn.XLOOKUP($A1245, Infosys!A:A, Infosys!B:B,"")</f>
        <v>1957.85</v>
      </c>
      <c r="H1245" s="4">
        <f>_xlfn.XLOOKUP($A1245, 'L &amp; T'!A:A, 'L &amp; T'!B:B, "")</f>
        <v>3713.5</v>
      </c>
    </row>
    <row r="1246" spans="1:8" x14ac:dyDescent="0.3">
      <c r="A1246" s="1">
        <v>45660</v>
      </c>
      <c r="B1246" s="4">
        <f>_xlfn.XLOOKUP($A1246, 'Nifty 50'!A:A, 'Nifty 50'!B:B, "")</f>
        <v>24004.75</v>
      </c>
      <c r="C1246" s="4">
        <f>_xlfn.XLOOKUP($A1246, Reliance!A:A, Reliance!B:B, "")</f>
        <v>1251.1500000000001</v>
      </c>
      <c r="D1246" s="4">
        <f>_xlfn.XLOOKUP($A1246, HDFC!A:A, HDFC!B:B, "")</f>
        <v>872.43</v>
      </c>
      <c r="E1246" s="4">
        <f>_xlfn.XLOOKUP($A1246, ITC!A:A, ITC!B:B, "")</f>
        <v>455.6</v>
      </c>
      <c r="F1246" s="4">
        <f>_xlfn.XLOOKUP($A1246, TCS!A:A, TCS!B:B, "")</f>
        <v>4099.8999999999996</v>
      </c>
      <c r="G1246" s="4">
        <f>_xlfn.XLOOKUP($A1246, Infosys!A:A, Infosys!B:B,"")</f>
        <v>1938.75</v>
      </c>
      <c r="H1246" s="4">
        <f>_xlfn.XLOOKUP($A1246, 'L &amp; T'!A:A, 'L &amp; T'!B:B, "")</f>
        <v>3659.9</v>
      </c>
    </row>
    <row r="1247" spans="1:8" x14ac:dyDescent="0.3">
      <c r="A1247" s="1">
        <v>45663</v>
      </c>
      <c r="B1247" s="4">
        <f>_xlfn.XLOOKUP($A1247, 'Nifty 50'!A:A, 'Nifty 50'!B:B, "")</f>
        <v>23616.05</v>
      </c>
      <c r="C1247" s="4">
        <f>_xlfn.XLOOKUP($A1247, Reliance!A:A, Reliance!B:B, "")</f>
        <v>1218</v>
      </c>
      <c r="D1247" s="4">
        <f>_xlfn.XLOOKUP($A1247, HDFC!A:A, HDFC!B:B, "")</f>
        <v>853.13</v>
      </c>
      <c r="E1247" s="4">
        <f>_xlfn.XLOOKUP($A1247, ITC!A:A, ITC!B:B, "")</f>
        <v>442.65</v>
      </c>
      <c r="F1247" s="4">
        <f>_xlfn.XLOOKUP($A1247, TCS!A:A, TCS!B:B, "")</f>
        <v>4095</v>
      </c>
      <c r="G1247" s="4">
        <f>_xlfn.XLOOKUP($A1247, Infosys!A:A, Infosys!B:B,"")</f>
        <v>1937.85</v>
      </c>
      <c r="H1247" s="4">
        <f>_xlfn.XLOOKUP($A1247, 'L &amp; T'!A:A, 'L &amp; T'!B:B, "")</f>
        <v>3603.2</v>
      </c>
    </row>
    <row r="1248" spans="1:8" x14ac:dyDescent="0.3">
      <c r="A1248" s="1">
        <v>45664</v>
      </c>
      <c r="B1248" s="4">
        <f>_xlfn.XLOOKUP($A1248, 'Nifty 50'!A:A, 'Nifty 50'!B:B, "")</f>
        <v>23707.9</v>
      </c>
      <c r="C1248" s="4">
        <f>_xlfn.XLOOKUP($A1248, Reliance!A:A, Reliance!B:B, "")</f>
        <v>1240.8499999999999</v>
      </c>
      <c r="D1248" s="4">
        <f>_xlfn.XLOOKUP($A1248, HDFC!A:A, HDFC!B:B, "")</f>
        <v>854.57</v>
      </c>
      <c r="E1248" s="4">
        <f>_xlfn.XLOOKUP($A1248, ITC!A:A, ITC!B:B, "")</f>
        <v>441.1</v>
      </c>
      <c r="F1248" s="4">
        <f>_xlfn.XLOOKUP($A1248, TCS!A:A, TCS!B:B, "")</f>
        <v>4028.3</v>
      </c>
      <c r="G1248" s="4">
        <f>_xlfn.XLOOKUP($A1248, Infosys!A:A, Infosys!B:B,"")</f>
        <v>1930.85</v>
      </c>
      <c r="H1248" s="4">
        <f>_xlfn.XLOOKUP($A1248, 'L &amp; T'!A:A, 'L &amp; T'!B:B, "")</f>
        <v>3643.3</v>
      </c>
    </row>
    <row r="1249" spans="1:8" x14ac:dyDescent="0.3">
      <c r="A1249" s="1">
        <v>45665</v>
      </c>
      <c r="B1249" s="4">
        <f>_xlfn.XLOOKUP($A1249, 'Nifty 50'!A:A, 'Nifty 50'!B:B, "")</f>
        <v>23688.95</v>
      </c>
      <c r="C1249" s="4">
        <f>_xlfn.XLOOKUP($A1249, Reliance!A:A, Reliance!B:B, "")</f>
        <v>1265.5</v>
      </c>
      <c r="D1249" s="4">
        <f>_xlfn.XLOOKUP($A1249, HDFC!A:A, HDFC!B:B, "")</f>
        <v>845.05</v>
      </c>
      <c r="E1249" s="4">
        <f>_xlfn.XLOOKUP($A1249, ITC!A:A, ITC!B:B, "")</f>
        <v>449.55</v>
      </c>
      <c r="F1249" s="4">
        <f>_xlfn.XLOOKUP($A1249, TCS!A:A, TCS!B:B, "")</f>
        <v>4108.3999999999996</v>
      </c>
      <c r="G1249" s="4">
        <f>_xlfn.XLOOKUP($A1249, Infosys!A:A, Infosys!B:B,"")</f>
        <v>1933.15</v>
      </c>
      <c r="H1249" s="4">
        <f>_xlfn.XLOOKUP($A1249, 'L &amp; T'!A:A, 'L &amp; T'!B:B, "")</f>
        <v>3596.35</v>
      </c>
    </row>
    <row r="1250" spans="1:8" x14ac:dyDescent="0.3">
      <c r="A1250" s="1">
        <v>45666</v>
      </c>
      <c r="B1250" s="4">
        <f>_xlfn.XLOOKUP($A1250, 'Nifty 50'!A:A, 'Nifty 50'!B:B, "")</f>
        <v>23526.5</v>
      </c>
      <c r="C1250" s="4">
        <f>_xlfn.XLOOKUP($A1250, Reliance!A:A, Reliance!B:B, "")</f>
        <v>1254.75</v>
      </c>
      <c r="D1250" s="4">
        <f>_xlfn.XLOOKUP($A1250, HDFC!A:A, HDFC!B:B, "")</f>
        <v>831.83</v>
      </c>
      <c r="E1250" s="4">
        <f>_xlfn.XLOOKUP($A1250, ITC!A:A, ITC!B:B, "")</f>
        <v>450.1</v>
      </c>
      <c r="F1250" s="4">
        <f>_xlfn.XLOOKUP($A1250, TCS!A:A, TCS!B:B, "")</f>
        <v>4038.85</v>
      </c>
      <c r="G1250" s="4">
        <f>_xlfn.XLOOKUP($A1250, Infosys!A:A, Infosys!B:B,"")</f>
        <v>1917.3</v>
      </c>
      <c r="H1250" s="4">
        <f>_xlfn.XLOOKUP($A1250, 'L &amp; T'!A:A, 'L &amp; T'!B:B, "")</f>
        <v>3527.9</v>
      </c>
    </row>
    <row r="1251" spans="1:8" x14ac:dyDescent="0.3">
      <c r="A1251" s="1">
        <v>45667</v>
      </c>
      <c r="B1251" s="4">
        <f>_xlfn.XLOOKUP($A1251, 'Nifty 50'!A:A, 'Nifty 50'!B:B, "")</f>
        <v>23431.5</v>
      </c>
      <c r="C1251" s="4">
        <f>_xlfn.XLOOKUP($A1251, Reliance!A:A, Reliance!B:B, "")</f>
        <v>1241.9000000000001</v>
      </c>
      <c r="D1251" s="4">
        <f>_xlfn.XLOOKUP($A1251, HDFC!A:A, HDFC!B:B, "")</f>
        <v>826.32</v>
      </c>
      <c r="E1251" s="4">
        <f>_xlfn.XLOOKUP($A1251, ITC!A:A, ITC!B:B, "")</f>
        <v>444.9</v>
      </c>
      <c r="F1251" s="4">
        <f>_xlfn.XLOOKUP($A1251, TCS!A:A, TCS!B:B, "")</f>
        <v>4198.72</v>
      </c>
      <c r="G1251" s="4">
        <f>_xlfn.XLOOKUP($A1251, Infosys!A:A, Infosys!B:B,"")</f>
        <v>1966.95</v>
      </c>
      <c r="H1251" s="4">
        <f>_xlfn.XLOOKUP($A1251, 'L &amp; T'!A:A, 'L &amp; T'!B:B, "")</f>
        <v>3536.15</v>
      </c>
    </row>
    <row r="1252" spans="1:8" x14ac:dyDescent="0.3">
      <c r="A1252" s="1">
        <v>45670</v>
      </c>
      <c r="B1252" s="4">
        <f>_xlfn.XLOOKUP($A1252, 'Nifty 50'!A:A, 'Nifty 50'!B:B, "")</f>
        <v>23085.95</v>
      </c>
      <c r="C1252" s="4">
        <f>_xlfn.XLOOKUP($A1252, Reliance!A:A, Reliance!B:B, "")</f>
        <v>1239.8499999999999</v>
      </c>
      <c r="D1252" s="4">
        <f>_xlfn.XLOOKUP($A1252, HDFC!A:A, HDFC!B:B, "")</f>
        <v>813.4</v>
      </c>
      <c r="E1252" s="4">
        <f>_xlfn.XLOOKUP($A1252, ITC!A:A, ITC!B:B, "")</f>
        <v>439.05</v>
      </c>
      <c r="F1252" s="4">
        <f>_xlfn.XLOOKUP($A1252, TCS!A:A, TCS!B:B, "")</f>
        <v>4223.7700000000004</v>
      </c>
      <c r="G1252" s="4">
        <f>_xlfn.XLOOKUP($A1252, Infosys!A:A, Infosys!B:B,"")</f>
        <v>1962.2</v>
      </c>
      <c r="H1252" s="4">
        <f>_xlfn.XLOOKUP($A1252, 'L &amp; T'!A:A, 'L &amp; T'!B:B, "")</f>
        <v>3464.3</v>
      </c>
    </row>
    <row r="1253" spans="1:8" x14ac:dyDescent="0.3">
      <c r="A1253" s="1">
        <v>45671</v>
      </c>
      <c r="B1253" s="4">
        <f>_xlfn.XLOOKUP($A1253, 'Nifty 50'!A:A, 'Nifty 50'!B:B, "")</f>
        <v>23176.05</v>
      </c>
      <c r="C1253" s="4">
        <f>_xlfn.XLOOKUP($A1253, Reliance!A:A, Reliance!B:B, "")</f>
        <v>1238.75</v>
      </c>
      <c r="D1253" s="4">
        <f>_xlfn.XLOOKUP($A1253, HDFC!A:A, HDFC!B:B, "")</f>
        <v>821.26</v>
      </c>
      <c r="E1253" s="4">
        <f>_xlfn.XLOOKUP($A1253, ITC!A:A, ITC!B:B, "")</f>
        <v>436.6</v>
      </c>
      <c r="F1253" s="4">
        <f>_xlfn.XLOOKUP($A1253, TCS!A:A, TCS!B:B, "")</f>
        <v>4166.63</v>
      </c>
      <c r="G1253" s="4">
        <f>_xlfn.XLOOKUP($A1253, Infosys!A:A, Infosys!B:B,"")</f>
        <v>1940.05</v>
      </c>
      <c r="H1253" s="4">
        <f>_xlfn.XLOOKUP($A1253, 'L &amp; T'!A:A, 'L &amp; T'!B:B, "")</f>
        <v>3462.6</v>
      </c>
    </row>
    <row r="1254" spans="1:8" x14ac:dyDescent="0.3">
      <c r="A1254" s="1">
        <v>45672</v>
      </c>
      <c r="B1254" s="4">
        <f>_xlfn.XLOOKUP($A1254, 'Nifty 50'!A:A, 'Nifty 50'!B:B, "")</f>
        <v>23213.200000000001</v>
      </c>
      <c r="C1254" s="4">
        <f>_xlfn.XLOOKUP($A1254, Reliance!A:A, Reliance!B:B, "")</f>
        <v>1252.2</v>
      </c>
      <c r="D1254" s="4">
        <f>_xlfn.XLOOKUP($A1254, HDFC!A:A, HDFC!B:B, "")</f>
        <v>819.49</v>
      </c>
      <c r="E1254" s="4">
        <f>_xlfn.XLOOKUP($A1254, ITC!A:A, ITC!B:B, "")</f>
        <v>437.35</v>
      </c>
      <c r="F1254" s="4">
        <f>_xlfn.XLOOKUP($A1254, TCS!A:A, TCS!B:B, "")</f>
        <v>4182.92</v>
      </c>
      <c r="G1254" s="4">
        <f>_xlfn.XLOOKUP($A1254, Infosys!A:A, Infosys!B:B,"")</f>
        <v>1949.65</v>
      </c>
      <c r="H1254" s="4">
        <f>_xlfn.XLOOKUP($A1254, 'L &amp; T'!A:A, 'L &amp; T'!B:B, "")</f>
        <v>3501.4</v>
      </c>
    </row>
    <row r="1255" spans="1:8" x14ac:dyDescent="0.3">
      <c r="A1255" s="1">
        <v>45673</v>
      </c>
      <c r="B1255" s="4">
        <f>_xlfn.XLOOKUP($A1255, 'Nifty 50'!A:A, 'Nifty 50'!B:B, "")</f>
        <v>23311.8</v>
      </c>
      <c r="C1255" s="4">
        <f>_xlfn.XLOOKUP($A1255, Reliance!A:A, Reliance!B:B, "")</f>
        <v>1266.45</v>
      </c>
      <c r="D1255" s="4">
        <f>_xlfn.XLOOKUP($A1255, HDFC!A:A, HDFC!B:B, "")</f>
        <v>823.97</v>
      </c>
      <c r="E1255" s="4">
        <f>_xlfn.XLOOKUP($A1255, ITC!A:A, ITC!B:B, "")</f>
        <v>432.85</v>
      </c>
      <c r="F1255" s="4">
        <f>_xlfn.XLOOKUP($A1255, TCS!A:A, TCS!B:B, "")</f>
        <v>4140.3</v>
      </c>
      <c r="G1255" s="4">
        <f>_xlfn.XLOOKUP($A1255, Infosys!A:A, Infosys!B:B,"")</f>
        <v>1928.45</v>
      </c>
      <c r="H1255" s="4">
        <f>_xlfn.XLOOKUP($A1255, 'L &amp; T'!A:A, 'L &amp; T'!B:B, "")</f>
        <v>3507.9</v>
      </c>
    </row>
    <row r="1256" spans="1:8" x14ac:dyDescent="0.3">
      <c r="A1256" s="1">
        <v>45674</v>
      </c>
      <c r="B1256" s="4">
        <f>_xlfn.XLOOKUP($A1256, 'Nifty 50'!A:A, 'Nifty 50'!B:B, "")</f>
        <v>23203.200000000001</v>
      </c>
      <c r="C1256" s="4">
        <f>_xlfn.XLOOKUP($A1256, Reliance!A:A, Reliance!B:B, "")</f>
        <v>1302.3499999999999</v>
      </c>
      <c r="D1256" s="4">
        <f>_xlfn.XLOOKUP($A1256, HDFC!A:A, HDFC!B:B, "")</f>
        <v>816.34</v>
      </c>
      <c r="E1256" s="4">
        <f>_xlfn.XLOOKUP($A1256, ITC!A:A, ITC!B:B, "")</f>
        <v>440.2</v>
      </c>
      <c r="F1256" s="4">
        <f>_xlfn.XLOOKUP($A1256, TCS!A:A, TCS!B:B, "")</f>
        <v>4124.3</v>
      </c>
      <c r="G1256" s="4">
        <f>_xlfn.XLOOKUP($A1256, Infosys!A:A, Infosys!B:B,"")</f>
        <v>1815.45</v>
      </c>
      <c r="H1256" s="4">
        <f>_xlfn.XLOOKUP($A1256, 'L &amp; T'!A:A, 'L &amp; T'!B:B, "")</f>
        <v>3568.65</v>
      </c>
    </row>
    <row r="1257" spans="1:8" x14ac:dyDescent="0.3">
      <c r="A1257" s="1">
        <v>45677</v>
      </c>
      <c r="B1257" s="4">
        <f>_xlfn.XLOOKUP($A1257, 'Nifty 50'!A:A, 'Nifty 50'!B:B, "")</f>
        <v>23344.75</v>
      </c>
      <c r="C1257" s="4">
        <f>_xlfn.XLOOKUP($A1257, Reliance!A:A, Reliance!B:B, "")</f>
        <v>1305.45</v>
      </c>
      <c r="D1257" s="4">
        <f>_xlfn.XLOOKUP($A1257, HDFC!A:A, HDFC!B:B, "")</f>
        <v>823.58</v>
      </c>
      <c r="E1257" s="4">
        <f>_xlfn.XLOOKUP($A1257, ITC!A:A, ITC!B:B, "")</f>
        <v>437.7</v>
      </c>
      <c r="F1257" s="4">
        <f>_xlfn.XLOOKUP($A1257, TCS!A:A, TCS!B:B, "")</f>
        <v>4077.8</v>
      </c>
      <c r="G1257" s="4">
        <f>_xlfn.XLOOKUP($A1257, Infosys!A:A, Infosys!B:B,"")</f>
        <v>1813.3</v>
      </c>
      <c r="H1257" s="4">
        <f>_xlfn.XLOOKUP($A1257, 'L &amp; T'!A:A, 'L &amp; T'!B:B, "")</f>
        <v>3593</v>
      </c>
    </row>
    <row r="1258" spans="1:8" x14ac:dyDescent="0.3">
      <c r="A1258" s="1">
        <v>45678</v>
      </c>
      <c r="B1258" s="4">
        <f>_xlfn.XLOOKUP($A1258, 'Nifty 50'!A:A, 'Nifty 50'!B:B, "")</f>
        <v>23024.65</v>
      </c>
      <c r="C1258" s="4">
        <f>_xlfn.XLOOKUP($A1258, Reliance!A:A, Reliance!B:B, "")</f>
        <v>1273.7</v>
      </c>
      <c r="D1258" s="4">
        <f>_xlfn.XLOOKUP($A1258, HDFC!A:A, HDFC!B:B, "")</f>
        <v>819.16</v>
      </c>
      <c r="E1258" s="4">
        <f>_xlfn.XLOOKUP($A1258, ITC!A:A, ITC!B:B, "")</f>
        <v>437.55</v>
      </c>
      <c r="F1258" s="4">
        <f>_xlfn.XLOOKUP($A1258, TCS!A:A, TCS!B:B, "")</f>
        <v>4035.85</v>
      </c>
      <c r="G1258" s="4">
        <f>_xlfn.XLOOKUP($A1258, Infosys!A:A, Infosys!B:B,"")</f>
        <v>1800.7</v>
      </c>
      <c r="H1258" s="4">
        <f>_xlfn.XLOOKUP($A1258, 'L &amp; T'!A:A, 'L &amp; T'!B:B, "")</f>
        <v>3541.1</v>
      </c>
    </row>
    <row r="1259" spans="1:8" x14ac:dyDescent="0.3">
      <c r="A1259" s="1">
        <v>45679</v>
      </c>
      <c r="B1259" s="4">
        <f>_xlfn.XLOOKUP($A1259, 'Nifty 50'!A:A, 'Nifty 50'!B:B, "")</f>
        <v>23155.35</v>
      </c>
      <c r="C1259" s="4">
        <f>_xlfn.XLOOKUP($A1259, Reliance!A:A, Reliance!B:B, "")</f>
        <v>1277.0999999999999</v>
      </c>
      <c r="D1259" s="4">
        <f>_xlfn.XLOOKUP($A1259, HDFC!A:A, HDFC!B:B, "")</f>
        <v>830.96</v>
      </c>
      <c r="E1259" s="4">
        <f>_xlfn.XLOOKUP($A1259, ITC!A:A, ITC!B:B, "")</f>
        <v>437</v>
      </c>
      <c r="F1259" s="4">
        <f>_xlfn.XLOOKUP($A1259, TCS!A:A, TCS!B:B, "")</f>
        <v>4156.6000000000004</v>
      </c>
      <c r="G1259" s="4">
        <f>_xlfn.XLOOKUP($A1259, Infosys!A:A, Infosys!B:B,"")</f>
        <v>1856.45</v>
      </c>
      <c r="H1259" s="4">
        <f>_xlfn.XLOOKUP($A1259, 'L &amp; T'!A:A, 'L &amp; T'!B:B, "")</f>
        <v>3518.2</v>
      </c>
    </row>
    <row r="1260" spans="1:8" x14ac:dyDescent="0.3">
      <c r="A1260" s="1">
        <v>45680</v>
      </c>
      <c r="B1260" s="4">
        <f>_xlfn.XLOOKUP($A1260, 'Nifty 50'!A:A, 'Nifty 50'!B:B, "")</f>
        <v>23205.35</v>
      </c>
      <c r="C1260" s="4">
        <f>_xlfn.XLOOKUP($A1260, Reliance!A:A, Reliance!B:B, "")</f>
        <v>1263.6500000000001</v>
      </c>
      <c r="D1260" s="4">
        <f>_xlfn.XLOOKUP($A1260, HDFC!A:A, HDFC!B:B, "")</f>
        <v>830.38</v>
      </c>
      <c r="E1260" s="4">
        <f>_xlfn.XLOOKUP($A1260, ITC!A:A, ITC!B:B, "")</f>
        <v>440.2</v>
      </c>
      <c r="F1260" s="4">
        <f>_xlfn.XLOOKUP($A1260, TCS!A:A, TCS!B:B, "")</f>
        <v>4145.45</v>
      </c>
      <c r="G1260" s="4">
        <f>_xlfn.XLOOKUP($A1260, Infosys!A:A, Infosys!B:B,"")</f>
        <v>1865.45</v>
      </c>
      <c r="H1260" s="4">
        <f>_xlfn.XLOOKUP($A1260, 'L &amp; T'!A:A, 'L &amp; T'!B:B, "")</f>
        <v>3503.25</v>
      </c>
    </row>
    <row r="1261" spans="1:8" x14ac:dyDescent="0.3">
      <c r="A1261" s="1">
        <v>45681</v>
      </c>
      <c r="B1261" s="4">
        <f>_xlfn.XLOOKUP($A1261, 'Nifty 50'!A:A, 'Nifty 50'!B:B, "")</f>
        <v>23092.2</v>
      </c>
      <c r="C1261" s="4">
        <f>_xlfn.XLOOKUP($A1261, Reliance!A:A, Reliance!B:B, "")</f>
        <v>1246.3</v>
      </c>
      <c r="D1261" s="4">
        <f>_xlfn.XLOOKUP($A1261, HDFC!A:A, HDFC!B:B, "")</f>
        <v>822.85</v>
      </c>
      <c r="E1261" s="4">
        <f>_xlfn.XLOOKUP($A1261, ITC!A:A, ITC!B:B, "")</f>
        <v>441.6</v>
      </c>
      <c r="F1261" s="4">
        <f>_xlfn.XLOOKUP($A1261, TCS!A:A, TCS!B:B, "")</f>
        <v>4152.3500000000004</v>
      </c>
      <c r="G1261" s="4">
        <f>_xlfn.XLOOKUP($A1261, Infosys!A:A, Infosys!B:B,"")</f>
        <v>1875.45</v>
      </c>
      <c r="H1261" s="4">
        <f>_xlfn.XLOOKUP($A1261, 'L &amp; T'!A:A, 'L &amp; T'!B:B, "")</f>
        <v>3458.2</v>
      </c>
    </row>
    <row r="1262" spans="1:8" x14ac:dyDescent="0.3">
      <c r="A1262" s="1">
        <v>45684</v>
      </c>
      <c r="B1262" s="4">
        <f>_xlfn.XLOOKUP($A1262, 'Nifty 50'!A:A, 'Nifty 50'!B:B, "")</f>
        <v>22829.15</v>
      </c>
      <c r="C1262" s="4">
        <f>_xlfn.XLOOKUP($A1262, Reliance!A:A, Reliance!B:B, "")</f>
        <v>1229.3499999999999</v>
      </c>
      <c r="D1262" s="4">
        <f>_xlfn.XLOOKUP($A1262, HDFC!A:A, HDFC!B:B, "")</f>
        <v>812.88</v>
      </c>
      <c r="E1262" s="4">
        <f>_xlfn.XLOOKUP($A1262, ITC!A:A, ITC!B:B, "")</f>
        <v>440.1</v>
      </c>
      <c r="F1262" s="4">
        <f>_xlfn.XLOOKUP($A1262, TCS!A:A, TCS!B:B, "")</f>
        <v>4065.15</v>
      </c>
      <c r="G1262" s="4">
        <f>_xlfn.XLOOKUP($A1262, Infosys!A:A, Infosys!B:B,"")</f>
        <v>1822</v>
      </c>
      <c r="H1262" s="4">
        <f>_xlfn.XLOOKUP($A1262, 'L &amp; T'!A:A, 'L &amp; T'!B:B, "")</f>
        <v>3457.65</v>
      </c>
    </row>
    <row r="1263" spans="1:8" x14ac:dyDescent="0.3">
      <c r="A1263" s="1">
        <v>45685</v>
      </c>
      <c r="B1263" s="4">
        <f>_xlfn.XLOOKUP($A1263, 'Nifty 50'!A:A, 'Nifty 50'!B:B, "")</f>
        <v>22957.25</v>
      </c>
      <c r="C1263" s="4">
        <f>_xlfn.XLOOKUP($A1263, Reliance!A:A, Reliance!B:B, "")</f>
        <v>1234.4000000000001</v>
      </c>
      <c r="D1263" s="4">
        <f>_xlfn.XLOOKUP($A1263, HDFC!A:A, HDFC!B:B, "")</f>
        <v>833.13</v>
      </c>
      <c r="E1263" s="4">
        <f>_xlfn.XLOOKUP($A1263, ITC!A:A, ITC!B:B, "")</f>
        <v>435.45</v>
      </c>
      <c r="F1263" s="4">
        <f>_xlfn.XLOOKUP($A1263, TCS!A:A, TCS!B:B, "")</f>
        <v>4040.3</v>
      </c>
      <c r="G1263" s="4">
        <f>_xlfn.XLOOKUP($A1263, Infosys!A:A, Infosys!B:B,"")</f>
        <v>1829.75</v>
      </c>
      <c r="H1263" s="4">
        <f>_xlfn.XLOOKUP($A1263, 'L &amp; T'!A:A, 'L &amp; T'!B:B, "")</f>
        <v>3413.9</v>
      </c>
    </row>
    <row r="1264" spans="1:8" x14ac:dyDescent="0.3">
      <c r="A1264" s="1">
        <v>45686</v>
      </c>
      <c r="B1264" s="4">
        <f>_xlfn.XLOOKUP($A1264, 'Nifty 50'!A:A, 'Nifty 50'!B:B, "")</f>
        <v>23163.1</v>
      </c>
      <c r="C1264" s="4">
        <f>_xlfn.XLOOKUP($A1264, Reliance!A:A, Reliance!B:B, "")</f>
        <v>1235.5</v>
      </c>
      <c r="D1264" s="4">
        <f>_xlfn.XLOOKUP($A1264, HDFC!A:A, HDFC!B:B, "")</f>
        <v>836.57</v>
      </c>
      <c r="E1264" s="4">
        <f>_xlfn.XLOOKUP($A1264, ITC!A:A, ITC!B:B, "")</f>
        <v>433.35</v>
      </c>
      <c r="F1264" s="4">
        <f>_xlfn.XLOOKUP($A1264, TCS!A:A, TCS!B:B, "")</f>
        <v>4099.8</v>
      </c>
      <c r="G1264" s="4">
        <f>_xlfn.XLOOKUP($A1264, Infosys!A:A, Infosys!B:B,"")</f>
        <v>1881.25</v>
      </c>
      <c r="H1264" s="4">
        <f>_xlfn.XLOOKUP($A1264, 'L &amp; T'!A:A, 'L &amp; T'!B:B, "")</f>
        <v>3449.7</v>
      </c>
    </row>
    <row r="1265" spans="1:8" x14ac:dyDescent="0.3">
      <c r="A1265" s="1">
        <v>45687</v>
      </c>
      <c r="B1265" s="4">
        <f>_xlfn.XLOOKUP($A1265, 'Nifty 50'!A:A, 'Nifty 50'!B:B, "")</f>
        <v>23249.5</v>
      </c>
      <c r="C1265" s="4">
        <f>_xlfn.XLOOKUP($A1265, Reliance!A:A, Reliance!B:B, "")</f>
        <v>1253.05</v>
      </c>
      <c r="D1265" s="4">
        <f>_xlfn.XLOOKUP($A1265, HDFC!A:A, HDFC!B:B, "")</f>
        <v>843.65</v>
      </c>
      <c r="E1265" s="4">
        <f>_xlfn.XLOOKUP($A1265, ITC!A:A, ITC!B:B, "")</f>
        <v>436.2</v>
      </c>
      <c r="F1265" s="4">
        <f>_xlfn.XLOOKUP($A1265, TCS!A:A, TCS!B:B, "")</f>
        <v>4100.05</v>
      </c>
      <c r="G1265" s="4">
        <f>_xlfn.XLOOKUP($A1265, Infosys!A:A, Infosys!B:B,"")</f>
        <v>1859.95</v>
      </c>
      <c r="H1265" s="4">
        <f>_xlfn.XLOOKUP($A1265, 'L &amp; T'!A:A, 'L &amp; T'!B:B, "")</f>
        <v>3420.95</v>
      </c>
    </row>
    <row r="1266" spans="1:8" x14ac:dyDescent="0.3">
      <c r="A1266" s="1">
        <v>45688</v>
      </c>
      <c r="B1266" s="4">
        <f>_xlfn.XLOOKUP($A1266, 'Nifty 50'!A:A, 'Nifty 50'!B:B, "")</f>
        <v>23508.400000000001</v>
      </c>
      <c r="C1266" s="4">
        <f>_xlfn.XLOOKUP($A1266, Reliance!A:A, Reliance!B:B, "")</f>
        <v>1265.0999999999999</v>
      </c>
      <c r="D1266" s="4">
        <f>_xlfn.XLOOKUP($A1266, HDFC!A:A, HDFC!B:B, "")</f>
        <v>847.27</v>
      </c>
      <c r="E1266" s="4">
        <f>_xlfn.XLOOKUP($A1266, ITC!A:A, ITC!B:B, "")</f>
        <v>447.5</v>
      </c>
      <c r="F1266" s="4">
        <f>_xlfn.XLOOKUP($A1266, TCS!A:A, TCS!B:B, "")</f>
        <v>4112.3999999999996</v>
      </c>
      <c r="G1266" s="4">
        <f>_xlfn.XLOOKUP($A1266, Infosys!A:A, Infosys!B:B,"")</f>
        <v>1879.8</v>
      </c>
      <c r="H1266" s="4">
        <f>_xlfn.XLOOKUP($A1266, 'L &amp; T'!A:A, 'L &amp; T'!B:B, "")</f>
        <v>3567.4</v>
      </c>
    </row>
    <row r="1267" spans="1:8" x14ac:dyDescent="0.3">
      <c r="A1267" s="1">
        <v>45689</v>
      </c>
      <c r="B1267" s="4">
        <f>_xlfn.XLOOKUP($A1267, 'Nifty 50'!A:A, 'Nifty 50'!B:B, "")</f>
        <v>23482.15</v>
      </c>
      <c r="C1267" s="4">
        <f>_xlfn.XLOOKUP($A1267, Reliance!A:A, Reliance!B:B, "")</f>
        <v>1264.5999999999999</v>
      </c>
      <c r="D1267" s="4">
        <f>_xlfn.XLOOKUP($A1267, HDFC!A:A, HDFC!B:B, "")</f>
        <v>843.38</v>
      </c>
      <c r="E1267" s="4">
        <f>_xlfn.XLOOKUP($A1267, ITC!A:A, ITC!B:B, "")</f>
        <v>462.55</v>
      </c>
      <c r="F1267" s="4">
        <f>_xlfn.XLOOKUP($A1267, TCS!A:A, TCS!B:B, "")</f>
        <v>4073.15</v>
      </c>
      <c r="G1267" s="4">
        <f>_xlfn.XLOOKUP($A1267, Infosys!A:A, Infosys!B:B,"")</f>
        <v>1851.35</v>
      </c>
      <c r="H1267" s="4">
        <f>_xlfn.XLOOKUP($A1267, 'L &amp; T'!A:A, 'L &amp; T'!B:B, "")</f>
        <v>3447.5</v>
      </c>
    </row>
    <row r="1268" spans="1:8" x14ac:dyDescent="0.3">
      <c r="A1268" s="1">
        <v>45691</v>
      </c>
      <c r="B1268" s="4">
        <f>_xlfn.XLOOKUP($A1268, 'Nifty 50'!A:A, 'Nifty 50'!B:B, "")</f>
        <v>23361.05</v>
      </c>
      <c r="C1268" s="4">
        <f>_xlfn.XLOOKUP($A1268, Reliance!A:A, Reliance!B:B, "")</f>
        <v>1245.9000000000001</v>
      </c>
      <c r="D1268" s="4">
        <f>_xlfn.XLOOKUP($A1268, HDFC!A:A, HDFC!B:B, "")</f>
        <v>836.92</v>
      </c>
      <c r="E1268" s="4">
        <f>_xlfn.XLOOKUP($A1268, ITC!A:A, ITC!B:B, "")</f>
        <v>454.35</v>
      </c>
      <c r="F1268" s="4">
        <f>_xlfn.XLOOKUP($A1268, TCS!A:A, TCS!B:B, "")</f>
        <v>4068.65</v>
      </c>
      <c r="G1268" s="4">
        <f>_xlfn.XLOOKUP($A1268, Infosys!A:A, Infosys!B:B,"")</f>
        <v>1863.3</v>
      </c>
      <c r="H1268" s="4">
        <f>_xlfn.XLOOKUP($A1268, 'L &amp; T'!A:A, 'L &amp; T'!B:B, "")</f>
        <v>3289.2</v>
      </c>
    </row>
    <row r="1269" spans="1:8" x14ac:dyDescent="0.3">
      <c r="A1269" s="1">
        <v>45692</v>
      </c>
      <c r="B1269" s="4">
        <f>_xlfn.XLOOKUP($A1269, 'Nifty 50'!A:A, 'Nifty 50'!B:B, "")</f>
        <v>23739.25</v>
      </c>
      <c r="C1269" s="4">
        <f>_xlfn.XLOOKUP($A1269, Reliance!A:A, Reliance!B:B, "")</f>
        <v>1285.2</v>
      </c>
      <c r="D1269" s="4">
        <f>_xlfn.XLOOKUP($A1269, HDFC!A:A, HDFC!B:B, "")</f>
        <v>858.31</v>
      </c>
      <c r="E1269" s="4">
        <f>_xlfn.XLOOKUP($A1269, ITC!A:A, ITC!B:B, "")</f>
        <v>455.15</v>
      </c>
      <c r="F1269" s="4">
        <f>_xlfn.XLOOKUP($A1269, TCS!A:A, TCS!B:B, "")</f>
        <v>4107.05</v>
      </c>
      <c r="G1269" s="4">
        <f>_xlfn.XLOOKUP($A1269, Infosys!A:A, Infosys!B:B,"")</f>
        <v>1898.8</v>
      </c>
      <c r="H1269" s="4">
        <f>_xlfn.XLOOKUP($A1269, 'L &amp; T'!A:A, 'L &amp; T'!B:B, "")</f>
        <v>3439.15</v>
      </c>
    </row>
    <row r="1270" spans="1:8" x14ac:dyDescent="0.3">
      <c r="A1270" s="1">
        <v>45693</v>
      </c>
      <c r="B1270" s="4">
        <f>_xlfn.XLOOKUP($A1270, 'Nifty 50'!A:A, 'Nifty 50'!B:B, "")</f>
        <v>23696.3</v>
      </c>
      <c r="C1270" s="4">
        <f>_xlfn.XLOOKUP($A1270, Reliance!A:A, Reliance!B:B, "")</f>
        <v>1278.2</v>
      </c>
      <c r="D1270" s="4">
        <f>_xlfn.XLOOKUP($A1270, HDFC!A:A, HDFC!B:B, "")</f>
        <v>866.74</v>
      </c>
      <c r="E1270" s="4">
        <f>_xlfn.XLOOKUP($A1270, ITC!A:A, ITC!B:B, "")</f>
        <v>448.15</v>
      </c>
      <c r="F1270" s="4">
        <f>_xlfn.XLOOKUP($A1270, TCS!A:A, TCS!B:B, "")</f>
        <v>4091.1</v>
      </c>
      <c r="G1270" s="4">
        <f>_xlfn.XLOOKUP($A1270, Infosys!A:A, Infosys!B:B,"")</f>
        <v>1897.05</v>
      </c>
      <c r="H1270" s="4">
        <f>_xlfn.XLOOKUP($A1270, 'L &amp; T'!A:A, 'L &amp; T'!B:B, "")</f>
        <v>3383.2</v>
      </c>
    </row>
    <row r="1271" spans="1:8" x14ac:dyDescent="0.3">
      <c r="A1271" s="1">
        <v>45694</v>
      </c>
      <c r="B1271" s="4">
        <f>_xlfn.XLOOKUP($A1271, 'Nifty 50'!A:A, 'Nifty 50'!B:B, "")</f>
        <v>23603.35</v>
      </c>
      <c r="C1271" s="4">
        <f>_xlfn.XLOOKUP($A1271, Reliance!A:A, Reliance!B:B, "")</f>
        <v>1281.55</v>
      </c>
      <c r="D1271" s="4">
        <f>_xlfn.XLOOKUP($A1271, HDFC!A:A, HDFC!B:B, "")</f>
        <v>869.76</v>
      </c>
      <c r="E1271" s="4">
        <f>_xlfn.XLOOKUP($A1271, ITC!A:A, ITC!B:B, "")</f>
        <v>441.1</v>
      </c>
      <c r="F1271" s="4">
        <f>_xlfn.XLOOKUP($A1271, TCS!A:A, TCS!B:B, "")</f>
        <v>4082.75</v>
      </c>
      <c r="G1271" s="4">
        <f>_xlfn.XLOOKUP($A1271, Infosys!A:A, Infosys!B:B,"")</f>
        <v>1915.65</v>
      </c>
      <c r="H1271" s="4">
        <f>_xlfn.XLOOKUP($A1271, 'L &amp; T'!A:A, 'L &amp; T'!B:B, "")</f>
        <v>3352.75</v>
      </c>
    </row>
    <row r="1272" spans="1:8" x14ac:dyDescent="0.3">
      <c r="A1272" s="1">
        <v>45695</v>
      </c>
      <c r="B1272" s="4">
        <f>_xlfn.XLOOKUP($A1272, 'Nifty 50'!A:A, 'Nifty 50'!B:B, "")</f>
        <v>23559.95</v>
      </c>
      <c r="C1272" s="4">
        <f>_xlfn.XLOOKUP($A1272, Reliance!A:A, Reliance!B:B, "")</f>
        <v>1266.7</v>
      </c>
      <c r="D1272" s="4">
        <f>_xlfn.XLOOKUP($A1272, HDFC!A:A, HDFC!B:B, "")</f>
        <v>864.22</v>
      </c>
      <c r="E1272" s="4">
        <f>_xlfn.XLOOKUP($A1272, ITC!A:A, ITC!B:B, "")</f>
        <v>430.85</v>
      </c>
      <c r="F1272" s="4">
        <f>_xlfn.XLOOKUP($A1272, TCS!A:A, TCS!B:B, "")</f>
        <v>4029.4</v>
      </c>
      <c r="G1272" s="4">
        <f>_xlfn.XLOOKUP($A1272, Infosys!A:A, Infosys!B:B,"")</f>
        <v>1903.65</v>
      </c>
      <c r="H1272" s="4">
        <f>_xlfn.XLOOKUP($A1272, 'L &amp; T'!A:A, 'L &amp; T'!B:B, "")</f>
        <v>3336.9</v>
      </c>
    </row>
    <row r="1273" spans="1:8" x14ac:dyDescent="0.3">
      <c r="A1273" s="1">
        <v>45698</v>
      </c>
      <c r="B1273" s="4">
        <f>_xlfn.XLOOKUP($A1273, 'Nifty 50'!A:A, 'Nifty 50'!B:B, "")</f>
        <v>23381.599999999999</v>
      </c>
      <c r="C1273" s="4">
        <f>_xlfn.XLOOKUP($A1273, Reliance!A:A, Reliance!B:B, "")</f>
        <v>1253.6500000000001</v>
      </c>
      <c r="D1273" s="4">
        <f>_xlfn.XLOOKUP($A1273, HDFC!A:A, HDFC!B:B, "")</f>
        <v>855.75</v>
      </c>
      <c r="E1273" s="4">
        <f>_xlfn.XLOOKUP($A1273, ITC!A:A, ITC!B:B, "")</f>
        <v>427.2</v>
      </c>
      <c r="F1273" s="4">
        <f>_xlfn.XLOOKUP($A1273, TCS!A:A, TCS!B:B, "")</f>
        <v>4036.95</v>
      </c>
      <c r="G1273" s="4">
        <f>_xlfn.XLOOKUP($A1273, Infosys!A:A, Infosys!B:B,"")</f>
        <v>1880.3</v>
      </c>
      <c r="H1273" s="4">
        <f>_xlfn.XLOOKUP($A1273, 'L &amp; T'!A:A, 'L &amp; T'!B:B, "")</f>
        <v>3328.65</v>
      </c>
    </row>
    <row r="1274" spans="1:8" x14ac:dyDescent="0.3">
      <c r="A1274" s="1">
        <v>45699</v>
      </c>
      <c r="B1274" s="4">
        <f>_xlfn.XLOOKUP($A1274, 'Nifty 50'!A:A, 'Nifty 50'!B:B, "")</f>
        <v>23071.8</v>
      </c>
      <c r="C1274" s="4">
        <f>_xlfn.XLOOKUP($A1274, Reliance!A:A, Reliance!B:B, "")</f>
        <v>1234.8499999999999</v>
      </c>
      <c r="D1274" s="4">
        <f>_xlfn.XLOOKUP($A1274, HDFC!A:A, HDFC!B:B, "")</f>
        <v>848.59</v>
      </c>
      <c r="E1274" s="4">
        <f>_xlfn.XLOOKUP($A1274, ITC!A:A, ITC!B:B, "")</f>
        <v>418.3</v>
      </c>
      <c r="F1274" s="4">
        <f>_xlfn.XLOOKUP($A1274, TCS!A:A, TCS!B:B, "")</f>
        <v>3963.55</v>
      </c>
      <c r="G1274" s="4">
        <f>_xlfn.XLOOKUP($A1274, Infosys!A:A, Infosys!B:B,"")</f>
        <v>1875.65</v>
      </c>
      <c r="H1274" s="4">
        <f>_xlfn.XLOOKUP($A1274, 'L &amp; T'!A:A, 'L &amp; T'!B:B, "")</f>
        <v>3239.65</v>
      </c>
    </row>
    <row r="1275" spans="1:8" x14ac:dyDescent="0.3">
      <c r="A1275" s="1">
        <v>45700</v>
      </c>
      <c r="B1275" s="4">
        <f>_xlfn.XLOOKUP($A1275, 'Nifty 50'!A:A, 'Nifty 50'!B:B, "")</f>
        <v>23045.25</v>
      </c>
      <c r="C1275" s="4">
        <f>_xlfn.XLOOKUP($A1275, Reliance!A:A, Reliance!B:B, "")</f>
        <v>1216.55</v>
      </c>
      <c r="D1275" s="4">
        <f>_xlfn.XLOOKUP($A1275, HDFC!A:A, HDFC!B:B, "")</f>
        <v>851.28</v>
      </c>
      <c r="E1275" s="4">
        <f>_xlfn.XLOOKUP($A1275, ITC!A:A, ITC!B:B, "")</f>
        <v>409.9</v>
      </c>
      <c r="F1275" s="4">
        <f>_xlfn.XLOOKUP($A1275, TCS!A:A, TCS!B:B, "")</f>
        <v>3950.15</v>
      </c>
      <c r="G1275" s="4">
        <f>_xlfn.XLOOKUP($A1275, Infosys!A:A, Infosys!B:B,"")</f>
        <v>1863.15</v>
      </c>
      <c r="H1275" s="4">
        <f>_xlfn.XLOOKUP($A1275, 'L &amp; T'!A:A, 'L &amp; T'!B:B, "")</f>
        <v>3289.65</v>
      </c>
    </row>
    <row r="1276" spans="1:8" x14ac:dyDescent="0.3">
      <c r="A1276" s="1">
        <v>45701</v>
      </c>
      <c r="B1276" s="4">
        <f>_xlfn.XLOOKUP($A1276, 'Nifty 50'!A:A, 'Nifty 50'!B:B, "")</f>
        <v>23031.4</v>
      </c>
      <c r="C1276" s="4">
        <f>_xlfn.XLOOKUP($A1276, Reliance!A:A, Reliance!B:B, "")</f>
        <v>1216.0999999999999</v>
      </c>
      <c r="D1276" s="4">
        <f>_xlfn.XLOOKUP($A1276, HDFC!A:A, HDFC!B:B, "")</f>
        <v>846.74</v>
      </c>
      <c r="E1276" s="4">
        <f>_xlfn.XLOOKUP($A1276, ITC!A:A, ITC!B:B, "")</f>
        <v>409.7</v>
      </c>
      <c r="F1276" s="4">
        <f>_xlfn.XLOOKUP($A1276, TCS!A:A, TCS!B:B, "")</f>
        <v>3910.15</v>
      </c>
      <c r="G1276" s="4">
        <f>_xlfn.XLOOKUP($A1276, Infosys!A:A, Infosys!B:B,"")</f>
        <v>1843.25</v>
      </c>
      <c r="H1276" s="4">
        <f>_xlfn.XLOOKUP($A1276, 'L &amp; T'!A:A, 'L &amp; T'!B:B, "")</f>
        <v>3263.65</v>
      </c>
    </row>
    <row r="1277" spans="1:8" x14ac:dyDescent="0.3">
      <c r="A1277" s="1">
        <v>45702</v>
      </c>
      <c r="B1277" s="4">
        <f>_xlfn.XLOOKUP($A1277, 'Nifty 50'!A:A, 'Nifty 50'!B:B, "")</f>
        <v>22929.25</v>
      </c>
      <c r="C1277" s="4">
        <f>_xlfn.XLOOKUP($A1277, Reliance!A:A, Reliance!B:B, "")</f>
        <v>1217.25</v>
      </c>
      <c r="D1277" s="4">
        <f>_xlfn.XLOOKUP($A1277, HDFC!A:A, HDFC!B:B, "")</f>
        <v>845.32</v>
      </c>
      <c r="E1277" s="4">
        <f>_xlfn.XLOOKUP($A1277, ITC!A:A, ITC!B:B, "")</f>
        <v>410.25</v>
      </c>
      <c r="F1277" s="4">
        <f>_xlfn.XLOOKUP($A1277, TCS!A:A, TCS!B:B, "")</f>
        <v>3934.85</v>
      </c>
      <c r="G1277" s="4">
        <f>_xlfn.XLOOKUP($A1277, Infosys!A:A, Infosys!B:B,"")</f>
        <v>1856.4</v>
      </c>
      <c r="H1277" s="4">
        <f>_xlfn.XLOOKUP($A1277, 'L &amp; T'!A:A, 'L &amp; T'!B:B, "")</f>
        <v>3237.65</v>
      </c>
    </row>
    <row r="1278" spans="1:8" x14ac:dyDescent="0.3">
      <c r="A1278" s="1">
        <v>45705</v>
      </c>
      <c r="B1278" s="4">
        <f>_xlfn.XLOOKUP($A1278, 'Nifty 50'!A:A, 'Nifty 50'!B:B, "")</f>
        <v>22959.5</v>
      </c>
      <c r="C1278" s="4">
        <f>_xlfn.XLOOKUP($A1278, Reliance!A:A, Reliance!B:B, "")</f>
        <v>1224.9000000000001</v>
      </c>
      <c r="D1278" s="4">
        <f>_xlfn.XLOOKUP($A1278, HDFC!A:A, HDFC!B:B, "")</f>
        <v>856.54</v>
      </c>
      <c r="E1278" s="4">
        <f>_xlfn.XLOOKUP($A1278, ITC!A:A, ITC!B:B, "")</f>
        <v>408.6</v>
      </c>
      <c r="F1278" s="4">
        <f>_xlfn.XLOOKUP($A1278, TCS!A:A, TCS!B:B, "")</f>
        <v>3904.5</v>
      </c>
      <c r="G1278" s="4">
        <f>_xlfn.XLOOKUP($A1278, Infosys!A:A, Infosys!B:B,"")</f>
        <v>1842.3</v>
      </c>
      <c r="H1278" s="4">
        <f>_xlfn.XLOOKUP($A1278, 'L &amp; T'!A:A, 'L &amp; T'!B:B, "")</f>
        <v>3221.85</v>
      </c>
    </row>
    <row r="1279" spans="1:8" x14ac:dyDescent="0.3">
      <c r="A1279" s="1">
        <v>45706</v>
      </c>
      <c r="B1279" s="4">
        <f>_xlfn.XLOOKUP($A1279, 'Nifty 50'!A:A, 'Nifty 50'!B:B, "")</f>
        <v>22945.3</v>
      </c>
      <c r="C1279" s="4">
        <f>_xlfn.XLOOKUP($A1279, Reliance!A:A, Reliance!B:B, "")</f>
        <v>1225.4000000000001</v>
      </c>
      <c r="D1279" s="4">
        <f>_xlfn.XLOOKUP($A1279, HDFC!A:A, HDFC!B:B, "")</f>
        <v>859.39</v>
      </c>
      <c r="E1279" s="4">
        <f>_xlfn.XLOOKUP($A1279, ITC!A:A, ITC!B:B, "")</f>
        <v>405.25</v>
      </c>
      <c r="F1279" s="4">
        <f>_xlfn.XLOOKUP($A1279, TCS!A:A, TCS!B:B, "")</f>
        <v>3873.2</v>
      </c>
      <c r="G1279" s="4">
        <f>_xlfn.XLOOKUP($A1279, Infosys!A:A, Infosys!B:B,"")</f>
        <v>1851.95</v>
      </c>
      <c r="H1279" s="4">
        <f>_xlfn.XLOOKUP($A1279, 'L &amp; T'!A:A, 'L &amp; T'!B:B, "")</f>
        <v>3220.15</v>
      </c>
    </row>
    <row r="1280" spans="1:8" x14ac:dyDescent="0.3">
      <c r="A1280" s="1">
        <v>45707</v>
      </c>
      <c r="B1280" s="4">
        <f>_xlfn.XLOOKUP($A1280, 'Nifty 50'!A:A, 'Nifty 50'!B:B, "")</f>
        <v>22932.9</v>
      </c>
      <c r="C1280" s="4">
        <f>_xlfn.XLOOKUP($A1280, Reliance!A:A, Reliance!B:B, "")</f>
        <v>1227.45</v>
      </c>
      <c r="D1280" s="4">
        <f>_xlfn.XLOOKUP($A1280, HDFC!A:A, HDFC!B:B, "")</f>
        <v>861.46</v>
      </c>
      <c r="E1280" s="4">
        <f>_xlfn.XLOOKUP($A1280, ITC!A:A, ITC!B:B, "")</f>
        <v>406.4</v>
      </c>
      <c r="F1280" s="4">
        <f>_xlfn.XLOOKUP($A1280, TCS!A:A, TCS!B:B, "")</f>
        <v>3784.1</v>
      </c>
      <c r="G1280" s="4">
        <f>_xlfn.XLOOKUP($A1280, Infosys!A:A, Infosys!B:B,"")</f>
        <v>1810.8</v>
      </c>
      <c r="H1280" s="4">
        <f>_xlfn.XLOOKUP($A1280, 'L &amp; T'!A:A, 'L &amp; T'!B:B, "")</f>
        <v>3275.9</v>
      </c>
    </row>
    <row r="1281" spans="1:8" x14ac:dyDescent="0.3">
      <c r="A1281" s="1">
        <v>45708</v>
      </c>
      <c r="B1281" s="4">
        <f>_xlfn.XLOOKUP($A1281, 'Nifty 50'!A:A, 'Nifty 50'!B:B, "")</f>
        <v>22913.15</v>
      </c>
      <c r="C1281" s="4">
        <f>_xlfn.XLOOKUP($A1281, Reliance!A:A, Reliance!B:B, "")</f>
        <v>1233</v>
      </c>
      <c r="D1281" s="4">
        <f>_xlfn.XLOOKUP($A1281, HDFC!A:A, HDFC!B:B, "")</f>
        <v>841.46</v>
      </c>
      <c r="E1281" s="4">
        <f>_xlfn.XLOOKUP($A1281, ITC!A:A, ITC!B:B, "")</f>
        <v>402.05</v>
      </c>
      <c r="F1281" s="4">
        <f>_xlfn.XLOOKUP($A1281, TCS!A:A, TCS!B:B, "")</f>
        <v>3779.4</v>
      </c>
      <c r="G1281" s="4">
        <f>_xlfn.XLOOKUP($A1281, Infosys!A:A, Infosys!B:B,"")</f>
        <v>1825.15</v>
      </c>
      <c r="H1281" s="4">
        <f>_xlfn.XLOOKUP($A1281, 'L &amp; T'!A:A, 'L &amp; T'!B:B, "")</f>
        <v>3275.8</v>
      </c>
    </row>
    <row r="1282" spans="1:8" x14ac:dyDescent="0.3">
      <c r="A1282" s="1">
        <v>45709</v>
      </c>
      <c r="B1282" s="4">
        <f>_xlfn.XLOOKUP($A1282, 'Nifty 50'!A:A, 'Nifty 50'!B:B, "")</f>
        <v>22795.9</v>
      </c>
      <c r="C1282" s="4">
        <f>_xlfn.XLOOKUP($A1282, Reliance!A:A, Reliance!B:B, "")</f>
        <v>1228.1500000000001</v>
      </c>
      <c r="D1282" s="4">
        <f>_xlfn.XLOOKUP($A1282, HDFC!A:A, HDFC!B:B, "")</f>
        <v>844.15</v>
      </c>
      <c r="E1282" s="4">
        <f>_xlfn.XLOOKUP($A1282, ITC!A:A, ITC!B:B, "")</f>
        <v>400.9</v>
      </c>
      <c r="F1282" s="4">
        <f>_xlfn.XLOOKUP($A1282, TCS!A:A, TCS!B:B, "")</f>
        <v>3786</v>
      </c>
      <c r="G1282" s="4">
        <f>_xlfn.XLOOKUP($A1282, Infosys!A:A, Infosys!B:B,"")</f>
        <v>1815</v>
      </c>
      <c r="H1282" s="4">
        <f>_xlfn.XLOOKUP($A1282, 'L &amp; T'!A:A, 'L &amp; T'!B:B, "")</f>
        <v>3315.1</v>
      </c>
    </row>
    <row r="1283" spans="1:8" x14ac:dyDescent="0.3">
      <c r="A1283" s="1">
        <v>45712</v>
      </c>
      <c r="B1283" s="4">
        <f>_xlfn.XLOOKUP($A1283, 'Nifty 50'!A:A, 'Nifty 50'!B:B, "")</f>
        <v>22553.35</v>
      </c>
      <c r="C1283" s="4">
        <f>_xlfn.XLOOKUP($A1283, Reliance!A:A, Reliance!B:B, "")</f>
        <v>1214.55</v>
      </c>
      <c r="D1283" s="4">
        <f>_xlfn.XLOOKUP($A1283, HDFC!A:A, HDFC!B:B, "")</f>
        <v>836.47</v>
      </c>
      <c r="E1283" s="4">
        <f>_xlfn.XLOOKUP($A1283, ITC!A:A, ITC!B:B, "")</f>
        <v>401.9</v>
      </c>
      <c r="F1283" s="4">
        <f>_xlfn.XLOOKUP($A1283, TCS!A:A, TCS!B:B, "")</f>
        <v>3675.6</v>
      </c>
      <c r="G1283" s="4">
        <f>_xlfn.XLOOKUP($A1283, Infosys!A:A, Infosys!B:B,"")</f>
        <v>1764.1</v>
      </c>
      <c r="H1283" s="4">
        <f>_xlfn.XLOOKUP($A1283, 'L &amp; T'!A:A, 'L &amp; T'!B:B, "")</f>
        <v>3257.7</v>
      </c>
    </row>
    <row r="1284" spans="1:8" x14ac:dyDescent="0.3">
      <c r="A1284" s="1">
        <v>45713</v>
      </c>
      <c r="B1284" s="4">
        <f>_xlfn.XLOOKUP($A1284, 'Nifty 50'!A:A, 'Nifty 50'!B:B, "")</f>
        <v>22547.55</v>
      </c>
      <c r="C1284" s="4">
        <f>_xlfn.XLOOKUP($A1284, Reliance!A:A, Reliance!B:B, "")</f>
        <v>1204</v>
      </c>
      <c r="D1284" s="4">
        <f>_xlfn.XLOOKUP($A1284, HDFC!A:A, HDFC!B:B, "")</f>
        <v>839.09</v>
      </c>
      <c r="E1284" s="4">
        <f>_xlfn.XLOOKUP($A1284, ITC!A:A, ITC!B:B, "")</f>
        <v>404.85</v>
      </c>
      <c r="F1284" s="4">
        <f>_xlfn.XLOOKUP($A1284, TCS!A:A, TCS!B:B, "")</f>
        <v>3629.55</v>
      </c>
      <c r="G1284" s="4">
        <f>_xlfn.XLOOKUP($A1284, Infosys!A:A, Infosys!B:B,"")</f>
        <v>1767.7</v>
      </c>
      <c r="H1284" s="4">
        <f>_xlfn.XLOOKUP($A1284, 'L &amp; T'!A:A, 'L &amp; T'!B:B, "")</f>
        <v>3225.9</v>
      </c>
    </row>
    <row r="1285" spans="1:8" x14ac:dyDescent="0.3">
      <c r="A1285" s="1">
        <v>45715</v>
      </c>
      <c r="B1285" s="4">
        <f>_xlfn.XLOOKUP($A1285, 'Nifty 50'!A:A, 'Nifty 50'!B:B, "")</f>
        <v>22545.05</v>
      </c>
      <c r="C1285" s="4">
        <f>_xlfn.XLOOKUP($A1285, Reliance!A:A, Reliance!B:B, "")</f>
        <v>1207.0999999999999</v>
      </c>
      <c r="D1285" s="4">
        <f>_xlfn.XLOOKUP($A1285, HDFC!A:A, HDFC!B:B, "")</f>
        <v>848.24</v>
      </c>
      <c r="E1285" s="4">
        <f>_xlfn.XLOOKUP($A1285, ITC!A:A, ITC!B:B, "")</f>
        <v>401.6</v>
      </c>
      <c r="F1285" s="4">
        <f>_xlfn.XLOOKUP($A1285, TCS!A:A, TCS!B:B, "")</f>
        <v>3612.55</v>
      </c>
      <c r="G1285" s="4">
        <f>_xlfn.XLOOKUP($A1285, Infosys!A:A, Infosys!B:B,"")</f>
        <v>1764.3</v>
      </c>
      <c r="H1285" s="4">
        <f>_xlfn.XLOOKUP($A1285, 'L &amp; T'!A:A, 'L &amp; T'!B:B, "")</f>
        <v>3209.5</v>
      </c>
    </row>
    <row r="1286" spans="1:8" x14ac:dyDescent="0.3">
      <c r="A1286" s="1">
        <v>45716</v>
      </c>
      <c r="B1286" s="4">
        <f>_xlfn.XLOOKUP($A1286, 'Nifty 50'!A:A, 'Nifty 50'!B:B, "")</f>
        <v>22124.7</v>
      </c>
      <c r="C1286" s="4">
        <f>_xlfn.XLOOKUP($A1286, Reliance!A:A, Reliance!B:B, "")</f>
        <v>1200.0999999999999</v>
      </c>
      <c r="D1286" s="4">
        <f>_xlfn.XLOOKUP($A1286, HDFC!A:A, HDFC!B:B, "")</f>
        <v>864.05</v>
      </c>
      <c r="E1286" s="4">
        <f>_xlfn.XLOOKUP($A1286, ITC!A:A, ITC!B:B, "")</f>
        <v>395</v>
      </c>
      <c r="F1286" s="4">
        <f>_xlfn.XLOOKUP($A1286, TCS!A:A, TCS!B:B, "")</f>
        <v>3483.25</v>
      </c>
      <c r="G1286" s="4">
        <f>_xlfn.XLOOKUP($A1286, Infosys!A:A, Infosys!B:B,"")</f>
        <v>1687.7</v>
      </c>
      <c r="H1286" s="4">
        <f>_xlfn.XLOOKUP($A1286, 'L &amp; T'!A:A, 'L &amp; T'!B:B, "")</f>
        <v>3163.85</v>
      </c>
    </row>
    <row r="1287" spans="1:8" x14ac:dyDescent="0.3">
      <c r="A1287" s="1">
        <v>45719</v>
      </c>
      <c r="B1287" s="4">
        <f>_xlfn.XLOOKUP($A1287, 'Nifty 50'!A:A, 'Nifty 50'!B:B, "")</f>
        <v>22119.3</v>
      </c>
      <c r="C1287" s="4">
        <f>_xlfn.XLOOKUP($A1287, Reliance!A:A, Reliance!B:B, "")</f>
        <v>1171.25</v>
      </c>
      <c r="D1287" s="4">
        <f>_xlfn.XLOOKUP($A1287, HDFC!A:A, HDFC!B:B, "")</f>
        <v>848.66</v>
      </c>
      <c r="E1287" s="4">
        <f>_xlfn.XLOOKUP($A1287, ITC!A:A, ITC!B:B, "")</f>
        <v>397.45</v>
      </c>
      <c r="F1287" s="4">
        <f>_xlfn.XLOOKUP($A1287, TCS!A:A, TCS!B:B, "")</f>
        <v>3493.05</v>
      </c>
      <c r="G1287" s="4">
        <f>_xlfn.XLOOKUP($A1287, Infosys!A:A, Infosys!B:B,"")</f>
        <v>1708.6</v>
      </c>
      <c r="H1287" s="4">
        <f>_xlfn.XLOOKUP($A1287, 'L &amp; T'!A:A, 'L &amp; T'!B:B, "")</f>
        <v>3197.3</v>
      </c>
    </row>
    <row r="1288" spans="1:8" x14ac:dyDescent="0.3">
      <c r="A1288" s="1">
        <v>45720</v>
      </c>
      <c r="B1288" s="4">
        <f>_xlfn.XLOOKUP($A1288, 'Nifty 50'!A:A, 'Nifty 50'!B:B, "")</f>
        <v>22082.65</v>
      </c>
      <c r="C1288" s="4">
        <f>_xlfn.XLOOKUP($A1288, Reliance!A:A, Reliance!B:B, "")</f>
        <v>1161.9000000000001</v>
      </c>
      <c r="D1288" s="4">
        <f>_xlfn.XLOOKUP($A1288, HDFC!A:A, HDFC!B:B, "")</f>
        <v>852.88</v>
      </c>
      <c r="E1288" s="4">
        <f>_xlfn.XLOOKUP($A1288, ITC!A:A, ITC!B:B, "")</f>
        <v>394.85</v>
      </c>
      <c r="F1288" s="4">
        <f>_xlfn.XLOOKUP($A1288, TCS!A:A, TCS!B:B, "")</f>
        <v>3532.05</v>
      </c>
      <c r="G1288" s="4">
        <f>_xlfn.XLOOKUP($A1288, Infosys!A:A, Infosys!B:B,"")</f>
        <v>1688.3</v>
      </c>
      <c r="H1288" s="4">
        <f>_xlfn.XLOOKUP($A1288, 'L &amp; T'!A:A, 'L &amp; T'!B:B, "")</f>
        <v>3213</v>
      </c>
    </row>
    <row r="1289" spans="1:8" x14ac:dyDescent="0.3">
      <c r="A1289" s="1">
        <v>45721</v>
      </c>
      <c r="B1289" s="4">
        <f>_xlfn.XLOOKUP($A1289, 'Nifty 50'!A:A, 'Nifty 50'!B:B, "")</f>
        <v>22337.3</v>
      </c>
      <c r="C1289" s="4">
        <f>_xlfn.XLOOKUP($A1289, Reliance!A:A, Reliance!B:B, "")</f>
        <v>1175.5999999999999</v>
      </c>
      <c r="D1289" s="4">
        <f>_xlfn.XLOOKUP($A1289, HDFC!A:A, HDFC!B:B, "")</f>
        <v>842.9</v>
      </c>
      <c r="E1289" s="4">
        <f>_xlfn.XLOOKUP($A1289, ITC!A:A, ITC!B:B, "")</f>
        <v>405.05</v>
      </c>
      <c r="F1289" s="4">
        <f>_xlfn.XLOOKUP($A1289, TCS!A:A, TCS!B:B, "")</f>
        <v>3547.05</v>
      </c>
      <c r="G1289" s="4">
        <f>_xlfn.XLOOKUP($A1289, Infosys!A:A, Infosys!B:B,"")</f>
        <v>1711.5</v>
      </c>
      <c r="H1289" s="4">
        <f>_xlfn.XLOOKUP($A1289, 'L &amp; T'!A:A, 'L &amp; T'!B:B, "")</f>
        <v>3239.65</v>
      </c>
    </row>
    <row r="1290" spans="1:8" x14ac:dyDescent="0.3">
      <c r="A1290" s="1">
        <v>45722</v>
      </c>
      <c r="B1290" s="4">
        <f>_xlfn.XLOOKUP($A1290, 'Nifty 50'!A:A, 'Nifty 50'!B:B, "")</f>
        <v>22544.7</v>
      </c>
      <c r="C1290" s="4">
        <f>_xlfn.XLOOKUP($A1290, Reliance!A:A, Reliance!B:B, "")</f>
        <v>1209.5999999999999</v>
      </c>
      <c r="D1290" s="4">
        <f>_xlfn.XLOOKUP($A1290, HDFC!A:A, HDFC!B:B, "")</f>
        <v>843.5</v>
      </c>
      <c r="E1290" s="4">
        <f>_xlfn.XLOOKUP($A1290, ITC!A:A, ITC!B:B, "")</f>
        <v>405.7</v>
      </c>
      <c r="F1290" s="4">
        <f>_xlfn.XLOOKUP($A1290, TCS!A:A, TCS!B:B, "")</f>
        <v>3601.6</v>
      </c>
      <c r="G1290" s="4">
        <f>_xlfn.XLOOKUP($A1290, Infosys!A:A, Infosys!B:B,"")</f>
        <v>1715.85</v>
      </c>
      <c r="H1290" s="4">
        <f>_xlfn.XLOOKUP($A1290, 'L &amp; T'!A:A, 'L &amp; T'!B:B, "")</f>
        <v>3259.9</v>
      </c>
    </row>
    <row r="1291" spans="1:8" x14ac:dyDescent="0.3">
      <c r="A1291" s="1">
        <v>45723</v>
      </c>
      <c r="B1291" s="4">
        <f>_xlfn.XLOOKUP($A1291, 'Nifty 50'!A:A, 'Nifty 50'!B:B, "")</f>
        <v>22552.5</v>
      </c>
      <c r="C1291" s="4">
        <f>_xlfn.XLOOKUP($A1291, Reliance!A:A, Reliance!B:B, "")</f>
        <v>1249.8</v>
      </c>
      <c r="D1291" s="4">
        <f>_xlfn.XLOOKUP($A1291, HDFC!A:A, HDFC!B:B, "")</f>
        <v>842.53</v>
      </c>
      <c r="E1291" s="4">
        <f>_xlfn.XLOOKUP($A1291, ITC!A:A, ITC!B:B, "")</f>
        <v>403.9</v>
      </c>
      <c r="F1291" s="4">
        <f>_xlfn.XLOOKUP($A1291, TCS!A:A, TCS!B:B, "")</f>
        <v>3611.2</v>
      </c>
      <c r="G1291" s="4">
        <f>_xlfn.XLOOKUP($A1291, Infosys!A:A, Infosys!B:B,"")</f>
        <v>1686</v>
      </c>
      <c r="H1291" s="4">
        <f>_xlfn.XLOOKUP($A1291, 'L &amp; T'!A:A, 'L &amp; T'!B:B, "")</f>
        <v>3244.7</v>
      </c>
    </row>
    <row r="1292" spans="1:8" x14ac:dyDescent="0.3">
      <c r="A1292" s="1">
        <v>45726</v>
      </c>
      <c r="B1292" s="4">
        <f>_xlfn.XLOOKUP($A1292, 'Nifty 50'!A:A, 'Nifty 50'!B:B, "")</f>
        <v>22460.3</v>
      </c>
      <c r="C1292" s="4">
        <f>_xlfn.XLOOKUP($A1292, Reliance!A:A, Reliance!B:B, "")</f>
        <v>1238.4000000000001</v>
      </c>
      <c r="D1292" s="4">
        <f>_xlfn.XLOOKUP($A1292, HDFC!A:A, HDFC!B:B, "")</f>
        <v>841.66</v>
      </c>
      <c r="E1292" s="4">
        <f>_xlfn.XLOOKUP($A1292, ITC!A:A, ITC!B:B, "")</f>
        <v>405</v>
      </c>
      <c r="F1292" s="4">
        <f>_xlfn.XLOOKUP($A1292, TCS!A:A, TCS!B:B, "")</f>
        <v>3589.65</v>
      </c>
      <c r="G1292" s="4">
        <f>_xlfn.XLOOKUP($A1292, Infosys!A:A, Infosys!B:B,"")</f>
        <v>1701.45</v>
      </c>
      <c r="H1292" s="4">
        <f>_xlfn.XLOOKUP($A1292, 'L &amp; T'!A:A, 'L &amp; T'!B:B, "")</f>
        <v>3177.7</v>
      </c>
    </row>
    <row r="1293" spans="1:8" x14ac:dyDescent="0.3">
      <c r="A1293" s="1">
        <v>45727</v>
      </c>
      <c r="B1293" s="4">
        <f>_xlfn.XLOOKUP($A1293, 'Nifty 50'!A:A, 'Nifty 50'!B:B, "")</f>
        <v>22497.9</v>
      </c>
      <c r="C1293" s="4">
        <f>_xlfn.XLOOKUP($A1293, Reliance!A:A, Reliance!B:B, "")</f>
        <v>1247.3</v>
      </c>
      <c r="D1293" s="4">
        <f>_xlfn.XLOOKUP($A1293, HDFC!A:A, HDFC!B:B, "")</f>
        <v>840.66</v>
      </c>
      <c r="E1293" s="4">
        <f>_xlfn.XLOOKUP($A1293, ITC!A:A, ITC!B:B, "")</f>
        <v>406.2</v>
      </c>
      <c r="F1293" s="4">
        <f>_xlfn.XLOOKUP($A1293, TCS!A:A, TCS!B:B, "")</f>
        <v>3575.3</v>
      </c>
      <c r="G1293" s="4">
        <f>_xlfn.XLOOKUP($A1293, Infosys!A:A, Infosys!B:B,"")</f>
        <v>1661.6</v>
      </c>
      <c r="H1293" s="4">
        <f>_xlfn.XLOOKUP($A1293, 'L &amp; T'!A:A, 'L &amp; T'!B:B, "")</f>
        <v>3195.45</v>
      </c>
    </row>
    <row r="1294" spans="1:8" x14ac:dyDescent="0.3">
      <c r="A1294" s="1">
        <v>45728</v>
      </c>
      <c r="B1294" s="4">
        <f>_xlfn.XLOOKUP($A1294, 'Nifty 50'!A:A, 'Nifty 50'!B:B, "")</f>
        <v>22470.5</v>
      </c>
      <c r="C1294" s="4">
        <f>_xlfn.XLOOKUP($A1294, Reliance!A:A, Reliance!B:B, "")</f>
        <v>1257.05</v>
      </c>
      <c r="D1294" s="4">
        <f>_xlfn.XLOOKUP($A1294, HDFC!A:A, HDFC!B:B, "")</f>
        <v>853.45</v>
      </c>
      <c r="E1294" s="4">
        <f>_xlfn.XLOOKUP($A1294, ITC!A:A, ITC!B:B, "")</f>
        <v>412.4</v>
      </c>
      <c r="F1294" s="4">
        <f>_xlfn.XLOOKUP($A1294, TCS!A:A, TCS!B:B, "")</f>
        <v>3506.2</v>
      </c>
      <c r="G1294" s="4">
        <f>_xlfn.XLOOKUP($A1294, Infosys!A:A, Infosys!B:B,"")</f>
        <v>1590.85</v>
      </c>
      <c r="H1294" s="4">
        <f>_xlfn.XLOOKUP($A1294, 'L &amp; T'!A:A, 'L &amp; T'!B:B, "")</f>
        <v>3193.65</v>
      </c>
    </row>
    <row r="1295" spans="1:8" x14ac:dyDescent="0.3">
      <c r="A1295" s="1">
        <v>45729</v>
      </c>
      <c r="B1295" s="4">
        <f>_xlfn.XLOOKUP($A1295, 'Nifty 50'!A:A, 'Nifty 50'!B:B, "")</f>
        <v>22397.200000000001</v>
      </c>
      <c r="C1295" s="4">
        <f>_xlfn.XLOOKUP($A1295, Reliance!A:A, Reliance!B:B, "")</f>
        <v>1247.9000000000001</v>
      </c>
      <c r="D1295" s="4">
        <f>_xlfn.XLOOKUP($A1295, HDFC!A:A, HDFC!B:B, "")</f>
        <v>851.18</v>
      </c>
      <c r="E1295" s="4">
        <f>_xlfn.XLOOKUP($A1295, ITC!A:A, ITC!B:B, "")</f>
        <v>412.05</v>
      </c>
      <c r="F1295" s="4">
        <f>_xlfn.XLOOKUP($A1295, TCS!A:A, TCS!B:B, "")</f>
        <v>3511.05</v>
      </c>
      <c r="G1295" s="4">
        <f>_xlfn.XLOOKUP($A1295, Infosys!A:A, Infosys!B:B,"")</f>
        <v>1579.85</v>
      </c>
      <c r="H1295" s="4">
        <f>_xlfn.XLOOKUP($A1295, 'L &amp; T'!A:A, 'L &amp; T'!B:B, "")</f>
        <v>3187.3</v>
      </c>
    </row>
    <row r="1296" spans="1:8" x14ac:dyDescent="0.3">
      <c r="A1296" s="1">
        <v>45733</v>
      </c>
      <c r="B1296" s="4">
        <f>_xlfn.XLOOKUP($A1296, 'Nifty 50'!A:A, 'Nifty 50'!B:B, "")</f>
        <v>22508.75</v>
      </c>
      <c r="C1296" s="4">
        <f>_xlfn.XLOOKUP($A1296, Reliance!A:A, Reliance!B:B, "")</f>
        <v>1238.8499999999999</v>
      </c>
      <c r="D1296" s="4">
        <f>_xlfn.XLOOKUP($A1296, HDFC!A:A, HDFC!B:B, "")</f>
        <v>853.08</v>
      </c>
      <c r="E1296" s="4">
        <f>_xlfn.XLOOKUP($A1296, ITC!A:A, ITC!B:B, "")</f>
        <v>407.95</v>
      </c>
      <c r="F1296" s="4">
        <f>_xlfn.XLOOKUP($A1296, TCS!A:A, TCS!B:B, "")</f>
        <v>3497.7</v>
      </c>
      <c r="G1296" s="4">
        <f>_xlfn.XLOOKUP($A1296, Infosys!A:A, Infosys!B:B,"")</f>
        <v>1590.05</v>
      </c>
      <c r="H1296" s="4">
        <f>_xlfn.XLOOKUP($A1296, 'L &amp; T'!A:A, 'L &amp; T'!B:B, "")</f>
        <v>3173.45</v>
      </c>
    </row>
    <row r="1297" spans="1:8" x14ac:dyDescent="0.3">
      <c r="A1297" s="1">
        <v>45734</v>
      </c>
      <c r="B1297" s="4">
        <f>_xlfn.XLOOKUP($A1297, 'Nifty 50'!A:A, 'Nifty 50'!B:B, "")</f>
        <v>22834.3</v>
      </c>
      <c r="C1297" s="4">
        <f>_xlfn.XLOOKUP($A1297, Reliance!A:A, Reliance!B:B, "")</f>
        <v>1238.8</v>
      </c>
      <c r="D1297" s="4">
        <f>_xlfn.XLOOKUP($A1297, HDFC!A:A, HDFC!B:B, "")</f>
        <v>863.95</v>
      </c>
      <c r="E1297" s="4">
        <f>_xlfn.XLOOKUP($A1297, ITC!A:A, ITC!B:B, "")</f>
        <v>409.1</v>
      </c>
      <c r="F1297" s="4">
        <f>_xlfn.XLOOKUP($A1297, TCS!A:A, TCS!B:B, "")</f>
        <v>3552.45</v>
      </c>
      <c r="G1297" s="4">
        <f>_xlfn.XLOOKUP($A1297, Infosys!A:A, Infosys!B:B,"")</f>
        <v>1609.35</v>
      </c>
      <c r="H1297" s="4">
        <f>_xlfn.XLOOKUP($A1297, 'L &amp; T'!A:A, 'L &amp; T'!B:B, "")</f>
        <v>3270.7</v>
      </c>
    </row>
    <row r="1298" spans="1:8" x14ac:dyDescent="0.3">
      <c r="A1298" s="1">
        <v>45735</v>
      </c>
      <c r="B1298" s="4">
        <f>_xlfn.XLOOKUP($A1298, 'Nifty 50'!A:A, 'Nifty 50'!B:B, "")</f>
        <v>22907.599999999999</v>
      </c>
      <c r="C1298" s="4">
        <f>_xlfn.XLOOKUP($A1298, Reliance!A:A, Reliance!B:B, "")</f>
        <v>1247.1500000000001</v>
      </c>
      <c r="D1298" s="4">
        <f>_xlfn.XLOOKUP($A1298, HDFC!A:A, HDFC!B:B, "")</f>
        <v>869.89</v>
      </c>
      <c r="E1298" s="4">
        <f>_xlfn.XLOOKUP($A1298, ITC!A:A, ITC!B:B, "")</f>
        <v>403.05</v>
      </c>
      <c r="F1298" s="4">
        <f>_xlfn.XLOOKUP($A1298, TCS!A:A, TCS!B:B, "")</f>
        <v>3497.1</v>
      </c>
      <c r="G1298" s="4">
        <f>_xlfn.XLOOKUP($A1298, Infosys!A:A, Infosys!B:B,"")</f>
        <v>1586.55</v>
      </c>
      <c r="H1298" s="4">
        <f>_xlfn.XLOOKUP($A1298, 'L &amp; T'!A:A, 'L &amp; T'!B:B, "")</f>
        <v>3319.55</v>
      </c>
    </row>
    <row r="1299" spans="1:8" x14ac:dyDescent="0.3">
      <c r="A1299" s="1">
        <v>45736</v>
      </c>
      <c r="B1299" s="4">
        <f>_xlfn.XLOOKUP($A1299, 'Nifty 50'!A:A, 'Nifty 50'!B:B, "")</f>
        <v>23190.65</v>
      </c>
      <c r="C1299" s="4">
        <f>_xlfn.XLOOKUP($A1299, Reliance!A:A, Reliance!B:B, "")</f>
        <v>1269.1500000000001</v>
      </c>
      <c r="D1299" s="4">
        <f>_xlfn.XLOOKUP($A1299, HDFC!A:A, HDFC!B:B, "")</f>
        <v>882.18</v>
      </c>
      <c r="E1299" s="4">
        <f>_xlfn.XLOOKUP($A1299, ITC!A:A, ITC!B:B, "")</f>
        <v>403.95</v>
      </c>
      <c r="F1299" s="4">
        <f>_xlfn.XLOOKUP($A1299, TCS!A:A, TCS!B:B, "")</f>
        <v>3563.15</v>
      </c>
      <c r="G1299" s="4">
        <f>_xlfn.XLOOKUP($A1299, Infosys!A:A, Infosys!B:B,"")</f>
        <v>1615.55</v>
      </c>
      <c r="H1299" s="4">
        <f>_xlfn.XLOOKUP($A1299, 'L &amp; T'!A:A, 'L &amp; T'!B:B, "")</f>
        <v>3351.05</v>
      </c>
    </row>
    <row r="1300" spans="1:8" x14ac:dyDescent="0.3">
      <c r="A1300" s="1">
        <v>45737</v>
      </c>
      <c r="B1300" s="4">
        <f>_xlfn.XLOOKUP($A1300, 'Nifty 50'!A:A, 'Nifty 50'!B:B, "")</f>
        <v>23350.400000000001</v>
      </c>
      <c r="C1300" s="4">
        <f>_xlfn.XLOOKUP($A1300, Reliance!A:A, Reliance!B:B, "")</f>
        <v>1276.3499999999999</v>
      </c>
      <c r="D1300" s="4">
        <f>_xlfn.XLOOKUP($A1300, HDFC!A:A, HDFC!B:B, "")</f>
        <v>882.98</v>
      </c>
      <c r="E1300" s="4">
        <f>_xlfn.XLOOKUP($A1300, ITC!A:A, ITC!B:B, "")</f>
        <v>405.55</v>
      </c>
      <c r="F1300" s="4">
        <f>_xlfn.XLOOKUP($A1300, TCS!A:A, TCS!B:B, "")</f>
        <v>3578.1</v>
      </c>
      <c r="G1300" s="4">
        <f>_xlfn.XLOOKUP($A1300, Infosys!A:A, Infosys!B:B,"")</f>
        <v>1592.55</v>
      </c>
      <c r="H1300" s="4">
        <f>_xlfn.XLOOKUP($A1300, 'L &amp; T'!A:A, 'L &amp; T'!B:B, "")</f>
        <v>3415.95</v>
      </c>
    </row>
    <row r="1301" spans="1:8" x14ac:dyDescent="0.3">
      <c r="A1301" s="1">
        <v>45740</v>
      </c>
      <c r="B1301" s="4">
        <f>_xlfn.XLOOKUP($A1301, 'Nifty 50'!A:A, 'Nifty 50'!B:B, "")</f>
        <v>23658.35</v>
      </c>
      <c r="C1301" s="4">
        <f>_xlfn.XLOOKUP($A1301, Reliance!A:A, Reliance!B:B, "")</f>
        <v>1302.0999999999999</v>
      </c>
      <c r="D1301" s="4">
        <f>_xlfn.XLOOKUP($A1301, HDFC!A:A, HDFC!B:B, "")</f>
        <v>897.77</v>
      </c>
      <c r="E1301" s="4">
        <f>_xlfn.XLOOKUP($A1301, ITC!A:A, ITC!B:B, "")</f>
        <v>410.9</v>
      </c>
      <c r="F1301" s="4">
        <f>_xlfn.XLOOKUP($A1301, TCS!A:A, TCS!B:B, "")</f>
        <v>3628.95</v>
      </c>
      <c r="G1301" s="4">
        <f>_xlfn.XLOOKUP($A1301, Infosys!A:A, Infosys!B:B,"")</f>
        <v>1592.75</v>
      </c>
      <c r="H1301" s="4">
        <f>_xlfn.XLOOKUP($A1301, 'L &amp; T'!A:A, 'L &amp; T'!B:B, "")</f>
        <v>3481.85</v>
      </c>
    </row>
    <row r="1302" spans="1:8" x14ac:dyDescent="0.3">
      <c r="A1302" s="1">
        <v>45741</v>
      </c>
      <c r="B1302" s="4">
        <f>_xlfn.XLOOKUP($A1302, 'Nifty 50'!A:A, 'Nifty 50'!B:B, "")</f>
        <v>23668.65</v>
      </c>
      <c r="C1302" s="4">
        <f>_xlfn.XLOOKUP($A1302, Reliance!A:A, Reliance!B:B, "")</f>
        <v>1285.45</v>
      </c>
      <c r="D1302" s="4">
        <f>_xlfn.XLOOKUP($A1302, HDFC!A:A, HDFC!B:B, "")</f>
        <v>908.46</v>
      </c>
      <c r="E1302" s="4">
        <f>_xlfn.XLOOKUP($A1302, ITC!A:A, ITC!B:B, "")</f>
        <v>409.8</v>
      </c>
      <c r="F1302" s="4">
        <f>_xlfn.XLOOKUP($A1302, TCS!A:A, TCS!B:B, "")</f>
        <v>3657.75</v>
      </c>
      <c r="G1302" s="4">
        <f>_xlfn.XLOOKUP($A1302, Infosys!A:A, Infosys!B:B,"")</f>
        <v>1628.45</v>
      </c>
      <c r="H1302" s="4">
        <f>_xlfn.XLOOKUP($A1302, 'L &amp; T'!A:A, 'L &amp; T'!B:B, "")</f>
        <v>3469.6</v>
      </c>
    </row>
    <row r="1303" spans="1:8" x14ac:dyDescent="0.3">
      <c r="A1303" s="1">
        <v>45742</v>
      </c>
      <c r="B1303" s="4">
        <f>_xlfn.XLOOKUP($A1303, 'Nifty 50'!A:A, 'Nifty 50'!B:B, "")</f>
        <v>23486.85</v>
      </c>
      <c r="C1303" s="4">
        <f>_xlfn.XLOOKUP($A1303, Reliance!A:A, Reliance!B:B, "")</f>
        <v>1273.05</v>
      </c>
      <c r="D1303" s="4">
        <f>_xlfn.XLOOKUP($A1303, HDFC!A:A, HDFC!B:B, "")</f>
        <v>901.03</v>
      </c>
      <c r="E1303" s="4">
        <f>_xlfn.XLOOKUP($A1303, ITC!A:A, ITC!B:B, "")</f>
        <v>407.35</v>
      </c>
      <c r="F1303" s="4">
        <f>_xlfn.XLOOKUP($A1303, TCS!A:A, TCS!B:B, "")</f>
        <v>3635.8</v>
      </c>
      <c r="G1303" s="4">
        <f>_xlfn.XLOOKUP($A1303, Infosys!A:A, Infosys!B:B,"")</f>
        <v>1599.45</v>
      </c>
      <c r="H1303" s="4">
        <f>_xlfn.XLOOKUP($A1303, 'L &amp; T'!A:A, 'L &amp; T'!B:B, "")</f>
        <v>3444.8</v>
      </c>
    </row>
    <row r="1304" spans="1:8" x14ac:dyDescent="0.3">
      <c r="A1304" s="1">
        <v>45743</v>
      </c>
      <c r="B1304" s="4">
        <f>_xlfn.XLOOKUP($A1304, 'Nifty 50'!A:A, 'Nifty 50'!B:B, "")</f>
        <v>23591.95</v>
      </c>
      <c r="C1304" s="4">
        <f>_xlfn.XLOOKUP($A1304, Reliance!A:A, Reliance!B:B, "")</f>
        <v>1278.2</v>
      </c>
      <c r="D1304" s="4">
        <f>_xlfn.XLOOKUP($A1304, HDFC!A:A, HDFC!B:B, "")</f>
        <v>910.41</v>
      </c>
      <c r="E1304" s="4">
        <f>_xlfn.XLOOKUP($A1304, ITC!A:A, ITC!B:B, "")</f>
        <v>409.45</v>
      </c>
      <c r="F1304" s="4">
        <f>_xlfn.XLOOKUP($A1304, TCS!A:A, TCS!B:B, "")</f>
        <v>3651.2</v>
      </c>
      <c r="G1304" s="4">
        <f>_xlfn.XLOOKUP($A1304, Infosys!A:A, Infosys!B:B,"")</f>
        <v>1603.55</v>
      </c>
      <c r="H1304" s="4">
        <f>_xlfn.XLOOKUP($A1304, 'L &amp; T'!A:A, 'L &amp; T'!B:B, "")</f>
        <v>3501.6</v>
      </c>
    </row>
    <row r="1305" spans="1:8" x14ac:dyDescent="0.3">
      <c r="A1305" s="1">
        <v>45744</v>
      </c>
      <c r="B1305" s="4">
        <f>_xlfn.XLOOKUP($A1305, 'Nifty 50'!A:A, 'Nifty 50'!B:B, "")</f>
        <v>23519.35</v>
      </c>
      <c r="C1305" s="4">
        <f>_xlfn.XLOOKUP($A1305, Reliance!A:A, Reliance!B:B, "")</f>
        <v>1275.0999999999999</v>
      </c>
      <c r="D1305" s="4">
        <f>_xlfn.XLOOKUP($A1305, HDFC!A:A, HDFC!B:B, "")</f>
        <v>911.83</v>
      </c>
      <c r="E1305" s="4">
        <f>_xlfn.XLOOKUP($A1305, ITC!A:A, ITC!B:B, "")</f>
        <v>409.75</v>
      </c>
      <c r="F1305" s="4">
        <f>_xlfn.XLOOKUP($A1305, TCS!A:A, TCS!B:B, "")</f>
        <v>3606.15</v>
      </c>
      <c r="G1305" s="4">
        <f>_xlfn.XLOOKUP($A1305, Infosys!A:A, Infosys!B:B,"")</f>
        <v>1570.65</v>
      </c>
      <c r="H1305" s="4">
        <f>_xlfn.XLOOKUP($A1305, 'L &amp; T'!A:A, 'L &amp; T'!B:B, "")</f>
        <v>3492.3</v>
      </c>
    </row>
    <row r="1306" spans="1:8" x14ac:dyDescent="0.3">
      <c r="A1306" s="1">
        <v>45748</v>
      </c>
      <c r="B1306" s="4">
        <f>_xlfn.XLOOKUP($A1306, 'Nifty 50'!A:A, 'Nifty 50'!B:B, "")</f>
        <v>23165.7</v>
      </c>
      <c r="C1306" s="4">
        <f>_xlfn.XLOOKUP($A1306, Reliance!A:A, Reliance!B:B, "")</f>
        <v>1252.5999999999999</v>
      </c>
      <c r="D1306" s="4">
        <f>_xlfn.XLOOKUP($A1306, HDFC!A:A, HDFC!B:B, "")</f>
        <v>881.73</v>
      </c>
      <c r="E1306" s="4">
        <f>_xlfn.XLOOKUP($A1306, ITC!A:A, ITC!B:B, "")</f>
        <v>406.65</v>
      </c>
      <c r="F1306" s="4">
        <f>_xlfn.XLOOKUP($A1306, TCS!A:A, TCS!B:B, "")</f>
        <v>3550.8</v>
      </c>
      <c r="G1306" s="4">
        <f>_xlfn.XLOOKUP($A1306, Infosys!A:A, Infosys!B:B,"")</f>
        <v>1526.5</v>
      </c>
      <c r="H1306" s="4">
        <f>_xlfn.XLOOKUP($A1306, 'L &amp; T'!A:A, 'L &amp; T'!B:B, "")</f>
        <v>3436.8</v>
      </c>
    </row>
    <row r="1307" spans="1:8" x14ac:dyDescent="0.3">
      <c r="A1307" s="1">
        <v>45749</v>
      </c>
      <c r="B1307" s="4">
        <f>_xlfn.XLOOKUP($A1307, 'Nifty 50'!A:A, 'Nifty 50'!B:B, "")</f>
        <v>23332.35</v>
      </c>
      <c r="C1307" s="4">
        <f>_xlfn.XLOOKUP($A1307, Reliance!A:A, Reliance!B:B, "")</f>
        <v>1251.1500000000001</v>
      </c>
      <c r="D1307" s="4">
        <f>_xlfn.XLOOKUP($A1307, HDFC!A:A, HDFC!B:B, "")</f>
        <v>896.22</v>
      </c>
      <c r="E1307" s="4">
        <f>_xlfn.XLOOKUP($A1307, ITC!A:A, ITC!B:B, "")</f>
        <v>409.05</v>
      </c>
      <c r="F1307" s="4">
        <f>_xlfn.XLOOKUP($A1307, TCS!A:A, TCS!B:B, "")</f>
        <v>3543.95</v>
      </c>
      <c r="G1307" s="4">
        <f>_xlfn.XLOOKUP($A1307, Infosys!A:A, Infosys!B:B,"")</f>
        <v>1550.15</v>
      </c>
      <c r="H1307" s="4">
        <f>_xlfn.XLOOKUP($A1307, 'L &amp; T'!A:A, 'L &amp; T'!B:B, "")</f>
        <v>3419.9</v>
      </c>
    </row>
    <row r="1308" spans="1:8" x14ac:dyDescent="0.3">
      <c r="A1308" s="1">
        <v>45750</v>
      </c>
      <c r="B1308" s="4">
        <f>_xlfn.XLOOKUP($A1308, 'Nifty 50'!A:A, 'Nifty 50'!B:B, "")</f>
        <v>23250.1</v>
      </c>
      <c r="C1308" s="4">
        <f>_xlfn.XLOOKUP($A1308, Reliance!A:A, Reliance!B:B, "")</f>
        <v>1248.7</v>
      </c>
      <c r="D1308" s="4">
        <f>_xlfn.XLOOKUP($A1308, HDFC!A:A, HDFC!B:B, "")</f>
        <v>895.2</v>
      </c>
      <c r="E1308" s="4">
        <f>_xlfn.XLOOKUP($A1308, ITC!A:A, ITC!B:B, "")</f>
        <v>409.4</v>
      </c>
      <c r="F1308" s="4">
        <f>_xlfn.XLOOKUP($A1308, TCS!A:A, TCS!B:B, "")</f>
        <v>3403.15</v>
      </c>
      <c r="G1308" s="4">
        <f>_xlfn.XLOOKUP($A1308, Infosys!A:A, Infosys!B:B,"")</f>
        <v>1496.5</v>
      </c>
      <c r="H1308" s="4">
        <f>_xlfn.XLOOKUP($A1308, 'L &amp; T'!A:A, 'L &amp; T'!B:B, "")</f>
        <v>3420.15</v>
      </c>
    </row>
    <row r="1309" spans="1:8" x14ac:dyDescent="0.3">
      <c r="A1309" s="1">
        <v>45751</v>
      </c>
      <c r="B1309" s="4">
        <f>_xlfn.XLOOKUP($A1309, 'Nifty 50'!A:A, 'Nifty 50'!B:B, "")</f>
        <v>22904.45</v>
      </c>
      <c r="C1309" s="4">
        <f>_xlfn.XLOOKUP($A1309, Reliance!A:A, Reliance!B:B, "")</f>
        <v>1204.7</v>
      </c>
      <c r="D1309" s="4">
        <f>_xlfn.XLOOKUP($A1309, HDFC!A:A, HDFC!B:B, "")</f>
        <v>906.39</v>
      </c>
      <c r="E1309" s="4">
        <f>_xlfn.XLOOKUP($A1309, ITC!A:A, ITC!B:B, "")</f>
        <v>409.7</v>
      </c>
      <c r="F1309" s="4">
        <f>_xlfn.XLOOKUP($A1309, TCS!A:A, TCS!B:B, "")</f>
        <v>3299.4</v>
      </c>
      <c r="G1309" s="4">
        <f>_xlfn.XLOOKUP($A1309, Infosys!A:A, Infosys!B:B,"")</f>
        <v>1451.65</v>
      </c>
      <c r="H1309" s="4">
        <f>_xlfn.XLOOKUP($A1309, 'L &amp; T'!A:A, 'L &amp; T'!B:B, "")</f>
        <v>3260.15</v>
      </c>
    </row>
    <row r="1310" spans="1:8" x14ac:dyDescent="0.3">
      <c r="A1310" s="1">
        <v>45754</v>
      </c>
      <c r="B1310" s="4">
        <f>_xlfn.XLOOKUP($A1310, 'Nifty 50'!A:A, 'Nifty 50'!B:B, "")</f>
        <v>22161.599999999999</v>
      </c>
      <c r="C1310" s="4">
        <f>_xlfn.XLOOKUP($A1310, Reliance!A:A, Reliance!B:B, "")</f>
        <v>1165.7</v>
      </c>
      <c r="D1310" s="4">
        <f>_xlfn.XLOOKUP($A1310, HDFC!A:A, HDFC!B:B, "")</f>
        <v>876.67</v>
      </c>
      <c r="E1310" s="4">
        <f>_xlfn.XLOOKUP($A1310, ITC!A:A, ITC!B:B, "")</f>
        <v>406.05</v>
      </c>
      <c r="F1310" s="4">
        <f>_xlfn.XLOOKUP($A1310, TCS!A:A, TCS!B:B, "")</f>
        <v>3274.05</v>
      </c>
      <c r="G1310" s="4">
        <f>_xlfn.XLOOKUP($A1310, Infosys!A:A, Infosys!B:B,"")</f>
        <v>1396.75</v>
      </c>
      <c r="H1310" s="4">
        <f>_xlfn.XLOOKUP($A1310, 'L &amp; T'!A:A, 'L &amp; T'!B:B, "")</f>
        <v>3068.5</v>
      </c>
    </row>
    <row r="1311" spans="1:8" x14ac:dyDescent="0.3">
      <c r="A1311" s="1">
        <v>45755</v>
      </c>
      <c r="B1311" s="4">
        <f>_xlfn.XLOOKUP($A1311, 'Nifty 50'!A:A, 'Nifty 50'!B:B, "")</f>
        <v>22535.85</v>
      </c>
      <c r="C1311" s="4">
        <f>_xlfn.XLOOKUP($A1311, Reliance!A:A, Reliance!B:B, "")</f>
        <v>1182.2</v>
      </c>
      <c r="D1311" s="4">
        <f>_xlfn.XLOOKUP($A1311, HDFC!A:A, HDFC!B:B, "")</f>
        <v>882.38</v>
      </c>
      <c r="E1311" s="4">
        <f>_xlfn.XLOOKUP($A1311, ITC!A:A, ITC!B:B, "")</f>
        <v>412.55</v>
      </c>
      <c r="F1311" s="4">
        <f>_xlfn.XLOOKUP($A1311, TCS!A:A, TCS!B:B, "")</f>
        <v>3292.95</v>
      </c>
      <c r="G1311" s="4">
        <f>_xlfn.XLOOKUP($A1311, Infosys!A:A, Infosys!B:B,"")</f>
        <v>1428.8</v>
      </c>
      <c r="H1311" s="4">
        <f>_xlfn.XLOOKUP($A1311, 'L &amp; T'!A:A, 'L &amp; T'!B:B, "")</f>
        <v>3161.1</v>
      </c>
    </row>
    <row r="1312" spans="1:8" x14ac:dyDescent="0.3">
      <c r="A1312" s="1">
        <v>45756</v>
      </c>
      <c r="B1312" s="4">
        <f>_xlfn.XLOOKUP($A1312, 'Nifty 50'!A:A, 'Nifty 50'!B:B, "")</f>
        <v>22399.15</v>
      </c>
      <c r="C1312" s="4">
        <f>_xlfn.XLOOKUP($A1312, Reliance!A:A, Reliance!B:B, "")</f>
        <v>1185.3499999999999</v>
      </c>
      <c r="D1312" s="4">
        <f>_xlfn.XLOOKUP($A1312, HDFC!A:A, HDFC!B:B, "")</f>
        <v>880.31</v>
      </c>
      <c r="E1312" s="4">
        <f>_xlfn.XLOOKUP($A1312, ITC!A:A, ITC!B:B, "")</f>
        <v>416.3</v>
      </c>
      <c r="F1312" s="4">
        <f>_xlfn.XLOOKUP($A1312, TCS!A:A, TCS!B:B, "")</f>
        <v>3246.6</v>
      </c>
      <c r="G1312" s="4">
        <f>_xlfn.XLOOKUP($A1312, Infosys!A:A, Infosys!B:B,"")</f>
        <v>1403.7</v>
      </c>
      <c r="H1312" s="4">
        <f>_xlfn.XLOOKUP($A1312, 'L &amp; T'!A:A, 'L &amp; T'!B:B, "")</f>
        <v>3054.15</v>
      </c>
    </row>
    <row r="1313" spans="1:8" x14ac:dyDescent="0.3">
      <c r="A1313" s="1">
        <v>45758</v>
      </c>
      <c r="B1313" s="4">
        <f>_xlfn.XLOOKUP($A1313, 'Nifty 50'!A:A, 'Nifty 50'!B:B, "")</f>
        <v>22828.55</v>
      </c>
      <c r="C1313" s="4">
        <f>_xlfn.XLOOKUP($A1313, Reliance!A:A, Reliance!B:B, "")</f>
        <v>1218.95</v>
      </c>
      <c r="D1313" s="4">
        <f>_xlfn.XLOOKUP($A1313, HDFC!A:A, HDFC!B:B, "")</f>
        <v>901.13</v>
      </c>
      <c r="E1313" s="4">
        <f>_xlfn.XLOOKUP($A1313, ITC!A:A, ITC!B:B, "")</f>
        <v>421.55</v>
      </c>
      <c r="F1313" s="4">
        <f>_xlfn.XLOOKUP($A1313, TCS!A:A, TCS!B:B, "")</f>
        <v>3231.5</v>
      </c>
      <c r="G1313" s="4">
        <f>_xlfn.XLOOKUP($A1313, Infosys!A:A, Infosys!B:B,"")</f>
        <v>1409.45</v>
      </c>
      <c r="H1313" s="4">
        <f>_xlfn.XLOOKUP($A1313, 'L &amp; T'!A:A, 'L &amp; T'!B:B, "")</f>
        <v>3115.95</v>
      </c>
    </row>
    <row r="1314" spans="1:8" x14ac:dyDescent="0.3">
      <c r="A1314" s="1">
        <v>45762</v>
      </c>
      <c r="B1314" s="4">
        <f>_xlfn.XLOOKUP($A1314, 'Nifty 50'!A:A, 'Nifty 50'!B:B, "")</f>
        <v>23328.55</v>
      </c>
      <c r="C1314" s="4">
        <f>_xlfn.XLOOKUP($A1314, Reliance!A:A, Reliance!B:B, "")</f>
        <v>1240.0999999999999</v>
      </c>
      <c r="D1314" s="4">
        <f>_xlfn.XLOOKUP($A1314, HDFC!A:A, HDFC!B:B, "")</f>
        <v>930.14</v>
      </c>
      <c r="E1314" s="4">
        <f>_xlfn.XLOOKUP($A1314, ITC!A:A, ITC!B:B, "")</f>
        <v>420.4</v>
      </c>
      <c r="F1314" s="4">
        <f>_xlfn.XLOOKUP($A1314, TCS!A:A, TCS!B:B, "")</f>
        <v>3248.2</v>
      </c>
      <c r="G1314" s="4">
        <f>_xlfn.XLOOKUP($A1314, Infosys!A:A, Infosys!B:B,"")</f>
        <v>1426</v>
      </c>
      <c r="H1314" s="4">
        <f>_xlfn.XLOOKUP($A1314, 'L &amp; T'!A:A, 'L &amp; T'!B:B, "")</f>
        <v>3257.6</v>
      </c>
    </row>
    <row r="1315" spans="1:8" x14ac:dyDescent="0.3">
      <c r="A1315" s="1">
        <v>45763</v>
      </c>
      <c r="B1315" s="4">
        <f>_xlfn.XLOOKUP($A1315, 'Nifty 50'!A:A, 'Nifty 50'!B:B, "")</f>
        <v>23437.200000000001</v>
      </c>
      <c r="C1315" s="4">
        <f>_xlfn.XLOOKUP($A1315, Reliance!A:A, Reliance!B:B, "")</f>
        <v>1239.3</v>
      </c>
      <c r="D1315" s="4">
        <f>_xlfn.XLOOKUP($A1315, HDFC!A:A, HDFC!B:B, "")</f>
        <v>936.67</v>
      </c>
      <c r="E1315" s="4">
        <f>_xlfn.XLOOKUP($A1315, ITC!A:A, ITC!B:B, "")</f>
        <v>424.45</v>
      </c>
      <c r="F1315" s="4">
        <f>_xlfn.XLOOKUP($A1315, TCS!A:A, TCS!B:B, "")</f>
        <v>3273.8</v>
      </c>
      <c r="G1315" s="4">
        <f>_xlfn.XLOOKUP($A1315, Infosys!A:A, Infosys!B:B,"")</f>
        <v>1413.1</v>
      </c>
      <c r="H1315" s="4">
        <f>_xlfn.XLOOKUP($A1315, 'L &amp; T'!A:A, 'L &amp; T'!B:B, "")</f>
        <v>3227.7</v>
      </c>
    </row>
    <row r="1316" spans="1:8" x14ac:dyDescent="0.3">
      <c r="A1316" s="1">
        <v>45764</v>
      </c>
      <c r="B1316" s="4">
        <f>_xlfn.XLOOKUP($A1316, 'Nifty 50'!A:A, 'Nifty 50'!B:B, "")</f>
        <v>23851.65</v>
      </c>
      <c r="C1316" s="4">
        <f>_xlfn.XLOOKUP($A1316, Reliance!A:A, Reliance!B:B, "")</f>
        <v>1274.5</v>
      </c>
      <c r="D1316" s="4">
        <f>_xlfn.XLOOKUP($A1316, HDFC!A:A, HDFC!B:B, "")</f>
        <v>950.98</v>
      </c>
      <c r="E1316" s="4">
        <f>_xlfn.XLOOKUP($A1316, ITC!A:A, ITC!B:B, "")</f>
        <v>427.25</v>
      </c>
      <c r="F1316" s="4">
        <f>_xlfn.XLOOKUP($A1316, TCS!A:A, TCS!B:B, "")</f>
        <v>3298.9</v>
      </c>
      <c r="G1316" s="4">
        <f>_xlfn.XLOOKUP($A1316, Infosys!A:A, Infosys!B:B,"")</f>
        <v>1419.5</v>
      </c>
      <c r="H1316" s="4">
        <f>_xlfn.XLOOKUP($A1316, 'L &amp; T'!A:A, 'L &amp; T'!B:B, "")</f>
        <v>3247.3</v>
      </c>
    </row>
    <row r="1317" spans="1:8" x14ac:dyDescent="0.3">
      <c r="A1317" s="1">
        <v>45768</v>
      </c>
      <c r="B1317" s="4">
        <f>_xlfn.XLOOKUP($A1317, 'Nifty 50'!A:A, 'Nifty 50'!B:B, "")</f>
        <v>24125.55</v>
      </c>
      <c r="C1317" s="4">
        <f>_xlfn.XLOOKUP($A1317, Reliance!A:A, Reliance!B:B, "")</f>
        <v>1295.5</v>
      </c>
      <c r="D1317" s="4">
        <f>_xlfn.XLOOKUP($A1317, HDFC!A:A, HDFC!B:B, "")</f>
        <v>961.16</v>
      </c>
      <c r="E1317" s="4">
        <f>_xlfn.XLOOKUP($A1317, ITC!A:A, ITC!B:B, "")</f>
        <v>422.85</v>
      </c>
      <c r="F1317" s="4">
        <f>_xlfn.XLOOKUP($A1317, TCS!A:A, TCS!B:B, "")</f>
        <v>3321.6</v>
      </c>
      <c r="G1317" s="4">
        <f>_xlfn.XLOOKUP($A1317, Infosys!A:A, Infosys!B:B,"")</f>
        <v>1451</v>
      </c>
      <c r="H1317" s="4">
        <f>_xlfn.XLOOKUP($A1317, 'L &amp; T'!A:A, 'L &amp; T'!B:B, "")</f>
        <v>3280.5</v>
      </c>
    </row>
    <row r="1318" spans="1:8" x14ac:dyDescent="0.3">
      <c r="A1318" s="1">
        <v>45769</v>
      </c>
      <c r="B1318" s="4">
        <f>_xlfn.XLOOKUP($A1318, 'Nifty 50'!A:A, 'Nifty 50'!B:B, "")</f>
        <v>24167.25</v>
      </c>
      <c r="C1318" s="4">
        <f>_xlfn.XLOOKUP($A1318, Reliance!A:A, Reliance!B:B, "")</f>
        <v>1291.2</v>
      </c>
      <c r="D1318" s="4">
        <f>_xlfn.XLOOKUP($A1318, HDFC!A:A, HDFC!B:B, "")</f>
        <v>978.42</v>
      </c>
      <c r="E1318" s="4">
        <f>_xlfn.XLOOKUP($A1318, ITC!A:A, ITC!B:B, "")</f>
        <v>433.6</v>
      </c>
      <c r="F1318" s="4">
        <f>_xlfn.XLOOKUP($A1318, TCS!A:A, TCS!B:B, "")</f>
        <v>3314.4</v>
      </c>
      <c r="G1318" s="4">
        <f>_xlfn.XLOOKUP($A1318, Infosys!A:A, Infosys!B:B,"")</f>
        <v>1422.8</v>
      </c>
      <c r="H1318" s="4">
        <f>_xlfn.XLOOKUP($A1318, 'L &amp; T'!A:A, 'L &amp; T'!B:B, "")</f>
        <v>3257.8</v>
      </c>
    </row>
    <row r="1319" spans="1:8" x14ac:dyDescent="0.3">
      <c r="A1319" s="1">
        <v>45770</v>
      </c>
      <c r="B1319" s="4">
        <f>_xlfn.XLOOKUP($A1319, 'Nifty 50'!A:A, 'Nifty 50'!B:B, "")</f>
        <v>24328.95</v>
      </c>
      <c r="C1319" s="4">
        <f>_xlfn.XLOOKUP($A1319, Reliance!A:A, Reliance!B:B, "")</f>
        <v>1300</v>
      </c>
      <c r="D1319" s="4">
        <f>_xlfn.XLOOKUP($A1319, HDFC!A:A, HDFC!B:B, "")</f>
        <v>959.56</v>
      </c>
      <c r="E1319" s="4">
        <f>_xlfn.XLOOKUP($A1319, ITC!A:A, ITC!B:B, "")</f>
        <v>430.85</v>
      </c>
      <c r="F1319" s="4">
        <f>_xlfn.XLOOKUP($A1319, TCS!A:A, TCS!B:B, "")</f>
        <v>3413</v>
      </c>
      <c r="G1319" s="4">
        <f>_xlfn.XLOOKUP($A1319, Infosys!A:A, Infosys!B:B,"")</f>
        <v>1474.9</v>
      </c>
      <c r="H1319" s="4">
        <f>_xlfn.XLOOKUP($A1319, 'L &amp; T'!A:A, 'L &amp; T'!B:B, "")</f>
        <v>3301</v>
      </c>
    </row>
    <row r="1320" spans="1:8" x14ac:dyDescent="0.3">
      <c r="A1320" s="1">
        <v>45771</v>
      </c>
      <c r="B1320" s="4">
        <f>_xlfn.XLOOKUP($A1320, 'Nifty 50'!A:A, 'Nifty 50'!B:B, "")</f>
        <v>24246.7</v>
      </c>
      <c r="C1320" s="4">
        <f>_xlfn.XLOOKUP($A1320, Reliance!A:A, Reliance!B:B, "")</f>
        <v>1301.5999999999999</v>
      </c>
      <c r="D1320" s="4">
        <f>_xlfn.XLOOKUP($A1320, HDFC!A:A, HDFC!B:B, "")</f>
        <v>956.02</v>
      </c>
      <c r="E1320" s="4">
        <f>_xlfn.XLOOKUP($A1320, ITC!A:A, ITC!B:B, "")</f>
        <v>430.05</v>
      </c>
      <c r="F1320" s="4">
        <f>_xlfn.XLOOKUP($A1320, TCS!A:A, TCS!B:B, "")</f>
        <v>3401.6</v>
      </c>
      <c r="G1320" s="4">
        <f>_xlfn.XLOOKUP($A1320, Infosys!A:A, Infosys!B:B,"")</f>
        <v>1471.4</v>
      </c>
      <c r="H1320" s="4">
        <f>_xlfn.XLOOKUP($A1320, 'L &amp; T'!A:A, 'L &amp; T'!B:B, "")</f>
        <v>3300.6</v>
      </c>
    </row>
    <row r="1321" spans="1:8" x14ac:dyDescent="0.3">
      <c r="A1321" s="1">
        <v>45772</v>
      </c>
      <c r="B1321" s="4">
        <f>_xlfn.XLOOKUP($A1321, 'Nifty 50'!A:A, 'Nifty 50'!B:B, "")</f>
        <v>24039.35</v>
      </c>
      <c r="C1321" s="4">
        <f>_xlfn.XLOOKUP($A1321, Reliance!A:A, Reliance!B:B, "")</f>
        <v>1300.4000000000001</v>
      </c>
      <c r="D1321" s="4">
        <f>_xlfn.XLOOKUP($A1321, HDFC!A:A, HDFC!B:B, "")</f>
        <v>953.23</v>
      </c>
      <c r="E1321" s="4">
        <f>_xlfn.XLOOKUP($A1321, ITC!A:A, ITC!B:B, "")</f>
        <v>427.8</v>
      </c>
      <c r="F1321" s="4">
        <f>_xlfn.XLOOKUP($A1321, TCS!A:A, TCS!B:B, "")</f>
        <v>3448</v>
      </c>
      <c r="G1321" s="4">
        <f>_xlfn.XLOOKUP($A1321, Infosys!A:A, Infosys!B:B,"")</f>
        <v>1480.2</v>
      </c>
      <c r="H1321" s="4">
        <f>_xlfn.XLOOKUP($A1321, 'L &amp; T'!A:A, 'L &amp; T'!B:B, "")</f>
        <v>3272.1</v>
      </c>
    </row>
    <row r="1322" spans="1:8" x14ac:dyDescent="0.3">
      <c r="A1322" s="1">
        <v>45775</v>
      </c>
      <c r="B1322" s="4">
        <f>_xlfn.XLOOKUP($A1322, 'Nifty 50'!A:A, 'Nifty 50'!B:B, "")</f>
        <v>24328.5</v>
      </c>
      <c r="C1322" s="4">
        <f>_xlfn.XLOOKUP($A1322, Reliance!A:A, Reliance!B:B, "")</f>
        <v>1368.8</v>
      </c>
      <c r="D1322" s="4">
        <f>_xlfn.XLOOKUP($A1322, HDFC!A:A, HDFC!B:B, "")</f>
        <v>957.72</v>
      </c>
      <c r="E1322" s="4">
        <f>_xlfn.XLOOKUP($A1322, ITC!A:A, ITC!B:B, "")</f>
        <v>428.8</v>
      </c>
      <c r="F1322" s="4">
        <f>_xlfn.XLOOKUP($A1322, TCS!A:A, TCS!B:B, "")</f>
        <v>3443.5</v>
      </c>
      <c r="G1322" s="4">
        <f>_xlfn.XLOOKUP($A1322, Infosys!A:A, Infosys!B:B,"")</f>
        <v>1482.1</v>
      </c>
      <c r="H1322" s="4">
        <f>_xlfn.XLOOKUP($A1322, 'L &amp; T'!A:A, 'L &amp; T'!B:B, "")</f>
        <v>3327.3</v>
      </c>
    </row>
    <row r="1323" spans="1:8" x14ac:dyDescent="0.3">
      <c r="A1323" s="1">
        <v>45776</v>
      </c>
      <c r="B1323" s="4">
        <f>_xlfn.XLOOKUP($A1323, 'Nifty 50'!A:A, 'Nifty 50'!B:B, "")</f>
        <v>24335.95</v>
      </c>
      <c r="C1323" s="4">
        <f>_xlfn.XLOOKUP($A1323, Reliance!A:A, Reliance!B:B, "")</f>
        <v>1399.7</v>
      </c>
      <c r="D1323" s="4">
        <f>_xlfn.XLOOKUP($A1323, HDFC!A:A, HDFC!B:B, "")</f>
        <v>952.03</v>
      </c>
      <c r="E1323" s="4">
        <f>_xlfn.XLOOKUP($A1323, ITC!A:A, ITC!B:B, "")</f>
        <v>426</v>
      </c>
      <c r="F1323" s="4">
        <f>_xlfn.XLOOKUP($A1323, TCS!A:A, TCS!B:B, "")</f>
        <v>3472.5</v>
      </c>
      <c r="G1323" s="4">
        <f>_xlfn.XLOOKUP($A1323, Infosys!A:A, Infosys!B:B,"")</f>
        <v>1497.5</v>
      </c>
      <c r="H1323" s="4">
        <f>_xlfn.XLOOKUP($A1323, 'L &amp; T'!A:A, 'L &amp; T'!B:B, "")</f>
        <v>3322.3</v>
      </c>
    </row>
    <row r="1324" spans="1:8" x14ac:dyDescent="0.3">
      <c r="A1324" s="1">
        <v>45777</v>
      </c>
      <c r="B1324" s="4">
        <f>_xlfn.XLOOKUP($A1324, 'Nifty 50'!A:A, 'Nifty 50'!B:B, "")</f>
        <v>24334.2</v>
      </c>
      <c r="C1324" s="4">
        <f>_xlfn.XLOOKUP($A1324, Reliance!A:A, Reliance!B:B, "")</f>
        <v>1405</v>
      </c>
      <c r="D1324" s="4">
        <f>_xlfn.XLOOKUP($A1324, HDFC!A:A, HDFC!B:B, "")</f>
        <v>960.11</v>
      </c>
      <c r="E1324" s="4">
        <f>_xlfn.XLOOKUP($A1324, ITC!A:A, ITC!B:B, "")</f>
        <v>425.8</v>
      </c>
      <c r="F1324" s="4">
        <f>_xlfn.XLOOKUP($A1324, TCS!A:A, TCS!B:B, "")</f>
        <v>3453.7</v>
      </c>
      <c r="G1324" s="4">
        <f>_xlfn.XLOOKUP($A1324, Infosys!A:A, Infosys!B:B,"")</f>
        <v>1500.1</v>
      </c>
      <c r="H1324" s="4">
        <f>_xlfn.XLOOKUP($A1324, 'L &amp; T'!A:A, 'L &amp; T'!B:B, "")</f>
        <v>3341</v>
      </c>
    </row>
    <row r="1325" spans="1:8" x14ac:dyDescent="0.3">
      <c r="A1325" s="1">
        <v>45779</v>
      </c>
      <c r="B1325" s="4">
        <f>_xlfn.XLOOKUP($A1325, 'Nifty 50'!A:A, 'Nifty 50'!B:B, "")</f>
        <v>24346.7</v>
      </c>
      <c r="C1325" s="4">
        <f>_xlfn.XLOOKUP($A1325, Reliance!A:A, Reliance!B:B, "")</f>
        <v>1422.4</v>
      </c>
      <c r="D1325" s="4">
        <f>_xlfn.XLOOKUP($A1325, HDFC!A:A, HDFC!B:B, "")</f>
        <v>960.11</v>
      </c>
      <c r="E1325" s="4">
        <f>_xlfn.XLOOKUP($A1325, ITC!A:A, ITC!B:B, "")</f>
        <v>430.25</v>
      </c>
      <c r="F1325" s="4">
        <f>_xlfn.XLOOKUP($A1325, TCS!A:A, TCS!B:B, "")</f>
        <v>3444.7</v>
      </c>
      <c r="G1325" s="4">
        <f>_xlfn.XLOOKUP($A1325, Infosys!A:A, Infosys!B:B,"")</f>
        <v>1506.8</v>
      </c>
      <c r="H1325" s="4">
        <f>_xlfn.XLOOKUP($A1325, 'L &amp; T'!A:A, 'L &amp; T'!B:B, "")</f>
        <v>3329.8</v>
      </c>
    </row>
    <row r="1326" spans="1:8" x14ac:dyDescent="0.3">
      <c r="A1326" s="1">
        <v>45782</v>
      </c>
      <c r="B1326" s="4">
        <f>_xlfn.XLOOKUP($A1326, 'Nifty 50'!A:A, 'Nifty 50'!B:B, "")</f>
        <v>24461.15</v>
      </c>
      <c r="C1326" s="4">
        <f>_xlfn.XLOOKUP($A1326, Reliance!A:A, Reliance!B:B, "")</f>
        <v>1431.3</v>
      </c>
      <c r="D1326" s="4">
        <f>_xlfn.XLOOKUP($A1326, HDFC!A:A, HDFC!B:B, "")</f>
        <v>966</v>
      </c>
      <c r="E1326" s="4">
        <f>_xlfn.XLOOKUP($A1326, ITC!A:A, ITC!B:B, "")</f>
        <v>436.95</v>
      </c>
      <c r="F1326" s="4">
        <f>_xlfn.XLOOKUP($A1326, TCS!A:A, TCS!B:B, "")</f>
        <v>3454.3</v>
      </c>
      <c r="G1326" s="4">
        <f>_xlfn.XLOOKUP($A1326, Infosys!A:A, Infosys!B:B,"")</f>
        <v>1508.6</v>
      </c>
      <c r="H1326" s="4">
        <f>_xlfn.XLOOKUP($A1326, 'L &amp; T'!A:A, 'L &amp; T'!B:B, "")</f>
        <v>3330.2</v>
      </c>
    </row>
    <row r="1327" spans="1:8" x14ac:dyDescent="0.3">
      <c r="A1327" s="1">
        <v>45783</v>
      </c>
      <c r="B1327" s="4">
        <f>_xlfn.XLOOKUP($A1327, 'Nifty 50'!A:A, 'Nifty 50'!B:B, "")</f>
        <v>24379.599999999999</v>
      </c>
      <c r="C1327" s="4">
        <f>_xlfn.XLOOKUP($A1327, Reliance!A:A, Reliance!B:B, "")</f>
        <v>1420.9</v>
      </c>
      <c r="D1327" s="4">
        <f>_xlfn.XLOOKUP($A1327, HDFC!A:A, HDFC!B:B, "")</f>
        <v>963.45</v>
      </c>
      <c r="E1327" s="4">
        <f>_xlfn.XLOOKUP($A1327, ITC!A:A, ITC!B:B, "")</f>
        <v>435.55</v>
      </c>
      <c r="F1327" s="4">
        <f>_xlfn.XLOOKUP($A1327, TCS!A:A, TCS!B:B, "")</f>
        <v>3460</v>
      </c>
      <c r="G1327" s="4">
        <f>_xlfn.XLOOKUP($A1327, Infosys!A:A, Infosys!B:B,"")</f>
        <v>1511.5</v>
      </c>
      <c r="H1327" s="4">
        <f>_xlfn.XLOOKUP($A1327, 'L &amp; T'!A:A, 'L &amp; T'!B:B, "")</f>
        <v>3334</v>
      </c>
    </row>
    <row r="1328" spans="1:8" x14ac:dyDescent="0.3">
      <c r="A1328" s="1">
        <v>45784</v>
      </c>
      <c r="B1328" s="4">
        <f>_xlfn.XLOOKUP($A1328, 'Nifty 50'!A:A, 'Nifty 50'!B:B, "")</f>
        <v>24414.400000000001</v>
      </c>
      <c r="C1328" s="4">
        <f>_xlfn.XLOOKUP($A1328, Reliance!A:A, Reliance!B:B, "")</f>
        <v>1406</v>
      </c>
      <c r="D1328" s="4">
        <f>_xlfn.XLOOKUP($A1328, HDFC!A:A, HDFC!B:B, "")</f>
        <v>970.39</v>
      </c>
      <c r="E1328" s="4">
        <f>_xlfn.XLOOKUP($A1328, ITC!A:A, ITC!B:B, "")</f>
        <v>431.15</v>
      </c>
      <c r="F1328" s="4">
        <f>_xlfn.XLOOKUP($A1328, TCS!A:A, TCS!B:B, "")</f>
        <v>3445.1</v>
      </c>
      <c r="G1328" s="4">
        <f>_xlfn.XLOOKUP($A1328, Infosys!A:A, Infosys!B:B,"")</f>
        <v>1508.3</v>
      </c>
      <c r="H1328" s="4">
        <f>_xlfn.XLOOKUP($A1328, 'L &amp; T'!A:A, 'L &amp; T'!B:B, "")</f>
        <v>3321.4</v>
      </c>
    </row>
    <row r="1329" spans="1:8" x14ac:dyDescent="0.3">
      <c r="A1329" s="1">
        <v>45785</v>
      </c>
      <c r="B1329" s="4">
        <f>_xlfn.XLOOKUP($A1329, 'Nifty 50'!A:A, 'Nifty 50'!B:B, "")</f>
        <v>24273.8</v>
      </c>
      <c r="C1329" s="4">
        <f>_xlfn.XLOOKUP($A1329, Reliance!A:A, Reliance!B:B, "")</f>
        <v>1407</v>
      </c>
      <c r="D1329" s="4">
        <f>_xlfn.XLOOKUP($A1329, HDFC!A:A, HDFC!B:B, "")</f>
        <v>961.86</v>
      </c>
      <c r="E1329" s="4">
        <f>_xlfn.XLOOKUP($A1329, ITC!A:A, ITC!B:B, "")</f>
        <v>430.6</v>
      </c>
      <c r="F1329" s="4">
        <f>_xlfn.XLOOKUP($A1329, TCS!A:A, TCS!B:B, "")</f>
        <v>3448.9</v>
      </c>
      <c r="G1329" s="4">
        <f>_xlfn.XLOOKUP($A1329, Infosys!A:A, Infosys!B:B,"")</f>
        <v>1511.4</v>
      </c>
      <c r="H1329" s="4">
        <f>_xlfn.XLOOKUP($A1329, 'L &amp; T'!A:A, 'L &amp; T'!B:B, "")</f>
        <v>3323.9</v>
      </c>
    </row>
    <row r="1330" spans="1:8" x14ac:dyDescent="0.3">
      <c r="A1330" s="1">
        <v>45786</v>
      </c>
      <c r="B1330" s="4">
        <f>_xlfn.XLOOKUP($A1330, 'Nifty 50'!A:A, 'Nifty 50'!B:B, "")</f>
        <v>24008</v>
      </c>
      <c r="C1330" s="4">
        <f>_xlfn.XLOOKUP($A1330, Reliance!A:A, Reliance!B:B, "")</f>
        <v>1377.2</v>
      </c>
      <c r="D1330" s="4">
        <f>_xlfn.XLOOKUP($A1330, HDFC!A:A, HDFC!B:B, "")</f>
        <v>942.5</v>
      </c>
      <c r="E1330" s="4">
        <f>_xlfn.XLOOKUP($A1330, ITC!A:A, ITC!B:B, "")</f>
        <v>423.55</v>
      </c>
      <c r="F1330" s="4">
        <f>_xlfn.XLOOKUP($A1330, TCS!A:A, TCS!B:B, "")</f>
        <v>3440.3</v>
      </c>
      <c r="G1330" s="4">
        <f>_xlfn.XLOOKUP($A1330, Infosys!A:A, Infosys!B:B,"")</f>
        <v>1507.6</v>
      </c>
      <c r="H1330" s="4">
        <f>_xlfn.XLOOKUP($A1330, 'L &amp; T'!A:A, 'L &amp; T'!B:B, "")</f>
        <v>3443.9</v>
      </c>
    </row>
    <row r="1331" spans="1:8" x14ac:dyDescent="0.3">
      <c r="A1331" s="1">
        <v>45789</v>
      </c>
      <c r="B1331" s="4">
        <f>_xlfn.XLOOKUP($A1331, 'Nifty 50'!A:A, 'Nifty 50'!B:B, "")</f>
        <v>24924.7</v>
      </c>
      <c r="C1331" s="4">
        <f>_xlfn.XLOOKUP($A1331, Reliance!A:A, Reliance!B:B, "")</f>
        <v>1436.5</v>
      </c>
      <c r="D1331" s="4">
        <f>_xlfn.XLOOKUP($A1331, HDFC!A:A, HDFC!B:B, "")</f>
        <v>976.17</v>
      </c>
      <c r="E1331" s="4">
        <f>_xlfn.XLOOKUP($A1331, ITC!A:A, ITC!B:B, "")</f>
        <v>435.5</v>
      </c>
      <c r="F1331" s="4">
        <f>_xlfn.XLOOKUP($A1331, TCS!A:A, TCS!B:B, "")</f>
        <v>3620.4</v>
      </c>
      <c r="G1331" s="4">
        <f>_xlfn.XLOOKUP($A1331, Infosys!A:A, Infosys!B:B,"")</f>
        <v>1626.9</v>
      </c>
      <c r="H1331" s="4">
        <f>_xlfn.XLOOKUP($A1331, 'L &amp; T'!A:A, 'L &amp; T'!B:B, "")</f>
        <v>3587.2</v>
      </c>
    </row>
    <row r="1332" spans="1:8" x14ac:dyDescent="0.3">
      <c r="A1332" s="1">
        <v>45790</v>
      </c>
      <c r="B1332" s="4">
        <f>_xlfn.XLOOKUP($A1332, 'Nifty 50'!A:A, 'Nifty 50'!B:B, "")</f>
        <v>24578.35</v>
      </c>
      <c r="C1332" s="4">
        <f>_xlfn.XLOOKUP($A1332, Reliance!A:A, Reliance!B:B, "")</f>
        <v>1415.7</v>
      </c>
      <c r="D1332" s="4">
        <f>_xlfn.XLOOKUP($A1332, HDFC!A:A, HDFC!B:B, "")</f>
        <v>958.91</v>
      </c>
      <c r="E1332" s="4">
        <f>_xlfn.XLOOKUP($A1332, ITC!A:A, ITC!B:B, "")</f>
        <v>427.9</v>
      </c>
      <c r="F1332" s="4">
        <f>_xlfn.XLOOKUP($A1332, TCS!A:A, TCS!B:B, "")</f>
        <v>3515</v>
      </c>
      <c r="G1332" s="4">
        <f>_xlfn.XLOOKUP($A1332, Infosys!A:A, Infosys!B:B,"")</f>
        <v>1568.6</v>
      </c>
      <c r="H1332" s="4">
        <f>_xlfn.XLOOKUP($A1332, 'L &amp; T'!A:A, 'L &amp; T'!B:B, "")</f>
        <v>3567</v>
      </c>
    </row>
    <row r="1333" spans="1:8" x14ac:dyDescent="0.3">
      <c r="A1333" s="1">
        <v>45791</v>
      </c>
      <c r="B1333" s="4">
        <f>_xlfn.XLOOKUP($A1333, 'Nifty 50'!A:A, 'Nifty 50'!B:B, "")</f>
        <v>24666.9</v>
      </c>
      <c r="C1333" s="4">
        <f>_xlfn.XLOOKUP($A1333, Reliance!A:A, Reliance!B:B, "")</f>
        <v>1424.4</v>
      </c>
      <c r="D1333" s="4">
        <f>_xlfn.XLOOKUP($A1333, HDFC!A:A, HDFC!B:B, "")</f>
        <v>952.93</v>
      </c>
      <c r="E1333" s="4">
        <f>_xlfn.XLOOKUP($A1333, ITC!A:A, ITC!B:B, "")</f>
        <v>429.1</v>
      </c>
      <c r="F1333" s="4">
        <f>_xlfn.XLOOKUP($A1333, TCS!A:A, TCS!B:B, "")</f>
        <v>3548.7</v>
      </c>
      <c r="G1333" s="4">
        <f>_xlfn.XLOOKUP($A1333, Infosys!A:A, Infosys!B:B,"")</f>
        <v>1592.4</v>
      </c>
      <c r="H1333" s="4">
        <f>_xlfn.XLOOKUP($A1333, 'L &amp; T'!A:A, 'L &amp; T'!B:B, "")</f>
        <v>3573.1</v>
      </c>
    </row>
    <row r="1334" spans="1:8" x14ac:dyDescent="0.3">
      <c r="A1334" s="1">
        <v>45792</v>
      </c>
      <c r="B1334" s="4">
        <f>_xlfn.XLOOKUP($A1334, 'Nifty 50'!A:A, 'Nifty 50'!B:B, "")</f>
        <v>25062.1</v>
      </c>
      <c r="C1334" s="4">
        <f>_xlfn.XLOOKUP($A1334, Reliance!A:A, Reliance!B:B, "")</f>
        <v>1454.2</v>
      </c>
      <c r="D1334" s="4">
        <f>_xlfn.XLOOKUP($A1334, HDFC!A:A, HDFC!B:B, "")</f>
        <v>964.5</v>
      </c>
      <c r="E1334" s="4">
        <f>_xlfn.XLOOKUP($A1334, ITC!A:A, ITC!B:B, "")</f>
        <v>432.65</v>
      </c>
      <c r="F1334" s="4">
        <f>_xlfn.XLOOKUP($A1334, TCS!A:A, TCS!B:B, "")</f>
        <v>3579.9</v>
      </c>
      <c r="G1334" s="4">
        <f>_xlfn.XLOOKUP($A1334, Infosys!A:A, Infosys!B:B,"")</f>
        <v>1613</v>
      </c>
      <c r="H1334" s="4">
        <f>_xlfn.XLOOKUP($A1334, 'L &amp; T'!A:A, 'L &amp; T'!B:B, "")</f>
        <v>3618.2</v>
      </c>
    </row>
    <row r="1335" spans="1:8" x14ac:dyDescent="0.3">
      <c r="A1335" s="1">
        <v>45793</v>
      </c>
      <c r="B1335" s="4">
        <f>_xlfn.XLOOKUP($A1335, 'Nifty 50'!A:A, 'Nifty 50'!B:B, "")</f>
        <v>25019.8</v>
      </c>
      <c r="C1335" s="4">
        <f>_xlfn.XLOOKUP($A1335, Reliance!A:A, Reliance!B:B, "")</f>
        <v>1456.4</v>
      </c>
      <c r="D1335" s="4">
        <f>_xlfn.XLOOKUP($A1335, HDFC!A:A, HDFC!B:B, "")</f>
        <v>964.95</v>
      </c>
      <c r="E1335" s="4">
        <f>_xlfn.XLOOKUP($A1335, ITC!A:A, ITC!B:B, "")</f>
        <v>435.7</v>
      </c>
      <c r="F1335" s="4">
        <f>_xlfn.XLOOKUP($A1335, TCS!A:A, TCS!B:B, "")</f>
        <v>3561.3</v>
      </c>
      <c r="G1335" s="4">
        <f>_xlfn.XLOOKUP($A1335, Infosys!A:A, Infosys!B:B,"")</f>
        <v>1589.9</v>
      </c>
      <c r="H1335" s="4">
        <f>_xlfn.XLOOKUP($A1335, 'L &amp; T'!A:A, 'L &amp; T'!B:B, "")</f>
        <v>3604.7</v>
      </c>
    </row>
    <row r="1336" spans="1:8" x14ac:dyDescent="0.3">
      <c r="A1336" s="1">
        <v>45796</v>
      </c>
      <c r="B1336" s="4">
        <f>_xlfn.XLOOKUP($A1336, 'Nifty 50'!A:A, 'Nifty 50'!B:B, "")</f>
        <v>24945.45</v>
      </c>
      <c r="C1336" s="4">
        <f>_xlfn.XLOOKUP($A1336, Reliance!A:A, Reliance!B:B, "")</f>
        <v>1440.8</v>
      </c>
      <c r="D1336" s="4">
        <f>_xlfn.XLOOKUP($A1336, HDFC!A:A, HDFC!B:B, "")</f>
        <v>966.94</v>
      </c>
      <c r="E1336" s="4">
        <f>_xlfn.XLOOKUP($A1336, ITC!A:A, ITC!B:B, "")</f>
        <v>435.35</v>
      </c>
      <c r="F1336" s="4">
        <f>_xlfn.XLOOKUP($A1336, TCS!A:A, TCS!B:B, "")</f>
        <v>3518.8</v>
      </c>
      <c r="G1336" s="4">
        <f>_xlfn.XLOOKUP($A1336, Infosys!A:A, Infosys!B:B,"")</f>
        <v>1559.8</v>
      </c>
      <c r="H1336" s="4">
        <f>_xlfn.XLOOKUP($A1336, 'L &amp; T'!A:A, 'L &amp; T'!B:B, "")</f>
        <v>3600.2</v>
      </c>
    </row>
    <row r="1337" spans="1:8" x14ac:dyDescent="0.3">
      <c r="A1337" s="1">
        <v>45797</v>
      </c>
      <c r="B1337" s="4">
        <f>_xlfn.XLOOKUP($A1337, 'Nifty 50'!A:A, 'Nifty 50'!B:B, "")</f>
        <v>24683.9</v>
      </c>
      <c r="C1337" s="4">
        <f>_xlfn.XLOOKUP($A1337, Reliance!A:A, Reliance!B:B, "")</f>
        <v>1424.6</v>
      </c>
      <c r="D1337" s="4">
        <f>_xlfn.XLOOKUP($A1337, HDFC!A:A, HDFC!B:B, "")</f>
        <v>955.07</v>
      </c>
      <c r="E1337" s="4">
        <f>_xlfn.XLOOKUP($A1337, ITC!A:A, ITC!B:B, "")</f>
        <v>434.9</v>
      </c>
      <c r="F1337" s="4">
        <f>_xlfn.XLOOKUP($A1337, TCS!A:A, TCS!B:B, "")</f>
        <v>3498.3</v>
      </c>
      <c r="G1337" s="4">
        <f>_xlfn.XLOOKUP($A1337, Infosys!A:A, Infosys!B:B,"")</f>
        <v>1560.6</v>
      </c>
      <c r="H1337" s="4">
        <f>_xlfn.XLOOKUP($A1337, 'L &amp; T'!A:A, 'L &amp; T'!B:B, "")</f>
        <v>3567.8</v>
      </c>
    </row>
    <row r="1338" spans="1:8" x14ac:dyDescent="0.3">
      <c r="A1338" s="1">
        <v>45798</v>
      </c>
      <c r="B1338" s="4">
        <f>_xlfn.XLOOKUP($A1338, 'Nifty 50'!A:A, 'Nifty 50'!B:B, "")</f>
        <v>24813.45</v>
      </c>
      <c r="C1338" s="4">
        <f>_xlfn.XLOOKUP($A1338, Reliance!A:A, Reliance!B:B, "")</f>
        <v>1429.2</v>
      </c>
      <c r="D1338" s="4">
        <f>_xlfn.XLOOKUP($A1338, HDFC!A:A, HDFC!B:B, "")</f>
        <v>961.01</v>
      </c>
      <c r="E1338" s="4">
        <f>_xlfn.XLOOKUP($A1338, ITC!A:A, ITC!B:B, "")</f>
        <v>433</v>
      </c>
      <c r="F1338" s="4">
        <f>_xlfn.XLOOKUP($A1338, TCS!A:A, TCS!B:B, "")</f>
        <v>3525.8</v>
      </c>
      <c r="G1338" s="4">
        <f>_xlfn.XLOOKUP($A1338, Infosys!A:A, Infosys!B:B,"")</f>
        <v>1568.5</v>
      </c>
      <c r="H1338" s="4">
        <f>_xlfn.XLOOKUP($A1338, 'L &amp; T'!A:A, 'L &amp; T'!B:B, "")</f>
        <v>3589</v>
      </c>
    </row>
    <row r="1339" spans="1:8" x14ac:dyDescent="0.3">
      <c r="A1339" s="1">
        <v>45799</v>
      </c>
      <c r="B1339" s="4">
        <f>_xlfn.XLOOKUP($A1339, 'Nifty 50'!A:A, 'Nifty 50'!B:B, "")</f>
        <v>24609.7</v>
      </c>
      <c r="C1339" s="4">
        <f>_xlfn.XLOOKUP($A1339, Reliance!A:A, Reliance!B:B, "")</f>
        <v>1409.4</v>
      </c>
      <c r="D1339" s="4">
        <f>_xlfn.XLOOKUP($A1339, HDFC!A:A, HDFC!B:B, "")</f>
        <v>957.57</v>
      </c>
      <c r="E1339" s="4">
        <f>_xlfn.XLOOKUP($A1339, ITC!A:A, ITC!B:B, "")</f>
        <v>426.1</v>
      </c>
      <c r="F1339" s="4">
        <f>_xlfn.XLOOKUP($A1339, TCS!A:A, TCS!B:B, "")</f>
        <v>3477</v>
      </c>
      <c r="G1339" s="4">
        <f>_xlfn.XLOOKUP($A1339, Infosys!A:A, Infosys!B:B,"")</f>
        <v>1547.5</v>
      </c>
      <c r="H1339" s="4">
        <f>_xlfn.XLOOKUP($A1339, 'L &amp; T'!A:A, 'L &amp; T'!B:B, "")</f>
        <v>3551.4</v>
      </c>
    </row>
    <row r="1340" spans="1:8" x14ac:dyDescent="0.3">
      <c r="A1340" s="1">
        <v>45800</v>
      </c>
      <c r="B1340" s="4">
        <f>_xlfn.XLOOKUP($A1340, 'Nifty 50'!A:A, 'Nifty 50'!B:B, "")</f>
        <v>24853.15</v>
      </c>
      <c r="C1340" s="4">
        <f>_xlfn.XLOOKUP($A1340, Reliance!A:A, Reliance!B:B, "")</f>
        <v>1426.8</v>
      </c>
      <c r="D1340" s="4">
        <f>_xlfn.XLOOKUP($A1340, HDFC!A:A, HDFC!B:B, "")</f>
        <v>964.4</v>
      </c>
      <c r="E1340" s="4">
        <f>_xlfn.XLOOKUP($A1340, ITC!A:A, ITC!B:B, "")</f>
        <v>436.3</v>
      </c>
      <c r="F1340" s="4">
        <f>_xlfn.XLOOKUP($A1340, TCS!A:A, TCS!B:B, "")</f>
        <v>3514.6</v>
      </c>
      <c r="G1340" s="4">
        <f>_xlfn.XLOOKUP($A1340, Infosys!A:A, Infosys!B:B,"")</f>
        <v>1564.8</v>
      </c>
      <c r="H1340" s="4">
        <f>_xlfn.XLOOKUP($A1340, 'L &amp; T'!A:A, 'L &amp; T'!B:B, "")</f>
        <v>3599.9</v>
      </c>
    </row>
    <row r="1341" spans="1:8" x14ac:dyDescent="0.3">
      <c r="A1341" s="1">
        <v>45803</v>
      </c>
      <c r="B1341" s="4">
        <f>_xlfn.XLOOKUP($A1341, 'Nifty 50'!A:A, 'Nifty 50'!B:B, "")</f>
        <v>25001.15</v>
      </c>
      <c r="C1341" s="4">
        <f>_xlfn.XLOOKUP($A1341, Reliance!A:A, Reliance!B:B, "")</f>
        <v>1434.8</v>
      </c>
      <c r="D1341" s="4">
        <f>_xlfn.XLOOKUP($A1341, HDFC!A:A, HDFC!B:B, "")</f>
        <v>967.69</v>
      </c>
      <c r="E1341" s="4">
        <f>_xlfn.XLOOKUP($A1341, ITC!A:A, ITC!B:B, "")</f>
        <v>442.9</v>
      </c>
      <c r="F1341" s="4">
        <f>_xlfn.XLOOKUP($A1341, TCS!A:A, TCS!B:B, "")</f>
        <v>3537.3</v>
      </c>
      <c r="G1341" s="4">
        <f>_xlfn.XLOOKUP($A1341, Infosys!A:A, Infosys!B:B,"")</f>
        <v>1580.5</v>
      </c>
      <c r="H1341" s="4">
        <f>_xlfn.XLOOKUP($A1341, 'L &amp; T'!A:A, 'L &amp; T'!B:B, "")</f>
        <v>3648.7</v>
      </c>
    </row>
    <row r="1342" spans="1:8" x14ac:dyDescent="0.3">
      <c r="A1342" s="1">
        <v>45804</v>
      </c>
      <c r="B1342" s="4">
        <f>_xlfn.XLOOKUP($A1342, 'Nifty 50'!A:A, 'Nifty 50'!B:B, "")</f>
        <v>24826.2</v>
      </c>
      <c r="C1342" s="4">
        <f>_xlfn.XLOOKUP($A1342, Reliance!A:A, Reliance!B:B, "")</f>
        <v>1422.1</v>
      </c>
      <c r="D1342" s="4">
        <f>_xlfn.XLOOKUP($A1342, HDFC!A:A, HDFC!B:B, "")</f>
        <v>960.76</v>
      </c>
      <c r="E1342" s="4">
        <f>_xlfn.XLOOKUP($A1342, ITC!A:A, ITC!B:B, "")</f>
        <v>433.9</v>
      </c>
      <c r="F1342" s="4">
        <f>_xlfn.XLOOKUP($A1342, TCS!A:A, TCS!B:B, "")</f>
        <v>3498.7</v>
      </c>
      <c r="G1342" s="4">
        <f>_xlfn.XLOOKUP($A1342, Infosys!A:A, Infosys!B:B,"")</f>
        <v>1570.1</v>
      </c>
      <c r="H1342" s="4">
        <f>_xlfn.XLOOKUP($A1342, 'L &amp; T'!A:A, 'L &amp; T'!B:B, "")</f>
        <v>3640</v>
      </c>
    </row>
    <row r="1343" spans="1:8" x14ac:dyDescent="0.3">
      <c r="A1343" s="1">
        <v>45805</v>
      </c>
      <c r="B1343" s="4">
        <f>_xlfn.XLOOKUP($A1343, 'Nifty 50'!A:A, 'Nifty 50'!B:B, "")</f>
        <v>24752.45</v>
      </c>
      <c r="C1343" s="4">
        <f>_xlfn.XLOOKUP($A1343, Reliance!A:A, Reliance!B:B, "")</f>
        <v>1412.9</v>
      </c>
      <c r="D1343" s="4">
        <f>_xlfn.XLOOKUP($A1343, HDFC!A:A, HDFC!B:B, "")</f>
        <v>959.36</v>
      </c>
      <c r="E1343" s="4">
        <f>_xlfn.XLOOKUP($A1343, ITC!A:A, ITC!B:B, "")</f>
        <v>420.2</v>
      </c>
      <c r="F1343" s="4">
        <f>_xlfn.XLOOKUP($A1343, TCS!A:A, TCS!B:B, "")</f>
        <v>3497.7</v>
      </c>
      <c r="G1343" s="4">
        <f>_xlfn.XLOOKUP($A1343, Infosys!A:A, Infosys!B:B,"")</f>
        <v>1571.8</v>
      </c>
      <c r="H1343" s="4">
        <f>_xlfn.XLOOKUP($A1343, 'L &amp; T'!A:A, 'L &amp; T'!B:B, "")</f>
        <v>3646.3</v>
      </c>
    </row>
    <row r="1344" spans="1:8" x14ac:dyDescent="0.3">
      <c r="A1344" s="1">
        <v>45806</v>
      </c>
      <c r="B1344" s="4">
        <f>_xlfn.XLOOKUP($A1344, 'Nifty 50'!A:A, 'Nifty 50'!B:B, "")</f>
        <v>24833.599999999999</v>
      </c>
      <c r="C1344" s="4">
        <f>_xlfn.XLOOKUP($A1344, Reliance!A:A, Reliance!B:B, "")</f>
        <v>1417.8</v>
      </c>
      <c r="D1344" s="4">
        <f>_xlfn.XLOOKUP($A1344, HDFC!A:A, HDFC!B:B, "")</f>
        <v>961.36</v>
      </c>
      <c r="E1344" s="4">
        <f>_xlfn.XLOOKUP($A1344, ITC!A:A, ITC!B:B, "")</f>
        <v>418.75</v>
      </c>
      <c r="F1344" s="4">
        <f>_xlfn.XLOOKUP($A1344, TCS!A:A, TCS!B:B, "")</f>
        <v>3498.1</v>
      </c>
      <c r="G1344" s="4">
        <f>_xlfn.XLOOKUP($A1344, Infosys!A:A, Infosys!B:B,"")</f>
        <v>1585.6</v>
      </c>
      <c r="H1344" s="4">
        <f>_xlfn.XLOOKUP($A1344, 'L &amp; T'!A:A, 'L &amp; T'!B:B, "")</f>
        <v>3655.3</v>
      </c>
    </row>
    <row r="1345" spans="1:8" x14ac:dyDescent="0.3">
      <c r="A1345" s="1">
        <v>45807</v>
      </c>
      <c r="B1345" s="4">
        <f>_xlfn.XLOOKUP($A1345, 'Nifty 50'!A:A, 'Nifty 50'!B:B, "")</f>
        <v>24750.7</v>
      </c>
      <c r="C1345" s="4">
        <f>_xlfn.XLOOKUP($A1345, Reliance!A:A, Reliance!B:B, "")</f>
        <v>1420.9</v>
      </c>
      <c r="D1345" s="4">
        <f>_xlfn.XLOOKUP($A1345, HDFC!A:A, HDFC!B:B, "")</f>
        <v>970.04</v>
      </c>
      <c r="E1345" s="4">
        <f>_xlfn.XLOOKUP($A1345, ITC!A:A, ITC!B:B, "")</f>
        <v>418.05</v>
      </c>
      <c r="F1345" s="4">
        <f>_xlfn.XLOOKUP($A1345, TCS!A:A, TCS!B:B, "")</f>
        <v>3463.4</v>
      </c>
      <c r="G1345" s="4">
        <f>_xlfn.XLOOKUP($A1345, Infosys!A:A, Infosys!B:B,"")</f>
        <v>1562.7</v>
      </c>
      <c r="H1345" s="4">
        <f>_xlfn.XLOOKUP($A1345, 'L &amp; T'!A:A, 'L &amp; T'!B:B, "")</f>
        <v>3675.1</v>
      </c>
    </row>
    <row r="1346" spans="1:8" x14ac:dyDescent="0.3">
      <c r="A1346" s="1">
        <v>45810</v>
      </c>
      <c r="B1346" s="4">
        <f>_xlfn.XLOOKUP($A1346, 'Nifty 50'!A:A, 'Nifty 50'!B:B, "")</f>
        <v>24716.6</v>
      </c>
      <c r="C1346" s="4">
        <f>_xlfn.XLOOKUP($A1346, Reliance!A:A, Reliance!B:B, "")</f>
        <v>1413.7</v>
      </c>
      <c r="D1346" s="4">
        <f>_xlfn.XLOOKUP($A1346, HDFC!A:A, HDFC!B:B, "")</f>
        <v>963.65</v>
      </c>
      <c r="E1346" s="4">
        <f>_xlfn.XLOOKUP($A1346, ITC!A:A, ITC!B:B, "")</f>
        <v>419.3</v>
      </c>
      <c r="F1346" s="4">
        <f>_xlfn.XLOOKUP($A1346, TCS!A:A, TCS!B:B, "")</f>
        <v>3449.8</v>
      </c>
      <c r="G1346" s="4">
        <f>_xlfn.XLOOKUP($A1346, Infosys!A:A, Infosys!B:B,"")</f>
        <v>1553.8</v>
      </c>
      <c r="H1346" s="4">
        <f>_xlfn.XLOOKUP($A1346, 'L &amp; T'!A:A, 'L &amp; T'!B:B, "")</f>
        <v>3679.6</v>
      </c>
    </row>
    <row r="1347" spans="1:8" x14ac:dyDescent="0.3">
      <c r="A1347" s="1">
        <v>45811</v>
      </c>
      <c r="B1347" s="4">
        <f>_xlfn.XLOOKUP($A1347, 'Nifty 50'!A:A, 'Nifty 50'!B:B, "")</f>
        <v>24542.5</v>
      </c>
      <c r="C1347" s="4">
        <f>_xlfn.XLOOKUP($A1347, Reliance!A:A, Reliance!B:B, "")</f>
        <v>1405.5</v>
      </c>
      <c r="D1347" s="4">
        <f>_xlfn.XLOOKUP($A1347, HDFC!A:A, HDFC!B:B, "")</f>
        <v>959.91</v>
      </c>
      <c r="E1347" s="4">
        <f>_xlfn.XLOOKUP($A1347, ITC!A:A, ITC!B:B, "")</f>
        <v>416.95</v>
      </c>
      <c r="F1347" s="4">
        <f>_xlfn.XLOOKUP($A1347, TCS!A:A, TCS!B:B, "")</f>
        <v>3405.2</v>
      </c>
      <c r="G1347" s="4">
        <f>_xlfn.XLOOKUP($A1347, Infosys!A:A, Infosys!B:B,"")</f>
        <v>1543</v>
      </c>
      <c r="H1347" s="4">
        <f>_xlfn.XLOOKUP($A1347, 'L &amp; T'!A:A, 'L &amp; T'!B:B, "")</f>
        <v>3644.8</v>
      </c>
    </row>
    <row r="1348" spans="1:8" x14ac:dyDescent="0.3">
      <c r="A1348" s="1">
        <v>45812</v>
      </c>
      <c r="B1348" s="4">
        <f>_xlfn.XLOOKUP($A1348, 'Nifty 50'!A:A, 'Nifty 50'!B:B, "")</f>
        <v>24620.2</v>
      </c>
      <c r="C1348" s="4">
        <f>_xlfn.XLOOKUP($A1348, Reliance!A:A, Reliance!B:B, "")</f>
        <v>1423.5</v>
      </c>
      <c r="D1348" s="4">
        <f>_xlfn.XLOOKUP($A1348, HDFC!A:A, HDFC!B:B, "")</f>
        <v>968.19</v>
      </c>
      <c r="E1348" s="4">
        <f>_xlfn.XLOOKUP($A1348, ITC!A:A, ITC!B:B, "")</f>
        <v>417</v>
      </c>
      <c r="F1348" s="4">
        <f>_xlfn.XLOOKUP($A1348, TCS!A:A, TCS!B:B, "")</f>
        <v>3380.9</v>
      </c>
      <c r="G1348" s="4">
        <f>_xlfn.XLOOKUP($A1348, Infosys!A:A, Infosys!B:B,"")</f>
        <v>1551.2</v>
      </c>
      <c r="H1348" s="4">
        <f>_xlfn.XLOOKUP($A1348, 'L &amp; T'!A:A, 'L &amp; T'!B:B, "")</f>
        <v>3626.5</v>
      </c>
    </row>
    <row r="1349" spans="1:8" x14ac:dyDescent="0.3">
      <c r="A1349" s="1">
        <v>45813</v>
      </c>
      <c r="B1349" s="4">
        <f>_xlfn.XLOOKUP($A1349, 'Nifty 50'!A:A, 'Nifty 50'!B:B, "")</f>
        <v>24750.9</v>
      </c>
      <c r="C1349" s="4">
        <f>_xlfn.XLOOKUP($A1349, Reliance!A:A, Reliance!B:B, "")</f>
        <v>1442.4</v>
      </c>
      <c r="D1349" s="4">
        <f>_xlfn.XLOOKUP($A1349, HDFC!A:A, HDFC!B:B, "")</f>
        <v>972.38</v>
      </c>
      <c r="E1349" s="4">
        <f>_xlfn.XLOOKUP($A1349, ITC!A:A, ITC!B:B, "")</f>
        <v>419.1</v>
      </c>
      <c r="F1349" s="4">
        <f>_xlfn.XLOOKUP($A1349, TCS!A:A, TCS!B:B, "")</f>
        <v>3371.1</v>
      </c>
      <c r="G1349" s="4">
        <f>_xlfn.XLOOKUP($A1349, Infosys!A:A, Infosys!B:B,"")</f>
        <v>1554.3</v>
      </c>
      <c r="H1349" s="4">
        <f>_xlfn.XLOOKUP($A1349, 'L &amp; T'!A:A, 'L &amp; T'!B:B, "")</f>
        <v>3642.6</v>
      </c>
    </row>
    <row r="1350" spans="1:8" x14ac:dyDescent="0.3">
      <c r="A1350" s="1">
        <v>45814</v>
      </c>
      <c r="B1350" s="4">
        <f>_xlfn.XLOOKUP($A1350, 'Nifty 50'!A:A, 'Nifty 50'!B:B, "")</f>
        <v>25003.05</v>
      </c>
      <c r="C1350" s="4">
        <f>_xlfn.XLOOKUP($A1350, Reliance!A:A, Reliance!B:B, "")</f>
        <v>1443.5</v>
      </c>
      <c r="D1350" s="4">
        <f>_xlfn.XLOOKUP($A1350, HDFC!A:A, HDFC!B:B, "")</f>
        <v>986.89</v>
      </c>
      <c r="E1350" s="4">
        <f>_xlfn.XLOOKUP($A1350, ITC!A:A, ITC!B:B, "")</f>
        <v>421.05</v>
      </c>
      <c r="F1350" s="4">
        <f>_xlfn.XLOOKUP($A1350, TCS!A:A, TCS!B:B, "")</f>
        <v>3384.2</v>
      </c>
      <c r="G1350" s="4">
        <f>_xlfn.XLOOKUP($A1350, Infosys!A:A, Infosys!B:B,"")</f>
        <v>1563.8</v>
      </c>
      <c r="H1350" s="4">
        <f>_xlfn.XLOOKUP($A1350, 'L &amp; T'!A:A, 'L &amp; T'!B:B, "")</f>
        <v>3656.3</v>
      </c>
    </row>
    <row r="1351" spans="1:8" x14ac:dyDescent="0.3">
      <c r="A1351" s="1">
        <v>45817</v>
      </c>
      <c r="B1351" s="4">
        <f>_xlfn.XLOOKUP($A1351, 'Nifty 50'!A:A, 'Nifty 50'!B:B, "")</f>
        <v>25103.200000000001</v>
      </c>
      <c r="C1351" s="4">
        <f>_xlfn.XLOOKUP($A1351, Reliance!A:A, Reliance!B:B, "")</f>
        <v>1448.8</v>
      </c>
      <c r="D1351" s="4">
        <f>_xlfn.XLOOKUP($A1351, HDFC!A:A, HDFC!B:B, "")</f>
        <v>986.99</v>
      </c>
      <c r="E1351" s="4">
        <f>_xlfn.XLOOKUP($A1351, ITC!A:A, ITC!B:B, "")</f>
        <v>423.05</v>
      </c>
      <c r="F1351" s="4">
        <f>_xlfn.XLOOKUP($A1351, TCS!A:A, TCS!B:B, "")</f>
        <v>3421.9</v>
      </c>
      <c r="G1351" s="4">
        <f>_xlfn.XLOOKUP($A1351, Infosys!A:A, Infosys!B:B,"")</f>
        <v>1572.9</v>
      </c>
      <c r="H1351" s="4">
        <f>_xlfn.XLOOKUP($A1351, 'L &amp; T'!A:A, 'L &amp; T'!B:B, "")</f>
        <v>3678.9</v>
      </c>
    </row>
    <row r="1352" spans="1:8" x14ac:dyDescent="0.3">
      <c r="A1352" s="1">
        <v>45818</v>
      </c>
      <c r="B1352" s="4">
        <f>_xlfn.XLOOKUP($A1352, 'Nifty 50'!A:A, 'Nifty 50'!B:B, "")</f>
        <v>25104.25</v>
      </c>
      <c r="C1352" s="4">
        <f>_xlfn.XLOOKUP($A1352, Reliance!A:A, Reliance!B:B, "")</f>
        <v>1438.5</v>
      </c>
      <c r="D1352" s="4">
        <f>_xlfn.XLOOKUP($A1352, HDFC!A:A, HDFC!B:B, "")</f>
        <v>980.21</v>
      </c>
      <c r="E1352" s="4">
        <f>_xlfn.XLOOKUP($A1352, ITC!A:A, ITC!B:B, "")</f>
        <v>427</v>
      </c>
      <c r="F1352" s="4">
        <f>_xlfn.XLOOKUP($A1352, TCS!A:A, TCS!B:B, "")</f>
        <v>3462.9</v>
      </c>
      <c r="G1352" s="4">
        <f>_xlfn.XLOOKUP($A1352, Infosys!A:A, Infosys!B:B,"")</f>
        <v>1596</v>
      </c>
      <c r="H1352" s="4">
        <f>_xlfn.XLOOKUP($A1352, 'L &amp; T'!A:A, 'L &amp; T'!B:B, "")</f>
        <v>3679.8</v>
      </c>
    </row>
    <row r="1353" spans="1:8" x14ac:dyDescent="0.3">
      <c r="A1353" s="1">
        <v>45819</v>
      </c>
      <c r="B1353" s="4">
        <f>_xlfn.XLOOKUP($A1353, 'Nifty 50'!A:A, 'Nifty 50'!B:B, "")</f>
        <v>25141.4</v>
      </c>
      <c r="C1353" s="4">
        <f>_xlfn.XLOOKUP($A1353, Reliance!A:A, Reliance!B:B, "")</f>
        <v>1448.9</v>
      </c>
      <c r="D1353" s="4">
        <f>_xlfn.XLOOKUP($A1353, HDFC!A:A, HDFC!B:B, "")</f>
        <v>972.78</v>
      </c>
      <c r="E1353" s="4">
        <f>_xlfn.XLOOKUP($A1353, ITC!A:A, ITC!B:B, "")</f>
        <v>426.15</v>
      </c>
      <c r="F1353" s="4">
        <f>_xlfn.XLOOKUP($A1353, TCS!A:A, TCS!B:B, "")</f>
        <v>3471.9</v>
      </c>
      <c r="G1353" s="4">
        <f>_xlfn.XLOOKUP($A1353, Infosys!A:A, Infosys!B:B,"")</f>
        <v>1631.1</v>
      </c>
      <c r="H1353" s="4">
        <f>_xlfn.XLOOKUP($A1353, 'L &amp; T'!A:A, 'L &amp; T'!B:B, "")</f>
        <v>3684.8</v>
      </c>
    </row>
    <row r="1354" spans="1:8" x14ac:dyDescent="0.3">
      <c r="A1354" s="1">
        <v>45820</v>
      </c>
      <c r="B1354" s="4">
        <f>_xlfn.XLOOKUP($A1354, 'Nifty 50'!A:A, 'Nifty 50'!B:B, "")</f>
        <v>24888.2</v>
      </c>
      <c r="C1354" s="4">
        <f>_xlfn.XLOOKUP($A1354, Reliance!A:A, Reliance!B:B, "")</f>
        <v>1441.6</v>
      </c>
      <c r="D1354" s="4">
        <f>_xlfn.XLOOKUP($A1354, HDFC!A:A, HDFC!B:B, "")</f>
        <v>969.29</v>
      </c>
      <c r="E1354" s="4">
        <f>_xlfn.XLOOKUP($A1354, ITC!A:A, ITC!B:B, "")</f>
        <v>421</v>
      </c>
      <c r="F1354" s="4">
        <f>_xlfn.XLOOKUP($A1354, TCS!A:A, TCS!B:B, "")</f>
        <v>3434.2</v>
      </c>
      <c r="G1354" s="4">
        <f>_xlfn.XLOOKUP($A1354, Infosys!A:A, Infosys!B:B,"")</f>
        <v>1608.6</v>
      </c>
      <c r="H1354" s="4">
        <f>_xlfn.XLOOKUP($A1354, 'L &amp; T'!A:A, 'L &amp; T'!B:B, "")</f>
        <v>3603.9</v>
      </c>
    </row>
    <row r="1355" spans="1:8" x14ac:dyDescent="0.3">
      <c r="A1355" s="1">
        <v>45821</v>
      </c>
      <c r="B1355" s="4">
        <f>_xlfn.XLOOKUP($A1355, 'Nifty 50'!A:A, 'Nifty 50'!B:B, "")</f>
        <v>24718.6</v>
      </c>
      <c r="C1355" s="4">
        <f>_xlfn.XLOOKUP($A1355, Reliance!A:A, Reliance!B:B, "")</f>
        <v>1427.9</v>
      </c>
      <c r="D1355" s="4">
        <f>_xlfn.XLOOKUP($A1355, HDFC!A:A, HDFC!B:B, "")</f>
        <v>956.42</v>
      </c>
      <c r="E1355" s="4">
        <f>_xlfn.XLOOKUP($A1355, ITC!A:A, ITC!B:B, "")</f>
        <v>413.9</v>
      </c>
      <c r="F1355" s="4">
        <f>_xlfn.XLOOKUP($A1355, TCS!A:A, TCS!B:B, "")</f>
        <v>3445.7</v>
      </c>
      <c r="G1355" s="4">
        <f>_xlfn.XLOOKUP($A1355, Infosys!A:A, Infosys!B:B,"")</f>
        <v>1602</v>
      </c>
      <c r="H1355" s="4">
        <f>_xlfn.XLOOKUP($A1355, 'L &amp; T'!A:A, 'L &amp; T'!B:B, "")</f>
        <v>3587.4</v>
      </c>
    </row>
    <row r="1356" spans="1:8" x14ac:dyDescent="0.3">
      <c r="A1356" s="1">
        <v>45824</v>
      </c>
      <c r="B1356" s="4">
        <f>_xlfn.XLOOKUP($A1356, 'Nifty 50'!A:A, 'Nifty 50'!B:B, "")</f>
        <v>24946.5</v>
      </c>
      <c r="C1356" s="4">
        <f>_xlfn.XLOOKUP($A1356, Reliance!A:A, Reliance!B:B, "")</f>
        <v>1437.8</v>
      </c>
      <c r="D1356" s="4">
        <f>_xlfn.XLOOKUP($A1356, HDFC!A:A, HDFC!B:B, "")</f>
        <v>965.3</v>
      </c>
      <c r="E1356" s="4">
        <f>_xlfn.XLOOKUP($A1356, ITC!A:A, ITC!B:B, "")</f>
        <v>418.2</v>
      </c>
      <c r="F1356" s="4">
        <f>_xlfn.XLOOKUP($A1356, TCS!A:A, TCS!B:B, "")</f>
        <v>3496.3</v>
      </c>
      <c r="G1356" s="4">
        <f>_xlfn.XLOOKUP($A1356, Infosys!A:A, Infosys!B:B,"")</f>
        <v>1623.8</v>
      </c>
      <c r="H1356" s="4">
        <f>_xlfn.XLOOKUP($A1356, 'L &amp; T'!A:A, 'L &amp; T'!B:B, "")</f>
        <v>3628.7</v>
      </c>
    </row>
    <row r="1357" spans="1:8" x14ac:dyDescent="0.3">
      <c r="A1357" s="1">
        <v>45825</v>
      </c>
      <c r="B1357" s="4">
        <f>_xlfn.XLOOKUP($A1357, 'Nifty 50'!A:A, 'Nifty 50'!B:B, "")</f>
        <v>24853.4</v>
      </c>
      <c r="C1357" s="4">
        <f>_xlfn.XLOOKUP($A1357, Reliance!A:A, Reliance!B:B, "")</f>
        <v>1431.2</v>
      </c>
      <c r="D1357" s="4">
        <f>_xlfn.XLOOKUP($A1357, HDFC!A:A, HDFC!B:B, "")</f>
        <v>962.41</v>
      </c>
      <c r="E1357" s="4">
        <f>_xlfn.XLOOKUP($A1357, ITC!A:A, ITC!B:B, "")</f>
        <v>417.4</v>
      </c>
      <c r="F1357" s="4">
        <f>_xlfn.XLOOKUP($A1357, TCS!A:A, TCS!B:B, "")</f>
        <v>3515.3</v>
      </c>
      <c r="G1357" s="4">
        <f>_xlfn.XLOOKUP($A1357, Infosys!A:A, Infosys!B:B,"")</f>
        <v>1639.9</v>
      </c>
      <c r="H1357" s="4">
        <f>_xlfn.XLOOKUP($A1357, 'L &amp; T'!A:A, 'L &amp; T'!B:B, "")</f>
        <v>3622.3</v>
      </c>
    </row>
    <row r="1358" spans="1:8" x14ac:dyDescent="0.3">
      <c r="A1358" s="1">
        <v>45826</v>
      </c>
      <c r="B1358" s="4">
        <f>_xlfn.XLOOKUP($A1358, 'Nifty 50'!A:A, 'Nifty 50'!B:B, "")</f>
        <v>24812.05</v>
      </c>
      <c r="C1358" s="4">
        <f>_xlfn.XLOOKUP($A1358, Reliance!A:A, Reliance!B:B, "")</f>
        <v>1430.1</v>
      </c>
      <c r="D1358" s="4">
        <f>_xlfn.XLOOKUP($A1358, HDFC!A:A, HDFC!B:B, "")</f>
        <v>964.55</v>
      </c>
      <c r="E1358" s="4">
        <f>_xlfn.XLOOKUP($A1358, ITC!A:A, ITC!B:B, "")</f>
        <v>415.9</v>
      </c>
      <c r="F1358" s="4">
        <f>_xlfn.XLOOKUP($A1358, TCS!A:A, TCS!B:B, "")</f>
        <v>3451.4</v>
      </c>
      <c r="G1358" s="4">
        <f>_xlfn.XLOOKUP($A1358, Infosys!A:A, Infosys!B:B,"")</f>
        <v>1632.9</v>
      </c>
      <c r="H1358" s="4">
        <f>_xlfn.XLOOKUP($A1358, 'L &amp; T'!A:A, 'L &amp; T'!B:B, "")</f>
        <v>3601.5</v>
      </c>
    </row>
    <row r="1359" spans="1:8" x14ac:dyDescent="0.3">
      <c r="A1359" s="1">
        <v>45827</v>
      </c>
      <c r="B1359" s="4">
        <f>_xlfn.XLOOKUP($A1359, 'Nifty 50'!A:A, 'Nifty 50'!B:B, "")</f>
        <v>24793.25</v>
      </c>
      <c r="C1359" s="4">
        <f>_xlfn.XLOOKUP($A1359, Reliance!A:A, Reliance!B:B, "")</f>
        <v>1433.3</v>
      </c>
      <c r="D1359" s="4">
        <f>_xlfn.XLOOKUP($A1359, HDFC!A:A, HDFC!B:B, "")</f>
        <v>965.25</v>
      </c>
      <c r="E1359" s="4">
        <f>_xlfn.XLOOKUP($A1359, ITC!A:A, ITC!B:B, "")</f>
        <v>416</v>
      </c>
      <c r="F1359" s="4">
        <f>_xlfn.XLOOKUP($A1359, TCS!A:A, TCS!B:B, "")</f>
        <v>3424</v>
      </c>
      <c r="G1359" s="4">
        <f>_xlfn.XLOOKUP($A1359, Infosys!A:A, Infosys!B:B,"")</f>
        <v>1618.4</v>
      </c>
      <c r="H1359" s="4">
        <f>_xlfn.XLOOKUP($A1359, 'L &amp; T'!A:A, 'L &amp; T'!B:B, "")</f>
        <v>3621.1</v>
      </c>
    </row>
    <row r="1360" spans="1:8" x14ac:dyDescent="0.3">
      <c r="A1360" s="1">
        <v>45828</v>
      </c>
      <c r="B1360" s="4">
        <f>_xlfn.XLOOKUP($A1360, 'Nifty 50'!A:A, 'Nifty 50'!B:B, "")</f>
        <v>25112.400000000001</v>
      </c>
      <c r="C1360" s="4">
        <f>_xlfn.XLOOKUP($A1360, Reliance!A:A, Reliance!B:B, "")</f>
        <v>1466.2</v>
      </c>
      <c r="D1360" s="4">
        <f>_xlfn.XLOOKUP($A1360, HDFC!A:A, HDFC!B:B, "")</f>
        <v>979.91</v>
      </c>
      <c r="E1360" s="4">
        <f>_xlfn.XLOOKUP($A1360, ITC!A:A, ITC!B:B, "")</f>
        <v>418.55</v>
      </c>
      <c r="F1360" s="4">
        <f>_xlfn.XLOOKUP($A1360, TCS!A:A, TCS!B:B, "")</f>
        <v>3435.7</v>
      </c>
      <c r="G1360" s="4">
        <f>_xlfn.XLOOKUP($A1360, Infosys!A:A, Infosys!B:B,"")</f>
        <v>1622.9</v>
      </c>
      <c r="H1360" s="4">
        <f>_xlfn.XLOOKUP($A1360, 'L &amp; T'!A:A, 'L &amp; T'!B:B, "")</f>
        <v>3662</v>
      </c>
    </row>
    <row r="1361" spans="1:8" x14ac:dyDescent="0.3">
      <c r="A1361" s="1">
        <v>45831</v>
      </c>
      <c r="B1361" s="4">
        <f>_xlfn.XLOOKUP($A1361, 'Nifty 50'!A:A, 'Nifty 50'!B:B, "")</f>
        <v>24971.9</v>
      </c>
      <c r="C1361" s="4">
        <f>_xlfn.XLOOKUP($A1361, Reliance!A:A, Reliance!B:B, "")</f>
        <v>1456.8</v>
      </c>
      <c r="D1361" s="4">
        <f>_xlfn.XLOOKUP($A1361, HDFC!A:A, HDFC!B:B, "")</f>
        <v>971.78</v>
      </c>
      <c r="E1361" s="4">
        <f>_xlfn.XLOOKUP($A1361, ITC!A:A, ITC!B:B, "")</f>
        <v>413.9</v>
      </c>
      <c r="F1361" s="4">
        <f>_xlfn.XLOOKUP($A1361, TCS!A:A, TCS!B:B, "")</f>
        <v>3393.6</v>
      </c>
      <c r="G1361" s="4">
        <f>_xlfn.XLOOKUP($A1361, Infosys!A:A, Infosys!B:B,"")</f>
        <v>1584</v>
      </c>
      <c r="H1361" s="4">
        <f>_xlfn.XLOOKUP($A1361, 'L &amp; T'!A:A, 'L &amp; T'!B:B, "")</f>
        <v>3583.7</v>
      </c>
    </row>
    <row r="1362" spans="1:8" x14ac:dyDescent="0.3">
      <c r="A1362" s="1">
        <v>45832</v>
      </c>
      <c r="B1362" s="4">
        <f>_xlfn.XLOOKUP($A1362, 'Nifty 50'!A:A, 'Nifty 50'!B:B, "")</f>
        <v>25044.35</v>
      </c>
      <c r="C1362" s="4">
        <f>_xlfn.XLOOKUP($A1362, Reliance!A:A, Reliance!B:B, "")</f>
        <v>1450.8</v>
      </c>
      <c r="D1362" s="4">
        <f>_xlfn.XLOOKUP($A1362, HDFC!A:A, HDFC!B:B, "")</f>
        <v>978.02</v>
      </c>
      <c r="E1362" s="4">
        <f>_xlfn.XLOOKUP($A1362, ITC!A:A, ITC!B:B, "")</f>
        <v>414.35</v>
      </c>
      <c r="F1362" s="4">
        <f>_xlfn.XLOOKUP($A1362, TCS!A:A, TCS!B:B, "")</f>
        <v>3390.4</v>
      </c>
      <c r="G1362" s="4">
        <f>_xlfn.XLOOKUP($A1362, Infosys!A:A, Infosys!B:B,"")</f>
        <v>1581.6</v>
      </c>
      <c r="H1362" s="4">
        <f>_xlfn.XLOOKUP($A1362, 'L &amp; T'!A:A, 'L &amp; T'!B:B, "")</f>
        <v>3604.8</v>
      </c>
    </row>
    <row r="1363" spans="1:8" x14ac:dyDescent="0.3">
      <c r="A1363" s="1">
        <v>45833</v>
      </c>
      <c r="B1363" s="4">
        <f>_xlfn.XLOOKUP($A1363, 'Nifty 50'!A:A, 'Nifty 50'!B:B, "")</f>
        <v>25244.75</v>
      </c>
      <c r="C1363" s="4">
        <f>_xlfn.XLOOKUP($A1363, Reliance!A:A, Reliance!B:B, "")</f>
        <v>1467.3</v>
      </c>
      <c r="D1363" s="4">
        <f>_xlfn.XLOOKUP($A1363, HDFC!A:A, HDFC!B:B, "")</f>
        <v>987.64</v>
      </c>
      <c r="E1363" s="4">
        <f>_xlfn.XLOOKUP($A1363, ITC!A:A, ITC!B:B, "")</f>
        <v>416.35</v>
      </c>
      <c r="F1363" s="4">
        <f>_xlfn.XLOOKUP($A1363, TCS!A:A, TCS!B:B, "")</f>
        <v>3444.8</v>
      </c>
      <c r="G1363" s="4">
        <f>_xlfn.XLOOKUP($A1363, Infosys!A:A, Infosys!B:B,"")</f>
        <v>1614.9</v>
      </c>
      <c r="H1363" s="4">
        <f>_xlfn.XLOOKUP($A1363, 'L &amp; T'!A:A, 'L &amp; T'!B:B, "")</f>
        <v>3619.8</v>
      </c>
    </row>
    <row r="1364" spans="1:8" x14ac:dyDescent="0.3">
      <c r="A1364" s="1">
        <v>45834</v>
      </c>
      <c r="B1364" s="4">
        <f>_xlfn.XLOOKUP($A1364, 'Nifty 50'!A:A, 'Nifty 50'!B:B, "")</f>
        <v>25549</v>
      </c>
      <c r="C1364" s="4">
        <f>_xlfn.XLOOKUP($A1364, Reliance!A:A, Reliance!B:B, "")</f>
        <v>1495.3</v>
      </c>
      <c r="D1364" s="4">
        <f>_xlfn.XLOOKUP($A1364, HDFC!A:A, HDFC!B:B, "")</f>
        <v>1008.39</v>
      </c>
      <c r="E1364" s="4">
        <f>_xlfn.XLOOKUP($A1364, ITC!A:A, ITC!B:B, "")</f>
        <v>420.3</v>
      </c>
      <c r="F1364" s="4">
        <f>_xlfn.XLOOKUP($A1364, TCS!A:A, TCS!B:B, "")</f>
        <v>3441.8</v>
      </c>
      <c r="G1364" s="4">
        <f>_xlfn.XLOOKUP($A1364, Infosys!A:A, Infosys!B:B,"")</f>
        <v>1616</v>
      </c>
      <c r="H1364" s="4">
        <f>_xlfn.XLOOKUP($A1364, 'L &amp; T'!A:A, 'L &amp; T'!B:B, "")</f>
        <v>3659.6</v>
      </c>
    </row>
    <row r="1365" spans="1:8" x14ac:dyDescent="0.3">
      <c r="A1365" s="1">
        <v>45835</v>
      </c>
      <c r="B1365" s="4">
        <f>_xlfn.XLOOKUP($A1365, 'Nifty 50'!A:A, 'Nifty 50'!B:B, "")</f>
        <v>25637.8</v>
      </c>
      <c r="C1365" s="4">
        <f>_xlfn.XLOOKUP($A1365, Reliance!A:A, Reliance!B:B, "")</f>
        <v>1515.4</v>
      </c>
      <c r="D1365" s="4">
        <f>_xlfn.XLOOKUP($A1365, HDFC!A:A, HDFC!B:B, "")</f>
        <v>1004.95</v>
      </c>
      <c r="E1365" s="4">
        <f>_xlfn.XLOOKUP($A1365, ITC!A:A, ITC!B:B, "")</f>
        <v>418.65</v>
      </c>
      <c r="F1365" s="4">
        <f>_xlfn.XLOOKUP($A1365, TCS!A:A, TCS!B:B, "")</f>
        <v>3441.1</v>
      </c>
      <c r="G1365" s="4">
        <f>_xlfn.XLOOKUP($A1365, Infosys!A:A, Infosys!B:B,"")</f>
        <v>1608</v>
      </c>
      <c r="H1365" s="4">
        <f>_xlfn.XLOOKUP($A1365, 'L &amp; T'!A:A, 'L &amp; T'!B:B, "")</f>
        <v>3679.2</v>
      </c>
    </row>
    <row r="1366" spans="1:8" x14ac:dyDescent="0.3">
      <c r="A1366" s="1">
        <v>45838</v>
      </c>
      <c r="B1366" s="4">
        <f>_xlfn.XLOOKUP($A1366, 'Nifty 50'!A:A, 'Nifty 50'!B:B, "")</f>
        <v>25517.05</v>
      </c>
      <c r="C1366" s="4">
        <f>_xlfn.XLOOKUP($A1366, Reliance!A:A, Reliance!B:B, "")</f>
        <v>1500.6</v>
      </c>
      <c r="D1366" s="4">
        <f>_xlfn.XLOOKUP($A1366, HDFC!A:A, HDFC!B:B, "")</f>
        <v>998.27</v>
      </c>
      <c r="E1366" s="4">
        <f>_xlfn.XLOOKUP($A1366, ITC!A:A, ITC!B:B, "")</f>
        <v>416.45</v>
      </c>
      <c r="F1366" s="4">
        <f>_xlfn.XLOOKUP($A1366, TCS!A:A, TCS!B:B, "")</f>
        <v>3462</v>
      </c>
      <c r="G1366" s="4">
        <f>_xlfn.XLOOKUP($A1366, Infosys!A:A, Infosys!B:B,"")</f>
        <v>1601.8</v>
      </c>
      <c r="H1366" s="4">
        <f>_xlfn.XLOOKUP($A1366, 'L &amp; T'!A:A, 'L &amp; T'!B:B, "")</f>
        <v>3669.8</v>
      </c>
    </row>
    <row r="1367" spans="1:8" x14ac:dyDescent="0.3">
      <c r="A1367" s="1">
        <v>45839</v>
      </c>
      <c r="B1367" s="4">
        <f>_xlfn.XLOOKUP($A1367, 'Nifty 50'!A:A, 'Nifty 50'!B:B, "")</f>
        <v>25541.8</v>
      </c>
      <c r="C1367" s="4">
        <f>_xlfn.XLOOKUP($A1367, Reliance!A:A, Reliance!B:B, "")</f>
        <v>1528.4</v>
      </c>
      <c r="D1367" s="4">
        <f>_xlfn.XLOOKUP($A1367, HDFC!A:A, HDFC!B:B, "")</f>
        <v>1003.55</v>
      </c>
      <c r="E1367" s="4">
        <f>_xlfn.XLOOKUP($A1367, ITC!A:A, ITC!B:B, "")</f>
        <v>415.1</v>
      </c>
      <c r="F1367" s="4">
        <f>_xlfn.XLOOKUP($A1367, TCS!A:A, TCS!B:B, "")</f>
        <v>3429.7</v>
      </c>
      <c r="G1367" s="4">
        <f>_xlfn.XLOOKUP($A1367, Infosys!A:A, Infosys!B:B,"")</f>
        <v>1606.8</v>
      </c>
      <c r="H1367" s="4">
        <f>_xlfn.XLOOKUP($A1367, 'L &amp; T'!A:A, 'L &amp; T'!B:B, "")</f>
        <v>3666.7</v>
      </c>
    </row>
    <row r="1368" spans="1:8" x14ac:dyDescent="0.3">
      <c r="A1368" s="1">
        <v>45840</v>
      </c>
      <c r="B1368" s="4">
        <f>_xlfn.XLOOKUP($A1368, 'Nifty 50'!A:A, 'Nifty 50'!B:B, "")</f>
        <v>25453.4</v>
      </c>
      <c r="C1368" s="4">
        <f>_xlfn.XLOOKUP($A1368, Reliance!A:A, Reliance!B:B, "")</f>
        <v>1518.8</v>
      </c>
      <c r="D1368" s="4">
        <f>_xlfn.XLOOKUP($A1368, HDFC!A:A, HDFC!B:B, "")</f>
        <v>990.54</v>
      </c>
      <c r="E1368" s="4">
        <f>_xlfn.XLOOKUP($A1368, ITC!A:A, ITC!B:B, "")</f>
        <v>412.95</v>
      </c>
      <c r="F1368" s="4">
        <f>_xlfn.XLOOKUP($A1368, TCS!A:A, TCS!B:B, "")</f>
        <v>3423.3</v>
      </c>
      <c r="G1368" s="4">
        <f>_xlfn.XLOOKUP($A1368, Infosys!A:A, Infosys!B:B,"")</f>
        <v>1610.5</v>
      </c>
      <c r="H1368" s="4">
        <f>_xlfn.XLOOKUP($A1368, 'L &amp; T'!A:A, 'L &amp; T'!B:B, "")</f>
        <v>3596.8</v>
      </c>
    </row>
    <row r="1369" spans="1:8" x14ac:dyDescent="0.3">
      <c r="A1369" s="1">
        <v>45841</v>
      </c>
      <c r="B1369" s="4">
        <f>_xlfn.XLOOKUP($A1369, 'Nifty 50'!A:A, 'Nifty 50'!B:B, "")</f>
        <v>25405.3</v>
      </c>
      <c r="C1369" s="4">
        <f>_xlfn.XLOOKUP($A1369, Reliance!A:A, Reliance!B:B, "")</f>
        <v>1517.8</v>
      </c>
      <c r="D1369" s="4">
        <f>_xlfn.XLOOKUP($A1369, HDFC!A:A, HDFC!B:B, "")</f>
        <v>991.08</v>
      </c>
      <c r="E1369" s="4">
        <f>_xlfn.XLOOKUP($A1369, ITC!A:A, ITC!B:B, "")</f>
        <v>413.35</v>
      </c>
      <c r="F1369" s="4">
        <f>_xlfn.XLOOKUP($A1369, TCS!A:A, TCS!B:B, "")</f>
        <v>3400.8</v>
      </c>
      <c r="G1369" s="4">
        <f>_xlfn.XLOOKUP($A1369, Infosys!A:A, Infosys!B:B,"")</f>
        <v>1618.7</v>
      </c>
      <c r="H1369" s="4">
        <f>_xlfn.XLOOKUP($A1369, 'L &amp; T'!A:A, 'L &amp; T'!B:B, "")</f>
        <v>3582.9</v>
      </c>
    </row>
    <row r="1370" spans="1:8" x14ac:dyDescent="0.3">
      <c r="A1370" s="1">
        <v>45842</v>
      </c>
      <c r="B1370" s="4">
        <f>_xlfn.XLOOKUP($A1370, 'Nifty 50'!A:A, 'Nifty 50'!B:B, "")</f>
        <v>25461</v>
      </c>
      <c r="C1370" s="4">
        <f>_xlfn.XLOOKUP($A1370, Reliance!A:A, Reliance!B:B, "")</f>
        <v>1527.3</v>
      </c>
      <c r="D1370" s="4">
        <f>_xlfn.XLOOKUP($A1370, HDFC!A:A, HDFC!B:B, "")</f>
        <v>992.18</v>
      </c>
      <c r="E1370" s="4">
        <f>_xlfn.XLOOKUP($A1370, ITC!A:A, ITC!B:B, "")</f>
        <v>412.55</v>
      </c>
      <c r="F1370" s="4">
        <f>_xlfn.XLOOKUP($A1370, TCS!A:A, TCS!B:B, "")</f>
        <v>3419.8</v>
      </c>
      <c r="G1370" s="4">
        <f>_xlfn.XLOOKUP($A1370, Infosys!A:A, Infosys!B:B,"")</f>
        <v>1640.7</v>
      </c>
      <c r="H1370" s="4">
        <f>_xlfn.XLOOKUP($A1370, 'L &amp; T'!A:A, 'L &amp; T'!B:B, "")</f>
        <v>3594.6</v>
      </c>
    </row>
    <row r="1371" spans="1:8" x14ac:dyDescent="0.3">
      <c r="A1371" s="1">
        <v>45845</v>
      </c>
      <c r="B1371" s="4">
        <f>_xlfn.XLOOKUP($A1371, 'Nifty 50'!A:A, 'Nifty 50'!B:B, "")</f>
        <v>25461.3</v>
      </c>
      <c r="C1371" s="4">
        <f>_xlfn.XLOOKUP($A1371, Reliance!A:A, Reliance!B:B, "")</f>
        <v>1541.5</v>
      </c>
      <c r="D1371" s="4">
        <f>_xlfn.XLOOKUP($A1371, HDFC!A:A, HDFC!B:B, "")</f>
        <v>991.23</v>
      </c>
      <c r="E1371" s="4">
        <f>_xlfn.XLOOKUP($A1371, ITC!A:A, ITC!B:B, "")</f>
        <v>416.15</v>
      </c>
      <c r="F1371" s="4">
        <f>_xlfn.XLOOKUP($A1371, TCS!A:A, TCS!B:B, "")</f>
        <v>3411.7</v>
      </c>
      <c r="G1371" s="4">
        <f>_xlfn.XLOOKUP($A1371, Infosys!A:A, Infosys!B:B,"")</f>
        <v>1627</v>
      </c>
      <c r="H1371" s="4">
        <f>_xlfn.XLOOKUP($A1371, 'L &amp; T'!A:A, 'L &amp; T'!B:B, "")</f>
        <v>3581.4</v>
      </c>
    </row>
    <row r="1372" spans="1:8" x14ac:dyDescent="0.3">
      <c r="A1372" s="1">
        <v>45846</v>
      </c>
      <c r="B1372" s="4">
        <f>_xlfn.XLOOKUP($A1372, 'Nifty 50'!A:A, 'Nifty 50'!B:B, "")</f>
        <v>25522.5</v>
      </c>
      <c r="C1372" s="4">
        <f>_xlfn.XLOOKUP($A1372, Reliance!A:A, Reliance!B:B, "")</f>
        <v>1537.6</v>
      </c>
      <c r="D1372" s="4">
        <f>_xlfn.XLOOKUP($A1372, HDFC!A:A, HDFC!B:B, "")</f>
        <v>998.22</v>
      </c>
      <c r="E1372" s="4">
        <f>_xlfn.XLOOKUP($A1372, ITC!A:A, ITC!B:B, "")</f>
        <v>417.2</v>
      </c>
      <c r="F1372" s="4">
        <f>_xlfn.XLOOKUP($A1372, TCS!A:A, TCS!B:B, "")</f>
        <v>3406.2</v>
      </c>
      <c r="G1372" s="4">
        <f>_xlfn.XLOOKUP($A1372, Infosys!A:A, Infosys!B:B,"")</f>
        <v>1638.7</v>
      </c>
      <c r="H1372" s="4">
        <f>_xlfn.XLOOKUP($A1372, 'L &amp; T'!A:A, 'L &amp; T'!B:B, "")</f>
        <v>3606.4</v>
      </c>
    </row>
    <row r="1373" spans="1:8" x14ac:dyDescent="0.3">
      <c r="A1373" s="1">
        <v>45847</v>
      </c>
      <c r="B1373" s="4">
        <f>_xlfn.XLOOKUP($A1373, 'Nifty 50'!A:A, 'Nifty 50'!B:B, "")</f>
        <v>25476.1</v>
      </c>
      <c r="C1373" s="4">
        <f>_xlfn.XLOOKUP($A1373, Reliance!A:A, Reliance!B:B, "")</f>
        <v>1519</v>
      </c>
      <c r="D1373" s="4">
        <f>_xlfn.XLOOKUP($A1373, HDFC!A:A, HDFC!B:B, "")</f>
        <v>1003.1</v>
      </c>
      <c r="E1373" s="4">
        <f>_xlfn.XLOOKUP($A1373, ITC!A:A, ITC!B:B, "")</f>
        <v>419.45</v>
      </c>
      <c r="F1373" s="4">
        <f>_xlfn.XLOOKUP($A1373, TCS!A:A, TCS!B:B, "")</f>
        <v>3383.8</v>
      </c>
      <c r="G1373" s="4">
        <f>_xlfn.XLOOKUP($A1373, Infosys!A:A, Infosys!B:B,"")</f>
        <v>1633.7</v>
      </c>
      <c r="H1373" s="4">
        <f>_xlfn.XLOOKUP($A1373, 'L &amp; T'!A:A, 'L &amp; T'!B:B, "")</f>
        <v>3579.7</v>
      </c>
    </row>
    <row r="1374" spans="1:8" x14ac:dyDescent="0.3">
      <c r="A1374" s="1">
        <v>45848</v>
      </c>
      <c r="B1374" s="4">
        <f>_xlfn.XLOOKUP($A1374, 'Nifty 50'!A:A, 'Nifty 50'!B:B, "")</f>
        <v>25355.25</v>
      </c>
      <c r="C1374" s="4">
        <f>_xlfn.XLOOKUP($A1374, Reliance!A:A, Reliance!B:B, "")</f>
        <v>1517.2</v>
      </c>
      <c r="D1374" s="4">
        <f>_xlfn.XLOOKUP($A1374, HDFC!A:A, HDFC!B:B, "")</f>
        <v>1000.61</v>
      </c>
      <c r="E1374" s="4">
        <f>_xlfn.XLOOKUP($A1374, ITC!A:A, ITC!B:B, "")</f>
        <v>416.85</v>
      </c>
      <c r="F1374" s="4">
        <f>_xlfn.XLOOKUP($A1374, TCS!A:A, TCS!B:B, "")</f>
        <v>3382</v>
      </c>
      <c r="G1374" s="4">
        <f>_xlfn.XLOOKUP($A1374, Infosys!A:A, Infosys!B:B,"")</f>
        <v>1615.8</v>
      </c>
      <c r="H1374" s="4">
        <f>_xlfn.XLOOKUP($A1374, 'L &amp; T'!A:A, 'L &amp; T'!B:B, "")</f>
        <v>3574.7</v>
      </c>
    </row>
    <row r="1375" spans="1:8" x14ac:dyDescent="0.3">
      <c r="A1375" s="1">
        <v>45849</v>
      </c>
      <c r="B1375" s="4">
        <f>_xlfn.XLOOKUP($A1375, 'Nifty 50'!A:A, 'Nifty 50'!B:B, "")</f>
        <v>25149.85</v>
      </c>
      <c r="C1375" s="4">
        <f>_xlfn.XLOOKUP($A1375, Reliance!A:A, Reliance!B:B, "")</f>
        <v>1495.2</v>
      </c>
      <c r="D1375" s="4">
        <f>_xlfn.XLOOKUP($A1375, HDFC!A:A, HDFC!B:B, "")</f>
        <v>989.39</v>
      </c>
      <c r="E1375" s="4">
        <f>_xlfn.XLOOKUP($A1375, ITC!A:A, ITC!B:B, "")</f>
        <v>416.8</v>
      </c>
      <c r="F1375" s="4">
        <f>_xlfn.XLOOKUP($A1375, TCS!A:A, TCS!B:B, "")</f>
        <v>3266</v>
      </c>
      <c r="G1375" s="4">
        <f>_xlfn.XLOOKUP($A1375, Infosys!A:A, Infosys!B:B,"")</f>
        <v>1594.9</v>
      </c>
      <c r="H1375" s="4">
        <f>_xlfn.XLOOKUP($A1375, 'L &amp; T'!A:A, 'L &amp; T'!B:B, "")</f>
        <v>3540.6</v>
      </c>
    </row>
    <row r="1376" spans="1:8" x14ac:dyDescent="0.3">
      <c r="A1376" s="1">
        <v>45852</v>
      </c>
      <c r="B1376" s="4">
        <f>_xlfn.XLOOKUP($A1376, 'Nifty 50'!A:A, 'Nifty 50'!B:B, "")</f>
        <v>25082.3</v>
      </c>
      <c r="C1376" s="4">
        <f>_xlfn.XLOOKUP($A1376, Reliance!A:A, Reliance!B:B, "")</f>
        <v>1483.7</v>
      </c>
      <c r="D1376" s="4">
        <f>_xlfn.XLOOKUP($A1376, HDFC!A:A, HDFC!B:B, "")</f>
        <v>989.04</v>
      </c>
      <c r="E1376" s="4">
        <f>_xlfn.XLOOKUP($A1376, ITC!A:A, ITC!B:B, "")</f>
        <v>419.4</v>
      </c>
      <c r="F1376" s="4">
        <f>_xlfn.XLOOKUP($A1376, TCS!A:A, TCS!B:B, "")</f>
        <v>3222.7</v>
      </c>
      <c r="G1376" s="4">
        <f>_xlfn.XLOOKUP($A1376, Infosys!A:A, Infosys!B:B,"")</f>
        <v>1570.3</v>
      </c>
      <c r="H1376" s="4">
        <f>_xlfn.XLOOKUP($A1376, 'L &amp; T'!A:A, 'L &amp; T'!B:B, "")</f>
        <v>3495.9</v>
      </c>
    </row>
    <row r="1377" spans="1:8" x14ac:dyDescent="0.3">
      <c r="A1377" s="1">
        <v>45853</v>
      </c>
      <c r="B1377" s="4">
        <f>_xlfn.XLOOKUP($A1377, 'Nifty 50'!A:A, 'Nifty 50'!B:B, "")</f>
        <v>25195.8</v>
      </c>
      <c r="C1377" s="4">
        <f>_xlfn.XLOOKUP($A1377, Reliance!A:A, Reliance!B:B, "")</f>
        <v>1485.4</v>
      </c>
      <c r="D1377" s="4">
        <f>_xlfn.XLOOKUP($A1377, HDFC!A:A, HDFC!B:B, "")</f>
        <v>995.27</v>
      </c>
      <c r="E1377" s="4">
        <f>_xlfn.XLOOKUP($A1377, ITC!A:A, ITC!B:B, "")</f>
        <v>422.1</v>
      </c>
      <c r="F1377" s="4">
        <f>_xlfn.XLOOKUP($A1377, TCS!A:A, TCS!B:B, "")</f>
        <v>3252.3</v>
      </c>
      <c r="G1377" s="4">
        <f>_xlfn.XLOOKUP($A1377, Infosys!A:A, Infosys!B:B,"")</f>
        <v>1585.6</v>
      </c>
      <c r="H1377" s="4">
        <f>_xlfn.XLOOKUP($A1377, 'L &amp; T'!A:A, 'L &amp; T'!B:B, "")</f>
        <v>3494</v>
      </c>
    </row>
    <row r="1378" spans="1:8" x14ac:dyDescent="0.3">
      <c r="A1378" s="1">
        <v>45854</v>
      </c>
      <c r="B1378" s="4">
        <f>_xlfn.XLOOKUP($A1378, 'Nifty 50'!A:A, 'Nifty 50'!B:B, "")</f>
        <v>25212.05</v>
      </c>
      <c r="C1378" s="4">
        <f>_xlfn.XLOOKUP($A1378, Reliance!A:A, Reliance!B:B, "")</f>
        <v>1485.6</v>
      </c>
      <c r="D1378" s="4">
        <f>_xlfn.XLOOKUP($A1378, HDFC!A:A, HDFC!B:B, "")</f>
        <v>995.67</v>
      </c>
      <c r="E1378" s="4">
        <f>_xlfn.XLOOKUP($A1378, ITC!A:A, ITC!B:B, "")</f>
        <v>424.6</v>
      </c>
      <c r="F1378" s="4">
        <f>_xlfn.XLOOKUP($A1378, TCS!A:A, TCS!B:B, "")</f>
        <v>3233.1</v>
      </c>
      <c r="G1378" s="4">
        <f>_xlfn.XLOOKUP($A1378, Infosys!A:A, Infosys!B:B,"")</f>
        <v>1607.9</v>
      </c>
      <c r="H1378" s="4">
        <f>_xlfn.XLOOKUP($A1378, 'L &amp; T'!A:A, 'L &amp; T'!B:B, "")</f>
        <v>3503.8</v>
      </c>
    </row>
    <row r="1379" spans="1:8" x14ac:dyDescent="0.3">
      <c r="A1379" s="1">
        <v>45855</v>
      </c>
      <c r="B1379" s="4">
        <f>_xlfn.XLOOKUP($A1379, 'Nifty 50'!A:A, 'Nifty 50'!B:B, "")</f>
        <v>25111.45</v>
      </c>
      <c r="C1379" s="4">
        <f>_xlfn.XLOOKUP($A1379, Reliance!A:A, Reliance!B:B, "")</f>
        <v>1476.4</v>
      </c>
      <c r="D1379" s="4">
        <f>_xlfn.XLOOKUP($A1379, HDFC!A:A, HDFC!B:B, "")</f>
        <v>990.98</v>
      </c>
      <c r="E1379" s="4">
        <f>_xlfn.XLOOKUP($A1379, ITC!A:A, ITC!B:B, "")</f>
        <v>423.95</v>
      </c>
      <c r="F1379" s="4">
        <f>_xlfn.XLOOKUP($A1379, TCS!A:A, TCS!B:B, "")</f>
        <v>3209.2</v>
      </c>
      <c r="G1379" s="4">
        <f>_xlfn.XLOOKUP($A1379, Infosys!A:A, Infosys!B:B,"")</f>
        <v>1583.5</v>
      </c>
      <c r="H1379" s="4">
        <f>_xlfn.XLOOKUP($A1379, 'L &amp; T'!A:A, 'L &amp; T'!B:B, "")</f>
        <v>3474</v>
      </c>
    </row>
    <row r="1380" spans="1:8" x14ac:dyDescent="0.3">
      <c r="A1380" s="1">
        <v>45856</v>
      </c>
      <c r="B1380" s="4">
        <f>_xlfn.XLOOKUP($A1380, 'Nifty 50'!A:A, 'Nifty 50'!B:B, "")</f>
        <v>24968.400000000001</v>
      </c>
      <c r="C1380" s="4">
        <f>_xlfn.XLOOKUP($A1380, Reliance!A:A, Reliance!B:B, "")</f>
        <v>1476</v>
      </c>
      <c r="D1380" s="4">
        <f>_xlfn.XLOOKUP($A1380, HDFC!A:A, HDFC!B:B, "")</f>
        <v>976.27</v>
      </c>
      <c r="E1380" s="4">
        <f>_xlfn.XLOOKUP($A1380, ITC!A:A, ITC!B:B, "")</f>
        <v>422.75</v>
      </c>
      <c r="F1380" s="4">
        <f>_xlfn.XLOOKUP($A1380, TCS!A:A, TCS!B:B, "")</f>
        <v>3189.9</v>
      </c>
      <c r="G1380" s="4">
        <f>_xlfn.XLOOKUP($A1380, Infosys!A:A, Infosys!B:B,"")</f>
        <v>1586.1</v>
      </c>
      <c r="H1380" s="4">
        <f>_xlfn.XLOOKUP($A1380, 'L &amp; T'!A:A, 'L &amp; T'!B:B, "")</f>
        <v>3464.8</v>
      </c>
    </row>
    <row r="1381" spans="1:8" x14ac:dyDescent="0.3">
      <c r="A1381" s="1">
        <v>45859</v>
      </c>
      <c r="B1381" s="4">
        <f>_xlfn.XLOOKUP($A1381, 'Nifty 50'!A:A, 'Nifty 50'!B:B, "")</f>
        <v>25090.7</v>
      </c>
      <c r="C1381" s="4">
        <f>_xlfn.XLOOKUP($A1381, Reliance!A:A, Reliance!B:B, "")</f>
        <v>1428.6</v>
      </c>
      <c r="D1381" s="4">
        <f>_xlfn.XLOOKUP($A1381, HDFC!A:A, HDFC!B:B, "")</f>
        <v>997.77</v>
      </c>
      <c r="E1381" s="4">
        <f>_xlfn.XLOOKUP($A1381, ITC!A:A, ITC!B:B, "")</f>
        <v>420.1</v>
      </c>
      <c r="F1381" s="4">
        <f>_xlfn.XLOOKUP($A1381, TCS!A:A, TCS!B:B, "")</f>
        <v>3158.2</v>
      </c>
      <c r="G1381" s="4">
        <f>_xlfn.XLOOKUP($A1381, Infosys!A:A, Infosys!B:B,"")</f>
        <v>1584.3</v>
      </c>
      <c r="H1381" s="4">
        <f>_xlfn.XLOOKUP($A1381, 'L &amp; T'!A:A, 'L &amp; T'!B:B, "")</f>
        <v>3502.8</v>
      </c>
    </row>
    <row r="1382" spans="1:8" x14ac:dyDescent="0.3">
      <c r="A1382" s="1">
        <v>45860</v>
      </c>
      <c r="B1382" s="4">
        <f>_xlfn.XLOOKUP($A1382, 'Nifty 50'!A:A, 'Nifty 50'!B:B, "")</f>
        <v>25060.9</v>
      </c>
      <c r="C1382" s="4">
        <f>_xlfn.XLOOKUP($A1382, Reliance!A:A, Reliance!B:B, "")</f>
        <v>1412.8</v>
      </c>
      <c r="D1382" s="4">
        <f>_xlfn.XLOOKUP($A1382, HDFC!A:A, HDFC!B:B, "")</f>
        <v>1001.06</v>
      </c>
      <c r="E1382" s="4">
        <f>_xlfn.XLOOKUP($A1382, ITC!A:A, ITC!B:B, "")</f>
        <v>416</v>
      </c>
      <c r="F1382" s="4">
        <f>_xlfn.XLOOKUP($A1382, TCS!A:A, TCS!B:B, "")</f>
        <v>3159.6</v>
      </c>
      <c r="G1382" s="4">
        <f>_xlfn.XLOOKUP($A1382, Infosys!A:A, Infosys!B:B,"")</f>
        <v>1570.9</v>
      </c>
      <c r="H1382" s="4">
        <f>_xlfn.XLOOKUP($A1382, 'L &amp; T'!A:A, 'L &amp; T'!B:B, "")</f>
        <v>3464.6</v>
      </c>
    </row>
    <row r="1383" spans="1:8" x14ac:dyDescent="0.3">
      <c r="A1383" s="1">
        <v>45861</v>
      </c>
      <c r="B1383" s="4">
        <f>_xlfn.XLOOKUP($A1383, 'Nifty 50'!A:A, 'Nifty 50'!B:B, "")</f>
        <v>25219.9</v>
      </c>
      <c r="C1383" s="4">
        <f>_xlfn.XLOOKUP($A1383, Reliance!A:A, Reliance!B:B, "")</f>
        <v>1424.6</v>
      </c>
      <c r="D1383" s="4">
        <f>_xlfn.XLOOKUP($A1383, HDFC!A:A, HDFC!B:B, "")</f>
        <v>1009.64</v>
      </c>
      <c r="E1383" s="4">
        <f>_xlfn.XLOOKUP($A1383, ITC!A:A, ITC!B:B, "")</f>
        <v>414.95</v>
      </c>
      <c r="F1383" s="4">
        <f>_xlfn.XLOOKUP($A1383, TCS!A:A, TCS!B:B, "")</f>
        <v>3179.1</v>
      </c>
      <c r="G1383" s="4">
        <f>_xlfn.XLOOKUP($A1383, Infosys!A:A, Infosys!B:B,"")</f>
        <v>1574.5</v>
      </c>
      <c r="H1383" s="4">
        <f>_xlfn.XLOOKUP($A1383, 'L &amp; T'!A:A, 'L &amp; T'!B:B, "")</f>
        <v>3484.9</v>
      </c>
    </row>
    <row r="1384" spans="1:8" x14ac:dyDescent="0.3">
      <c r="A1384" s="1">
        <v>45862</v>
      </c>
      <c r="B1384" s="4">
        <f>_xlfn.XLOOKUP($A1384, 'Nifty 50'!A:A, 'Nifty 50'!B:B, "")</f>
        <v>25062.1</v>
      </c>
      <c r="C1384" s="4">
        <f>_xlfn.XLOOKUP($A1384, Reliance!A:A, Reliance!B:B, "")</f>
        <v>1402.9</v>
      </c>
      <c r="D1384" s="4">
        <f>_xlfn.XLOOKUP($A1384, HDFC!A:A, HDFC!B:B, "")</f>
        <v>1004.6</v>
      </c>
      <c r="E1384" s="4">
        <f>_xlfn.XLOOKUP($A1384, ITC!A:A, ITC!B:B, "")</f>
        <v>409.95</v>
      </c>
      <c r="F1384" s="4">
        <f>_xlfn.XLOOKUP($A1384, TCS!A:A, TCS!B:B, "")</f>
        <v>3148</v>
      </c>
      <c r="G1384" s="4">
        <f>_xlfn.XLOOKUP($A1384, Infosys!A:A, Infosys!B:B,"")</f>
        <v>1552.5</v>
      </c>
      <c r="H1384" s="4">
        <f>_xlfn.XLOOKUP($A1384, 'L &amp; T'!A:A, 'L &amp; T'!B:B, "")</f>
        <v>3477.5</v>
      </c>
    </row>
    <row r="1385" spans="1:8" x14ac:dyDescent="0.3">
      <c r="A1385" s="1">
        <v>45863</v>
      </c>
      <c r="B1385" s="4">
        <f>_xlfn.XLOOKUP($A1385, 'Nifty 50'!A:A, 'Nifty 50'!B:B, "")</f>
        <v>24837</v>
      </c>
      <c r="C1385" s="4">
        <f>_xlfn.XLOOKUP($A1385, Reliance!A:A, Reliance!B:B, "")</f>
        <v>1391.7</v>
      </c>
      <c r="D1385" s="4">
        <f>_xlfn.XLOOKUP($A1385, HDFC!A:A, HDFC!B:B, "")</f>
        <v>1002.3</v>
      </c>
      <c r="E1385" s="4">
        <f>_xlfn.XLOOKUP($A1385, ITC!A:A, ITC!B:B, "")</f>
        <v>409.4</v>
      </c>
      <c r="F1385" s="4">
        <f>_xlfn.XLOOKUP($A1385, TCS!A:A, TCS!B:B, "")</f>
        <v>3135.8</v>
      </c>
      <c r="G1385" s="4">
        <f>_xlfn.XLOOKUP($A1385, Infosys!A:A, Infosys!B:B,"")</f>
        <v>1515.7</v>
      </c>
      <c r="H1385" s="4">
        <f>_xlfn.XLOOKUP($A1385, 'L &amp; T'!A:A, 'L &amp; T'!B:B, "")</f>
        <v>3442.9</v>
      </c>
    </row>
    <row r="1386" spans="1:8" x14ac:dyDescent="0.3">
      <c r="A1386" s="1">
        <v>45866</v>
      </c>
      <c r="B1386" s="4">
        <f>_xlfn.XLOOKUP($A1386, 'Nifty 50'!A:A, 'Nifty 50'!B:B, "")</f>
        <v>24680.9</v>
      </c>
      <c r="C1386" s="4">
        <f>_xlfn.XLOOKUP($A1386, Reliance!A:A, Reliance!B:B, "")</f>
        <v>1387.6</v>
      </c>
      <c r="D1386" s="4">
        <f>_xlfn.XLOOKUP($A1386, HDFC!A:A, HDFC!B:B, "")</f>
        <v>1004.25</v>
      </c>
      <c r="E1386" s="4">
        <f>_xlfn.XLOOKUP($A1386, ITC!A:A, ITC!B:B, "")</f>
        <v>409.9</v>
      </c>
      <c r="F1386" s="4">
        <f>_xlfn.XLOOKUP($A1386, TCS!A:A, TCS!B:B, "")</f>
        <v>3079.3</v>
      </c>
      <c r="G1386" s="4">
        <f>_xlfn.XLOOKUP($A1386, Infosys!A:A, Infosys!B:B,"")</f>
        <v>1516</v>
      </c>
      <c r="H1386" s="4">
        <f>_xlfn.XLOOKUP($A1386, 'L &amp; T'!A:A, 'L &amp; T'!B:B, "")</f>
        <v>3422.2</v>
      </c>
    </row>
    <row r="1387" spans="1:8" x14ac:dyDescent="0.3">
      <c r="A1387" s="1">
        <v>45867</v>
      </c>
      <c r="B1387" s="4">
        <f>_xlfn.XLOOKUP($A1387, 'Nifty 50'!A:A, 'Nifty 50'!B:B, "")</f>
        <v>24821.1</v>
      </c>
      <c r="C1387" s="4">
        <f>_xlfn.XLOOKUP($A1387, Reliance!A:A, Reliance!B:B, "")</f>
        <v>1417.1</v>
      </c>
      <c r="D1387" s="4">
        <f>_xlfn.XLOOKUP($A1387, HDFC!A:A, HDFC!B:B, "")</f>
        <v>1010.8</v>
      </c>
      <c r="E1387" s="4">
        <f>_xlfn.XLOOKUP($A1387, ITC!A:A, ITC!B:B, "")</f>
        <v>408.45</v>
      </c>
      <c r="F1387" s="4">
        <f>_xlfn.XLOOKUP($A1387, TCS!A:A, TCS!B:B, "")</f>
        <v>3056</v>
      </c>
      <c r="G1387" s="4">
        <f>_xlfn.XLOOKUP($A1387, Infosys!A:A, Infosys!B:B,"")</f>
        <v>1513.7</v>
      </c>
      <c r="H1387" s="4">
        <f>_xlfn.XLOOKUP($A1387, 'L &amp; T'!A:A, 'L &amp; T'!B:B, "")</f>
        <v>3495.6</v>
      </c>
    </row>
    <row r="1388" spans="1:8" x14ac:dyDescent="0.3">
      <c r="A1388" s="1">
        <v>45868</v>
      </c>
      <c r="B1388" s="4">
        <f>_xlfn.XLOOKUP($A1388, 'Nifty 50'!A:A, 'Nifty 50'!B:B, "")</f>
        <v>24855.05</v>
      </c>
      <c r="C1388" s="4">
        <f>_xlfn.XLOOKUP($A1388, Reliance!A:A, Reliance!B:B, "")</f>
        <v>1410.1</v>
      </c>
      <c r="D1388" s="4">
        <f>_xlfn.XLOOKUP($A1388, HDFC!A:A, HDFC!B:B, "")</f>
        <v>1012.9</v>
      </c>
      <c r="E1388" s="4">
        <f>_xlfn.XLOOKUP($A1388, ITC!A:A, ITC!B:B, "")</f>
        <v>407.6</v>
      </c>
      <c r="F1388" s="4">
        <f>_xlfn.XLOOKUP($A1388, TCS!A:A, TCS!B:B, "")</f>
        <v>3053.6</v>
      </c>
      <c r="G1388" s="4">
        <f>_xlfn.XLOOKUP($A1388, Infosys!A:A, Infosys!B:B,"")</f>
        <v>1519</v>
      </c>
      <c r="H1388" s="4">
        <f>_xlfn.XLOOKUP($A1388, 'L &amp; T'!A:A, 'L &amp; T'!B:B, "")</f>
        <v>3665.1</v>
      </c>
    </row>
    <row r="1389" spans="1:8" x14ac:dyDescent="0.3">
      <c r="A1389" s="1">
        <v>45869</v>
      </c>
      <c r="B1389" s="4">
        <f>_xlfn.XLOOKUP($A1389, 'Nifty 50'!A:A, 'Nifty 50'!B:B, "")</f>
        <v>24768.35</v>
      </c>
      <c r="C1389" s="4">
        <f>_xlfn.XLOOKUP($A1389, Reliance!A:A, Reliance!B:B, "")</f>
        <v>1390.2</v>
      </c>
      <c r="D1389" s="4">
        <f>_xlfn.XLOOKUP($A1389, HDFC!A:A, HDFC!B:B, "")</f>
        <v>1009.1</v>
      </c>
      <c r="E1389" s="4">
        <f>_xlfn.XLOOKUP($A1389, ITC!A:A, ITC!B:B, "")</f>
        <v>411.95</v>
      </c>
      <c r="F1389" s="4">
        <f>_xlfn.XLOOKUP($A1389, TCS!A:A, TCS!B:B, "")</f>
        <v>3036.8</v>
      </c>
      <c r="G1389" s="4">
        <f>_xlfn.XLOOKUP($A1389, Infosys!A:A, Infosys!B:B,"")</f>
        <v>1509</v>
      </c>
      <c r="H1389" s="4">
        <f>_xlfn.XLOOKUP($A1389, 'L &amp; T'!A:A, 'L &amp; T'!B:B, "")</f>
        <v>3636.5</v>
      </c>
    </row>
    <row r="1390" spans="1:8" x14ac:dyDescent="0.3">
      <c r="A1390" s="1">
        <v>45870</v>
      </c>
      <c r="B1390" s="4">
        <f>_xlfn.XLOOKUP($A1390, 'Nifty 50'!A:A, 'Nifty 50'!B:B, "")</f>
        <v>24565.35</v>
      </c>
      <c r="C1390" s="4">
        <f>_xlfn.XLOOKUP($A1390, Reliance!A:A, Reliance!B:B, "")</f>
        <v>1393.7</v>
      </c>
      <c r="D1390" s="4">
        <f>_xlfn.XLOOKUP($A1390, HDFC!A:A, HDFC!B:B, "")</f>
        <v>1006.1</v>
      </c>
      <c r="E1390" s="4">
        <f>_xlfn.XLOOKUP($A1390, ITC!A:A, ITC!B:B, "")</f>
        <v>416.45</v>
      </c>
      <c r="F1390" s="4">
        <f>_xlfn.XLOOKUP($A1390, TCS!A:A, TCS!B:B, "")</f>
        <v>3003</v>
      </c>
      <c r="G1390" s="4">
        <f>_xlfn.XLOOKUP($A1390, Infosys!A:A, Infosys!B:B,"")</f>
        <v>1469.6</v>
      </c>
      <c r="H1390" s="4">
        <f>_xlfn.XLOOKUP($A1390, 'L &amp; T'!A:A, 'L &amp; T'!B:B, "")</f>
        <v>3587.3</v>
      </c>
    </row>
    <row r="1391" spans="1:8" x14ac:dyDescent="0.3">
      <c r="A1391" s="1">
        <v>45873</v>
      </c>
      <c r="B1391" s="4">
        <f>_xlfn.XLOOKUP($A1391, 'Nifty 50'!A:A, 'Nifty 50'!B:B, "")</f>
        <v>24722.75</v>
      </c>
      <c r="C1391" s="4">
        <f>_xlfn.XLOOKUP($A1391, Reliance!A:A, Reliance!B:B, "")</f>
        <v>1411.5</v>
      </c>
      <c r="D1391" s="4">
        <f>_xlfn.XLOOKUP($A1391, HDFC!A:A, HDFC!B:B, "")</f>
        <v>996</v>
      </c>
      <c r="E1391" s="4">
        <f>_xlfn.XLOOKUP($A1391, ITC!A:A, ITC!B:B, "")</f>
        <v>416.85</v>
      </c>
      <c r="F1391" s="4">
        <f>_xlfn.XLOOKUP($A1391, TCS!A:A, TCS!B:B, "")</f>
        <v>3074.4</v>
      </c>
      <c r="G1391" s="4">
        <f>_xlfn.XLOOKUP($A1391, Infosys!A:A, Infosys!B:B,"")</f>
        <v>1480.5</v>
      </c>
      <c r="H1391" s="4">
        <f>_xlfn.XLOOKUP($A1391, 'L &amp; T'!A:A, 'L &amp; T'!B:B, "")</f>
        <v>3631.1</v>
      </c>
    </row>
    <row r="1392" spans="1:8" x14ac:dyDescent="0.3">
      <c r="A1392" s="1">
        <v>45874</v>
      </c>
      <c r="B1392" s="4">
        <f>_xlfn.XLOOKUP($A1392, 'Nifty 50'!A:A, 'Nifty 50'!B:B, "")</f>
        <v>24649.55</v>
      </c>
      <c r="C1392" s="4">
        <f>_xlfn.XLOOKUP($A1392, Reliance!A:A, Reliance!B:B, "")</f>
        <v>1391.7</v>
      </c>
      <c r="D1392" s="4">
        <f>_xlfn.XLOOKUP($A1392, HDFC!A:A, HDFC!B:B, "")</f>
        <v>988.8</v>
      </c>
      <c r="E1392" s="4">
        <f>_xlfn.XLOOKUP($A1392, ITC!A:A, ITC!B:B, "")</f>
        <v>414.15</v>
      </c>
      <c r="F1392" s="4">
        <f>_xlfn.XLOOKUP($A1392, TCS!A:A, TCS!B:B, "")</f>
        <v>3063.9</v>
      </c>
      <c r="G1392" s="4">
        <f>_xlfn.XLOOKUP($A1392, Infosys!A:A, Infosys!B:B,"")</f>
        <v>1460.3</v>
      </c>
      <c r="H1392" s="4">
        <f>_xlfn.XLOOKUP($A1392, 'L &amp; T'!A:A, 'L &amp; T'!B:B, "")</f>
        <v>3652.6</v>
      </c>
    </row>
    <row r="1393" spans="1:8" x14ac:dyDescent="0.3">
      <c r="A1393" s="1">
        <v>45875</v>
      </c>
      <c r="B1393" s="4">
        <f>_xlfn.XLOOKUP($A1393, 'Nifty 50'!A:A, 'Nifty 50'!B:B, "")</f>
        <v>24574.2</v>
      </c>
      <c r="C1393" s="4">
        <f>_xlfn.XLOOKUP($A1393, Reliance!A:A, Reliance!B:B, "")</f>
        <v>1392.8</v>
      </c>
      <c r="D1393" s="4">
        <f>_xlfn.XLOOKUP($A1393, HDFC!A:A, HDFC!B:B, "")</f>
        <v>992.65</v>
      </c>
      <c r="E1393" s="4">
        <f>_xlfn.XLOOKUP($A1393, ITC!A:A, ITC!B:B, "")</f>
        <v>412</v>
      </c>
      <c r="F1393" s="4">
        <f>_xlfn.XLOOKUP($A1393, TCS!A:A, TCS!B:B, "")</f>
        <v>3032.3</v>
      </c>
      <c r="G1393" s="4">
        <f>_xlfn.XLOOKUP($A1393, Infosys!A:A, Infosys!B:B,"")</f>
        <v>1436.7</v>
      </c>
      <c r="H1393" s="4">
        <f>_xlfn.XLOOKUP($A1393, 'L &amp; T'!A:A, 'L &amp; T'!B:B, "")</f>
        <v>3628.4</v>
      </c>
    </row>
    <row r="1394" spans="1:8" x14ac:dyDescent="0.3">
      <c r="A1394" s="1">
        <v>45876</v>
      </c>
      <c r="B1394" s="4">
        <f>_xlfn.XLOOKUP($A1394, 'Nifty 50'!A:A, 'Nifty 50'!B:B, "")</f>
        <v>24596.15</v>
      </c>
      <c r="C1394" s="4">
        <f>_xlfn.XLOOKUP($A1394, Reliance!A:A, Reliance!B:B, "")</f>
        <v>1389.4</v>
      </c>
      <c r="D1394" s="4">
        <f>_xlfn.XLOOKUP($A1394, HDFC!A:A, HDFC!B:B, "")</f>
        <v>997.7</v>
      </c>
      <c r="E1394" s="4">
        <f>_xlfn.XLOOKUP($A1394, ITC!A:A, ITC!B:B, "")</f>
        <v>413.6</v>
      </c>
      <c r="F1394" s="4">
        <f>_xlfn.XLOOKUP($A1394, TCS!A:A, TCS!B:B, "")</f>
        <v>3047</v>
      </c>
      <c r="G1394" s="4">
        <f>_xlfn.XLOOKUP($A1394, Infosys!A:A, Infosys!B:B,"")</f>
        <v>1436.9</v>
      </c>
      <c r="H1394" s="4">
        <f>_xlfn.XLOOKUP($A1394, 'L &amp; T'!A:A, 'L &amp; T'!B:B, "")</f>
        <v>3641.6</v>
      </c>
    </row>
    <row r="1395" spans="1:8" x14ac:dyDescent="0.3">
      <c r="A1395" s="1">
        <v>45877</v>
      </c>
      <c r="B1395" s="4">
        <f>_xlfn.XLOOKUP($A1395, 'Nifty 50'!A:A, 'Nifty 50'!B:B, "")</f>
        <v>24363.3</v>
      </c>
      <c r="C1395" s="4">
        <f>_xlfn.XLOOKUP($A1395, Reliance!A:A, Reliance!B:B, "")</f>
        <v>1367.8</v>
      </c>
      <c r="D1395" s="4">
        <f>_xlfn.XLOOKUP($A1395, HDFC!A:A, HDFC!B:B, "")</f>
        <v>986.95</v>
      </c>
      <c r="E1395" s="4">
        <f>_xlfn.XLOOKUP($A1395, ITC!A:A, ITC!B:B, "")</f>
        <v>414.5</v>
      </c>
      <c r="F1395" s="4">
        <f>_xlfn.XLOOKUP($A1395, TCS!A:A, TCS!B:B, "")</f>
        <v>3036.4</v>
      </c>
      <c r="G1395" s="4">
        <f>_xlfn.XLOOKUP($A1395, Infosys!A:A, Infosys!B:B,"")</f>
        <v>1423.1</v>
      </c>
      <c r="H1395" s="4">
        <f>_xlfn.XLOOKUP($A1395, 'L &amp; T'!A:A, 'L &amp; T'!B:B, "")</f>
        <v>3607.6</v>
      </c>
    </row>
    <row r="1396" spans="1:8" x14ac:dyDescent="0.3">
      <c r="A1396" s="1">
        <v>45880</v>
      </c>
      <c r="B1396" s="4">
        <f>_xlfn.XLOOKUP($A1396, 'Nifty 50'!A:A, 'Nifty 50'!B:B, "")</f>
        <v>24585.05</v>
      </c>
      <c r="C1396" s="4">
        <f>_xlfn.XLOOKUP($A1396, Reliance!A:A, Reliance!B:B, "")</f>
        <v>1386.2</v>
      </c>
      <c r="D1396" s="4">
        <f>_xlfn.XLOOKUP($A1396, HDFC!A:A, HDFC!B:B, "")</f>
        <v>997.8</v>
      </c>
      <c r="E1396" s="4">
        <f>_xlfn.XLOOKUP($A1396, ITC!A:A, ITC!B:B, "")</f>
        <v>416.85</v>
      </c>
      <c r="F1396" s="4">
        <f>_xlfn.XLOOKUP($A1396, TCS!A:A, TCS!B:B, "")</f>
        <v>3040.8</v>
      </c>
      <c r="G1396" s="4">
        <f>_xlfn.XLOOKUP($A1396, Infosys!A:A, Infosys!B:B,"")</f>
        <v>1428.2</v>
      </c>
      <c r="H1396" s="4">
        <f>_xlfn.XLOOKUP($A1396, 'L &amp; T'!A:A, 'L &amp; T'!B:B, "")</f>
        <v>3668.4</v>
      </c>
    </row>
    <row r="1397" spans="1:8" x14ac:dyDescent="0.3">
      <c r="A1397" s="1">
        <v>45881</v>
      </c>
      <c r="B1397" s="4">
        <f>_xlfn.XLOOKUP($A1397, 'Nifty 50'!A:A, 'Nifty 50'!B:B, "")</f>
        <v>24487.4</v>
      </c>
      <c r="C1397" s="4">
        <f>_xlfn.XLOOKUP($A1397, Reliance!A:A, Reliance!B:B, "")</f>
        <v>1380.4</v>
      </c>
      <c r="D1397" s="4">
        <f>_xlfn.XLOOKUP($A1397, HDFC!A:A, HDFC!B:B, "")</f>
        <v>984.95</v>
      </c>
      <c r="E1397" s="4">
        <f>_xlfn.XLOOKUP($A1397, ITC!A:A, ITC!B:B, "")</f>
        <v>416.35</v>
      </c>
      <c r="F1397" s="4">
        <f>_xlfn.XLOOKUP($A1397, TCS!A:A, TCS!B:B, "")</f>
        <v>3035.4</v>
      </c>
      <c r="G1397" s="4">
        <f>_xlfn.XLOOKUP($A1397, Infosys!A:A, Infosys!B:B,"")</f>
        <v>1424.1</v>
      </c>
      <c r="H1397" s="4">
        <f>_xlfn.XLOOKUP($A1397, 'L &amp; T'!A:A, 'L &amp; T'!B:B, "")</f>
        <v>3686.1</v>
      </c>
    </row>
    <row r="1398" spans="1:8" x14ac:dyDescent="0.3">
      <c r="A1398" s="1">
        <v>45882</v>
      </c>
      <c r="B1398" s="4">
        <f>_xlfn.XLOOKUP($A1398, 'Nifty 50'!A:A, 'Nifty 50'!B:B, "")</f>
        <v>24619.35</v>
      </c>
      <c r="C1398" s="4">
        <f>_xlfn.XLOOKUP($A1398, Reliance!A:A, Reliance!B:B, "")</f>
        <v>1382.6</v>
      </c>
      <c r="D1398" s="4">
        <f>_xlfn.XLOOKUP($A1398, HDFC!A:A, HDFC!B:B, "")</f>
        <v>990.15</v>
      </c>
      <c r="E1398" s="4">
        <f>_xlfn.XLOOKUP($A1398, ITC!A:A, ITC!B:B, "")</f>
        <v>414.1</v>
      </c>
      <c r="F1398" s="4">
        <f>_xlfn.XLOOKUP($A1398, TCS!A:A, TCS!B:B, "")</f>
        <v>3036.2</v>
      </c>
      <c r="G1398" s="4">
        <f>_xlfn.XLOOKUP($A1398, Infosys!A:A, Infosys!B:B,"")</f>
        <v>1426.6</v>
      </c>
      <c r="H1398" s="4">
        <f>_xlfn.XLOOKUP($A1398, 'L &amp; T'!A:A, 'L &amp; T'!B:B, "")</f>
        <v>3693.7</v>
      </c>
    </row>
    <row r="1399" spans="1:8" x14ac:dyDescent="0.3">
      <c r="A1399" s="1">
        <v>45883</v>
      </c>
      <c r="B1399" s="4">
        <f>_xlfn.XLOOKUP($A1399, 'Nifty 50'!A:A, 'Nifty 50'!B:B, "")</f>
        <v>24631.3</v>
      </c>
      <c r="C1399" s="4">
        <f>_xlfn.XLOOKUP($A1399, Reliance!A:A, Reliance!B:B, "")</f>
        <v>1373.8</v>
      </c>
      <c r="D1399" s="4">
        <f>_xlfn.XLOOKUP($A1399, HDFC!A:A, HDFC!B:B, "")</f>
        <v>995.55</v>
      </c>
      <c r="E1399" s="4">
        <f>_xlfn.XLOOKUP($A1399, ITC!A:A, ITC!B:B, "")</f>
        <v>411.45</v>
      </c>
      <c r="F1399" s="4">
        <f>_xlfn.XLOOKUP($A1399, TCS!A:A, TCS!B:B, "")</f>
        <v>3022.3</v>
      </c>
      <c r="G1399" s="4">
        <f>_xlfn.XLOOKUP($A1399, Infosys!A:A, Infosys!B:B,"")</f>
        <v>1447.7</v>
      </c>
      <c r="H1399" s="4">
        <f>_xlfn.XLOOKUP($A1399, 'L &amp; T'!A:A, 'L &amp; T'!B:B, "")</f>
        <v>3677</v>
      </c>
    </row>
    <row r="1400" spans="1:8" x14ac:dyDescent="0.3">
      <c r="A1400" s="1">
        <v>45887</v>
      </c>
      <c r="B1400" s="4">
        <f>_xlfn.XLOOKUP($A1400, 'Nifty 50'!A:A, 'Nifty 50'!B:B, "")</f>
        <v>24876.95</v>
      </c>
      <c r="C1400" s="4">
        <f>_xlfn.XLOOKUP($A1400, Reliance!A:A, Reliance!B:B, "")</f>
        <v>1381.7</v>
      </c>
      <c r="D1400" s="4">
        <f>_xlfn.XLOOKUP($A1400, HDFC!A:A, HDFC!B:B, "")</f>
        <v>1001.8</v>
      </c>
      <c r="E1400" s="4">
        <f>_xlfn.XLOOKUP($A1400, ITC!A:A, ITC!B:B, "")</f>
        <v>406.3</v>
      </c>
      <c r="F1400" s="4">
        <f>_xlfn.XLOOKUP($A1400, TCS!A:A, TCS!B:B, "")</f>
        <v>3011.2</v>
      </c>
      <c r="G1400" s="4">
        <f>_xlfn.XLOOKUP($A1400, Infosys!A:A, Infosys!B:B,"")</f>
        <v>1435.8</v>
      </c>
      <c r="H1400" s="4">
        <f>_xlfn.XLOOKUP($A1400, 'L &amp; T'!A:A, 'L &amp; T'!B:B, "")</f>
        <v>3635.1</v>
      </c>
    </row>
    <row r="1401" spans="1:8" x14ac:dyDescent="0.3">
      <c r="A1401" s="1">
        <v>45888</v>
      </c>
      <c r="B1401" s="4">
        <f>_xlfn.XLOOKUP($A1401, 'Nifty 50'!A:A, 'Nifty 50'!B:B, "")</f>
        <v>24980.65</v>
      </c>
      <c r="C1401" s="4">
        <f>_xlfn.XLOOKUP($A1401, Reliance!A:A, Reliance!B:B, "")</f>
        <v>1420.1</v>
      </c>
      <c r="D1401" s="4">
        <f>_xlfn.XLOOKUP($A1401, HDFC!A:A, HDFC!B:B, "")</f>
        <v>995.55</v>
      </c>
      <c r="E1401" s="4">
        <f>_xlfn.XLOOKUP($A1401, ITC!A:A, ITC!B:B, "")</f>
        <v>409.1</v>
      </c>
      <c r="F1401" s="4">
        <f>_xlfn.XLOOKUP($A1401, TCS!A:A, TCS!B:B, "")</f>
        <v>3016.2</v>
      </c>
      <c r="G1401" s="4">
        <f>_xlfn.XLOOKUP($A1401, Infosys!A:A, Infosys!B:B,"")</f>
        <v>1440</v>
      </c>
      <c r="H1401" s="4">
        <f>_xlfn.XLOOKUP($A1401, 'L &amp; T'!A:A, 'L &amp; T'!B:B, "")</f>
        <v>3613</v>
      </c>
    </row>
    <row r="1402" spans="1:8" x14ac:dyDescent="0.3">
      <c r="A1402" s="1">
        <v>45889</v>
      </c>
      <c r="B1402" s="4">
        <f>_xlfn.XLOOKUP($A1402, 'Nifty 50'!A:A, 'Nifty 50'!B:B, "")</f>
        <v>25050.55</v>
      </c>
      <c r="C1402" s="4">
        <f>_xlfn.XLOOKUP($A1402, Reliance!A:A, Reliance!B:B, "")</f>
        <v>1413</v>
      </c>
      <c r="D1402" s="4">
        <f>_xlfn.XLOOKUP($A1402, HDFC!A:A, HDFC!B:B, "")</f>
        <v>994.1</v>
      </c>
      <c r="E1402" s="4">
        <f>_xlfn.XLOOKUP($A1402, ITC!A:A, ITC!B:B, "")</f>
        <v>406.05</v>
      </c>
      <c r="F1402" s="4">
        <f>_xlfn.XLOOKUP($A1402, TCS!A:A, TCS!B:B, "")</f>
        <v>3098.6</v>
      </c>
      <c r="G1402" s="4">
        <f>_xlfn.XLOOKUP($A1402, Infosys!A:A, Infosys!B:B,"")</f>
        <v>1496.2</v>
      </c>
      <c r="H1402" s="4">
        <f>_xlfn.XLOOKUP($A1402, 'L &amp; T'!A:A, 'L &amp; T'!B:B, "")</f>
        <v>3592.3</v>
      </c>
    </row>
    <row r="1403" spans="1:8" x14ac:dyDescent="0.3">
      <c r="A1403" s="1">
        <v>45890</v>
      </c>
      <c r="B1403" s="4">
        <f>_xlfn.XLOOKUP($A1403, 'Nifty 50'!A:A, 'Nifty 50'!B:B, "")</f>
        <v>25083.75</v>
      </c>
      <c r="C1403" s="4">
        <f>_xlfn.XLOOKUP($A1403, Reliance!A:A, Reliance!B:B, "")</f>
        <v>1424.8</v>
      </c>
      <c r="D1403" s="4">
        <f>_xlfn.XLOOKUP($A1403, HDFC!A:A, HDFC!B:B, "")</f>
        <v>995.6</v>
      </c>
      <c r="E1403" s="4">
        <f>_xlfn.XLOOKUP($A1403, ITC!A:A, ITC!B:B, "")</f>
        <v>405.55</v>
      </c>
      <c r="F1403" s="4">
        <f>_xlfn.XLOOKUP($A1403, TCS!A:A, TCS!B:B, "")</f>
        <v>3102.6</v>
      </c>
      <c r="G1403" s="4">
        <f>_xlfn.XLOOKUP($A1403, Infosys!A:A, Infosys!B:B,"")</f>
        <v>1496.4</v>
      </c>
      <c r="H1403" s="4">
        <f>_xlfn.XLOOKUP($A1403, 'L &amp; T'!A:A, 'L &amp; T'!B:B, "")</f>
        <v>3612.6</v>
      </c>
    </row>
    <row r="1404" spans="1:8" x14ac:dyDescent="0.3">
      <c r="A1404" s="1">
        <v>45891</v>
      </c>
      <c r="B1404" s="4">
        <f>_xlfn.XLOOKUP($A1404, 'Nifty 50'!A:A, 'Nifty 50'!B:B, "")</f>
        <v>24870.1</v>
      </c>
      <c r="C1404" s="4">
        <f>_xlfn.XLOOKUP($A1404, Reliance!A:A, Reliance!B:B, "")</f>
        <v>1409.2</v>
      </c>
      <c r="D1404" s="4">
        <f>_xlfn.XLOOKUP($A1404, HDFC!A:A, HDFC!B:B, "")</f>
        <v>982.3</v>
      </c>
      <c r="E1404" s="4">
        <f>_xlfn.XLOOKUP($A1404, ITC!A:A, ITC!B:B, "")</f>
        <v>398.3</v>
      </c>
      <c r="F1404" s="4">
        <f>_xlfn.XLOOKUP($A1404, TCS!A:A, TCS!B:B, "")</f>
        <v>3054</v>
      </c>
      <c r="G1404" s="4">
        <f>_xlfn.XLOOKUP($A1404, Infosys!A:A, Infosys!B:B,"")</f>
        <v>1487.5</v>
      </c>
      <c r="H1404" s="4">
        <f>_xlfn.XLOOKUP($A1404, 'L &amp; T'!A:A, 'L &amp; T'!B:B, "")</f>
        <v>3595.8</v>
      </c>
    </row>
    <row r="1405" spans="1:8" x14ac:dyDescent="0.3">
      <c r="A1405" s="1">
        <v>45894</v>
      </c>
      <c r="B1405" s="4">
        <f>_xlfn.XLOOKUP($A1405, 'Nifty 50'!A:A, 'Nifty 50'!B:B, "")</f>
        <v>24967.75</v>
      </c>
      <c r="C1405" s="4">
        <f>_xlfn.XLOOKUP($A1405, Reliance!A:A, Reliance!B:B, "")</f>
        <v>1412.6</v>
      </c>
      <c r="D1405" s="4">
        <f>_xlfn.XLOOKUP($A1405, HDFC!A:A, HDFC!B:B, "")</f>
        <v>982.05</v>
      </c>
      <c r="E1405" s="4">
        <f>_xlfn.XLOOKUP($A1405, ITC!A:A, ITC!B:B, "")</f>
        <v>399.35</v>
      </c>
      <c r="F1405" s="4">
        <f>_xlfn.XLOOKUP($A1405, TCS!A:A, TCS!B:B, "")</f>
        <v>3140.6</v>
      </c>
      <c r="G1405" s="4">
        <f>_xlfn.XLOOKUP($A1405, Infosys!A:A, Infosys!B:B,"")</f>
        <v>1532.1</v>
      </c>
      <c r="H1405" s="4">
        <f>_xlfn.XLOOKUP($A1405, 'L &amp; T'!A:A, 'L &amp; T'!B:B, "")</f>
        <v>3603.1</v>
      </c>
    </row>
    <row r="1406" spans="1:8" x14ac:dyDescent="0.3">
      <c r="A1406" s="1">
        <v>45895</v>
      </c>
      <c r="B1406" s="4">
        <f>_xlfn.XLOOKUP($A1406, 'Nifty 50'!A:A, 'Nifty 50'!B:B, "")</f>
        <v>24712.05</v>
      </c>
      <c r="C1406" s="4">
        <f>_xlfn.XLOOKUP($A1406, Reliance!A:A, Reliance!B:B, "")</f>
        <v>1384.9</v>
      </c>
      <c r="D1406" s="4">
        <f>_xlfn.XLOOKUP($A1406, HDFC!A:A, HDFC!B:B, "")</f>
        <v>973.4</v>
      </c>
      <c r="E1406" s="4">
        <f>_xlfn.XLOOKUP($A1406, ITC!A:A, ITC!B:B, "")</f>
        <v>403.35</v>
      </c>
      <c r="F1406" s="4">
        <f>_xlfn.XLOOKUP($A1406, TCS!A:A, TCS!B:B, "")</f>
        <v>3157.2</v>
      </c>
      <c r="G1406" s="4">
        <f>_xlfn.XLOOKUP($A1406, Infosys!A:A, Infosys!B:B,"")</f>
        <v>1529.6</v>
      </c>
      <c r="H1406" s="4">
        <f>_xlfn.XLOOKUP($A1406, 'L &amp; T'!A:A, 'L &amp; T'!B:B, "")</f>
        <v>3541.3</v>
      </c>
    </row>
    <row r="1407" spans="1:8" x14ac:dyDescent="0.3">
      <c r="A1407" s="1">
        <v>45897</v>
      </c>
      <c r="B1407" s="4">
        <f>_xlfn.XLOOKUP($A1407, 'Nifty 50'!A:A, 'Nifty 50'!B:B, "")</f>
        <v>24500.9</v>
      </c>
      <c r="C1407" s="4">
        <f>_xlfn.XLOOKUP($A1407, Reliance!A:A, Reliance!B:B, "")</f>
        <v>1385.9</v>
      </c>
      <c r="D1407" s="4">
        <f>_xlfn.XLOOKUP($A1407, HDFC!A:A, HDFC!B:B, "")</f>
        <v>957.8</v>
      </c>
      <c r="E1407" s="4">
        <f>_xlfn.XLOOKUP($A1407, ITC!A:A, ITC!B:B, "")</f>
        <v>400.9</v>
      </c>
      <c r="F1407" s="4">
        <f>_xlfn.XLOOKUP($A1407, TCS!A:A, TCS!B:B, "")</f>
        <v>3093.7</v>
      </c>
      <c r="G1407" s="4">
        <f>_xlfn.XLOOKUP($A1407, Infosys!A:A, Infosys!B:B,"")</f>
        <v>1500.1</v>
      </c>
      <c r="H1407" s="4">
        <f>_xlfn.XLOOKUP($A1407, 'L &amp; T'!A:A, 'L &amp; T'!B:B, "")</f>
        <v>3560.1</v>
      </c>
    </row>
    <row r="1408" spans="1:8" x14ac:dyDescent="0.3">
      <c r="A1408" s="1">
        <v>45898</v>
      </c>
      <c r="B1408" s="4">
        <f>_xlfn.XLOOKUP($A1408, 'Nifty 50'!A:A, 'Nifty 50'!B:B, "")</f>
        <v>24426.85</v>
      </c>
      <c r="C1408" s="4">
        <f>_xlfn.XLOOKUP($A1408, Reliance!A:A, Reliance!B:B, "")</f>
        <v>1357.2</v>
      </c>
      <c r="D1408" s="4">
        <f>_xlfn.XLOOKUP($A1408, HDFC!A:A, HDFC!B:B, "")</f>
        <v>951.6</v>
      </c>
      <c r="E1408" s="4">
        <f>_xlfn.XLOOKUP($A1408, ITC!A:A, ITC!B:B, "")</f>
        <v>409.75</v>
      </c>
      <c r="F1408" s="4">
        <f>_xlfn.XLOOKUP($A1408, TCS!A:A, TCS!B:B, "")</f>
        <v>3084.7</v>
      </c>
      <c r="G1408" s="4">
        <f>_xlfn.XLOOKUP($A1408, Infosys!A:A, Infosys!B:B,"")</f>
        <v>1469.6</v>
      </c>
      <c r="H1408" s="4">
        <f>_xlfn.XLOOKUP($A1408, 'L &amp; T'!A:A, 'L &amp; T'!B:B, "")</f>
        <v>3601</v>
      </c>
    </row>
    <row r="1409" spans="1:8" x14ac:dyDescent="0.3">
      <c r="A1409" s="1">
        <v>45901</v>
      </c>
      <c r="B1409" s="4">
        <f>_xlfn.XLOOKUP($A1409, 'Nifty 50'!A:A, 'Nifty 50'!B:B, "")</f>
        <v>24625.05</v>
      </c>
      <c r="C1409" s="4">
        <f>_xlfn.XLOOKUP($A1409, Reliance!A:A, Reliance!B:B, "")</f>
        <v>1353.9</v>
      </c>
      <c r="D1409" s="4">
        <f>_xlfn.XLOOKUP($A1409, HDFC!A:A, HDFC!B:B, "")</f>
        <v>950.6</v>
      </c>
      <c r="E1409" s="4">
        <f>_xlfn.XLOOKUP($A1409, ITC!A:A, ITC!B:B, "")</f>
        <v>405.85</v>
      </c>
      <c r="F1409" s="4">
        <f>_xlfn.XLOOKUP($A1409, TCS!A:A, TCS!B:B, "")</f>
        <v>3112.6</v>
      </c>
      <c r="G1409" s="4">
        <f>_xlfn.XLOOKUP($A1409, Infosys!A:A, Infosys!B:B,"")</f>
        <v>1499.4</v>
      </c>
      <c r="H1409" s="4">
        <f>_xlfn.XLOOKUP($A1409, 'L &amp; T'!A:A, 'L &amp; T'!B:B, "")</f>
        <v>3598.4</v>
      </c>
    </row>
    <row r="1410" spans="1:8" x14ac:dyDescent="0.3">
      <c r="A1410" s="1">
        <v>45902</v>
      </c>
      <c r="B1410" s="4">
        <f>_xlfn.XLOOKUP($A1410, 'Nifty 50'!A:A, 'Nifty 50'!B:B, "")</f>
        <v>24579.599999999999</v>
      </c>
      <c r="C1410" s="4">
        <f>_xlfn.XLOOKUP($A1410, Reliance!A:A, Reliance!B:B, "")</f>
        <v>1366.5</v>
      </c>
      <c r="D1410" s="4">
        <f>_xlfn.XLOOKUP($A1410, HDFC!A:A, HDFC!B:B, "")</f>
        <v>944.5</v>
      </c>
      <c r="E1410" s="4">
        <f>_xlfn.XLOOKUP($A1410, ITC!A:A, ITC!B:B, "")</f>
        <v>406.75</v>
      </c>
      <c r="F1410" s="4">
        <f>_xlfn.XLOOKUP($A1410, TCS!A:A, TCS!B:B, "")</f>
        <v>3111.5</v>
      </c>
      <c r="G1410" s="4">
        <f>_xlfn.XLOOKUP($A1410, Infosys!A:A, Infosys!B:B,"")</f>
        <v>1498.7</v>
      </c>
      <c r="H1410" s="4">
        <f>_xlfn.XLOOKUP($A1410, 'L &amp; T'!A:A, 'L &amp; T'!B:B, "")</f>
        <v>3574.9</v>
      </c>
    </row>
    <row r="1411" spans="1:8" x14ac:dyDescent="0.3">
      <c r="A1411" s="1">
        <v>45903</v>
      </c>
      <c r="B1411" s="4">
        <f>_xlfn.XLOOKUP($A1411, 'Nifty 50'!A:A, 'Nifty 50'!B:B, "")</f>
        <v>24715.05</v>
      </c>
      <c r="C1411" s="4">
        <f>_xlfn.XLOOKUP($A1411, Reliance!A:A, Reliance!B:B, "")</f>
        <v>1372.6</v>
      </c>
      <c r="D1411" s="4">
        <f>_xlfn.XLOOKUP($A1411, HDFC!A:A, HDFC!B:B, "")</f>
        <v>954.45</v>
      </c>
      <c r="E1411" s="4">
        <f>_xlfn.XLOOKUP($A1411, ITC!A:A, ITC!B:B, "")</f>
        <v>411.75</v>
      </c>
      <c r="F1411" s="4">
        <f>_xlfn.XLOOKUP($A1411, TCS!A:A, TCS!B:B, "")</f>
        <v>3097.5</v>
      </c>
      <c r="G1411" s="4">
        <f>_xlfn.XLOOKUP($A1411, Infosys!A:A, Infosys!B:B,"")</f>
        <v>1479.1</v>
      </c>
      <c r="H1411" s="4">
        <f>_xlfn.XLOOKUP($A1411, 'L &amp; T'!A:A, 'L &amp; T'!B:B, "")</f>
        <v>3600.8</v>
      </c>
    </row>
    <row r="1412" spans="1:8" x14ac:dyDescent="0.3">
      <c r="A1412" s="1">
        <v>45904</v>
      </c>
      <c r="B1412" s="4">
        <f>_xlfn.XLOOKUP($A1412, 'Nifty 50'!A:A, 'Nifty 50'!B:B, "")</f>
        <v>24734.3</v>
      </c>
      <c r="C1412" s="4">
        <f>_xlfn.XLOOKUP($A1412, Reliance!A:A, Reliance!B:B, "")</f>
        <v>1359.3</v>
      </c>
      <c r="D1412" s="4">
        <f>_xlfn.XLOOKUP($A1412, HDFC!A:A, HDFC!B:B, "")</f>
        <v>961.25</v>
      </c>
      <c r="E1412" s="4">
        <f>_xlfn.XLOOKUP($A1412, ITC!A:A, ITC!B:B, "")</f>
        <v>415.9</v>
      </c>
      <c r="F1412" s="4">
        <f>_xlfn.XLOOKUP($A1412, TCS!A:A, TCS!B:B, "")</f>
        <v>3095.7</v>
      </c>
      <c r="G1412" s="4">
        <f>_xlfn.XLOOKUP($A1412, Infosys!A:A, Infosys!B:B,"")</f>
        <v>1463</v>
      </c>
      <c r="H1412" s="4">
        <f>_xlfn.XLOOKUP($A1412, 'L &amp; T'!A:A, 'L &amp; T'!B:B, "")</f>
        <v>3592.6</v>
      </c>
    </row>
    <row r="1413" spans="1:8" x14ac:dyDescent="0.3">
      <c r="A1413" s="1">
        <v>45905</v>
      </c>
      <c r="B1413" s="4">
        <f>_xlfn.XLOOKUP($A1413, 'Nifty 50'!A:A, 'Nifty 50'!B:B, "")</f>
        <v>24741</v>
      </c>
      <c r="C1413" s="4">
        <f>_xlfn.XLOOKUP($A1413, Reliance!A:A, Reliance!B:B, "")</f>
        <v>1375</v>
      </c>
      <c r="D1413" s="4">
        <f>_xlfn.XLOOKUP($A1413, HDFC!A:A, HDFC!B:B, "")</f>
        <v>963.4</v>
      </c>
      <c r="E1413" s="4">
        <f>_xlfn.XLOOKUP($A1413, ITC!A:A, ITC!B:B, "")</f>
        <v>407.35</v>
      </c>
      <c r="F1413" s="4">
        <f>_xlfn.XLOOKUP($A1413, TCS!A:A, TCS!B:B, "")</f>
        <v>3048.3</v>
      </c>
      <c r="G1413" s="4">
        <f>_xlfn.XLOOKUP($A1413, Infosys!A:A, Infosys!B:B,"")</f>
        <v>1444.6</v>
      </c>
      <c r="H1413" s="4">
        <f>_xlfn.XLOOKUP($A1413, 'L &amp; T'!A:A, 'L &amp; T'!B:B, "")</f>
        <v>3553.6</v>
      </c>
    </row>
    <row r="1414" spans="1:8" x14ac:dyDescent="0.3">
      <c r="A1414" s="1">
        <v>45908</v>
      </c>
      <c r="B1414" s="4">
        <f>_xlfn.XLOOKUP($A1414, 'Nifty 50'!A:A, 'Nifty 50'!B:B, "")</f>
        <v>24773.15</v>
      </c>
      <c r="C1414" s="4">
        <f>_xlfn.XLOOKUP($A1414, Reliance!A:A, Reliance!B:B, "")</f>
        <v>1378.5</v>
      </c>
      <c r="D1414" s="4">
        <f>_xlfn.XLOOKUP($A1414, HDFC!A:A, HDFC!B:B, "")</f>
        <v>966</v>
      </c>
      <c r="E1414" s="4">
        <f>_xlfn.XLOOKUP($A1414, ITC!A:A, ITC!B:B, "")</f>
        <v>407.55</v>
      </c>
      <c r="F1414" s="4">
        <f>_xlfn.XLOOKUP($A1414, TCS!A:A, TCS!B:B, "")</f>
        <v>3019</v>
      </c>
      <c r="G1414" s="4">
        <f>_xlfn.XLOOKUP($A1414, Infosys!A:A, Infosys!B:B,"")</f>
        <v>1432.9</v>
      </c>
      <c r="H1414" s="4">
        <f>_xlfn.XLOOKUP($A1414, 'L &amp; T'!A:A, 'L &amp; T'!B:B, "")</f>
        <v>3529.6</v>
      </c>
    </row>
    <row r="1415" spans="1:8" x14ac:dyDescent="0.3">
      <c r="A1415" s="1">
        <v>45909</v>
      </c>
      <c r="B1415" s="4">
        <f>_xlfn.XLOOKUP($A1415, 'Nifty 50'!A:A, 'Nifty 50'!B:B, "")</f>
        <v>24868.6</v>
      </c>
      <c r="C1415" s="4">
        <f>_xlfn.XLOOKUP($A1415, Reliance!A:A, Reliance!B:B, "")</f>
        <v>1376.2</v>
      </c>
      <c r="D1415" s="4">
        <f>_xlfn.XLOOKUP($A1415, HDFC!A:A, HDFC!B:B, "")</f>
        <v>965.15</v>
      </c>
      <c r="E1415" s="4">
        <f>_xlfn.XLOOKUP($A1415, ITC!A:A, ITC!B:B, "")</f>
        <v>410.05</v>
      </c>
      <c r="F1415" s="4">
        <f>_xlfn.XLOOKUP($A1415, TCS!A:A, TCS!B:B, "")</f>
        <v>3049.4</v>
      </c>
      <c r="G1415" s="4">
        <f>_xlfn.XLOOKUP($A1415, Infosys!A:A, Infosys!B:B,"")</f>
        <v>1504.3</v>
      </c>
      <c r="H1415" s="4">
        <f>_xlfn.XLOOKUP($A1415, 'L &amp; T'!A:A, 'L &amp; T'!B:B, "")</f>
        <v>3525</v>
      </c>
    </row>
    <row r="1416" spans="1:8" x14ac:dyDescent="0.3">
      <c r="A1416" s="1">
        <v>45910</v>
      </c>
      <c r="B1416" s="4">
        <f>_xlfn.XLOOKUP($A1416, 'Nifty 50'!A:A, 'Nifty 50'!B:B, "")</f>
        <v>24973.1</v>
      </c>
      <c r="C1416" s="4">
        <f>_xlfn.XLOOKUP($A1416, Reliance!A:A, Reliance!B:B, "")</f>
        <v>1377</v>
      </c>
      <c r="D1416" s="4">
        <f>_xlfn.XLOOKUP($A1416, HDFC!A:A, HDFC!B:B, "")</f>
        <v>965.9</v>
      </c>
      <c r="E1416" s="4">
        <f>_xlfn.XLOOKUP($A1416, ITC!A:A, ITC!B:B, "")</f>
        <v>413.05</v>
      </c>
      <c r="F1416" s="4">
        <f>_xlfn.XLOOKUP($A1416, TCS!A:A, TCS!B:B, "")</f>
        <v>3110</v>
      </c>
      <c r="G1416" s="4">
        <f>_xlfn.XLOOKUP($A1416, Infosys!A:A, Infosys!B:B,"")</f>
        <v>1532.6</v>
      </c>
      <c r="H1416" s="4">
        <f>_xlfn.XLOOKUP($A1416, 'L &amp; T'!A:A, 'L &amp; T'!B:B, "")</f>
        <v>3550</v>
      </c>
    </row>
    <row r="1417" spans="1:8" x14ac:dyDescent="0.3">
      <c r="A1417" s="1">
        <v>45911</v>
      </c>
      <c r="B1417" s="4">
        <f>_xlfn.XLOOKUP($A1417, 'Nifty 50'!A:A, 'Nifty 50'!B:B, "")</f>
        <v>25005.5</v>
      </c>
      <c r="C1417" s="4">
        <f>_xlfn.XLOOKUP($A1417, Reliance!A:A, Reliance!B:B, "")</f>
        <v>1383.3</v>
      </c>
      <c r="D1417" s="4">
        <f>_xlfn.XLOOKUP($A1417, HDFC!A:A, HDFC!B:B, "")</f>
        <v>967.8</v>
      </c>
      <c r="E1417" s="4">
        <f>_xlfn.XLOOKUP($A1417, ITC!A:A, ITC!B:B, "")</f>
        <v>415.05</v>
      </c>
      <c r="F1417" s="4">
        <f>_xlfn.XLOOKUP($A1417, TCS!A:A, TCS!B:B, "")</f>
        <v>3124.2</v>
      </c>
      <c r="G1417" s="4">
        <f>_xlfn.XLOOKUP($A1417, Infosys!A:A, Infosys!B:B,"")</f>
        <v>1509.7</v>
      </c>
      <c r="H1417" s="4">
        <f>_xlfn.XLOOKUP($A1417, 'L &amp; T'!A:A, 'L &amp; T'!B:B, "")</f>
        <v>3539.7</v>
      </c>
    </row>
    <row r="1418" spans="1:8" x14ac:dyDescent="0.3">
      <c r="A1418" s="1">
        <v>45912</v>
      </c>
      <c r="B1418" s="4">
        <f>_xlfn.XLOOKUP($A1418, 'Nifty 50'!A:A, 'Nifty 50'!B:B, "")</f>
        <v>25114</v>
      </c>
      <c r="C1418" s="4">
        <f>_xlfn.XLOOKUP($A1418, Reliance!A:A, Reliance!B:B, "")</f>
        <v>1395</v>
      </c>
      <c r="D1418" s="4">
        <f>_xlfn.XLOOKUP($A1418, HDFC!A:A, HDFC!B:B, "")</f>
        <v>967.3</v>
      </c>
      <c r="E1418" s="4">
        <f>_xlfn.XLOOKUP($A1418, ITC!A:A, ITC!B:B, "")</f>
        <v>413.75</v>
      </c>
      <c r="F1418" s="4">
        <f>_xlfn.XLOOKUP($A1418, TCS!A:A, TCS!B:B, "")</f>
        <v>3133.4</v>
      </c>
      <c r="G1418" s="4">
        <f>_xlfn.XLOOKUP($A1418, Infosys!A:A, Infosys!B:B,"")</f>
        <v>1525.6</v>
      </c>
      <c r="H1418" s="4">
        <f>_xlfn.XLOOKUP($A1418, 'L &amp; T'!A:A, 'L &amp; T'!B:B, "")</f>
        <v>3579.8</v>
      </c>
    </row>
    <row r="1419" spans="1:8" x14ac:dyDescent="0.3">
      <c r="A1419" s="1">
        <v>45915</v>
      </c>
      <c r="B1419" s="4">
        <f>_xlfn.XLOOKUP($A1419, 'Nifty 50'!A:A, 'Nifty 50'!B:B, "")</f>
        <v>25069.200000000001</v>
      </c>
      <c r="C1419" s="4">
        <f>_xlfn.XLOOKUP($A1419, Reliance!A:A, Reliance!B:B, "")</f>
        <v>1399.3</v>
      </c>
      <c r="D1419" s="4">
        <f>_xlfn.XLOOKUP($A1419, HDFC!A:A, HDFC!B:B, "")</f>
        <v>967.05</v>
      </c>
      <c r="E1419" s="4">
        <f>_xlfn.XLOOKUP($A1419, ITC!A:A, ITC!B:B, "")</f>
        <v>412.65</v>
      </c>
      <c r="F1419" s="4">
        <f>_xlfn.XLOOKUP($A1419, TCS!A:A, TCS!B:B, "")</f>
        <v>3111.9</v>
      </c>
      <c r="G1419" s="4">
        <f>_xlfn.XLOOKUP($A1419, Infosys!A:A, Infosys!B:B,"")</f>
        <v>1508.4</v>
      </c>
      <c r="H1419" s="4">
        <f>_xlfn.XLOOKUP($A1419, 'L &amp; T'!A:A, 'L &amp; T'!B:B, "")</f>
        <v>3586.2</v>
      </c>
    </row>
    <row r="1420" spans="1:8" x14ac:dyDescent="0.3">
      <c r="A1420" s="1">
        <v>45916</v>
      </c>
      <c r="B1420" s="4">
        <f>_xlfn.XLOOKUP($A1420, 'Nifty 50'!A:A, 'Nifty 50'!B:B, "")</f>
        <v>25239.1</v>
      </c>
      <c r="C1420" s="4">
        <f>_xlfn.XLOOKUP($A1420, Reliance!A:A, Reliance!B:B, "")</f>
        <v>1405.3</v>
      </c>
      <c r="D1420" s="4">
        <f>_xlfn.XLOOKUP($A1420, HDFC!A:A, HDFC!B:B, "")</f>
        <v>966.85</v>
      </c>
      <c r="E1420" s="4">
        <f>_xlfn.XLOOKUP($A1420, ITC!A:A, ITC!B:B, "")</f>
        <v>413.1</v>
      </c>
      <c r="F1420" s="4">
        <f>_xlfn.XLOOKUP($A1420, TCS!A:A, TCS!B:B, "")</f>
        <v>3145.7</v>
      </c>
      <c r="G1420" s="4">
        <f>_xlfn.XLOOKUP($A1420, Infosys!A:A, Infosys!B:B,"")</f>
        <v>1511.3</v>
      </c>
      <c r="H1420" s="4">
        <f>_xlfn.XLOOKUP($A1420, 'L &amp; T'!A:A, 'L &amp; T'!B:B, "")</f>
        <v>3667.8</v>
      </c>
    </row>
    <row r="1421" spans="1:8" x14ac:dyDescent="0.3">
      <c r="A1421" s="1">
        <v>45917</v>
      </c>
      <c r="B1421" s="4">
        <f>_xlfn.XLOOKUP($A1421, 'Nifty 50'!A:A, 'Nifty 50'!B:B, "")</f>
        <v>25330.25</v>
      </c>
      <c r="C1421" s="4">
        <f>_xlfn.XLOOKUP($A1421, Reliance!A:A, Reliance!B:B, "")</f>
        <v>1413.8</v>
      </c>
      <c r="D1421" s="4">
        <f>_xlfn.XLOOKUP($A1421, HDFC!A:A, HDFC!B:B, "")</f>
        <v>966.5</v>
      </c>
      <c r="E1421" s="4">
        <f>_xlfn.XLOOKUP($A1421, ITC!A:A, ITC!B:B, "")</f>
        <v>409.3</v>
      </c>
      <c r="F1421" s="4">
        <f>_xlfn.XLOOKUP($A1421, TCS!A:A, TCS!B:B, "")</f>
        <v>3172.8</v>
      </c>
      <c r="G1421" s="4">
        <f>_xlfn.XLOOKUP($A1421, Infosys!A:A, Infosys!B:B,"")</f>
        <v>1522.4</v>
      </c>
      <c r="H1421" s="4">
        <f>_xlfn.XLOOKUP($A1421, 'L &amp; T'!A:A, 'L &amp; T'!B:B, "")</f>
        <v>3685.5</v>
      </c>
    </row>
    <row r="1422" spans="1:8" x14ac:dyDescent="0.3">
      <c r="A1422" s="1">
        <v>45918</v>
      </c>
      <c r="B1422" s="4">
        <f>_xlfn.XLOOKUP($A1422, 'Nifty 50'!A:A, 'Nifty 50'!B:B, "")</f>
        <v>25423.599999999999</v>
      </c>
      <c r="C1422" s="4">
        <f>_xlfn.XLOOKUP($A1422, Reliance!A:A, Reliance!B:B, "")</f>
        <v>1415</v>
      </c>
      <c r="D1422" s="4">
        <f>_xlfn.XLOOKUP($A1422, HDFC!A:A, HDFC!B:B, "")</f>
        <v>976.9</v>
      </c>
      <c r="E1422" s="4">
        <f>_xlfn.XLOOKUP($A1422, ITC!A:A, ITC!B:B, "")</f>
        <v>411.55</v>
      </c>
      <c r="F1422" s="4">
        <f>_xlfn.XLOOKUP($A1422, TCS!A:A, TCS!B:B, "")</f>
        <v>3176.7</v>
      </c>
      <c r="G1422" s="4">
        <f>_xlfn.XLOOKUP($A1422, Infosys!A:A, Infosys!B:B,"")</f>
        <v>1540.6</v>
      </c>
      <c r="H1422" s="4">
        <f>_xlfn.XLOOKUP($A1422, 'L &amp; T'!A:A, 'L &amp; T'!B:B, "")</f>
        <v>3686</v>
      </c>
    </row>
    <row r="1423" spans="1:8" x14ac:dyDescent="0.3">
      <c r="A1423" s="1">
        <v>45919</v>
      </c>
      <c r="B1423" s="4">
        <f>_xlfn.XLOOKUP($A1423, 'Nifty 50'!A:A, 'Nifty 50'!B:B, "")</f>
        <v>25327.05</v>
      </c>
      <c r="C1423" s="4">
        <f>_xlfn.XLOOKUP($A1423, Reliance!A:A, Reliance!B:B, "")</f>
        <v>1407.4</v>
      </c>
      <c r="D1423" s="4">
        <f>_xlfn.XLOOKUP($A1423, HDFC!A:A, HDFC!B:B, "")</f>
        <v>966.9</v>
      </c>
      <c r="E1423" s="4">
        <f>_xlfn.XLOOKUP($A1423, ITC!A:A, ITC!B:B, "")</f>
        <v>410.65</v>
      </c>
      <c r="F1423" s="4">
        <f>_xlfn.XLOOKUP($A1423, TCS!A:A, TCS!B:B, "")</f>
        <v>3169.2</v>
      </c>
      <c r="G1423" s="4">
        <f>_xlfn.XLOOKUP($A1423, Infosys!A:A, Infosys!B:B,"")</f>
        <v>1540.2</v>
      </c>
      <c r="H1423" s="4">
        <f>_xlfn.XLOOKUP($A1423, 'L &amp; T'!A:A, 'L &amp; T'!B:B, "")</f>
        <v>3675.4</v>
      </c>
    </row>
    <row r="1424" spans="1:8" x14ac:dyDescent="0.3">
      <c r="A1424" s="1">
        <v>45922</v>
      </c>
      <c r="B1424" s="4">
        <f>_xlfn.XLOOKUP($A1424, 'Nifty 50'!A:A, 'Nifty 50'!B:B, "")</f>
        <v>25202.35</v>
      </c>
      <c r="C1424" s="4">
        <f>_xlfn.XLOOKUP($A1424, Reliance!A:A, Reliance!B:B, "")</f>
        <v>1390.6</v>
      </c>
      <c r="D1424" s="4">
        <f>_xlfn.XLOOKUP($A1424, HDFC!A:A, HDFC!B:B, "")</f>
        <v>964.2</v>
      </c>
      <c r="E1424" s="4">
        <f>_xlfn.XLOOKUP($A1424, ITC!A:A, ITC!B:B, "")</f>
        <v>406.95</v>
      </c>
      <c r="F1424" s="4">
        <f>_xlfn.XLOOKUP($A1424, TCS!A:A, TCS!B:B, "")</f>
        <v>3073.8</v>
      </c>
      <c r="G1424" s="4">
        <f>_xlfn.XLOOKUP($A1424, Infosys!A:A, Infosys!B:B,"")</f>
        <v>1499.5</v>
      </c>
      <c r="H1424" s="4">
        <f>_xlfn.XLOOKUP($A1424, 'L &amp; T'!A:A, 'L &amp; T'!B:B, "")</f>
        <v>3644.5</v>
      </c>
    </row>
    <row r="1425" spans="1:8" x14ac:dyDescent="0.3">
      <c r="A1425" s="1">
        <v>45923</v>
      </c>
      <c r="B1425" s="4">
        <f>_xlfn.XLOOKUP($A1425, 'Nifty 50'!A:A, 'Nifty 50'!B:B, "")</f>
        <v>25169.5</v>
      </c>
      <c r="C1425" s="4">
        <f>_xlfn.XLOOKUP($A1425, Reliance!A:A, Reliance!B:B, "")</f>
        <v>1389.8</v>
      </c>
      <c r="D1425" s="4">
        <f>_xlfn.XLOOKUP($A1425, HDFC!A:A, HDFC!B:B, "")</f>
        <v>957.2</v>
      </c>
      <c r="E1425" s="4">
        <f>_xlfn.XLOOKUP($A1425, ITC!A:A, ITC!B:B, "")</f>
        <v>403.2</v>
      </c>
      <c r="F1425" s="4">
        <f>_xlfn.XLOOKUP($A1425, TCS!A:A, TCS!B:B, "")</f>
        <v>3062.4</v>
      </c>
      <c r="G1425" s="4">
        <f>_xlfn.XLOOKUP($A1425, Infosys!A:A, Infosys!B:B,"")</f>
        <v>1497.5</v>
      </c>
      <c r="H1425" s="4">
        <f>_xlfn.XLOOKUP($A1425, 'L &amp; T'!A:A, 'L &amp; T'!B:B, "")</f>
        <v>3657.6</v>
      </c>
    </row>
    <row r="1426" spans="1:8" x14ac:dyDescent="0.3">
      <c r="A1426" s="1">
        <v>45924</v>
      </c>
      <c r="B1426" s="4">
        <f>_xlfn.XLOOKUP($A1426, 'Nifty 50'!A:A, 'Nifty 50'!B:B, "")</f>
        <v>25056.9</v>
      </c>
      <c r="C1426" s="4">
        <f>_xlfn.XLOOKUP($A1426, Reliance!A:A, Reliance!B:B, "")</f>
        <v>1383</v>
      </c>
      <c r="D1426" s="4">
        <f>_xlfn.XLOOKUP($A1426, HDFC!A:A, HDFC!B:B, "")</f>
        <v>951.05</v>
      </c>
      <c r="E1426" s="4">
        <f>_xlfn.XLOOKUP($A1426, ITC!A:A, ITC!B:B, "")</f>
        <v>401</v>
      </c>
      <c r="F1426" s="4">
        <f>_xlfn.XLOOKUP($A1426, TCS!A:A, TCS!B:B, "")</f>
        <v>3035.4</v>
      </c>
      <c r="G1426" s="4">
        <f>_xlfn.XLOOKUP($A1426, Infosys!A:A, Infosys!B:B,"")</f>
        <v>1494.6</v>
      </c>
      <c r="H1426" s="4">
        <f>_xlfn.XLOOKUP($A1426, 'L &amp; T'!A:A, 'L &amp; T'!B:B, "")</f>
        <v>3673.8</v>
      </c>
    </row>
    <row r="1427" spans="1:8" x14ac:dyDescent="0.3">
      <c r="A1427" s="1">
        <v>45925</v>
      </c>
      <c r="B1427" s="4">
        <f>_xlfn.XLOOKUP($A1427, 'Nifty 50'!A:A, 'Nifty 50'!B:B, "")</f>
        <v>24890.85</v>
      </c>
      <c r="C1427" s="4">
        <f>_xlfn.XLOOKUP($A1427, Reliance!A:A, Reliance!B:B, "")</f>
        <v>1372.4</v>
      </c>
      <c r="D1427" s="4">
        <f>_xlfn.XLOOKUP($A1427, HDFC!A:A, HDFC!B:B, "")</f>
        <v>949.85</v>
      </c>
      <c r="E1427" s="4">
        <f>_xlfn.XLOOKUP($A1427, ITC!A:A, ITC!B:B, "")</f>
        <v>400.1</v>
      </c>
      <c r="F1427" s="4">
        <f>_xlfn.XLOOKUP($A1427, TCS!A:A, TCS!B:B, "")</f>
        <v>2957.4</v>
      </c>
      <c r="G1427" s="4">
        <f>_xlfn.XLOOKUP($A1427, Infosys!A:A, Infosys!B:B,"")</f>
        <v>1484.8</v>
      </c>
      <c r="H1427" s="4">
        <f>_xlfn.XLOOKUP($A1427, 'L &amp; T'!A:A, 'L &amp; T'!B:B, "")</f>
        <v>3644.4</v>
      </c>
    </row>
    <row r="1428" spans="1:8" x14ac:dyDescent="0.3">
      <c r="A1428" s="1">
        <v>45926</v>
      </c>
      <c r="B1428" s="4">
        <f>_xlfn.XLOOKUP($A1428, 'Nifty 50'!A:A, 'Nifty 50'!B:B, "")</f>
        <v>24654.7</v>
      </c>
      <c r="C1428" s="4">
        <f>_xlfn.XLOOKUP($A1428, Reliance!A:A, Reliance!B:B, "")</f>
        <v>1377.6</v>
      </c>
      <c r="D1428" s="4">
        <f>_xlfn.XLOOKUP($A1428, HDFC!A:A, HDFC!B:B, "")</f>
        <v>945.05</v>
      </c>
      <c r="E1428" s="4">
        <f>_xlfn.XLOOKUP($A1428, ITC!A:A, ITC!B:B, "")</f>
        <v>405.1</v>
      </c>
      <c r="F1428" s="4">
        <f>_xlfn.XLOOKUP($A1428, TCS!A:A, TCS!B:B, "")</f>
        <v>2899.1</v>
      </c>
      <c r="G1428" s="4">
        <f>_xlfn.XLOOKUP($A1428, Infosys!A:A, Infosys!B:B,"")</f>
        <v>1448.9</v>
      </c>
      <c r="H1428" s="4">
        <f>_xlfn.XLOOKUP($A1428, 'L &amp; T'!A:A, 'L &amp; T'!B:B, "")</f>
        <v>3729.5</v>
      </c>
    </row>
    <row r="1429" spans="1:8" x14ac:dyDescent="0.3">
      <c r="A1429" s="1">
        <v>45929</v>
      </c>
      <c r="B1429" s="4">
        <f>_xlfn.XLOOKUP($A1429, 'Nifty 50'!A:A, 'Nifty 50'!B:B, "")</f>
        <v>24634.9</v>
      </c>
      <c r="C1429" s="4">
        <f>_xlfn.XLOOKUP($A1429, Reliance!A:A, Reliance!B:B, "")</f>
        <v>1372.8</v>
      </c>
      <c r="D1429" s="4">
        <f>_xlfn.XLOOKUP($A1429, HDFC!A:A, HDFC!B:B, "")</f>
        <v>950.3</v>
      </c>
      <c r="E1429" s="4">
        <f>_xlfn.XLOOKUP($A1429, ITC!A:A, ITC!B:B, "")</f>
        <v>407.25</v>
      </c>
      <c r="F1429" s="4">
        <f>_xlfn.XLOOKUP($A1429, TCS!A:A, TCS!B:B, "")</f>
        <v>2896.1</v>
      </c>
      <c r="G1429" s="4">
        <f>_xlfn.XLOOKUP($A1429, Infosys!A:A, Infosys!B:B,"")</f>
        <v>1441.8</v>
      </c>
      <c r="H1429" s="4">
        <f>_xlfn.XLOOKUP($A1429, 'L &amp; T'!A:A, 'L &amp; T'!B:B, "")</f>
        <v>3688.4</v>
      </c>
    </row>
    <row r="1430" spans="1:8" x14ac:dyDescent="0.3">
      <c r="A1430" s="1">
        <v>45930</v>
      </c>
      <c r="B1430" s="4">
        <f>_xlfn.XLOOKUP($A1430, 'Nifty 50'!A:A, 'Nifty 50'!B:B, "")</f>
        <v>24611.1</v>
      </c>
      <c r="C1430" s="4">
        <f>_xlfn.XLOOKUP($A1430, Reliance!A:A, Reliance!B:B, "")</f>
        <v>1364</v>
      </c>
      <c r="D1430" s="4">
        <f>_xlfn.XLOOKUP($A1430, HDFC!A:A, HDFC!B:B, "")</f>
        <v>951</v>
      </c>
      <c r="E1430" s="4">
        <f>_xlfn.XLOOKUP($A1430, ITC!A:A, ITC!B:B, "")</f>
        <v>401.55</v>
      </c>
      <c r="F1430" s="4">
        <f>_xlfn.XLOOKUP($A1430, TCS!A:A, TCS!B:B, "")</f>
        <v>2888.4</v>
      </c>
      <c r="G1430" s="4">
        <f>_xlfn.XLOOKUP($A1430, Infosys!A:A, Infosys!B:B,"")</f>
        <v>1441.8</v>
      </c>
      <c r="H1430" s="4">
        <f>_xlfn.XLOOKUP($A1430, 'L &amp; T'!A:A, 'L &amp; T'!B:B, "")</f>
        <v>3659</v>
      </c>
    </row>
    <row r="1431" spans="1:8" x14ac:dyDescent="0.3">
      <c r="A1431" s="1">
        <v>45931</v>
      </c>
      <c r="B1431" s="4">
        <f>_xlfn.XLOOKUP($A1431, 'Nifty 50'!A:A, 'Nifty 50'!B:B, "")</f>
        <v>24836.3</v>
      </c>
      <c r="C1431" s="4">
        <f>_xlfn.XLOOKUP($A1431, Reliance!A:A, Reliance!B:B, "")</f>
        <v>1368.7</v>
      </c>
      <c r="D1431" s="4">
        <f>_xlfn.XLOOKUP($A1431, HDFC!A:A, HDFC!B:B, "")</f>
        <v>965.25</v>
      </c>
      <c r="E1431" s="4">
        <f>_xlfn.XLOOKUP($A1431, ITC!A:A, ITC!B:B, "")</f>
        <v>405.6</v>
      </c>
      <c r="F1431" s="4">
        <f>_xlfn.XLOOKUP($A1431, TCS!A:A, TCS!B:B, "")</f>
        <v>2914.2</v>
      </c>
      <c r="G1431" s="4">
        <f>_xlfn.XLOOKUP($A1431, Infosys!A:A, Infosys!B:B,"")</f>
        <v>1445.8</v>
      </c>
      <c r="H1431" s="4">
        <f>_xlfn.XLOOKUP($A1431, 'L &amp; T'!A:A, 'L &amp; T'!B:B, "")</f>
        <v>3670.3</v>
      </c>
    </row>
    <row r="1432" spans="1:8" x14ac:dyDescent="0.3">
      <c r="A1432" s="1">
        <v>45933</v>
      </c>
      <c r="B1432" s="4">
        <f>_xlfn.XLOOKUP($A1432, 'Nifty 50'!A:A, 'Nifty 50'!B:B, "")</f>
        <v>24894.25</v>
      </c>
      <c r="C1432" s="4">
        <f>_xlfn.XLOOKUP($A1432, Reliance!A:A, Reliance!B:B, "")</f>
        <v>1363.4</v>
      </c>
      <c r="D1432" s="4">
        <f>_xlfn.XLOOKUP($A1432, HDFC!A:A, HDFC!B:B, "")</f>
        <v>965.15</v>
      </c>
      <c r="E1432" s="4">
        <f>_xlfn.XLOOKUP($A1432, ITC!A:A, ITC!B:B, "")</f>
        <v>404.3</v>
      </c>
      <c r="F1432" s="4">
        <f>_xlfn.XLOOKUP($A1432, TCS!A:A, TCS!B:B, "")</f>
        <v>2901.9</v>
      </c>
      <c r="G1432" s="4">
        <f>_xlfn.XLOOKUP($A1432, Infosys!A:A, Infosys!B:B,"")</f>
        <v>1446.6</v>
      </c>
      <c r="H1432" s="4">
        <f>_xlfn.XLOOKUP($A1432, 'L &amp; T'!A:A, 'L &amp; T'!B:B, "")</f>
        <v>3733.1</v>
      </c>
    </row>
    <row r="1433" spans="1:8" x14ac:dyDescent="0.3">
      <c r="A1433" s="1">
        <v>45936</v>
      </c>
      <c r="B1433" s="4">
        <f>_xlfn.XLOOKUP($A1433, 'Nifty 50'!A:A, 'Nifty 50'!B:B, "")</f>
        <v>25077.65</v>
      </c>
      <c r="C1433" s="4">
        <f>_xlfn.XLOOKUP($A1433, Reliance!A:A, Reliance!B:B, "")</f>
        <v>1375</v>
      </c>
      <c r="D1433" s="4">
        <f>_xlfn.XLOOKUP($A1433, HDFC!A:A, HDFC!B:B, "")</f>
        <v>973.45</v>
      </c>
      <c r="E1433" s="4">
        <f>_xlfn.XLOOKUP($A1433, ITC!A:A, ITC!B:B, "")</f>
        <v>400.75</v>
      </c>
      <c r="F1433" s="4">
        <f>_xlfn.XLOOKUP($A1433, TCS!A:A, TCS!B:B, "")</f>
        <v>2988.4</v>
      </c>
      <c r="G1433" s="4">
        <f>_xlfn.XLOOKUP($A1433, Infosys!A:A, Infosys!B:B,"")</f>
        <v>1476</v>
      </c>
      <c r="H1433" s="4">
        <f>_xlfn.XLOOKUP($A1433, 'L &amp; T'!A:A, 'L &amp; T'!B:B, "")</f>
        <v>3737</v>
      </c>
    </row>
    <row r="1434" spans="1:8" x14ac:dyDescent="0.3">
      <c r="A1434" s="1">
        <v>45937</v>
      </c>
      <c r="B1434" s="4">
        <f>_xlfn.XLOOKUP($A1434, 'Nifty 50'!A:A, 'Nifty 50'!B:B, "")</f>
        <v>25108.3</v>
      </c>
      <c r="C1434" s="4">
        <f>_xlfn.XLOOKUP($A1434, Reliance!A:A, Reliance!B:B, "")</f>
        <v>1384.8</v>
      </c>
      <c r="D1434" s="4">
        <f>_xlfn.XLOOKUP($A1434, HDFC!A:A, HDFC!B:B, "")</f>
        <v>982.5</v>
      </c>
      <c r="E1434" s="4">
        <f>_xlfn.XLOOKUP($A1434, ITC!A:A, ITC!B:B, "")</f>
        <v>399.8</v>
      </c>
      <c r="F1434" s="4">
        <f>_xlfn.XLOOKUP($A1434, TCS!A:A, TCS!B:B, "")</f>
        <v>2973.7</v>
      </c>
      <c r="G1434" s="4">
        <f>_xlfn.XLOOKUP($A1434, Infosys!A:A, Infosys!B:B,"")</f>
        <v>1458.5</v>
      </c>
      <c r="H1434" s="4">
        <f>_xlfn.XLOOKUP($A1434, 'L &amp; T'!A:A, 'L &amp; T'!B:B, "")</f>
        <v>3729.7</v>
      </c>
    </row>
    <row r="1435" spans="1:8" x14ac:dyDescent="0.3">
      <c r="A1435" s="1">
        <v>45938</v>
      </c>
      <c r="B1435" s="4">
        <f>_xlfn.XLOOKUP($A1435, 'Nifty 50'!A:A, 'Nifty 50'!B:B, "")</f>
        <v>25046.15</v>
      </c>
      <c r="C1435" s="4">
        <f>_xlfn.XLOOKUP($A1435, Reliance!A:A, Reliance!B:B, "")</f>
        <v>1367.4</v>
      </c>
      <c r="D1435" s="4">
        <f>_xlfn.XLOOKUP($A1435, HDFC!A:A, HDFC!B:B, "")</f>
        <v>978.7</v>
      </c>
      <c r="E1435" s="4">
        <f>_xlfn.XLOOKUP($A1435, ITC!A:A, ITC!B:B, "")</f>
        <v>399.75</v>
      </c>
      <c r="F1435" s="4">
        <f>_xlfn.XLOOKUP($A1435, TCS!A:A, TCS!B:B, "")</f>
        <v>3027.2</v>
      </c>
      <c r="G1435" s="4">
        <f>_xlfn.XLOOKUP($A1435, Infosys!A:A, Infosys!B:B,"")</f>
        <v>1495</v>
      </c>
      <c r="H1435" s="4">
        <f>_xlfn.XLOOKUP($A1435, 'L &amp; T'!A:A, 'L &amp; T'!B:B, "")</f>
        <v>3729.8</v>
      </c>
    </row>
    <row r="1436" spans="1:8" x14ac:dyDescent="0.3">
      <c r="A1436" s="1">
        <v>45939</v>
      </c>
      <c r="B1436" s="4">
        <f>_xlfn.XLOOKUP($A1436, 'Nifty 50'!A:A, 'Nifty 50'!B:B, "")</f>
        <v>25181.8</v>
      </c>
      <c r="C1436" s="4">
        <f>_xlfn.XLOOKUP($A1436, Reliance!A:A, Reliance!B:B, "")</f>
        <v>1377.8</v>
      </c>
      <c r="D1436" s="4">
        <f>_xlfn.XLOOKUP($A1436, HDFC!A:A, HDFC!B:B, "")</f>
        <v>977.1</v>
      </c>
      <c r="E1436" s="4">
        <f>_xlfn.XLOOKUP($A1436, ITC!A:A, ITC!B:B, "")</f>
        <v>399.9</v>
      </c>
      <c r="F1436" s="4">
        <f>_xlfn.XLOOKUP($A1436, TCS!A:A, TCS!B:B, "")</f>
        <v>3061.7</v>
      </c>
      <c r="G1436" s="4">
        <f>_xlfn.XLOOKUP($A1436, Infosys!A:A, Infosys!B:B,"")</f>
        <v>1509.3</v>
      </c>
      <c r="H1436" s="4">
        <f>_xlfn.XLOOKUP($A1436, 'L &amp; T'!A:A, 'L &amp; T'!B:B, "")</f>
        <v>3769.2</v>
      </c>
    </row>
    <row r="1437" spans="1:8" x14ac:dyDescent="0.3">
      <c r="A1437" s="1">
        <v>45940</v>
      </c>
      <c r="B1437" s="4">
        <f>_xlfn.XLOOKUP($A1437, 'Nifty 50'!A:A, 'Nifty 50'!B:B, "")</f>
        <v>25285.35</v>
      </c>
      <c r="C1437" s="4">
        <f>_xlfn.XLOOKUP($A1437, Reliance!A:A, Reliance!B:B, "")</f>
        <v>1381.7</v>
      </c>
      <c r="D1437" s="4">
        <f>_xlfn.XLOOKUP($A1437, HDFC!A:A, HDFC!B:B, "")</f>
        <v>980.9</v>
      </c>
      <c r="E1437" s="4">
        <f>_xlfn.XLOOKUP($A1437, ITC!A:A, ITC!B:B, "")</f>
        <v>402.8</v>
      </c>
      <c r="F1437" s="4">
        <f>_xlfn.XLOOKUP($A1437, TCS!A:A, TCS!B:B, "")</f>
        <v>3028.3</v>
      </c>
      <c r="G1437" s="4">
        <f>_xlfn.XLOOKUP($A1437, Infosys!A:A, Infosys!B:B,"")</f>
        <v>1514.9</v>
      </c>
      <c r="H1437" s="4">
        <f>_xlfn.XLOOKUP($A1437, 'L &amp; T'!A:A, 'L &amp; T'!B:B, "")</f>
        <v>3784</v>
      </c>
    </row>
    <row r="1438" spans="1:8" x14ac:dyDescent="0.3">
      <c r="A1438" s="1">
        <v>45943</v>
      </c>
      <c r="B1438" s="4">
        <f>_xlfn.XLOOKUP($A1438, 'Nifty 50'!A:A, 'Nifty 50'!B:B, "")</f>
        <v>25227.35</v>
      </c>
      <c r="C1438" s="4">
        <f>_xlfn.XLOOKUP($A1438, Reliance!A:A, Reliance!B:B, "")</f>
        <v>1375</v>
      </c>
      <c r="D1438" s="4">
        <f>_xlfn.XLOOKUP($A1438, HDFC!A:A, HDFC!B:B, "")</f>
        <v>977</v>
      </c>
      <c r="E1438" s="4">
        <f>_xlfn.XLOOKUP($A1438, ITC!A:A, ITC!B:B, "")</f>
        <v>399.25</v>
      </c>
      <c r="F1438" s="4">
        <f>_xlfn.XLOOKUP($A1438, TCS!A:A, TCS!B:B, "")</f>
        <v>3007.2</v>
      </c>
      <c r="G1438" s="4">
        <f>_xlfn.XLOOKUP($A1438, Infosys!A:A, Infosys!B:B,"")</f>
        <v>1493.2</v>
      </c>
      <c r="H1438" s="4">
        <f>_xlfn.XLOOKUP($A1438, 'L &amp; T'!A:A, 'L &amp; T'!B:B, "")</f>
        <v>3769.5</v>
      </c>
    </row>
    <row r="1439" spans="1:8" x14ac:dyDescent="0.3">
      <c r="A1439" s="1">
        <v>45944</v>
      </c>
      <c r="B1439" s="4">
        <f>_xlfn.XLOOKUP($A1439, 'Nifty 50'!A:A, 'Nifty 50'!B:B, "")</f>
        <v>25145.5</v>
      </c>
      <c r="C1439" s="4">
        <f>_xlfn.XLOOKUP($A1439, Reliance!A:A, Reliance!B:B, "")</f>
        <v>1375.9</v>
      </c>
      <c r="D1439" s="4">
        <f>_xlfn.XLOOKUP($A1439, HDFC!A:A, HDFC!B:B, "")</f>
        <v>977.15</v>
      </c>
      <c r="E1439" s="4">
        <f>_xlfn.XLOOKUP($A1439, ITC!A:A, ITC!B:B, "")</f>
        <v>396.8</v>
      </c>
      <c r="F1439" s="4">
        <f>_xlfn.XLOOKUP($A1439, TCS!A:A, TCS!B:B, "")</f>
        <v>2960.3</v>
      </c>
      <c r="G1439" s="4">
        <f>_xlfn.XLOOKUP($A1439, Infosys!A:A, Infosys!B:B,"")</f>
        <v>1489.9</v>
      </c>
      <c r="H1439" s="4">
        <f>_xlfn.XLOOKUP($A1439, 'L &amp; T'!A:A, 'L &amp; T'!B:B, "")</f>
        <v>3744.3</v>
      </c>
    </row>
    <row r="1440" spans="1:8" x14ac:dyDescent="0.3">
      <c r="A1440" s="1">
        <v>45945</v>
      </c>
      <c r="B1440" s="4">
        <f>_xlfn.XLOOKUP($A1440, 'Nifty 50'!A:A, 'Nifty 50'!B:B, "")</f>
        <v>25323.55</v>
      </c>
      <c r="C1440" s="4">
        <f>_xlfn.XLOOKUP($A1440, Reliance!A:A, Reliance!B:B, "")</f>
        <v>1374.3</v>
      </c>
      <c r="D1440" s="4">
        <f>_xlfn.XLOOKUP($A1440, HDFC!A:A, HDFC!B:B, "")</f>
        <v>978.25</v>
      </c>
      <c r="E1440" s="4">
        <f>_xlfn.XLOOKUP($A1440, ITC!A:A, ITC!B:B, "")</f>
        <v>399.9</v>
      </c>
      <c r="F1440" s="4">
        <f>_xlfn.XLOOKUP($A1440, TCS!A:A, TCS!B:B, "")</f>
        <v>2969.8</v>
      </c>
      <c r="G1440" s="4">
        <f>_xlfn.XLOOKUP($A1440, Infosys!A:A, Infosys!B:B,"")</f>
        <v>1474.4</v>
      </c>
      <c r="H1440" s="4">
        <f>_xlfn.XLOOKUP($A1440, 'L &amp; T'!A:A, 'L &amp; T'!B:B, "")</f>
        <v>3828.7</v>
      </c>
    </row>
    <row r="1441" spans="1:8" x14ac:dyDescent="0.3">
      <c r="A1441" s="1">
        <v>45946</v>
      </c>
      <c r="B1441" s="4">
        <f>_xlfn.XLOOKUP($A1441, 'Nifty 50'!A:A, 'Nifty 50'!B:B, "")</f>
        <v>25585.3</v>
      </c>
      <c r="C1441" s="4">
        <f>_xlfn.XLOOKUP($A1441, Reliance!A:A, Reliance!B:B, "")</f>
        <v>1398.3</v>
      </c>
      <c r="D1441" s="4">
        <f>_xlfn.XLOOKUP($A1441, HDFC!A:A, HDFC!B:B, "")</f>
        <v>994.35</v>
      </c>
      <c r="E1441" s="4">
        <f>_xlfn.XLOOKUP($A1441, ITC!A:A, ITC!B:B, "")</f>
        <v>405.15</v>
      </c>
      <c r="F1441" s="4">
        <f>_xlfn.XLOOKUP($A1441, TCS!A:A, TCS!B:B, "")</f>
        <v>2970.7</v>
      </c>
      <c r="G1441" s="4">
        <f>_xlfn.XLOOKUP($A1441, Infosys!A:A, Infosys!B:B,"")</f>
        <v>1471.5</v>
      </c>
      <c r="H1441" s="4">
        <f>_xlfn.XLOOKUP($A1441, 'L &amp; T'!A:A, 'L &amp; T'!B:B, "")</f>
        <v>3861.8</v>
      </c>
    </row>
    <row r="1442" spans="1:8" x14ac:dyDescent="0.3">
      <c r="A1442" s="1">
        <v>45947</v>
      </c>
      <c r="B1442" s="4">
        <f>_xlfn.XLOOKUP($A1442, 'Nifty 50'!A:A, 'Nifty 50'!B:B, "")</f>
        <v>25709.85</v>
      </c>
      <c r="C1442" s="4">
        <f>_xlfn.XLOOKUP($A1442, Reliance!A:A, Reliance!B:B, "")</f>
        <v>1416.8</v>
      </c>
      <c r="D1442" s="4">
        <f>_xlfn.XLOOKUP($A1442, HDFC!A:A, HDFC!B:B, "")</f>
        <v>1002.55</v>
      </c>
      <c r="E1442" s="4">
        <f>_xlfn.XLOOKUP($A1442, ITC!A:A, ITC!B:B, "")</f>
        <v>412.15</v>
      </c>
      <c r="F1442" s="4">
        <f>_xlfn.XLOOKUP($A1442, TCS!A:A, TCS!B:B, "")</f>
        <v>2962.2</v>
      </c>
      <c r="G1442" s="4">
        <f>_xlfn.XLOOKUP($A1442, Infosys!A:A, Infosys!B:B,"")</f>
        <v>1441.1</v>
      </c>
      <c r="H1442" s="4">
        <f>_xlfn.XLOOKUP($A1442, 'L &amp; T'!A:A, 'L &amp; T'!B:B, "")</f>
        <v>3839.4</v>
      </c>
    </row>
    <row r="1443" spans="1:8" x14ac:dyDescent="0.3">
      <c r="A1443" s="1">
        <v>45950</v>
      </c>
      <c r="B1443" s="4">
        <f>_xlfn.XLOOKUP($A1443, 'Nifty 50'!A:A, 'Nifty 50'!B:B, "")</f>
        <v>25843.15</v>
      </c>
      <c r="C1443" s="4">
        <f>_xlfn.XLOOKUP($A1443, Reliance!A:A, Reliance!B:B, "")</f>
        <v>1466.8</v>
      </c>
      <c r="D1443" s="4">
        <f>_xlfn.XLOOKUP($A1443, HDFC!A:A, HDFC!B:B, "")</f>
        <v>1002.95</v>
      </c>
      <c r="E1443" s="4">
        <f>_xlfn.XLOOKUP($A1443, ITC!A:A, ITC!B:B, "")</f>
        <v>413.05</v>
      </c>
      <c r="F1443" s="4">
        <f>_xlfn.XLOOKUP($A1443, TCS!A:A, TCS!B:B, "")</f>
        <v>3015.2</v>
      </c>
      <c r="G1443" s="4">
        <f>_xlfn.XLOOKUP($A1443, Infosys!A:A, Infosys!B:B,"")</f>
        <v>1460.9</v>
      </c>
      <c r="H1443" s="4">
        <f>_xlfn.XLOOKUP($A1443, 'L &amp; T'!A:A, 'L &amp; T'!B:B, "")</f>
        <v>3872.7</v>
      </c>
    </row>
    <row r="1444" spans="1:8" x14ac:dyDescent="0.3">
      <c r="A1444" s="1">
        <v>45951</v>
      </c>
      <c r="B1444" s="4">
        <f>_xlfn.XLOOKUP($A1444, 'Nifty 50'!A:A, 'Nifty 50'!B:B, "")</f>
        <v>25868.6</v>
      </c>
      <c r="C1444" s="4">
        <f>_xlfn.XLOOKUP($A1444, Reliance!A:A, Reliance!B:B, "")</f>
        <v>1465.2</v>
      </c>
      <c r="D1444" s="4">
        <f>_xlfn.XLOOKUP($A1444, HDFC!A:A, HDFC!B:B, "")</f>
        <v>1007.7</v>
      </c>
      <c r="E1444" s="4">
        <f>_xlfn.XLOOKUP($A1444, ITC!A:A, ITC!B:B, "")</f>
        <v>412.85</v>
      </c>
      <c r="F1444" s="4">
        <f>_xlfn.XLOOKUP($A1444, TCS!A:A, TCS!B:B, "")</f>
        <v>3006.7</v>
      </c>
      <c r="G1444" s="4">
        <f>_xlfn.XLOOKUP($A1444, Infosys!A:A, Infosys!B:B,"")</f>
        <v>1472.4</v>
      </c>
      <c r="H1444" s="4">
        <f>_xlfn.XLOOKUP($A1444, 'L &amp; T'!A:A, 'L &amp; T'!B:B, "")</f>
        <v>3888.2</v>
      </c>
    </row>
    <row r="1445" spans="1:8" x14ac:dyDescent="0.3">
      <c r="A1445" s="1">
        <v>45953</v>
      </c>
      <c r="B1445" s="4">
        <f>_xlfn.XLOOKUP($A1445, 'Nifty 50'!A:A, 'Nifty 50'!B:B, "")</f>
        <v>25891.4</v>
      </c>
      <c r="C1445" s="4">
        <f>_xlfn.XLOOKUP($A1445, Reliance!A:A, Reliance!B:B, "")</f>
        <v>1448.4</v>
      </c>
      <c r="D1445" s="4">
        <f>_xlfn.XLOOKUP($A1445, HDFC!A:A, HDFC!B:B, "")</f>
        <v>1008.8</v>
      </c>
      <c r="E1445" s="4">
        <f>_xlfn.XLOOKUP($A1445, ITC!A:A, ITC!B:B, "")</f>
        <v>415.95</v>
      </c>
      <c r="F1445" s="4">
        <f>_xlfn.XLOOKUP($A1445, TCS!A:A, TCS!B:B, "")</f>
        <v>3073.2</v>
      </c>
      <c r="G1445" s="4">
        <f>_xlfn.XLOOKUP($A1445, Infosys!A:A, Infosys!B:B,"")</f>
        <v>1528.5</v>
      </c>
      <c r="H1445" s="4">
        <f>_xlfn.XLOOKUP($A1445, 'L &amp; T'!A:A, 'L &amp; T'!B:B, "")</f>
        <v>3918.7</v>
      </c>
    </row>
    <row r="1446" spans="1:8" x14ac:dyDescent="0.3">
      <c r="A1446" s="1">
        <v>45954</v>
      </c>
      <c r="B1446" s="4">
        <f>_xlfn.XLOOKUP($A1446, 'Nifty 50'!A:A, 'Nifty 50'!B:B, "")</f>
        <v>25795.15</v>
      </c>
      <c r="C1446" s="4">
        <f>_xlfn.XLOOKUP($A1446, Reliance!A:A, Reliance!B:B, "")</f>
        <v>1451.6</v>
      </c>
      <c r="D1446" s="4">
        <f>_xlfn.XLOOKUP($A1446, HDFC!A:A, HDFC!B:B, "")</f>
        <v>994.75</v>
      </c>
      <c r="E1446" s="4">
        <f>_xlfn.XLOOKUP($A1446, ITC!A:A, ITC!B:B, "")</f>
        <v>416.8</v>
      </c>
      <c r="F1446" s="4">
        <f>_xlfn.XLOOKUP($A1446, TCS!A:A, TCS!B:B, "")</f>
        <v>3063.2</v>
      </c>
      <c r="G1446" s="4">
        <f>_xlfn.XLOOKUP($A1446, Infosys!A:A, Infosys!B:B,"")</f>
        <v>1525.4</v>
      </c>
      <c r="H1446" s="4">
        <f>_xlfn.XLOOKUP($A1446, 'L &amp; T'!A:A, 'L &amp; T'!B:B, "")</f>
        <v>3904.9</v>
      </c>
    </row>
    <row r="1447" spans="1:8" x14ac:dyDescent="0.3">
      <c r="A1447" s="1">
        <v>45957</v>
      </c>
      <c r="B1447" s="4">
        <f>_xlfn.XLOOKUP($A1447, 'Nifty 50'!A:A, 'Nifty 50'!B:B, "")</f>
        <v>25966.05</v>
      </c>
      <c r="C1447" s="4">
        <f>_xlfn.XLOOKUP($A1447, Reliance!A:A, Reliance!B:B, "")</f>
        <v>1484.1</v>
      </c>
      <c r="D1447" s="4">
        <f>_xlfn.XLOOKUP($A1447, HDFC!A:A, HDFC!B:B, "")</f>
        <v>1002.95</v>
      </c>
      <c r="E1447" s="4">
        <f>_xlfn.XLOOKUP($A1447, ITC!A:A, ITC!B:B, "")</f>
        <v>420.65</v>
      </c>
      <c r="F1447" s="4">
        <f>_xlfn.XLOOKUP($A1447, TCS!A:A, TCS!B:B, "")</f>
        <v>3084.9</v>
      </c>
      <c r="G1447" s="4">
        <f>_xlfn.XLOOKUP($A1447, Infosys!A:A, Infosys!B:B,"")</f>
        <v>1504.5</v>
      </c>
      <c r="H1447" s="4">
        <f>_xlfn.XLOOKUP($A1447, 'L &amp; T'!A:A, 'L &amp; T'!B:B, "")</f>
        <v>3923.8</v>
      </c>
    </row>
    <row r="1448" spans="1:8" x14ac:dyDescent="0.3">
      <c r="A1448" s="1">
        <v>45958</v>
      </c>
      <c r="B1448" s="4">
        <f>_xlfn.XLOOKUP($A1448, 'Nifty 50'!A:A, 'Nifty 50'!B:B, "")</f>
        <v>25936.2</v>
      </c>
      <c r="C1448" s="4">
        <f>_xlfn.XLOOKUP($A1448, Reliance!A:A, Reliance!B:B, "")</f>
        <v>1486.9</v>
      </c>
      <c r="D1448" s="4">
        <f>_xlfn.XLOOKUP($A1448, HDFC!A:A, HDFC!B:B, "")</f>
        <v>1003.55</v>
      </c>
      <c r="E1448" s="4">
        <f>_xlfn.XLOOKUP($A1448, ITC!A:A, ITC!B:B, "")</f>
        <v>417.9</v>
      </c>
      <c r="F1448" s="4">
        <f>_xlfn.XLOOKUP($A1448, TCS!A:A, TCS!B:B, "")</f>
        <v>3057.9</v>
      </c>
      <c r="G1448" s="4">
        <f>_xlfn.XLOOKUP($A1448, Infosys!A:A, Infosys!B:B,"")</f>
        <v>1500.2</v>
      </c>
      <c r="H1448" s="4">
        <f>_xlfn.XLOOKUP($A1448, 'L &amp; T'!A:A, 'L &amp; T'!B:B, "")</f>
        <v>3972.8</v>
      </c>
    </row>
    <row r="1449" spans="1:8" x14ac:dyDescent="0.3">
      <c r="A1449" s="1">
        <v>45959</v>
      </c>
      <c r="B1449" s="4">
        <f>_xlfn.XLOOKUP($A1449, 'Nifty 50'!A:A, 'Nifty 50'!B:B, "")</f>
        <v>26053.9</v>
      </c>
      <c r="C1449" s="4">
        <f>_xlfn.XLOOKUP($A1449, Reliance!A:A, Reliance!B:B, "")</f>
        <v>1504.2</v>
      </c>
      <c r="D1449" s="4">
        <f>_xlfn.XLOOKUP($A1449, HDFC!A:A, HDFC!B:B, "")</f>
        <v>1007.85</v>
      </c>
      <c r="E1449" s="4">
        <f>_xlfn.XLOOKUP($A1449, ITC!A:A, ITC!B:B, "")</f>
        <v>421.6</v>
      </c>
      <c r="F1449" s="4">
        <f>_xlfn.XLOOKUP($A1449, TCS!A:A, TCS!B:B, "")</f>
        <v>3057.6</v>
      </c>
      <c r="G1449" s="4">
        <f>_xlfn.XLOOKUP($A1449, Infosys!A:A, Infosys!B:B,"")</f>
        <v>1510.4</v>
      </c>
      <c r="H1449" s="4">
        <f>_xlfn.XLOOKUP($A1449, 'L &amp; T'!A:A, 'L &amp; T'!B:B, "")</f>
        <v>3958.1</v>
      </c>
    </row>
    <row r="1450" spans="1:8" x14ac:dyDescent="0.3">
      <c r="A1450" s="1">
        <v>45960</v>
      </c>
      <c r="B1450" s="4">
        <f>_xlfn.XLOOKUP($A1450, 'Nifty 50'!A:A, 'Nifty 50'!B:B, "")</f>
        <v>25877.85</v>
      </c>
      <c r="C1450" s="4">
        <f>_xlfn.XLOOKUP($A1450, Reliance!A:A, Reliance!B:B, "")</f>
        <v>1488.5</v>
      </c>
      <c r="D1450" s="4">
        <f>_xlfn.XLOOKUP($A1450, HDFC!A:A, HDFC!B:B, "")</f>
        <v>998.15</v>
      </c>
      <c r="E1450" s="4">
        <f>_xlfn.XLOOKUP($A1450, ITC!A:A, ITC!B:B, "")</f>
        <v>418.75</v>
      </c>
      <c r="F1450" s="4">
        <f>_xlfn.XLOOKUP($A1450, TCS!A:A, TCS!B:B, "")</f>
        <v>3035.3</v>
      </c>
      <c r="G1450" s="4">
        <f>_xlfn.XLOOKUP($A1450, Infosys!A:A, Infosys!B:B,"")</f>
        <v>1493.8</v>
      </c>
      <c r="H1450" s="4">
        <f>_xlfn.XLOOKUP($A1450, 'L &amp; T'!A:A, 'L &amp; T'!B:B, "")</f>
        <v>3987.5</v>
      </c>
    </row>
    <row r="1451" spans="1:8" x14ac:dyDescent="0.3">
      <c r="A1451" s="1">
        <v>45961</v>
      </c>
      <c r="B1451" s="4">
        <f>_xlfn.XLOOKUP($A1451, 'Nifty 50'!A:A, 'Nifty 50'!B:B, "")</f>
        <v>25722.1</v>
      </c>
      <c r="C1451" s="4">
        <f>_xlfn.XLOOKUP($A1451, Reliance!A:A, Reliance!B:B, "")</f>
        <v>1486.4</v>
      </c>
      <c r="D1451" s="4">
        <f>_xlfn.XLOOKUP($A1451, HDFC!A:A, HDFC!B:B, "")</f>
        <v>987.3</v>
      </c>
      <c r="E1451" s="4">
        <f>_xlfn.XLOOKUP($A1451, ITC!A:A, ITC!B:B, "")</f>
        <v>420.35</v>
      </c>
      <c r="F1451" s="4">
        <f>_xlfn.XLOOKUP($A1451, TCS!A:A, TCS!B:B, "")</f>
        <v>3058</v>
      </c>
      <c r="G1451" s="4">
        <f>_xlfn.XLOOKUP($A1451, Infosys!A:A, Infosys!B:B,"")</f>
        <v>1482.3</v>
      </c>
      <c r="H1451" s="4">
        <f>_xlfn.XLOOKUP($A1451, 'L &amp; T'!A:A, 'L &amp; T'!B:B, "")</f>
        <v>4030.9</v>
      </c>
    </row>
    <row r="1452" spans="1:8" x14ac:dyDescent="0.3">
      <c r="A1452" s="1">
        <v>45964</v>
      </c>
      <c r="B1452" s="4">
        <f>_xlfn.XLOOKUP($A1452, 'Nifty 50'!A:A, 'Nifty 50'!B:B, "")</f>
        <v>25763.35</v>
      </c>
      <c r="C1452" s="4">
        <f>_xlfn.XLOOKUP($A1452, Reliance!A:A, Reliance!B:B, "")</f>
        <v>1484.7</v>
      </c>
      <c r="D1452" s="4">
        <f>_xlfn.XLOOKUP($A1452, HDFC!A:A, HDFC!B:B, "")</f>
        <v>992.65</v>
      </c>
      <c r="E1452" s="4">
        <f>_xlfn.XLOOKUP($A1452, ITC!A:A, ITC!B:B, "")</f>
        <v>413.95</v>
      </c>
      <c r="F1452" s="4">
        <f>_xlfn.XLOOKUP($A1452, TCS!A:A, TCS!B:B, "")</f>
        <v>3016.8</v>
      </c>
      <c r="G1452" s="4">
        <f>_xlfn.XLOOKUP($A1452, Infosys!A:A, Infosys!B:B,"")</f>
        <v>1485.5</v>
      </c>
      <c r="H1452" s="4">
        <f>_xlfn.XLOOKUP($A1452, 'L &amp; T'!A:A, 'L &amp; T'!B:B, "")</f>
        <v>3980.5</v>
      </c>
    </row>
    <row r="1453" spans="1:8" x14ac:dyDescent="0.3">
      <c r="A1453" s="1">
        <v>45965</v>
      </c>
      <c r="B1453" s="4">
        <f>_xlfn.XLOOKUP($A1453, 'Nifty 50'!A:A, 'Nifty 50'!B:B, "")</f>
        <v>25597.65</v>
      </c>
      <c r="C1453" s="4">
        <f>_xlfn.XLOOKUP($A1453, Reliance!A:A, Reliance!B:B, "")</f>
        <v>1473.1</v>
      </c>
      <c r="D1453" s="4">
        <f>_xlfn.XLOOKUP($A1453, HDFC!A:A, HDFC!B:B, "")</f>
        <v>985.25</v>
      </c>
      <c r="E1453" s="4">
        <f>_xlfn.XLOOKUP($A1453, ITC!A:A, ITC!B:B, "")</f>
        <v>408.9</v>
      </c>
      <c r="F1453" s="4">
        <f>_xlfn.XLOOKUP($A1453, TCS!A:A, TCS!B:B, "")</f>
        <v>2990.2</v>
      </c>
      <c r="G1453" s="4">
        <f>_xlfn.XLOOKUP($A1453, Infosys!A:A, Infosys!B:B,"")</f>
        <v>1467.9</v>
      </c>
      <c r="H1453" s="4">
        <f>_xlfn.XLOOKUP($A1453, 'L &amp; T'!A:A, 'L &amp; T'!B:B, "")</f>
        <v>3924.4</v>
      </c>
    </row>
    <row r="1454" spans="1:8" x14ac:dyDescent="0.3">
      <c r="A1454" s="1">
        <v>45967</v>
      </c>
      <c r="B1454" s="4">
        <f>_xlfn.XLOOKUP($A1454, 'Nifty 50'!A:A, 'Nifty 50'!B:B, "")</f>
        <v>25509.7</v>
      </c>
      <c r="C1454" s="4">
        <f>_xlfn.XLOOKUP($A1454, Reliance!A:A, Reliance!B:B, "")</f>
        <v>1496.1</v>
      </c>
      <c r="D1454" s="4">
        <f>_xlfn.XLOOKUP($A1454, HDFC!A:A, HDFC!B:B, "")</f>
        <v>984.65</v>
      </c>
      <c r="E1454" s="4">
        <f>_xlfn.XLOOKUP($A1454, ITC!A:A, ITC!B:B, "")</f>
        <v>407.5</v>
      </c>
      <c r="F1454" s="4">
        <f>_xlfn.XLOOKUP($A1454, TCS!A:A, TCS!B:B, "")</f>
        <v>3010.9</v>
      </c>
      <c r="G1454" s="4">
        <f>_xlfn.XLOOKUP($A1454, Infosys!A:A, Infosys!B:B,"")</f>
        <v>1466.7</v>
      </c>
      <c r="H1454" s="4">
        <f>_xlfn.XLOOKUP($A1454, 'L &amp; T'!A:A, 'L &amp; T'!B:B, "")</f>
        <v>3881.6</v>
      </c>
    </row>
    <row r="1455" spans="1:8" x14ac:dyDescent="0.3">
      <c r="A1455" s="1">
        <v>45968</v>
      </c>
      <c r="B1455" s="4">
        <f>_xlfn.XLOOKUP($A1455, 'Nifty 50'!A:A, 'Nifty 50'!B:B, "")</f>
        <v>25492.3</v>
      </c>
      <c r="C1455" s="4">
        <f>_xlfn.XLOOKUP($A1455, Reliance!A:A, Reliance!B:B, "")</f>
        <v>1478</v>
      </c>
      <c r="D1455" s="4">
        <f>_xlfn.XLOOKUP($A1455, HDFC!A:A, HDFC!B:B, "")</f>
        <v>982.3</v>
      </c>
      <c r="E1455" s="4">
        <f>_xlfn.XLOOKUP($A1455, ITC!A:A, ITC!B:B, "")</f>
        <v>404.05</v>
      </c>
      <c r="F1455" s="4">
        <f>_xlfn.XLOOKUP($A1455, TCS!A:A, TCS!B:B, "")</f>
        <v>2991.8</v>
      </c>
      <c r="G1455" s="4">
        <f>_xlfn.XLOOKUP($A1455, Infosys!A:A, Infosys!B:B,"")</f>
        <v>1476.8</v>
      </c>
      <c r="H1455" s="4">
        <f>_xlfn.XLOOKUP($A1455, 'L &amp; T'!A:A, 'L &amp; T'!B:B, "")</f>
        <v>3882.5</v>
      </c>
    </row>
    <row r="1456" spans="1:8" x14ac:dyDescent="0.3">
      <c r="A1456" s="1">
        <v>45971</v>
      </c>
      <c r="B1456" s="4">
        <f>_xlfn.XLOOKUP($A1456, 'Nifty 50'!A:A, 'Nifty 50'!B:B, "")</f>
        <v>25574.35</v>
      </c>
      <c r="C1456" s="4">
        <f>_xlfn.XLOOKUP($A1456, Reliance!A:A, Reliance!B:B, "")</f>
        <v>1489.3</v>
      </c>
      <c r="D1456" s="4">
        <f>_xlfn.XLOOKUP($A1456, HDFC!A:A, HDFC!B:B, "")</f>
        <v>984.5</v>
      </c>
      <c r="E1456" s="4">
        <f>_xlfn.XLOOKUP($A1456, ITC!A:A, ITC!B:B, "")</f>
        <v>405.55</v>
      </c>
      <c r="F1456" s="4">
        <f>_xlfn.XLOOKUP($A1456, TCS!A:A, TCS!B:B, "")</f>
        <v>3025.2</v>
      </c>
      <c r="G1456" s="4">
        <f>_xlfn.XLOOKUP($A1456, Infosys!A:A, Infosys!B:B,"")</f>
        <v>1513.5</v>
      </c>
      <c r="H1456" s="4">
        <f>_xlfn.XLOOKUP($A1456, 'L &amp; T'!A:A, 'L &amp; T'!B:B, "")</f>
        <v>3918.5</v>
      </c>
    </row>
    <row r="1457" spans="1:8" x14ac:dyDescent="0.3">
      <c r="A1457" s="1">
        <v>45972</v>
      </c>
      <c r="B1457" s="4">
        <f>_xlfn.XLOOKUP($A1457, 'Nifty 50'!A:A, 'Nifty 50'!B:B, "")</f>
        <v>25694.95</v>
      </c>
      <c r="C1457" s="4">
        <f>_xlfn.XLOOKUP($A1457, Reliance!A:A, Reliance!B:B, "")</f>
        <v>1493.4</v>
      </c>
      <c r="D1457" s="4">
        <f>_xlfn.XLOOKUP($A1457, HDFC!A:A, HDFC!B:B, "")</f>
        <v>991.7</v>
      </c>
      <c r="E1457" s="4">
        <f>_xlfn.XLOOKUP($A1457, ITC!A:A, ITC!B:B, "")</f>
        <v>406.85</v>
      </c>
      <c r="F1457" s="4">
        <f>_xlfn.XLOOKUP($A1457, TCS!A:A, TCS!B:B, "")</f>
        <v>3047</v>
      </c>
      <c r="G1457" s="4">
        <f>_xlfn.XLOOKUP($A1457, Infosys!A:A, Infosys!B:B,"")</f>
        <v>1530.3</v>
      </c>
      <c r="H1457" s="4">
        <f>_xlfn.XLOOKUP($A1457, 'L &amp; T'!A:A, 'L &amp; T'!B:B, "")</f>
        <v>3955</v>
      </c>
    </row>
    <row r="1458" spans="1:8" x14ac:dyDescent="0.3">
      <c r="A1458" s="1">
        <v>45973</v>
      </c>
      <c r="B1458" s="4">
        <f>_xlfn.XLOOKUP($A1458, 'Nifty 50'!A:A, 'Nifty 50'!B:B, "")</f>
        <v>25875.8</v>
      </c>
      <c r="C1458" s="4">
        <f>_xlfn.XLOOKUP($A1458, Reliance!A:A, Reliance!B:B, "")</f>
        <v>1511.5</v>
      </c>
      <c r="D1458" s="4">
        <f>_xlfn.XLOOKUP($A1458, HDFC!A:A, HDFC!B:B, "")</f>
        <v>989.5</v>
      </c>
      <c r="E1458" s="4">
        <f>_xlfn.XLOOKUP($A1458, ITC!A:A, ITC!B:B, "")</f>
        <v>407</v>
      </c>
      <c r="F1458" s="4">
        <f>_xlfn.XLOOKUP($A1458, TCS!A:A, TCS!B:B, "")</f>
        <v>3131.8</v>
      </c>
      <c r="G1458" s="4">
        <f>_xlfn.XLOOKUP($A1458, Infosys!A:A, Infosys!B:B,"")</f>
        <v>1551.7</v>
      </c>
      <c r="H1458" s="4">
        <f>_xlfn.XLOOKUP($A1458, 'L &amp; T'!A:A, 'L &amp; T'!B:B, "")</f>
        <v>3954.6</v>
      </c>
    </row>
    <row r="1459" spans="1:8" x14ac:dyDescent="0.3">
      <c r="A1459" s="1">
        <v>45974</v>
      </c>
      <c r="B1459" s="4">
        <f>_xlfn.XLOOKUP($A1459, 'Nifty 50'!A:A, 'Nifty 50'!B:B, "")</f>
        <v>25879.15</v>
      </c>
      <c r="C1459" s="4">
        <f>_xlfn.XLOOKUP($A1459, Reliance!A:A, Reliance!B:B, "")</f>
        <v>1510.9</v>
      </c>
      <c r="D1459" s="4">
        <f>_xlfn.XLOOKUP($A1459, HDFC!A:A, HDFC!B:B, "")</f>
        <v>986.65</v>
      </c>
      <c r="E1459" s="4">
        <f>_xlfn.XLOOKUP($A1459, ITC!A:A, ITC!B:B, "")</f>
        <v>405.7</v>
      </c>
      <c r="F1459" s="4">
        <f>_xlfn.XLOOKUP($A1459, TCS!A:A, TCS!B:B, "")</f>
        <v>3105.7</v>
      </c>
      <c r="G1459" s="4">
        <f>_xlfn.XLOOKUP($A1459, Infosys!A:A, Infosys!B:B,"")</f>
        <v>1541.8</v>
      </c>
      <c r="H1459" s="4">
        <f>_xlfn.XLOOKUP($A1459, 'L &amp; T'!A:A, 'L &amp; T'!B:B, "")</f>
        <v>4002.5</v>
      </c>
    </row>
    <row r="1460" spans="1:8" x14ac:dyDescent="0.3">
      <c r="A1460" s="1">
        <v>45975</v>
      </c>
      <c r="B1460" s="4">
        <f>_xlfn.XLOOKUP($A1460, 'Nifty 50'!A:A, 'Nifty 50'!B:B, "")</f>
        <v>25910.05</v>
      </c>
      <c r="C1460" s="4">
        <f>_xlfn.XLOOKUP($A1460, Reliance!A:A, Reliance!B:B, "")</f>
        <v>1518.9</v>
      </c>
      <c r="D1460" s="4">
        <f>_xlfn.XLOOKUP($A1460, HDFC!A:A, HDFC!B:B, "")</f>
        <v>989.6</v>
      </c>
      <c r="E1460" s="4">
        <f>_xlfn.XLOOKUP($A1460, ITC!A:A, ITC!B:B, "")</f>
        <v>408.15</v>
      </c>
      <c r="F1460" s="4">
        <f>_xlfn.XLOOKUP($A1460, TCS!A:A, TCS!B:B, "")</f>
        <v>3106</v>
      </c>
      <c r="G1460" s="4">
        <f>_xlfn.XLOOKUP($A1460, Infosys!A:A, Infosys!B:B,"")</f>
        <v>1502.8</v>
      </c>
      <c r="H1460" s="4">
        <f>_xlfn.XLOOKUP($A1460, 'L &amp; T'!A:A, 'L &amp; T'!B:B, "")</f>
        <v>4004.4</v>
      </c>
    </row>
    <row r="1461" spans="1:8" x14ac:dyDescent="0.3">
      <c r="A1461" s="1">
        <v>45978</v>
      </c>
      <c r="B1461" s="4">
        <f>_xlfn.XLOOKUP($A1461, 'Nifty 50'!A:A, 'Nifty 50'!B:B, "")</f>
        <v>26013.45</v>
      </c>
      <c r="C1461" s="4">
        <f>_xlfn.XLOOKUP($A1461, Reliance!A:A, Reliance!B:B, "")</f>
        <v>1518.3</v>
      </c>
      <c r="D1461" s="4">
        <f>_xlfn.XLOOKUP($A1461, HDFC!A:A, HDFC!B:B, "")</f>
        <v>996.55</v>
      </c>
      <c r="E1461" s="4">
        <f>_xlfn.XLOOKUP($A1461, ITC!A:A, ITC!B:B, "")</f>
        <v>407.1</v>
      </c>
      <c r="F1461" s="4">
        <f>_xlfn.XLOOKUP($A1461, TCS!A:A, TCS!B:B, "")</f>
        <v>3102.2</v>
      </c>
      <c r="G1461" s="4">
        <f>_xlfn.XLOOKUP($A1461, Infosys!A:A, Infosys!B:B,"")</f>
        <v>1507.6</v>
      </c>
      <c r="H1461" s="4">
        <f>_xlfn.XLOOKUP($A1461, 'L &amp; T'!A:A, 'L &amp; T'!B:B, "")</f>
        <v>4027.7</v>
      </c>
    </row>
    <row r="1462" spans="1:8" x14ac:dyDescent="0.3">
      <c r="A1462" s="1">
        <v>45979</v>
      </c>
      <c r="B1462" s="4">
        <f>_xlfn.XLOOKUP($A1462, 'Nifty 50'!A:A, 'Nifty 50'!B:B, "")</f>
        <v>25910.05</v>
      </c>
      <c r="C1462" s="4">
        <f>_xlfn.XLOOKUP($A1462, Reliance!A:A, Reliance!B:B, "")</f>
        <v>1519.4</v>
      </c>
      <c r="D1462" s="4">
        <f>_xlfn.XLOOKUP($A1462, HDFC!A:A, HDFC!B:B, "")</f>
        <v>992.45</v>
      </c>
      <c r="E1462" s="4">
        <f>_xlfn.XLOOKUP($A1462, ITC!A:A, ITC!B:B, "")</f>
        <v>405.85</v>
      </c>
      <c r="F1462" s="4">
        <f>_xlfn.XLOOKUP($A1462, TCS!A:A, TCS!B:B, "")</f>
        <v>3087.1</v>
      </c>
      <c r="G1462" s="4">
        <f>_xlfn.XLOOKUP($A1462, Infosys!A:A, Infosys!B:B,"")</f>
        <v>1486.4</v>
      </c>
      <c r="H1462" s="4">
        <f>_xlfn.XLOOKUP($A1462, 'L &amp; T'!A:A, 'L &amp; T'!B:B, "")</f>
        <v>3999.6</v>
      </c>
    </row>
    <row r="1463" spans="1:8" x14ac:dyDescent="0.3">
      <c r="A1463" s="1">
        <v>45980</v>
      </c>
      <c r="B1463" s="4">
        <f>_xlfn.XLOOKUP($A1463, 'Nifty 50'!A:A, 'Nifty 50'!B:B, "")</f>
        <v>26052.65</v>
      </c>
      <c r="C1463" s="4">
        <f>_xlfn.XLOOKUP($A1463, Reliance!A:A, Reliance!B:B, "")</f>
        <v>1518.9</v>
      </c>
      <c r="D1463" s="4">
        <f>_xlfn.XLOOKUP($A1463, HDFC!A:A, HDFC!B:B, "")</f>
        <v>994.6</v>
      </c>
      <c r="E1463" s="4">
        <f>_xlfn.XLOOKUP($A1463, ITC!A:A, ITC!B:B, "")</f>
        <v>403.55</v>
      </c>
      <c r="F1463" s="4">
        <f>_xlfn.XLOOKUP($A1463, TCS!A:A, TCS!B:B, "")</f>
        <v>3147.7</v>
      </c>
      <c r="G1463" s="4">
        <f>_xlfn.XLOOKUP($A1463, Infosys!A:A, Infosys!B:B,"")</f>
        <v>1541.1</v>
      </c>
      <c r="H1463" s="4">
        <f>_xlfn.XLOOKUP($A1463, 'L &amp; T'!A:A, 'L &amp; T'!B:B, "")</f>
        <v>4019.6</v>
      </c>
    </row>
    <row r="1464" spans="1:8" x14ac:dyDescent="0.3">
      <c r="A1464" s="1">
        <v>45981</v>
      </c>
      <c r="B1464" s="4">
        <f>_xlfn.XLOOKUP($A1464, 'Nifty 50'!A:A, 'Nifty 50'!B:B, "")</f>
        <v>26192.15</v>
      </c>
      <c r="C1464" s="4">
        <f>_xlfn.XLOOKUP($A1464, Reliance!A:A, Reliance!B:B, "")</f>
        <v>1549.1</v>
      </c>
      <c r="D1464" s="4">
        <f>_xlfn.XLOOKUP($A1464, HDFC!A:A, HDFC!B:B, "")</f>
        <v>1008.85</v>
      </c>
      <c r="E1464" s="4">
        <f>_xlfn.XLOOKUP($A1464, ITC!A:A, ITC!B:B, "")</f>
        <v>405.45</v>
      </c>
      <c r="F1464" s="4">
        <f>_xlfn.XLOOKUP($A1464, TCS!A:A, TCS!B:B, "")</f>
        <v>3144.8</v>
      </c>
      <c r="G1464" s="4">
        <f>_xlfn.XLOOKUP($A1464, Infosys!A:A, Infosys!B:B,"")</f>
        <v>1536.5</v>
      </c>
      <c r="H1464" s="4">
        <f>_xlfn.XLOOKUP($A1464, 'L &amp; T'!A:A, 'L &amp; T'!B:B, "")</f>
        <v>4037.4</v>
      </c>
    </row>
    <row r="1465" spans="1:8" x14ac:dyDescent="0.3">
      <c r="A1465" s="1">
        <v>45982</v>
      </c>
      <c r="B1465" s="4">
        <f>_xlfn.XLOOKUP($A1465, 'Nifty 50'!A:A, 'Nifty 50'!B:B, "")</f>
        <v>26068.15</v>
      </c>
      <c r="C1465" s="4">
        <f>_xlfn.XLOOKUP($A1465, Reliance!A:A, Reliance!B:B, "")</f>
        <v>1546.6</v>
      </c>
      <c r="D1465" s="4">
        <f>_xlfn.XLOOKUP($A1465, HDFC!A:A, HDFC!B:B, "")</f>
        <v>998.05</v>
      </c>
      <c r="E1465" s="4">
        <f>_xlfn.XLOOKUP($A1465, ITC!A:A, ITC!B:B, "")</f>
        <v>407.85</v>
      </c>
      <c r="F1465" s="4">
        <f>_xlfn.XLOOKUP($A1465, TCS!A:A, TCS!B:B, "")</f>
        <v>3150.6</v>
      </c>
      <c r="G1465" s="4">
        <f>_xlfn.XLOOKUP($A1465, Infosys!A:A, Infosys!B:B,"")</f>
        <v>1545</v>
      </c>
      <c r="H1465" s="4">
        <f>_xlfn.XLOOKUP($A1465, 'L &amp; T'!A:A, 'L &amp; T'!B:B, "")</f>
        <v>4024.9</v>
      </c>
    </row>
    <row r="1466" spans="1:8" x14ac:dyDescent="0.3">
      <c r="A1466" s="1">
        <v>45985</v>
      </c>
      <c r="B1466" s="4">
        <f>_xlfn.XLOOKUP($A1466, 'Nifty 50'!A:A, 'Nifty 50'!B:B, "")</f>
        <v>25959.5</v>
      </c>
      <c r="C1466" s="4">
        <f>_xlfn.XLOOKUP($A1466, Reliance!A:A, Reliance!B:B, "")</f>
        <v>1535.9</v>
      </c>
      <c r="D1466" s="4">
        <f>_xlfn.XLOOKUP($A1466, HDFC!A:A, HDFC!B:B, "")</f>
        <v>999.15</v>
      </c>
      <c r="E1466" s="4">
        <f>_xlfn.XLOOKUP($A1466, ITC!A:A, ITC!B:B, "")</f>
        <v>403.55</v>
      </c>
      <c r="F1466" s="4">
        <f>_xlfn.XLOOKUP($A1466, TCS!A:A, TCS!B:B, "")</f>
        <v>3141.2</v>
      </c>
      <c r="G1466" s="4">
        <f>_xlfn.XLOOKUP($A1466, Infosys!A:A, Infosys!B:B,"")</f>
        <v>1548</v>
      </c>
      <c r="H1466" s="4">
        <f>_xlfn.XLOOKUP($A1466, 'L &amp; T'!A:A, 'L &amp; T'!B:B, "")</f>
        <v>4013.3</v>
      </c>
    </row>
    <row r="1467" spans="1:8" x14ac:dyDescent="0.3">
      <c r="A1467" s="1">
        <v>45986</v>
      </c>
      <c r="B1467" s="4">
        <f>_xlfn.XLOOKUP($A1467, 'Nifty 50'!A:A, 'Nifty 50'!B:B, "")</f>
        <v>25884.799999999999</v>
      </c>
      <c r="C1467" s="4">
        <f>_xlfn.XLOOKUP($A1467, Reliance!A:A, Reliance!B:B, "")</f>
        <v>1539.7</v>
      </c>
      <c r="D1467" s="4">
        <f>_xlfn.XLOOKUP($A1467, HDFC!A:A, HDFC!B:B, "")</f>
        <v>989.8</v>
      </c>
      <c r="E1467" s="4">
        <f>_xlfn.XLOOKUP($A1467, ITC!A:A, ITC!B:B, "")</f>
        <v>400.8</v>
      </c>
      <c r="F1467" s="4">
        <f>_xlfn.XLOOKUP($A1467, TCS!A:A, TCS!B:B, "")</f>
        <v>3119.2</v>
      </c>
      <c r="G1467" s="4">
        <f>_xlfn.XLOOKUP($A1467, Infosys!A:A, Infosys!B:B,"")</f>
        <v>1530.6</v>
      </c>
      <c r="H1467" s="4">
        <f>_xlfn.XLOOKUP($A1467, 'L &amp; T'!A:A, 'L &amp; T'!B:B, "")</f>
        <v>3996.7</v>
      </c>
    </row>
    <row r="1468" spans="1:8" x14ac:dyDescent="0.3">
      <c r="A1468" s="1">
        <v>45987</v>
      </c>
      <c r="B1468" s="4">
        <f>_xlfn.XLOOKUP($A1468, 'Nifty 50'!A:A, 'Nifty 50'!B:B, "")</f>
        <v>26205.3</v>
      </c>
      <c r="C1468" s="4">
        <f>_xlfn.XLOOKUP($A1468, Reliance!A:A, Reliance!B:B, "")</f>
        <v>1569.9</v>
      </c>
      <c r="D1468" s="4">
        <f>_xlfn.XLOOKUP($A1468, HDFC!A:A, HDFC!B:B, "")</f>
        <v>1003.9</v>
      </c>
      <c r="E1468" s="4">
        <f>_xlfn.XLOOKUP($A1468, ITC!A:A, ITC!B:B, "")</f>
        <v>402.3</v>
      </c>
      <c r="F1468" s="4">
        <f>_xlfn.XLOOKUP($A1468, TCS!A:A, TCS!B:B, "")</f>
        <v>3162.9</v>
      </c>
      <c r="G1468" s="4">
        <f>_xlfn.XLOOKUP($A1468, Infosys!A:A, Infosys!B:B,"")</f>
        <v>1557.9</v>
      </c>
      <c r="H1468" s="4">
        <f>_xlfn.XLOOKUP($A1468, 'L &amp; T'!A:A, 'L &amp; T'!B:B, "")</f>
        <v>4062</v>
      </c>
    </row>
    <row r="1469" spans="1:8" x14ac:dyDescent="0.3">
      <c r="A1469" s="1">
        <v>45988</v>
      </c>
      <c r="B1469" s="4">
        <f>_xlfn.XLOOKUP($A1469, 'Nifty 50'!A:A, 'Nifty 50'!B:B, "")</f>
        <v>26215.55</v>
      </c>
      <c r="C1469" s="4">
        <f>_xlfn.XLOOKUP($A1469, Reliance!A:A, Reliance!B:B, "")</f>
        <v>1563.4</v>
      </c>
      <c r="D1469" s="4">
        <f>_xlfn.XLOOKUP($A1469, HDFC!A:A, HDFC!B:B, "")</f>
        <v>1009.5</v>
      </c>
      <c r="E1469" s="4">
        <f>_xlfn.XLOOKUP($A1469, ITC!A:A, ITC!B:B, "")</f>
        <v>404.3</v>
      </c>
      <c r="F1469" s="4">
        <f>_xlfn.XLOOKUP($A1469, TCS!A:A, TCS!B:B, "")</f>
        <v>3136.6</v>
      </c>
      <c r="G1469" s="4">
        <f>_xlfn.XLOOKUP($A1469, Infosys!A:A, Infosys!B:B,"")</f>
        <v>1566.4</v>
      </c>
      <c r="H1469" s="4">
        <f>_xlfn.XLOOKUP($A1469, 'L &amp; T'!A:A, 'L &amp; T'!B:B, "")</f>
        <v>4081.3</v>
      </c>
    </row>
    <row r="1470" spans="1:8" x14ac:dyDescent="0.3">
      <c r="A1470" s="1">
        <v>45989</v>
      </c>
      <c r="B1470" s="4">
        <f>_xlfn.XLOOKUP($A1470, 'Nifty 50'!A:A, 'Nifty 50'!B:B, "")</f>
        <v>26202.95</v>
      </c>
      <c r="C1470" s="4">
        <f>_xlfn.XLOOKUP($A1470, Reliance!A:A, Reliance!B:B, "")</f>
        <v>1567.5</v>
      </c>
      <c r="D1470" s="4">
        <f>_xlfn.XLOOKUP($A1470, HDFC!A:A, HDFC!B:B, "")</f>
        <v>1007.6</v>
      </c>
      <c r="E1470" s="4">
        <f>_xlfn.XLOOKUP($A1470, ITC!A:A, ITC!B:B, "")</f>
        <v>404.25</v>
      </c>
      <c r="F1470" s="4">
        <f>_xlfn.XLOOKUP($A1470, TCS!A:A, TCS!B:B, "")</f>
        <v>3137.5</v>
      </c>
      <c r="G1470" s="4">
        <f>_xlfn.XLOOKUP($A1470, Infosys!A:A, Infosys!B:B,"")</f>
        <v>1560.1</v>
      </c>
      <c r="H1470" s="4">
        <f>_xlfn.XLOOKUP($A1470, 'L &amp; T'!A:A, 'L &amp; T'!B:B, "")</f>
        <v>4069.6</v>
      </c>
    </row>
    <row r="1471" spans="1:8" x14ac:dyDescent="0.3">
      <c r="A1471" s="1">
        <v>45992</v>
      </c>
      <c r="B1471" s="4">
        <f>_xlfn.XLOOKUP($A1471, 'Nifty 50'!A:A, 'Nifty 50'!B:B, "")</f>
        <v>26175.75</v>
      </c>
      <c r="C1471" s="4">
        <f>_xlfn.XLOOKUP($A1471, Reliance!A:A, Reliance!B:B, "")</f>
        <v>1566.1</v>
      </c>
      <c r="D1471" s="4">
        <f>_xlfn.XLOOKUP($A1471, HDFC!A:A, HDFC!B:B, "")</f>
        <v>1002.1</v>
      </c>
      <c r="E1471" s="4">
        <f>_xlfn.XLOOKUP($A1471, ITC!A:A, ITC!B:B, "")</f>
        <v>404.25</v>
      </c>
      <c r="F1471" s="4">
        <f>_xlfn.XLOOKUP($A1471, TCS!A:A, TCS!B:B, "")</f>
        <v>3133.4</v>
      </c>
      <c r="G1471" s="4">
        <f>_xlfn.XLOOKUP($A1471, Infosys!A:A, Infosys!B:B,"")</f>
        <v>1564</v>
      </c>
      <c r="H1471" s="4">
        <f>_xlfn.XLOOKUP($A1471, 'L &amp; T'!A:A, 'L &amp; T'!B:B, "")</f>
        <v>4073.2</v>
      </c>
    </row>
    <row r="1472" spans="1:8" x14ac:dyDescent="0.3">
      <c r="A1472" s="1">
        <v>45993</v>
      </c>
      <c r="B1472" s="4">
        <f>_xlfn.XLOOKUP($A1472, 'Nifty 50'!A:A, 'Nifty 50'!B:B, "")</f>
        <v>26032.2</v>
      </c>
      <c r="C1472" s="4">
        <f>_xlfn.XLOOKUP($A1472, Reliance!A:A, Reliance!B:B, "")</f>
        <v>1546.3</v>
      </c>
      <c r="D1472" s="4">
        <f>_xlfn.XLOOKUP($A1472, HDFC!A:A, HDFC!B:B, "")</f>
        <v>989.8</v>
      </c>
      <c r="E1472" s="4">
        <f>_xlfn.XLOOKUP($A1472, ITC!A:A, ITC!B:B, "")</f>
        <v>400.95</v>
      </c>
      <c r="F1472" s="4">
        <f>_xlfn.XLOOKUP($A1472, TCS!A:A, TCS!B:B, "")</f>
        <v>3135.7</v>
      </c>
      <c r="G1472" s="4">
        <f>_xlfn.XLOOKUP($A1472, Infosys!A:A, Infosys!B:B,"")</f>
        <v>1561</v>
      </c>
      <c r="H1472" s="4">
        <f>_xlfn.XLOOKUP($A1472, 'L &amp; T'!A:A, 'L &amp; T'!B:B, "")</f>
        <v>4030.5</v>
      </c>
    </row>
    <row r="1473" spans="1:8" x14ac:dyDescent="0.3">
      <c r="A1473" s="1">
        <v>45994</v>
      </c>
      <c r="B1473" s="4">
        <f>_xlfn.XLOOKUP($A1473, 'Nifty 50'!A:A, 'Nifty 50'!B:B, "")</f>
        <v>25986</v>
      </c>
      <c r="C1473" s="4">
        <f>_xlfn.XLOOKUP($A1473, Reliance!A:A, Reliance!B:B, "")</f>
        <v>1538.8</v>
      </c>
      <c r="D1473" s="4">
        <f>_xlfn.XLOOKUP($A1473, HDFC!A:A, HDFC!B:B, "")</f>
        <v>1000.5</v>
      </c>
      <c r="E1473" s="4">
        <f>_xlfn.XLOOKUP($A1473, ITC!A:A, ITC!B:B, "")</f>
        <v>400.5</v>
      </c>
      <c r="F1473" s="4">
        <f>_xlfn.XLOOKUP($A1473, TCS!A:A, TCS!B:B, "")</f>
        <v>3180</v>
      </c>
      <c r="G1473" s="4">
        <f>_xlfn.XLOOKUP($A1473, Infosys!A:A, Infosys!B:B,"")</f>
        <v>1578.7</v>
      </c>
      <c r="H1473" s="4">
        <f>_xlfn.XLOOKUP($A1473, 'L &amp; T'!A:A, 'L &amp; T'!B:B, "")</f>
        <v>3988</v>
      </c>
    </row>
    <row r="1474" spans="1:8" x14ac:dyDescent="0.3">
      <c r="A1474" s="1">
        <v>45995</v>
      </c>
      <c r="B1474" s="4">
        <f>_xlfn.XLOOKUP($A1474, 'Nifty 50'!A:A, 'Nifty 50'!B:B, "")</f>
        <v>26033.75</v>
      </c>
      <c r="C1474" s="4">
        <f>_xlfn.XLOOKUP($A1474, Reliance!A:A, Reliance!B:B, "")</f>
        <v>1535.6</v>
      </c>
      <c r="D1474" s="4">
        <f>_xlfn.XLOOKUP($A1474, HDFC!A:A, HDFC!B:B, "")</f>
        <v>997.2</v>
      </c>
      <c r="E1474" s="4">
        <f>_xlfn.XLOOKUP($A1474, ITC!A:A, ITC!B:B, "")</f>
        <v>403.05</v>
      </c>
      <c r="F1474" s="4">
        <f>_xlfn.XLOOKUP($A1474, TCS!A:A, TCS!B:B, "")</f>
        <v>3229.2</v>
      </c>
      <c r="G1474" s="4">
        <f>_xlfn.XLOOKUP($A1474, Infosys!A:A, Infosys!B:B,"")</f>
        <v>1597.6</v>
      </c>
      <c r="H1474" s="4">
        <f>_xlfn.XLOOKUP($A1474, 'L &amp; T'!A:A, 'L &amp; T'!B:B, "")</f>
        <v>3983.6</v>
      </c>
    </row>
    <row r="1475" spans="1:8" x14ac:dyDescent="0.3">
      <c r="A1475" s="1">
        <v>45996</v>
      </c>
      <c r="B1475" s="4">
        <f>_xlfn.XLOOKUP($A1475, 'Nifty 50'!A:A, 'Nifty 50'!B:B, "")</f>
        <v>26186.45</v>
      </c>
      <c r="C1475" s="4">
        <f>_xlfn.XLOOKUP($A1475, Reliance!A:A, Reliance!B:B, "")</f>
        <v>1540.6</v>
      </c>
      <c r="D1475" s="4">
        <f>_xlfn.XLOOKUP($A1475, HDFC!A:A, HDFC!B:B, "")</f>
        <v>1003.3</v>
      </c>
      <c r="E1475" s="4">
        <f>_xlfn.XLOOKUP($A1475, ITC!A:A, ITC!B:B, "")</f>
        <v>404.95</v>
      </c>
      <c r="F1475" s="4">
        <f>_xlfn.XLOOKUP($A1475, TCS!A:A, TCS!B:B, "")</f>
        <v>3238.2</v>
      </c>
      <c r="G1475" s="4">
        <f>_xlfn.XLOOKUP($A1475, Infosys!A:A, Infosys!B:B,"")</f>
        <v>1616.2</v>
      </c>
      <c r="H1475" s="4">
        <f>_xlfn.XLOOKUP($A1475, 'L &amp; T'!A:A, 'L &amp; T'!B:B, "")</f>
        <v>4038.2</v>
      </c>
    </row>
    <row r="1476" spans="1:8" x14ac:dyDescent="0.3">
      <c r="A1476" s="1">
        <v>45999</v>
      </c>
      <c r="B1476" s="4">
        <f>_xlfn.XLOOKUP($A1476, 'Nifty 50'!A:A, 'Nifty 50'!B:B, "")</f>
        <v>25960.55</v>
      </c>
      <c r="C1476" s="4">
        <f>_xlfn.XLOOKUP($A1476, Reliance!A:A, Reliance!B:B, "")</f>
        <v>1543</v>
      </c>
      <c r="D1476" s="4">
        <f>_xlfn.XLOOKUP($A1476, HDFC!A:A, HDFC!B:B, "")</f>
        <v>1003.1</v>
      </c>
      <c r="E1476" s="4">
        <f>_xlfn.XLOOKUP($A1476, ITC!A:A, ITC!B:B, "")</f>
        <v>402.3</v>
      </c>
      <c r="F1476" s="4">
        <f>_xlfn.XLOOKUP($A1476, TCS!A:A, TCS!B:B, "")</f>
        <v>3236.5</v>
      </c>
      <c r="G1476" s="4">
        <f>_xlfn.XLOOKUP($A1476, Infosys!A:A, Infosys!B:B,"")</f>
        <v>1610.8</v>
      </c>
      <c r="H1476" s="4">
        <f>_xlfn.XLOOKUP($A1476, 'L &amp; T'!A:A, 'L &amp; T'!B:B, "")</f>
        <v>3996.7</v>
      </c>
    </row>
    <row r="1477" spans="1:8" x14ac:dyDescent="0.3">
      <c r="A1477" s="1">
        <v>46000</v>
      </c>
      <c r="B1477" s="4">
        <f>_xlfn.XLOOKUP($A1477, 'Nifty 50'!A:A, 'Nifty 50'!B:B, "")</f>
        <v>25839.65</v>
      </c>
      <c r="C1477" s="4">
        <f>_xlfn.XLOOKUP($A1477, Reliance!A:A, Reliance!B:B, "")</f>
        <v>1529.4</v>
      </c>
      <c r="D1477" s="4">
        <f>_xlfn.XLOOKUP($A1477, HDFC!A:A, HDFC!B:B, "")</f>
        <v>997.1</v>
      </c>
      <c r="E1477" s="4">
        <f>_xlfn.XLOOKUP($A1477, ITC!A:A, ITC!B:B, "")</f>
        <v>401.05</v>
      </c>
      <c r="F1477" s="4">
        <f>_xlfn.XLOOKUP($A1477, TCS!A:A, TCS!B:B, "")</f>
        <v>3208.3</v>
      </c>
      <c r="G1477" s="4">
        <f>_xlfn.XLOOKUP($A1477, Infosys!A:A, Infosys!B:B,"")</f>
        <v>1599</v>
      </c>
      <c r="H1477" s="4">
        <f>_xlfn.XLOOKUP($A1477, 'L &amp; T'!A:A, 'L &amp; T'!B:B, "")</f>
        <v>3997.5</v>
      </c>
    </row>
    <row r="1478" spans="1:8" x14ac:dyDescent="0.3">
      <c r="A1478" s="1">
        <v>46001</v>
      </c>
      <c r="B1478" s="4">
        <f>_xlfn.XLOOKUP($A1478, 'Nifty 50'!A:A, 'Nifty 50'!B:B, "")</f>
        <v>25758</v>
      </c>
      <c r="C1478" s="4">
        <f>_xlfn.XLOOKUP($A1478, Reliance!A:A, Reliance!B:B, "")</f>
        <v>1536.9</v>
      </c>
      <c r="D1478" s="4">
        <f>_xlfn.XLOOKUP($A1478, HDFC!A:A, HDFC!B:B, "")</f>
        <v>989.8</v>
      </c>
      <c r="E1478" s="4">
        <f>_xlfn.XLOOKUP($A1478, ITC!A:A, ITC!B:B, "")</f>
        <v>403.15</v>
      </c>
      <c r="F1478" s="4">
        <f>_xlfn.XLOOKUP($A1478, TCS!A:A, TCS!B:B, "")</f>
        <v>3189.2</v>
      </c>
      <c r="G1478" s="4">
        <f>_xlfn.XLOOKUP($A1478, Infosys!A:A, Infosys!B:B,"")</f>
        <v>1584.8</v>
      </c>
      <c r="H1478" s="4">
        <f>_xlfn.XLOOKUP($A1478, 'L &amp; T'!A:A, 'L &amp; T'!B:B, "")</f>
        <v>3991.3</v>
      </c>
    </row>
    <row r="1479" spans="1:8" x14ac:dyDescent="0.3">
      <c r="A1479" s="1">
        <v>46002</v>
      </c>
      <c r="B1479" s="4">
        <f>_xlfn.XLOOKUP($A1479, 'Nifty 50'!A:A, 'Nifty 50'!B:B, "")</f>
        <v>25898.55</v>
      </c>
      <c r="C1479" s="4">
        <f>_xlfn.XLOOKUP($A1479, Reliance!A:A, Reliance!B:B, "")</f>
        <v>1545</v>
      </c>
      <c r="D1479" s="4">
        <f>_xlfn.XLOOKUP($A1479, HDFC!A:A, HDFC!B:B, "")</f>
        <v>1000.3</v>
      </c>
      <c r="E1479" s="4">
        <f>_xlfn.XLOOKUP($A1479, ITC!A:A, ITC!B:B, "")</f>
        <v>402.9</v>
      </c>
      <c r="F1479" s="4">
        <f>_xlfn.XLOOKUP($A1479, TCS!A:A, TCS!B:B, "")</f>
        <v>3191.9</v>
      </c>
      <c r="G1479" s="4">
        <f>_xlfn.XLOOKUP($A1479, Infosys!A:A, Infosys!B:B,"")</f>
        <v>1598</v>
      </c>
      <c r="H1479" s="4">
        <f>_xlfn.XLOOKUP($A1479, 'L &amp; T'!A:A, 'L &amp; T'!B:B, "")</f>
        <v>4003.9</v>
      </c>
    </row>
    <row r="1480" spans="1:8" x14ac:dyDescent="0.3">
      <c r="A1480" s="1">
        <v>46003</v>
      </c>
      <c r="B1480" s="4">
        <f>_xlfn.XLOOKUP($A1480, 'Nifty 50'!A:A, 'Nifty 50'!B:B, "")</f>
        <v>26046.95</v>
      </c>
      <c r="C1480" s="4">
        <f>_xlfn.XLOOKUP($A1480, Reliance!A:A, Reliance!B:B, "")</f>
        <v>1556.5</v>
      </c>
      <c r="D1480" s="4">
        <f>_xlfn.XLOOKUP($A1480, HDFC!A:A, HDFC!B:B, "")</f>
        <v>1001.5</v>
      </c>
      <c r="E1480" s="4">
        <f>_xlfn.XLOOKUP($A1480, ITC!A:A, ITC!B:B, "")</f>
        <v>400.1</v>
      </c>
      <c r="F1480" s="4">
        <f>_xlfn.XLOOKUP($A1480, TCS!A:A, TCS!B:B, "")</f>
        <v>3220.5</v>
      </c>
      <c r="G1480" s="4">
        <f>_xlfn.XLOOKUP($A1480, Infosys!A:A, Infosys!B:B,"")</f>
        <v>1598.2</v>
      </c>
      <c r="H1480" s="4">
        <f>_xlfn.XLOOKUP($A1480, 'L &amp; T'!A:A, 'L &amp; T'!B:B, "")</f>
        <v>4074.1</v>
      </c>
    </row>
    <row r="1481" spans="1:8" x14ac:dyDescent="0.3">
      <c r="A1481" s="1">
        <v>46006</v>
      </c>
      <c r="B1481" s="4">
        <f>_xlfn.XLOOKUP($A1481, 'Nifty 50'!A:A, 'Nifty 50'!B:B, "")</f>
        <v>26027.3</v>
      </c>
      <c r="C1481" s="4">
        <f>_xlfn.XLOOKUP($A1481, Reliance!A:A, Reliance!B:B, "")</f>
        <v>1556.2</v>
      </c>
      <c r="D1481" s="4">
        <f>_xlfn.XLOOKUP($A1481, HDFC!A:A, HDFC!B:B, "")</f>
        <v>996.1</v>
      </c>
      <c r="E1481" s="4">
        <f>_xlfn.XLOOKUP($A1481, ITC!A:A, ITC!B:B, "")</f>
        <v>402.3</v>
      </c>
      <c r="F1481" s="4">
        <f>_xlfn.XLOOKUP($A1481, TCS!A:A, TCS!B:B, "")</f>
        <v>3230.2</v>
      </c>
      <c r="G1481" s="4">
        <f>_xlfn.XLOOKUP($A1481, Infosys!A:A, Infosys!B:B,"")</f>
        <v>1606.8</v>
      </c>
      <c r="H1481" s="4">
        <f>_xlfn.XLOOKUP($A1481, 'L &amp; T'!A:A, 'L &amp; T'!B:B, "")</f>
        <v>4092.3</v>
      </c>
    </row>
    <row r="1482" spans="1:8" x14ac:dyDescent="0.3">
      <c r="A1482" s="1">
        <v>46007</v>
      </c>
      <c r="B1482" s="4">
        <f>_xlfn.XLOOKUP($A1482, 'Nifty 50'!A:A, 'Nifty 50'!B:B, "")</f>
        <v>25860.1</v>
      </c>
      <c r="C1482" s="4">
        <f>_xlfn.XLOOKUP($A1482, Reliance!A:A, Reliance!B:B, "")</f>
        <v>1542.3</v>
      </c>
      <c r="D1482" s="4">
        <f>_xlfn.XLOOKUP($A1482, HDFC!A:A, HDFC!B:B, "")</f>
        <v>994.3</v>
      </c>
      <c r="E1482" s="4">
        <f>_xlfn.XLOOKUP($A1482, ITC!A:A, ITC!B:B, "")</f>
        <v>401.7</v>
      </c>
      <c r="F1482" s="4">
        <f>_xlfn.XLOOKUP($A1482, TCS!A:A, TCS!B:B, "")</f>
        <v>3205.1</v>
      </c>
      <c r="G1482" s="4">
        <f>_xlfn.XLOOKUP($A1482, Infosys!A:A, Infosys!B:B,"")</f>
        <v>1592.9</v>
      </c>
      <c r="H1482" s="4">
        <f>_xlfn.XLOOKUP($A1482, 'L &amp; T'!A:A, 'L &amp; T'!B:B, "")</f>
        <v>4063.8</v>
      </c>
    </row>
    <row r="1483" spans="1:8" x14ac:dyDescent="0.3">
      <c r="A1483" s="1">
        <v>46008</v>
      </c>
      <c r="B1483" s="4">
        <f>_xlfn.XLOOKUP($A1483, 'Nifty 50'!A:A, 'Nifty 50'!B:B, "")</f>
        <v>25818.55</v>
      </c>
      <c r="C1483" s="4">
        <f>_xlfn.XLOOKUP($A1483, Reliance!A:A, Reliance!B:B, "")</f>
        <v>1544.4</v>
      </c>
      <c r="D1483" s="4">
        <f>_xlfn.XLOOKUP($A1483, HDFC!A:A, HDFC!B:B, "")</f>
        <v>984</v>
      </c>
      <c r="E1483" s="4">
        <f>_xlfn.XLOOKUP($A1483, ITC!A:A, ITC!B:B, "")</f>
        <v>399.8</v>
      </c>
      <c r="F1483" s="4">
        <f>_xlfn.XLOOKUP($A1483, TCS!A:A, TCS!B:B, "")</f>
        <v>3217.8</v>
      </c>
      <c r="G1483" s="4">
        <f>_xlfn.XLOOKUP($A1483, Infosys!A:A, Infosys!B:B,"")</f>
        <v>1602</v>
      </c>
      <c r="H1483" s="4">
        <f>_xlfn.XLOOKUP($A1483, 'L &amp; T'!A:A, 'L &amp; T'!B:B, "")</f>
        <v>4062.4</v>
      </c>
    </row>
    <row r="1484" spans="1:8" x14ac:dyDescent="0.3">
      <c r="A1484" s="1">
        <v>46009</v>
      </c>
      <c r="B1484" s="4">
        <f>_xlfn.XLOOKUP($A1484, 'Nifty 50'!A:A, 'Nifty 50'!B:B, "")</f>
        <v>25815.55</v>
      </c>
      <c r="C1484" s="4">
        <f>_xlfn.XLOOKUP($A1484, Reliance!A:A, Reliance!B:B, "")</f>
        <v>1544.4</v>
      </c>
      <c r="D1484" s="4">
        <f>_xlfn.XLOOKUP($A1484, HDFC!A:A, HDFC!B:B, "")</f>
        <v>979.7</v>
      </c>
      <c r="E1484" s="4">
        <f>_xlfn.XLOOKUP($A1484, ITC!A:A, ITC!B:B, "")</f>
        <v>400.4</v>
      </c>
      <c r="F1484" s="4">
        <f>_xlfn.XLOOKUP($A1484, TCS!A:A, TCS!B:B, "")</f>
        <v>3280.8</v>
      </c>
      <c r="G1484" s="4">
        <f>_xlfn.XLOOKUP($A1484, Infosys!A:A, Infosys!B:B,"")</f>
        <v>1626.8</v>
      </c>
      <c r="H1484" s="4">
        <f>_xlfn.XLOOKUP($A1484, 'L &amp; T'!A:A, 'L &amp; T'!B:B, "")</f>
        <v>4031.1</v>
      </c>
    </row>
    <row r="1485" spans="1:8" x14ac:dyDescent="0.3">
      <c r="A1485" s="1">
        <v>46010</v>
      </c>
      <c r="B1485" s="4">
        <f>_xlfn.XLOOKUP($A1485, 'Nifty 50'!A:A, 'Nifty 50'!B:B, "")</f>
        <v>25966.400000000001</v>
      </c>
      <c r="C1485" s="4">
        <f>_xlfn.XLOOKUP($A1485, Reliance!A:A, Reliance!B:B, "")</f>
        <v>1565.1</v>
      </c>
      <c r="D1485" s="4">
        <f>_xlfn.XLOOKUP($A1485, HDFC!A:A, HDFC!B:B, "")</f>
        <v>985.5</v>
      </c>
      <c r="E1485" s="4">
        <f>_xlfn.XLOOKUP($A1485, ITC!A:A, ITC!B:B, "")</f>
        <v>401.05</v>
      </c>
      <c r="F1485" s="4">
        <f>_xlfn.XLOOKUP($A1485, TCS!A:A, TCS!B:B, "")</f>
        <v>3282</v>
      </c>
      <c r="G1485" s="4">
        <f>_xlfn.XLOOKUP($A1485, Infosys!A:A, Infosys!B:B,"")</f>
        <v>1638.7</v>
      </c>
      <c r="H1485" s="4">
        <f>_xlfn.XLOOKUP($A1485, 'L &amp; T'!A:A, 'L &amp; T'!B:B, "")</f>
        <v>4073.5</v>
      </c>
    </row>
    <row r="1486" spans="1:8" x14ac:dyDescent="0.3">
      <c r="A1486" s="1">
        <v>46013</v>
      </c>
      <c r="B1486" s="4">
        <f>_xlfn.XLOOKUP($A1486, 'Nifty 50'!A:A, 'Nifty 50'!B:B, "")</f>
        <v>26172.400000000001</v>
      </c>
      <c r="C1486" s="4">
        <f>_xlfn.XLOOKUP($A1486, Reliance!A:A, Reliance!B:B, "")</f>
        <v>1575.4</v>
      </c>
      <c r="D1486" s="4">
        <f>_xlfn.XLOOKUP($A1486, HDFC!A:A, HDFC!B:B, "")</f>
        <v>987.7</v>
      </c>
      <c r="E1486" s="4">
        <f>_xlfn.XLOOKUP($A1486, ITC!A:A, ITC!B:B, "")</f>
        <v>402.7</v>
      </c>
      <c r="F1486" s="4">
        <f>_xlfn.XLOOKUP($A1486, TCS!A:A, TCS!B:B, "")</f>
        <v>3324.9</v>
      </c>
      <c r="G1486" s="4">
        <f>_xlfn.XLOOKUP($A1486, Infosys!A:A, Infosys!B:B,"")</f>
        <v>1689.6</v>
      </c>
      <c r="H1486" s="4">
        <f>_xlfn.XLOOKUP($A1486, 'L &amp; T'!A:A, 'L &amp; T'!B:B, "")</f>
        <v>4072.4</v>
      </c>
    </row>
    <row r="1487" spans="1:8" x14ac:dyDescent="0.3">
      <c r="A1487" s="1">
        <v>46014</v>
      </c>
      <c r="B1487" s="4">
        <f>_xlfn.XLOOKUP($A1487, 'Nifty 50'!A:A, 'Nifty 50'!B:B, "")</f>
        <v>26177.15</v>
      </c>
      <c r="C1487" s="4">
        <f>_xlfn.XLOOKUP($A1487, Reliance!A:A, Reliance!B:B, "")</f>
        <v>1570.7</v>
      </c>
      <c r="D1487" s="4">
        <f>_xlfn.XLOOKUP($A1487, HDFC!A:A, HDFC!B:B, "")</f>
        <v>996.6</v>
      </c>
      <c r="E1487" s="4">
        <f>_xlfn.XLOOKUP($A1487, ITC!A:A, ITC!B:B, "")</f>
        <v>407.35</v>
      </c>
      <c r="F1487" s="4">
        <f>_xlfn.XLOOKUP($A1487, TCS!A:A, TCS!B:B, "")</f>
        <v>3310</v>
      </c>
      <c r="G1487" s="4">
        <f>_xlfn.XLOOKUP($A1487, Infosys!A:A, Infosys!B:B,"")</f>
        <v>1668.3</v>
      </c>
      <c r="H1487" s="4">
        <f>_xlfn.XLOOKUP($A1487, 'L &amp; T'!A:A, 'L &amp; T'!B:B, "")</f>
        <v>4058.8</v>
      </c>
    </row>
    <row r="1488" spans="1:8" x14ac:dyDescent="0.3">
      <c r="A1488" s="1">
        <v>46015</v>
      </c>
      <c r="B1488" s="4">
        <f>_xlfn.XLOOKUP($A1488, 'Nifty 50'!A:A, 'Nifty 50'!B:B, "")</f>
        <v>26142.1</v>
      </c>
      <c r="C1488" s="4">
        <f>_xlfn.XLOOKUP($A1488, Reliance!A:A, Reliance!B:B, "")</f>
        <v>1558.2</v>
      </c>
      <c r="D1488" s="4">
        <f>_xlfn.XLOOKUP($A1488, HDFC!A:A, HDFC!B:B, "")</f>
        <v>997.2</v>
      </c>
      <c r="E1488" s="4">
        <f>_xlfn.XLOOKUP($A1488, ITC!A:A, ITC!B:B, "")</f>
        <v>406.6</v>
      </c>
      <c r="F1488" s="4">
        <f>_xlfn.XLOOKUP($A1488, TCS!A:A, TCS!B:B, "")</f>
        <v>3319</v>
      </c>
      <c r="G1488" s="4">
        <f>_xlfn.XLOOKUP($A1488, Infosys!A:A, Infosys!B:B,"")</f>
        <v>1663.4</v>
      </c>
      <c r="H1488" s="4">
        <f>_xlfn.XLOOKUP($A1488, 'L &amp; T'!A:A, 'L &amp; T'!B:B, "")</f>
        <v>4053.6</v>
      </c>
    </row>
    <row r="1489" spans="1:8" x14ac:dyDescent="0.3">
      <c r="A1489" s="1">
        <v>46017</v>
      </c>
      <c r="B1489" s="4">
        <f>_xlfn.XLOOKUP($A1489, 'Nifty 50'!A:A, 'Nifty 50'!B:B, "")</f>
        <v>26042.3</v>
      </c>
      <c r="C1489" s="4">
        <f>_xlfn.XLOOKUP($A1489, Reliance!A:A, Reliance!B:B, "")</f>
        <v>1559.2</v>
      </c>
      <c r="D1489" s="4">
        <f>_xlfn.XLOOKUP($A1489, HDFC!A:A, HDFC!B:B, "")</f>
        <v>992.1</v>
      </c>
      <c r="E1489" s="4">
        <f>_xlfn.XLOOKUP($A1489, ITC!A:A, ITC!B:B, "")</f>
        <v>404.15</v>
      </c>
      <c r="F1489" s="4">
        <f>_xlfn.XLOOKUP($A1489, TCS!A:A, TCS!B:B, "")</f>
        <v>3280</v>
      </c>
      <c r="G1489" s="4">
        <f>_xlfn.XLOOKUP($A1489, Infosys!A:A, Infosys!B:B,"")</f>
        <v>1656.1</v>
      </c>
      <c r="H1489" s="4">
        <f>_xlfn.XLOOKUP($A1489, 'L &amp; T'!A:A, 'L &amp; T'!B:B, "")</f>
        <v>4047.3</v>
      </c>
    </row>
    <row r="1490" spans="1:8" x14ac:dyDescent="0.3">
      <c r="A1490" s="1">
        <v>46020</v>
      </c>
      <c r="B1490" s="4">
        <f>_xlfn.XLOOKUP($A1490, 'Nifty 50'!A:A, 'Nifty 50'!B:B, "")</f>
        <v>25942.1</v>
      </c>
      <c r="C1490" s="4">
        <f>_xlfn.XLOOKUP($A1490, Reliance!A:A, Reliance!B:B, "")</f>
        <v>1545.6</v>
      </c>
      <c r="D1490" s="4">
        <f>_xlfn.XLOOKUP($A1490, HDFC!A:A, HDFC!B:B, "")</f>
        <v>991.7</v>
      </c>
      <c r="E1490" s="4">
        <f>_xlfn.XLOOKUP($A1490, ITC!A:A, ITC!B:B, "")</f>
        <v>402.6</v>
      </c>
      <c r="F1490" s="4">
        <f>_xlfn.XLOOKUP($A1490, TCS!A:A, TCS!B:B, "")</f>
        <v>3251.5</v>
      </c>
      <c r="G1490" s="4">
        <f>_xlfn.XLOOKUP($A1490, Infosys!A:A, Infosys!B:B,"")</f>
        <v>1644.7</v>
      </c>
      <c r="H1490" s="4">
        <f>_xlfn.XLOOKUP($A1490, 'L &amp; T'!A:A, 'L &amp; T'!B:B, "")</f>
        <v>4038.7</v>
      </c>
    </row>
    <row r="1491" spans="1:8" x14ac:dyDescent="0.3">
      <c r="A1491" s="1">
        <v>46021</v>
      </c>
      <c r="B1491" s="4">
        <f>_xlfn.XLOOKUP($A1491, 'Nifty 50'!A:A, 'Nifty 50'!B:B, "")</f>
        <v>25938.85</v>
      </c>
      <c r="C1491" s="4">
        <f>_xlfn.XLOOKUP($A1491, Reliance!A:A, Reliance!B:B, "")</f>
        <v>1539.8</v>
      </c>
      <c r="D1491" s="4">
        <f>_xlfn.XLOOKUP($A1491, HDFC!A:A, HDFC!B:B, "")</f>
        <v>990.9</v>
      </c>
      <c r="E1491" s="4">
        <f>_xlfn.XLOOKUP($A1491, ITC!A:A, ITC!B:B, "")</f>
        <v>400.6</v>
      </c>
      <c r="F1491" s="4">
        <f>_xlfn.XLOOKUP($A1491, TCS!A:A, TCS!B:B, "")</f>
        <v>3246.8</v>
      </c>
      <c r="G1491" s="4">
        <f>_xlfn.XLOOKUP($A1491, Infosys!A:A, Infosys!B:B,"")</f>
        <v>1621.6</v>
      </c>
      <c r="H1491" s="4">
        <f>_xlfn.XLOOKUP($A1491, 'L &amp; T'!A:A, 'L &amp; T'!B:B, "")</f>
        <v>4052</v>
      </c>
    </row>
    <row r="1492" spans="1:8" x14ac:dyDescent="0.3">
      <c r="A1492" s="1">
        <v>46022</v>
      </c>
      <c r="B1492" s="4">
        <f>_xlfn.XLOOKUP($A1492, 'Nifty 50'!A:A, 'Nifty 50'!B:B, "")</f>
        <v>26129.599999999999</v>
      </c>
      <c r="C1492" s="4">
        <f>_xlfn.XLOOKUP($A1492, Reliance!A:A, Reliance!B:B, "")</f>
        <v>1570.4</v>
      </c>
      <c r="D1492" s="4">
        <f>_xlfn.XLOOKUP($A1492, HDFC!A:A, HDFC!B:B, "")</f>
        <v>991.2</v>
      </c>
      <c r="E1492" s="4">
        <f>_xlfn.XLOOKUP($A1492, ITC!A:A, ITC!B:B, "")</f>
        <v>403</v>
      </c>
      <c r="F1492" s="4">
        <f>_xlfn.XLOOKUP($A1492, TCS!A:A, TCS!B:B, "")</f>
        <v>3206.2</v>
      </c>
      <c r="G1492" s="4">
        <f>_xlfn.XLOOKUP($A1492, Infosys!A:A, Infosys!B:B,"")</f>
        <v>1615.4</v>
      </c>
      <c r="H1492" s="4">
        <f>_xlfn.XLOOKUP($A1492, 'L &amp; T'!A:A, 'L &amp; T'!B:B, "")</f>
        <v>4083.5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C56F-1355-4F03-94D4-285053703BBF}">
  <dimension ref="A1:B1493"/>
  <sheetViews>
    <sheetView workbookViewId="0">
      <selection sqref="A1:B1048576"/>
    </sheetView>
  </sheetViews>
  <sheetFormatPr defaultRowHeight="14.4" x14ac:dyDescent="0.3"/>
  <cols>
    <col min="1" max="1" width="10.33203125" bestFit="1" customWidth="1"/>
    <col min="2" max="2" width="9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>
        <v>12182.5</v>
      </c>
    </row>
    <row r="3" spans="1:2" x14ac:dyDescent="0.3">
      <c r="A3" s="1">
        <v>43832</v>
      </c>
      <c r="B3">
        <v>12282.2</v>
      </c>
    </row>
    <row r="4" spans="1:2" x14ac:dyDescent="0.3">
      <c r="A4" s="1">
        <v>43833</v>
      </c>
      <c r="B4">
        <v>12226.65</v>
      </c>
    </row>
    <row r="5" spans="1:2" x14ac:dyDescent="0.3">
      <c r="A5" s="1">
        <v>43836</v>
      </c>
      <c r="B5">
        <v>11993.05</v>
      </c>
    </row>
    <row r="6" spans="1:2" x14ac:dyDescent="0.3">
      <c r="A6" s="1">
        <v>43837</v>
      </c>
      <c r="B6">
        <v>12052.95</v>
      </c>
    </row>
    <row r="7" spans="1:2" x14ac:dyDescent="0.3">
      <c r="A7" s="1">
        <v>43838</v>
      </c>
      <c r="B7">
        <v>12025.35</v>
      </c>
    </row>
    <row r="8" spans="1:2" x14ac:dyDescent="0.3">
      <c r="A8" s="1">
        <v>43839</v>
      </c>
      <c r="B8">
        <v>12215.9</v>
      </c>
    </row>
    <row r="9" spans="1:2" x14ac:dyDescent="0.3">
      <c r="A9" s="1">
        <v>43840</v>
      </c>
      <c r="B9">
        <v>12256.8</v>
      </c>
    </row>
    <row r="10" spans="1:2" x14ac:dyDescent="0.3">
      <c r="A10" s="1">
        <v>43843</v>
      </c>
      <c r="B10">
        <v>12329.55</v>
      </c>
    </row>
    <row r="11" spans="1:2" x14ac:dyDescent="0.3">
      <c r="A11" s="1">
        <v>43844</v>
      </c>
      <c r="B11">
        <v>12362.3</v>
      </c>
    </row>
    <row r="12" spans="1:2" x14ac:dyDescent="0.3">
      <c r="A12" s="1">
        <v>43845</v>
      </c>
      <c r="B12">
        <v>12343.3</v>
      </c>
    </row>
    <row r="13" spans="1:2" x14ac:dyDescent="0.3">
      <c r="A13" s="1">
        <v>43846</v>
      </c>
      <c r="B13">
        <v>12355.5</v>
      </c>
    </row>
    <row r="14" spans="1:2" x14ac:dyDescent="0.3">
      <c r="A14" s="1">
        <v>43847</v>
      </c>
      <c r="B14">
        <v>12352.35</v>
      </c>
    </row>
    <row r="15" spans="1:2" x14ac:dyDescent="0.3">
      <c r="A15" s="1">
        <v>43850</v>
      </c>
      <c r="B15">
        <v>12224.55</v>
      </c>
    </row>
    <row r="16" spans="1:2" x14ac:dyDescent="0.3">
      <c r="A16" s="1">
        <v>43851</v>
      </c>
      <c r="B16">
        <v>12169.85</v>
      </c>
    </row>
    <row r="17" spans="1:2" x14ac:dyDescent="0.3">
      <c r="A17" s="1">
        <v>43852</v>
      </c>
      <c r="B17">
        <v>12106.9</v>
      </c>
    </row>
    <row r="18" spans="1:2" x14ac:dyDescent="0.3">
      <c r="A18" s="1">
        <v>43853</v>
      </c>
      <c r="B18">
        <v>12180.35</v>
      </c>
    </row>
    <row r="19" spans="1:2" x14ac:dyDescent="0.3">
      <c r="A19" s="1">
        <v>43854</v>
      </c>
      <c r="B19">
        <v>12248.25</v>
      </c>
    </row>
    <row r="20" spans="1:2" x14ac:dyDescent="0.3">
      <c r="A20" s="1">
        <v>43857</v>
      </c>
      <c r="B20">
        <v>12119</v>
      </c>
    </row>
    <row r="21" spans="1:2" x14ac:dyDescent="0.3">
      <c r="A21" s="1">
        <v>43858</v>
      </c>
      <c r="B21">
        <v>12055.8</v>
      </c>
    </row>
    <row r="22" spans="1:2" x14ac:dyDescent="0.3">
      <c r="A22" s="1">
        <v>43859</v>
      </c>
      <c r="B22">
        <v>12129.5</v>
      </c>
    </row>
    <row r="23" spans="1:2" x14ac:dyDescent="0.3">
      <c r="A23" s="1">
        <v>43860</v>
      </c>
      <c r="B23">
        <v>12035.8</v>
      </c>
    </row>
    <row r="24" spans="1:2" x14ac:dyDescent="0.3">
      <c r="A24" s="1">
        <v>43861</v>
      </c>
      <c r="B24">
        <v>11962.1</v>
      </c>
    </row>
    <row r="25" spans="1:2" x14ac:dyDescent="0.3">
      <c r="A25" s="1">
        <v>43862</v>
      </c>
      <c r="B25">
        <v>11661.85</v>
      </c>
    </row>
    <row r="26" spans="1:2" x14ac:dyDescent="0.3">
      <c r="A26" s="1">
        <v>43864</v>
      </c>
      <c r="B26">
        <v>11707.9</v>
      </c>
    </row>
    <row r="27" spans="1:2" x14ac:dyDescent="0.3">
      <c r="A27" s="1">
        <v>43865</v>
      </c>
      <c r="B27">
        <v>11979.65</v>
      </c>
    </row>
    <row r="28" spans="1:2" x14ac:dyDescent="0.3">
      <c r="A28" s="1">
        <v>43866</v>
      </c>
      <c r="B28">
        <v>12089.15</v>
      </c>
    </row>
    <row r="29" spans="1:2" x14ac:dyDescent="0.3">
      <c r="A29" s="1">
        <v>43867</v>
      </c>
      <c r="B29">
        <v>12137.95</v>
      </c>
    </row>
    <row r="30" spans="1:2" x14ac:dyDescent="0.3">
      <c r="A30" s="1">
        <v>43868</v>
      </c>
      <c r="B30">
        <v>12098.35</v>
      </c>
    </row>
    <row r="31" spans="1:2" x14ac:dyDescent="0.3">
      <c r="A31" s="1">
        <v>43871</v>
      </c>
      <c r="B31">
        <v>12031.5</v>
      </c>
    </row>
    <row r="32" spans="1:2" x14ac:dyDescent="0.3">
      <c r="A32" s="1">
        <v>43872</v>
      </c>
      <c r="B32">
        <v>12107.9</v>
      </c>
    </row>
    <row r="33" spans="1:2" x14ac:dyDescent="0.3">
      <c r="A33" s="1">
        <v>43873</v>
      </c>
      <c r="B33">
        <v>12201.2</v>
      </c>
    </row>
    <row r="34" spans="1:2" x14ac:dyDescent="0.3">
      <c r="A34" s="1">
        <v>43874</v>
      </c>
      <c r="B34">
        <v>12174.65</v>
      </c>
    </row>
    <row r="35" spans="1:2" x14ac:dyDescent="0.3">
      <c r="A35" s="1">
        <v>43875</v>
      </c>
      <c r="B35">
        <v>12113.45</v>
      </c>
    </row>
    <row r="36" spans="1:2" x14ac:dyDescent="0.3">
      <c r="A36" s="1">
        <v>43878</v>
      </c>
      <c r="B36">
        <v>12045.8</v>
      </c>
    </row>
    <row r="37" spans="1:2" x14ac:dyDescent="0.3">
      <c r="A37" s="1">
        <v>43879</v>
      </c>
      <c r="B37">
        <v>11992.5</v>
      </c>
    </row>
    <row r="38" spans="1:2" x14ac:dyDescent="0.3">
      <c r="A38" s="1">
        <v>43880</v>
      </c>
      <c r="B38">
        <v>12125.9</v>
      </c>
    </row>
    <row r="39" spans="1:2" x14ac:dyDescent="0.3">
      <c r="A39" s="1">
        <v>43881</v>
      </c>
      <c r="B39">
        <v>12080.85</v>
      </c>
    </row>
    <row r="40" spans="1:2" x14ac:dyDescent="0.3">
      <c r="A40" s="1">
        <v>43885</v>
      </c>
      <c r="B40">
        <v>11829.4</v>
      </c>
    </row>
    <row r="41" spans="1:2" x14ac:dyDescent="0.3">
      <c r="A41" s="1">
        <v>43886</v>
      </c>
      <c r="B41">
        <v>11797.9</v>
      </c>
    </row>
    <row r="42" spans="1:2" x14ac:dyDescent="0.3">
      <c r="A42" s="1">
        <v>43887</v>
      </c>
      <c r="B42">
        <v>11678.5</v>
      </c>
    </row>
    <row r="43" spans="1:2" x14ac:dyDescent="0.3">
      <c r="A43" s="1">
        <v>43888</v>
      </c>
      <c r="B43">
        <v>11633.3</v>
      </c>
    </row>
    <row r="44" spans="1:2" x14ac:dyDescent="0.3">
      <c r="A44" s="1">
        <v>43889</v>
      </c>
      <c r="B44">
        <v>11201.75</v>
      </c>
    </row>
    <row r="45" spans="1:2" x14ac:dyDescent="0.3">
      <c r="A45" s="1">
        <v>43892</v>
      </c>
      <c r="B45">
        <v>11132.75</v>
      </c>
    </row>
    <row r="46" spans="1:2" x14ac:dyDescent="0.3">
      <c r="A46" s="1">
        <v>43893</v>
      </c>
      <c r="B46">
        <v>11303.3</v>
      </c>
    </row>
    <row r="47" spans="1:2" x14ac:dyDescent="0.3">
      <c r="A47" s="1">
        <v>43894</v>
      </c>
      <c r="B47">
        <v>11251</v>
      </c>
    </row>
    <row r="48" spans="1:2" x14ac:dyDescent="0.3">
      <c r="A48" s="1">
        <v>43895</v>
      </c>
      <c r="B48">
        <v>11269</v>
      </c>
    </row>
    <row r="49" spans="1:2" x14ac:dyDescent="0.3">
      <c r="A49" s="1">
        <v>43896</v>
      </c>
      <c r="B49">
        <v>10989.45</v>
      </c>
    </row>
    <row r="50" spans="1:2" x14ac:dyDescent="0.3">
      <c r="A50" s="1">
        <v>43899</v>
      </c>
      <c r="B50">
        <v>10451.450000000001</v>
      </c>
    </row>
    <row r="51" spans="1:2" x14ac:dyDescent="0.3">
      <c r="A51" s="1">
        <v>43901</v>
      </c>
      <c r="B51">
        <v>10458.4</v>
      </c>
    </row>
    <row r="52" spans="1:2" x14ac:dyDescent="0.3">
      <c r="A52" s="1">
        <v>43902</v>
      </c>
      <c r="B52">
        <v>9590.15</v>
      </c>
    </row>
    <row r="53" spans="1:2" x14ac:dyDescent="0.3">
      <c r="A53" s="1">
        <v>43903</v>
      </c>
      <c r="B53">
        <v>9955.2000000000007</v>
      </c>
    </row>
    <row r="54" spans="1:2" x14ac:dyDescent="0.3">
      <c r="A54" s="1">
        <v>43906</v>
      </c>
      <c r="B54">
        <v>9197.4</v>
      </c>
    </row>
    <row r="55" spans="1:2" x14ac:dyDescent="0.3">
      <c r="A55" s="1">
        <v>43907</v>
      </c>
      <c r="B55">
        <v>8967.0499999999993</v>
      </c>
    </row>
    <row r="56" spans="1:2" x14ac:dyDescent="0.3">
      <c r="A56" s="1">
        <v>43908</v>
      </c>
      <c r="B56">
        <v>8468.7999999999993</v>
      </c>
    </row>
    <row r="57" spans="1:2" x14ac:dyDescent="0.3">
      <c r="A57" s="1">
        <v>43909</v>
      </c>
      <c r="B57">
        <v>8263.4500000000007</v>
      </c>
    </row>
    <row r="58" spans="1:2" x14ac:dyDescent="0.3">
      <c r="A58" s="1">
        <v>43910</v>
      </c>
      <c r="B58">
        <v>8745.4500000000007</v>
      </c>
    </row>
    <row r="59" spans="1:2" x14ac:dyDescent="0.3">
      <c r="A59" s="1">
        <v>43913</v>
      </c>
      <c r="B59">
        <v>7610.25</v>
      </c>
    </row>
    <row r="60" spans="1:2" x14ac:dyDescent="0.3">
      <c r="A60" s="1">
        <v>43914</v>
      </c>
      <c r="B60">
        <v>7801.05</v>
      </c>
    </row>
    <row r="61" spans="1:2" x14ac:dyDescent="0.3">
      <c r="A61" s="1">
        <v>43915</v>
      </c>
      <c r="B61">
        <v>8317.85</v>
      </c>
    </row>
    <row r="62" spans="1:2" x14ac:dyDescent="0.3">
      <c r="A62" s="1">
        <v>43916</v>
      </c>
      <c r="B62">
        <v>8641.4500000000007</v>
      </c>
    </row>
    <row r="63" spans="1:2" x14ac:dyDescent="0.3">
      <c r="A63" s="1">
        <v>43917</v>
      </c>
      <c r="B63">
        <v>8660.25</v>
      </c>
    </row>
    <row r="64" spans="1:2" x14ac:dyDescent="0.3">
      <c r="A64" s="1">
        <v>43920</v>
      </c>
      <c r="B64">
        <v>8281.1</v>
      </c>
    </row>
    <row r="65" spans="1:2" x14ac:dyDescent="0.3">
      <c r="A65" s="1">
        <v>43921</v>
      </c>
      <c r="B65">
        <v>8597.75</v>
      </c>
    </row>
    <row r="66" spans="1:2" x14ac:dyDescent="0.3">
      <c r="A66" s="1">
        <v>43922</v>
      </c>
      <c r="B66">
        <v>8253.7999999999993</v>
      </c>
    </row>
    <row r="67" spans="1:2" x14ac:dyDescent="0.3">
      <c r="A67" s="1">
        <v>43924</v>
      </c>
      <c r="B67">
        <v>8083.8</v>
      </c>
    </row>
    <row r="68" spans="1:2" x14ac:dyDescent="0.3">
      <c r="A68" s="1">
        <v>43928</v>
      </c>
      <c r="B68">
        <v>8792.2000000000007</v>
      </c>
    </row>
    <row r="69" spans="1:2" x14ac:dyDescent="0.3">
      <c r="A69" s="1">
        <v>43929</v>
      </c>
      <c r="B69">
        <v>8748.75</v>
      </c>
    </row>
    <row r="70" spans="1:2" x14ac:dyDescent="0.3">
      <c r="A70" s="1">
        <v>43930</v>
      </c>
      <c r="B70">
        <v>9111.9</v>
      </c>
    </row>
    <row r="71" spans="1:2" x14ac:dyDescent="0.3">
      <c r="A71" s="1">
        <v>43934</v>
      </c>
      <c r="B71">
        <v>8993.85</v>
      </c>
    </row>
    <row r="72" spans="1:2" x14ac:dyDescent="0.3">
      <c r="A72" s="1">
        <v>43936</v>
      </c>
      <c r="B72">
        <v>8925.2999999999993</v>
      </c>
    </row>
    <row r="73" spans="1:2" x14ac:dyDescent="0.3">
      <c r="A73" s="1">
        <v>43937</v>
      </c>
      <c r="B73">
        <v>8992.7999999999993</v>
      </c>
    </row>
    <row r="74" spans="1:2" x14ac:dyDescent="0.3">
      <c r="A74" s="1">
        <v>43938</v>
      </c>
      <c r="B74">
        <v>9266.75</v>
      </c>
    </row>
    <row r="75" spans="1:2" x14ac:dyDescent="0.3">
      <c r="A75" s="1">
        <v>43941</v>
      </c>
      <c r="B75">
        <v>9261.85</v>
      </c>
    </row>
    <row r="76" spans="1:2" x14ac:dyDescent="0.3">
      <c r="A76" s="1">
        <v>43942</v>
      </c>
      <c r="B76">
        <v>8981.4500000000007</v>
      </c>
    </row>
    <row r="77" spans="1:2" x14ac:dyDescent="0.3">
      <c r="A77" s="1">
        <v>43943</v>
      </c>
      <c r="B77">
        <v>9187.2999999999993</v>
      </c>
    </row>
    <row r="78" spans="1:2" x14ac:dyDescent="0.3">
      <c r="A78" s="1">
        <v>43944</v>
      </c>
      <c r="B78">
        <v>9313.9</v>
      </c>
    </row>
    <row r="79" spans="1:2" x14ac:dyDescent="0.3">
      <c r="A79" s="1">
        <v>43945</v>
      </c>
      <c r="B79">
        <v>9154.4</v>
      </c>
    </row>
    <row r="80" spans="1:2" x14ac:dyDescent="0.3">
      <c r="A80" s="1">
        <v>43948</v>
      </c>
      <c r="B80">
        <v>9282.2999999999993</v>
      </c>
    </row>
    <row r="81" spans="1:2" x14ac:dyDescent="0.3">
      <c r="A81" s="1">
        <v>43949</v>
      </c>
      <c r="B81">
        <v>9380.9</v>
      </c>
    </row>
    <row r="82" spans="1:2" x14ac:dyDescent="0.3">
      <c r="A82" s="1">
        <v>43950</v>
      </c>
      <c r="B82">
        <v>9553.35</v>
      </c>
    </row>
    <row r="83" spans="1:2" x14ac:dyDescent="0.3">
      <c r="A83" s="1">
        <v>43951</v>
      </c>
      <c r="B83">
        <v>9859.9</v>
      </c>
    </row>
    <row r="84" spans="1:2" x14ac:dyDescent="0.3">
      <c r="A84" s="1">
        <v>43955</v>
      </c>
      <c r="B84">
        <v>9293.5</v>
      </c>
    </row>
    <row r="85" spans="1:2" x14ac:dyDescent="0.3">
      <c r="A85" s="1">
        <v>43956</v>
      </c>
      <c r="B85">
        <v>9205.6</v>
      </c>
    </row>
    <row r="86" spans="1:2" x14ac:dyDescent="0.3">
      <c r="A86" s="1">
        <v>43957</v>
      </c>
      <c r="B86">
        <v>9270.9</v>
      </c>
    </row>
    <row r="87" spans="1:2" x14ac:dyDescent="0.3">
      <c r="A87" s="1">
        <v>43958</v>
      </c>
      <c r="B87">
        <v>9199.0499999999993</v>
      </c>
    </row>
    <row r="88" spans="1:2" x14ac:dyDescent="0.3">
      <c r="A88" s="1">
        <v>43959</v>
      </c>
      <c r="B88">
        <v>9251.5</v>
      </c>
    </row>
    <row r="89" spans="1:2" x14ac:dyDescent="0.3">
      <c r="A89" s="1">
        <v>43962</v>
      </c>
      <c r="B89">
        <v>9239.2000000000007</v>
      </c>
    </row>
    <row r="90" spans="1:2" x14ac:dyDescent="0.3">
      <c r="A90" s="1">
        <v>43963</v>
      </c>
      <c r="B90">
        <v>9196.5499999999993</v>
      </c>
    </row>
    <row r="91" spans="1:2" x14ac:dyDescent="0.3">
      <c r="A91" s="1">
        <v>43964</v>
      </c>
      <c r="B91">
        <v>9383.5499999999993</v>
      </c>
    </row>
    <row r="92" spans="1:2" x14ac:dyDescent="0.3">
      <c r="A92" s="1">
        <v>43965</v>
      </c>
      <c r="B92">
        <v>9142.75</v>
      </c>
    </row>
    <row r="93" spans="1:2" x14ac:dyDescent="0.3">
      <c r="A93" s="1">
        <v>43966</v>
      </c>
      <c r="B93">
        <v>9136.85</v>
      </c>
    </row>
    <row r="94" spans="1:2" x14ac:dyDescent="0.3">
      <c r="A94" s="1">
        <v>43969</v>
      </c>
      <c r="B94">
        <v>8823.25</v>
      </c>
    </row>
    <row r="95" spans="1:2" x14ac:dyDescent="0.3">
      <c r="A95" s="1">
        <v>43970</v>
      </c>
      <c r="B95">
        <v>8879.1</v>
      </c>
    </row>
    <row r="96" spans="1:2" x14ac:dyDescent="0.3">
      <c r="A96" s="1">
        <v>43971</v>
      </c>
      <c r="B96">
        <v>9066.5499999999993</v>
      </c>
    </row>
    <row r="97" spans="1:2" x14ac:dyDescent="0.3">
      <c r="A97" s="1">
        <v>43972</v>
      </c>
      <c r="B97">
        <v>9106.25</v>
      </c>
    </row>
    <row r="98" spans="1:2" x14ac:dyDescent="0.3">
      <c r="A98" s="1">
        <v>43973</v>
      </c>
      <c r="B98">
        <v>9039.25</v>
      </c>
    </row>
    <row r="99" spans="1:2" x14ac:dyDescent="0.3">
      <c r="A99" s="1">
        <v>43977</v>
      </c>
      <c r="B99">
        <v>9029.0499999999993</v>
      </c>
    </row>
    <row r="100" spans="1:2" x14ac:dyDescent="0.3">
      <c r="A100" s="1">
        <v>43978</v>
      </c>
      <c r="B100">
        <v>9314.9500000000007</v>
      </c>
    </row>
    <row r="101" spans="1:2" x14ac:dyDescent="0.3">
      <c r="A101" s="1">
        <v>43979</v>
      </c>
      <c r="B101">
        <v>9490.1</v>
      </c>
    </row>
    <row r="102" spans="1:2" x14ac:dyDescent="0.3">
      <c r="A102" s="1">
        <v>43980</v>
      </c>
      <c r="B102">
        <v>9580.2999999999993</v>
      </c>
    </row>
    <row r="103" spans="1:2" x14ac:dyDescent="0.3">
      <c r="A103" s="1">
        <v>43983</v>
      </c>
      <c r="B103">
        <v>9826.15</v>
      </c>
    </row>
    <row r="104" spans="1:2" x14ac:dyDescent="0.3">
      <c r="A104" s="1">
        <v>43984</v>
      </c>
      <c r="B104">
        <v>9979.1</v>
      </c>
    </row>
    <row r="105" spans="1:2" x14ac:dyDescent="0.3">
      <c r="A105" s="1">
        <v>43985</v>
      </c>
      <c r="B105">
        <v>10061.549999999999</v>
      </c>
    </row>
    <row r="106" spans="1:2" x14ac:dyDescent="0.3">
      <c r="A106" s="1">
        <v>43986</v>
      </c>
      <c r="B106">
        <v>10029.1</v>
      </c>
    </row>
    <row r="107" spans="1:2" x14ac:dyDescent="0.3">
      <c r="A107" s="1">
        <v>43987</v>
      </c>
      <c r="B107">
        <v>10142.15</v>
      </c>
    </row>
    <row r="108" spans="1:2" x14ac:dyDescent="0.3">
      <c r="A108" s="1">
        <v>43990</v>
      </c>
      <c r="B108">
        <v>10167.450000000001</v>
      </c>
    </row>
    <row r="109" spans="1:2" x14ac:dyDescent="0.3">
      <c r="A109" s="1">
        <v>43991</v>
      </c>
      <c r="B109">
        <v>10046.65</v>
      </c>
    </row>
    <row r="110" spans="1:2" x14ac:dyDescent="0.3">
      <c r="A110" s="1">
        <v>43992</v>
      </c>
      <c r="B110">
        <v>10116.15</v>
      </c>
    </row>
    <row r="111" spans="1:2" x14ac:dyDescent="0.3">
      <c r="A111" s="1">
        <v>43993</v>
      </c>
      <c r="B111">
        <v>9902</v>
      </c>
    </row>
    <row r="112" spans="1:2" x14ac:dyDescent="0.3">
      <c r="A112" s="1">
        <v>43994</v>
      </c>
      <c r="B112">
        <v>9972.9</v>
      </c>
    </row>
    <row r="113" spans="1:2" x14ac:dyDescent="0.3">
      <c r="A113" s="1">
        <v>43997</v>
      </c>
      <c r="B113">
        <v>9813.7000000000007</v>
      </c>
    </row>
    <row r="114" spans="1:2" x14ac:dyDescent="0.3">
      <c r="A114" s="1">
        <v>43998</v>
      </c>
      <c r="B114">
        <v>9914</v>
      </c>
    </row>
    <row r="115" spans="1:2" x14ac:dyDescent="0.3">
      <c r="A115" s="1">
        <v>43999</v>
      </c>
      <c r="B115">
        <v>9881.15</v>
      </c>
    </row>
    <row r="116" spans="1:2" x14ac:dyDescent="0.3">
      <c r="A116" s="1">
        <v>44000</v>
      </c>
      <c r="B116">
        <v>10091.65</v>
      </c>
    </row>
    <row r="117" spans="1:2" x14ac:dyDescent="0.3">
      <c r="A117" s="1">
        <v>44001</v>
      </c>
      <c r="B117">
        <v>10244.4</v>
      </c>
    </row>
    <row r="118" spans="1:2" x14ac:dyDescent="0.3">
      <c r="A118" s="1">
        <v>44004</v>
      </c>
      <c r="B118">
        <v>10311.200000000001</v>
      </c>
    </row>
    <row r="119" spans="1:2" x14ac:dyDescent="0.3">
      <c r="A119" s="1">
        <v>44005</v>
      </c>
      <c r="B119">
        <v>10471</v>
      </c>
    </row>
    <row r="120" spans="1:2" x14ac:dyDescent="0.3">
      <c r="A120" s="1">
        <v>44006</v>
      </c>
      <c r="B120">
        <v>10305.299999999999</v>
      </c>
    </row>
    <row r="121" spans="1:2" x14ac:dyDescent="0.3">
      <c r="A121" s="1">
        <v>44007</v>
      </c>
      <c r="B121">
        <v>10288.9</v>
      </c>
    </row>
    <row r="122" spans="1:2" x14ac:dyDescent="0.3">
      <c r="A122" s="1">
        <v>44008</v>
      </c>
      <c r="B122">
        <v>10383</v>
      </c>
    </row>
    <row r="123" spans="1:2" x14ac:dyDescent="0.3">
      <c r="A123" s="1">
        <v>44011</v>
      </c>
      <c r="B123">
        <v>10312.4</v>
      </c>
    </row>
    <row r="124" spans="1:2" x14ac:dyDescent="0.3">
      <c r="A124" s="1">
        <v>44012</v>
      </c>
      <c r="B124">
        <v>10302.1</v>
      </c>
    </row>
    <row r="125" spans="1:2" x14ac:dyDescent="0.3">
      <c r="A125" s="1">
        <v>44013</v>
      </c>
      <c r="B125">
        <v>10430.049999999999</v>
      </c>
    </row>
    <row r="126" spans="1:2" x14ac:dyDescent="0.3">
      <c r="A126" s="1">
        <v>44014</v>
      </c>
      <c r="B126">
        <v>10551.7</v>
      </c>
    </row>
    <row r="127" spans="1:2" x14ac:dyDescent="0.3">
      <c r="A127" s="1">
        <v>44015</v>
      </c>
      <c r="B127">
        <v>10607.35</v>
      </c>
    </row>
    <row r="128" spans="1:2" x14ac:dyDescent="0.3">
      <c r="A128" s="1">
        <v>44018</v>
      </c>
      <c r="B128">
        <v>10763.65</v>
      </c>
    </row>
    <row r="129" spans="1:2" x14ac:dyDescent="0.3">
      <c r="A129" s="1">
        <v>44019</v>
      </c>
      <c r="B129">
        <v>10799.65</v>
      </c>
    </row>
    <row r="130" spans="1:2" x14ac:dyDescent="0.3">
      <c r="A130" s="1">
        <v>44020</v>
      </c>
      <c r="B130">
        <v>10705.75</v>
      </c>
    </row>
    <row r="131" spans="1:2" x14ac:dyDescent="0.3">
      <c r="A131" s="1">
        <v>44021</v>
      </c>
      <c r="B131">
        <v>10813.45</v>
      </c>
    </row>
    <row r="132" spans="1:2" x14ac:dyDescent="0.3">
      <c r="A132" s="1">
        <v>44022</v>
      </c>
      <c r="B132">
        <v>10768.05</v>
      </c>
    </row>
    <row r="133" spans="1:2" x14ac:dyDescent="0.3">
      <c r="A133" s="1">
        <v>44025</v>
      </c>
      <c r="B133">
        <v>10802.7</v>
      </c>
    </row>
    <row r="134" spans="1:2" x14ac:dyDescent="0.3">
      <c r="A134" s="1">
        <v>44026</v>
      </c>
      <c r="B134">
        <v>10607.35</v>
      </c>
    </row>
    <row r="135" spans="1:2" x14ac:dyDescent="0.3">
      <c r="A135" s="1">
        <v>44027</v>
      </c>
      <c r="B135">
        <v>10618.2</v>
      </c>
    </row>
    <row r="136" spans="1:2" x14ac:dyDescent="0.3">
      <c r="A136" s="1">
        <v>44028</v>
      </c>
      <c r="B136">
        <v>10739.95</v>
      </c>
    </row>
    <row r="137" spans="1:2" x14ac:dyDescent="0.3">
      <c r="A137" s="1">
        <v>44029</v>
      </c>
      <c r="B137">
        <v>10901.7</v>
      </c>
    </row>
    <row r="138" spans="1:2" x14ac:dyDescent="0.3">
      <c r="A138" s="1">
        <v>44032</v>
      </c>
      <c r="B138">
        <v>11022.2</v>
      </c>
    </row>
    <row r="139" spans="1:2" x14ac:dyDescent="0.3">
      <c r="A139" s="1">
        <v>44033</v>
      </c>
      <c r="B139">
        <v>11162.25</v>
      </c>
    </row>
    <row r="140" spans="1:2" x14ac:dyDescent="0.3">
      <c r="A140" s="1">
        <v>44034</v>
      </c>
      <c r="B140">
        <v>11132.6</v>
      </c>
    </row>
    <row r="141" spans="1:2" x14ac:dyDescent="0.3">
      <c r="A141" s="1">
        <v>44035</v>
      </c>
      <c r="B141">
        <v>11215.45</v>
      </c>
    </row>
    <row r="142" spans="1:2" x14ac:dyDescent="0.3">
      <c r="A142" s="1">
        <v>44036</v>
      </c>
      <c r="B142">
        <v>11194.15</v>
      </c>
    </row>
    <row r="143" spans="1:2" x14ac:dyDescent="0.3">
      <c r="A143" s="1">
        <v>44039</v>
      </c>
      <c r="B143">
        <v>11131.8</v>
      </c>
    </row>
    <row r="144" spans="1:2" x14ac:dyDescent="0.3">
      <c r="A144" s="1">
        <v>44040</v>
      </c>
      <c r="B144">
        <v>11300.55</v>
      </c>
    </row>
    <row r="145" spans="1:2" x14ac:dyDescent="0.3">
      <c r="A145" s="1">
        <v>44041</v>
      </c>
      <c r="B145">
        <v>11202.85</v>
      </c>
    </row>
    <row r="146" spans="1:2" x14ac:dyDescent="0.3">
      <c r="A146" s="1">
        <v>44042</v>
      </c>
      <c r="B146">
        <v>11102.15</v>
      </c>
    </row>
    <row r="147" spans="1:2" x14ac:dyDescent="0.3">
      <c r="A147" s="1">
        <v>44043</v>
      </c>
      <c r="B147">
        <v>11073.45</v>
      </c>
    </row>
    <row r="148" spans="1:2" x14ac:dyDescent="0.3">
      <c r="A148" s="1">
        <v>44046</v>
      </c>
      <c r="B148">
        <v>10891.6</v>
      </c>
    </row>
    <row r="149" spans="1:2" x14ac:dyDescent="0.3">
      <c r="A149" s="1">
        <v>44047</v>
      </c>
      <c r="B149">
        <v>11095.25</v>
      </c>
    </row>
    <row r="150" spans="1:2" x14ac:dyDescent="0.3">
      <c r="A150" s="1">
        <v>44048</v>
      </c>
      <c r="B150">
        <v>11101.65</v>
      </c>
    </row>
    <row r="151" spans="1:2" x14ac:dyDescent="0.3">
      <c r="A151" s="1">
        <v>44049</v>
      </c>
      <c r="B151">
        <v>11200.15</v>
      </c>
    </row>
    <row r="152" spans="1:2" x14ac:dyDescent="0.3">
      <c r="A152" s="1">
        <v>44050</v>
      </c>
      <c r="B152">
        <v>11214.05</v>
      </c>
    </row>
    <row r="153" spans="1:2" x14ac:dyDescent="0.3">
      <c r="A153" s="1">
        <v>44053</v>
      </c>
      <c r="B153">
        <v>11270.15</v>
      </c>
    </row>
    <row r="154" spans="1:2" x14ac:dyDescent="0.3">
      <c r="A154" s="1">
        <v>44054</v>
      </c>
      <c r="B154">
        <v>11322.5</v>
      </c>
    </row>
    <row r="155" spans="1:2" x14ac:dyDescent="0.3">
      <c r="A155" s="1">
        <v>44055</v>
      </c>
      <c r="B155">
        <v>11308.4</v>
      </c>
    </row>
    <row r="156" spans="1:2" x14ac:dyDescent="0.3">
      <c r="A156" s="1">
        <v>44056</v>
      </c>
      <c r="B156">
        <v>11300.45</v>
      </c>
    </row>
    <row r="157" spans="1:2" x14ac:dyDescent="0.3">
      <c r="A157" s="1">
        <v>44057</v>
      </c>
      <c r="B157">
        <v>11178.4</v>
      </c>
    </row>
    <row r="158" spans="1:2" x14ac:dyDescent="0.3">
      <c r="A158" s="1">
        <v>44060</v>
      </c>
      <c r="B158">
        <v>11247.1</v>
      </c>
    </row>
    <row r="159" spans="1:2" x14ac:dyDescent="0.3">
      <c r="A159" s="1">
        <v>44061</v>
      </c>
      <c r="B159">
        <v>11385.35</v>
      </c>
    </row>
    <row r="160" spans="1:2" x14ac:dyDescent="0.3">
      <c r="A160" s="1">
        <v>44062</v>
      </c>
      <c r="B160">
        <v>11408.4</v>
      </c>
    </row>
    <row r="161" spans="1:2" x14ac:dyDescent="0.3">
      <c r="A161" s="1">
        <v>44063</v>
      </c>
      <c r="B161">
        <v>11312.2</v>
      </c>
    </row>
    <row r="162" spans="1:2" x14ac:dyDescent="0.3">
      <c r="A162" s="1">
        <v>44064</v>
      </c>
      <c r="B162">
        <v>11371.6</v>
      </c>
    </row>
    <row r="163" spans="1:2" x14ac:dyDescent="0.3">
      <c r="A163" s="1">
        <v>44067</v>
      </c>
      <c r="B163">
        <v>11466.45</v>
      </c>
    </row>
    <row r="164" spans="1:2" x14ac:dyDescent="0.3">
      <c r="A164" s="1">
        <v>44068</v>
      </c>
      <c r="B164">
        <v>11472.25</v>
      </c>
    </row>
    <row r="165" spans="1:2" x14ac:dyDescent="0.3">
      <c r="A165" s="1">
        <v>44069</v>
      </c>
      <c r="B165">
        <v>11549.6</v>
      </c>
    </row>
    <row r="166" spans="1:2" x14ac:dyDescent="0.3">
      <c r="A166" s="1">
        <v>44070</v>
      </c>
      <c r="B166">
        <v>11559.25</v>
      </c>
    </row>
    <row r="167" spans="1:2" x14ac:dyDescent="0.3">
      <c r="A167" s="1">
        <v>44071</v>
      </c>
      <c r="B167">
        <v>11647.6</v>
      </c>
    </row>
    <row r="168" spans="1:2" x14ac:dyDescent="0.3">
      <c r="A168" s="1">
        <v>44074</v>
      </c>
      <c r="B168">
        <v>11387.5</v>
      </c>
    </row>
    <row r="169" spans="1:2" x14ac:dyDescent="0.3">
      <c r="A169" s="1">
        <v>44075</v>
      </c>
      <c r="B169">
        <v>11470.25</v>
      </c>
    </row>
    <row r="170" spans="1:2" x14ac:dyDescent="0.3">
      <c r="A170" s="1">
        <v>44076</v>
      </c>
      <c r="B170">
        <v>11535</v>
      </c>
    </row>
    <row r="171" spans="1:2" x14ac:dyDescent="0.3">
      <c r="A171" s="1">
        <v>44077</v>
      </c>
      <c r="B171">
        <v>11527.45</v>
      </c>
    </row>
    <row r="172" spans="1:2" x14ac:dyDescent="0.3">
      <c r="A172" s="1">
        <v>44078</v>
      </c>
      <c r="B172">
        <v>11333.85</v>
      </c>
    </row>
    <row r="173" spans="1:2" x14ac:dyDescent="0.3">
      <c r="A173" s="1">
        <v>44081</v>
      </c>
      <c r="B173">
        <v>11355.05</v>
      </c>
    </row>
    <row r="174" spans="1:2" x14ac:dyDescent="0.3">
      <c r="A174" s="1">
        <v>44082</v>
      </c>
      <c r="B174">
        <v>11317.35</v>
      </c>
    </row>
    <row r="175" spans="1:2" x14ac:dyDescent="0.3">
      <c r="A175" s="1">
        <v>44083</v>
      </c>
      <c r="B175">
        <v>11278</v>
      </c>
    </row>
    <row r="176" spans="1:2" x14ac:dyDescent="0.3">
      <c r="A176" s="1">
        <v>44084</v>
      </c>
      <c r="B176">
        <v>11449.25</v>
      </c>
    </row>
    <row r="177" spans="1:2" x14ac:dyDescent="0.3">
      <c r="A177" s="1">
        <v>44085</v>
      </c>
      <c r="B177">
        <v>11464.45</v>
      </c>
    </row>
    <row r="178" spans="1:2" x14ac:dyDescent="0.3">
      <c r="A178" s="1">
        <v>44088</v>
      </c>
      <c r="B178">
        <v>11440.05</v>
      </c>
    </row>
    <row r="179" spans="1:2" x14ac:dyDescent="0.3">
      <c r="A179" s="1">
        <v>44089</v>
      </c>
      <c r="B179">
        <v>11521.8</v>
      </c>
    </row>
    <row r="180" spans="1:2" x14ac:dyDescent="0.3">
      <c r="A180" s="1">
        <v>44090</v>
      </c>
      <c r="B180">
        <v>11604.55</v>
      </c>
    </row>
    <row r="181" spans="1:2" x14ac:dyDescent="0.3">
      <c r="A181" s="1">
        <v>44091</v>
      </c>
      <c r="B181">
        <v>11516.1</v>
      </c>
    </row>
    <row r="182" spans="1:2" x14ac:dyDescent="0.3">
      <c r="A182" s="1">
        <v>44092</v>
      </c>
      <c r="B182">
        <v>11504.95</v>
      </c>
    </row>
    <row r="183" spans="1:2" x14ac:dyDescent="0.3">
      <c r="A183" s="1">
        <v>44095</v>
      </c>
      <c r="B183">
        <v>11250.55</v>
      </c>
    </row>
    <row r="184" spans="1:2" x14ac:dyDescent="0.3">
      <c r="A184" s="1">
        <v>44096</v>
      </c>
      <c r="B184">
        <v>11153.65</v>
      </c>
    </row>
    <row r="185" spans="1:2" x14ac:dyDescent="0.3">
      <c r="A185" s="1">
        <v>44097</v>
      </c>
      <c r="B185">
        <v>11131.85</v>
      </c>
    </row>
    <row r="186" spans="1:2" x14ac:dyDescent="0.3">
      <c r="A186" s="1">
        <v>44098</v>
      </c>
      <c r="B186">
        <v>10805.55</v>
      </c>
    </row>
    <row r="187" spans="1:2" x14ac:dyDescent="0.3">
      <c r="A187" s="1">
        <v>44099</v>
      </c>
      <c r="B187">
        <v>11050.25</v>
      </c>
    </row>
    <row r="188" spans="1:2" x14ac:dyDescent="0.3">
      <c r="A188" s="1">
        <v>44102</v>
      </c>
      <c r="B188">
        <v>11227.55</v>
      </c>
    </row>
    <row r="189" spans="1:2" x14ac:dyDescent="0.3">
      <c r="A189" s="1">
        <v>44103</v>
      </c>
      <c r="B189">
        <v>11222.4</v>
      </c>
    </row>
    <row r="190" spans="1:2" x14ac:dyDescent="0.3">
      <c r="A190" s="1">
        <v>44104</v>
      </c>
      <c r="B190">
        <v>11247.55</v>
      </c>
    </row>
    <row r="191" spans="1:2" x14ac:dyDescent="0.3">
      <c r="A191" s="1">
        <v>44105</v>
      </c>
      <c r="B191">
        <v>11416.95</v>
      </c>
    </row>
    <row r="192" spans="1:2" x14ac:dyDescent="0.3">
      <c r="A192" s="1">
        <v>44109</v>
      </c>
      <c r="B192">
        <v>11503.35</v>
      </c>
    </row>
    <row r="193" spans="1:2" x14ac:dyDescent="0.3">
      <c r="A193" s="1">
        <v>44110</v>
      </c>
      <c r="B193">
        <v>11662.4</v>
      </c>
    </row>
    <row r="194" spans="1:2" x14ac:dyDescent="0.3">
      <c r="A194" s="1">
        <v>44111</v>
      </c>
      <c r="B194">
        <v>11738.85</v>
      </c>
    </row>
    <row r="195" spans="1:2" x14ac:dyDescent="0.3">
      <c r="A195" s="1">
        <v>44112</v>
      </c>
      <c r="B195">
        <v>11834.6</v>
      </c>
    </row>
    <row r="196" spans="1:2" x14ac:dyDescent="0.3">
      <c r="A196" s="1">
        <v>44113</v>
      </c>
      <c r="B196">
        <v>11914.2</v>
      </c>
    </row>
    <row r="197" spans="1:2" x14ac:dyDescent="0.3">
      <c r="A197" s="1">
        <v>44116</v>
      </c>
      <c r="B197">
        <v>11930.95</v>
      </c>
    </row>
    <row r="198" spans="1:2" x14ac:dyDescent="0.3">
      <c r="A198" s="1">
        <v>44117</v>
      </c>
      <c r="B198">
        <v>11934.5</v>
      </c>
    </row>
    <row r="199" spans="1:2" x14ac:dyDescent="0.3">
      <c r="A199" s="1">
        <v>44118</v>
      </c>
      <c r="B199">
        <v>11971.05</v>
      </c>
    </row>
    <row r="200" spans="1:2" x14ac:dyDescent="0.3">
      <c r="A200" s="1">
        <v>44119</v>
      </c>
      <c r="B200">
        <v>11680.35</v>
      </c>
    </row>
    <row r="201" spans="1:2" x14ac:dyDescent="0.3">
      <c r="A201" s="1">
        <v>44120</v>
      </c>
      <c r="B201">
        <v>11762.45</v>
      </c>
    </row>
    <row r="202" spans="1:2" x14ac:dyDescent="0.3">
      <c r="A202" s="1">
        <v>44123</v>
      </c>
      <c r="B202">
        <v>11873.05</v>
      </c>
    </row>
    <row r="203" spans="1:2" x14ac:dyDescent="0.3">
      <c r="A203" s="1">
        <v>44124</v>
      </c>
      <c r="B203">
        <v>11896.8</v>
      </c>
    </row>
    <row r="204" spans="1:2" x14ac:dyDescent="0.3">
      <c r="A204" s="1">
        <v>44125</v>
      </c>
      <c r="B204">
        <v>11937.65</v>
      </c>
    </row>
    <row r="205" spans="1:2" x14ac:dyDescent="0.3">
      <c r="A205" s="1">
        <v>44126</v>
      </c>
      <c r="B205">
        <v>11896.45</v>
      </c>
    </row>
    <row r="206" spans="1:2" x14ac:dyDescent="0.3">
      <c r="A206" s="1">
        <v>44127</v>
      </c>
      <c r="B206">
        <v>11930.35</v>
      </c>
    </row>
    <row r="207" spans="1:2" x14ac:dyDescent="0.3">
      <c r="A207" s="1">
        <v>44130</v>
      </c>
      <c r="B207">
        <v>11767.75</v>
      </c>
    </row>
    <row r="208" spans="1:2" x14ac:dyDescent="0.3">
      <c r="A208" s="1">
        <v>44131</v>
      </c>
      <c r="B208">
        <v>11889.4</v>
      </c>
    </row>
    <row r="209" spans="1:2" x14ac:dyDescent="0.3">
      <c r="A209" s="1">
        <v>44132</v>
      </c>
      <c r="B209">
        <v>11729.6</v>
      </c>
    </row>
    <row r="210" spans="1:2" x14ac:dyDescent="0.3">
      <c r="A210" s="1">
        <v>44133</v>
      </c>
      <c r="B210">
        <v>11670.8</v>
      </c>
    </row>
    <row r="211" spans="1:2" x14ac:dyDescent="0.3">
      <c r="A211" s="1">
        <v>44134</v>
      </c>
      <c r="B211">
        <v>11642.4</v>
      </c>
    </row>
    <row r="212" spans="1:2" x14ac:dyDescent="0.3">
      <c r="A212" s="1">
        <v>44137</v>
      </c>
      <c r="B212">
        <v>11669.15</v>
      </c>
    </row>
    <row r="213" spans="1:2" x14ac:dyDescent="0.3">
      <c r="A213" s="1">
        <v>44138</v>
      </c>
      <c r="B213">
        <v>11813.5</v>
      </c>
    </row>
    <row r="214" spans="1:2" x14ac:dyDescent="0.3">
      <c r="A214" s="1">
        <v>44139</v>
      </c>
      <c r="B214">
        <v>11908.5</v>
      </c>
    </row>
    <row r="215" spans="1:2" x14ac:dyDescent="0.3">
      <c r="A215" s="1">
        <v>44140</v>
      </c>
      <c r="B215">
        <v>12120.3</v>
      </c>
    </row>
    <row r="216" spans="1:2" x14ac:dyDescent="0.3">
      <c r="A216" s="1">
        <v>44141</v>
      </c>
      <c r="B216">
        <v>12263.55</v>
      </c>
    </row>
    <row r="217" spans="1:2" x14ac:dyDescent="0.3">
      <c r="A217" s="1">
        <v>44144</v>
      </c>
      <c r="B217">
        <v>12461.05</v>
      </c>
    </row>
    <row r="218" spans="1:2" x14ac:dyDescent="0.3">
      <c r="A218" s="1">
        <v>44145</v>
      </c>
      <c r="B218">
        <v>12631.1</v>
      </c>
    </row>
    <row r="219" spans="1:2" x14ac:dyDescent="0.3">
      <c r="A219" s="1">
        <v>44146</v>
      </c>
      <c r="B219">
        <v>12749.15</v>
      </c>
    </row>
    <row r="220" spans="1:2" x14ac:dyDescent="0.3">
      <c r="A220" s="1">
        <v>44147</v>
      </c>
      <c r="B220">
        <v>12690.8</v>
      </c>
    </row>
    <row r="221" spans="1:2" x14ac:dyDescent="0.3">
      <c r="A221" s="1">
        <v>44148</v>
      </c>
      <c r="B221">
        <v>12719.95</v>
      </c>
    </row>
    <row r="222" spans="1:2" x14ac:dyDescent="0.3">
      <c r="A222" s="1">
        <v>44149</v>
      </c>
      <c r="B222">
        <v>12780.25</v>
      </c>
    </row>
    <row r="223" spans="1:2" x14ac:dyDescent="0.3">
      <c r="A223" s="1">
        <v>44152</v>
      </c>
      <c r="B223">
        <v>12874.2</v>
      </c>
    </row>
    <row r="224" spans="1:2" x14ac:dyDescent="0.3">
      <c r="A224" s="1">
        <v>44153</v>
      </c>
      <c r="B224">
        <v>12938.25</v>
      </c>
    </row>
    <row r="225" spans="1:2" x14ac:dyDescent="0.3">
      <c r="A225" s="1">
        <v>44154</v>
      </c>
      <c r="B225">
        <v>12771.7</v>
      </c>
    </row>
    <row r="226" spans="1:2" x14ac:dyDescent="0.3">
      <c r="A226" s="1">
        <v>44155</v>
      </c>
      <c r="B226">
        <v>12859.05</v>
      </c>
    </row>
    <row r="227" spans="1:2" x14ac:dyDescent="0.3">
      <c r="A227" s="1">
        <v>44158</v>
      </c>
      <c r="B227">
        <v>12926.45</v>
      </c>
    </row>
    <row r="228" spans="1:2" x14ac:dyDescent="0.3">
      <c r="A228" s="1">
        <v>44159</v>
      </c>
      <c r="B228">
        <v>13055.15</v>
      </c>
    </row>
    <row r="229" spans="1:2" x14ac:dyDescent="0.3">
      <c r="A229" s="1">
        <v>44160</v>
      </c>
      <c r="B229">
        <v>12858.4</v>
      </c>
    </row>
    <row r="230" spans="1:2" x14ac:dyDescent="0.3">
      <c r="A230" s="1">
        <v>44161</v>
      </c>
      <c r="B230">
        <v>12987</v>
      </c>
    </row>
    <row r="231" spans="1:2" x14ac:dyDescent="0.3">
      <c r="A231" s="1">
        <v>44162</v>
      </c>
      <c r="B231">
        <v>12968.95</v>
      </c>
    </row>
    <row r="232" spans="1:2" x14ac:dyDescent="0.3">
      <c r="A232" s="1">
        <v>44166</v>
      </c>
      <c r="B232">
        <v>13109.05</v>
      </c>
    </row>
    <row r="233" spans="1:2" x14ac:dyDescent="0.3">
      <c r="A233" s="1">
        <v>44167</v>
      </c>
      <c r="B233">
        <v>13113.75</v>
      </c>
    </row>
    <row r="234" spans="1:2" x14ac:dyDescent="0.3">
      <c r="A234" s="1">
        <v>44168</v>
      </c>
      <c r="B234">
        <v>13133.9</v>
      </c>
    </row>
    <row r="235" spans="1:2" x14ac:dyDescent="0.3">
      <c r="A235" s="1">
        <v>44169</v>
      </c>
      <c r="B235">
        <v>13258.55</v>
      </c>
    </row>
    <row r="236" spans="1:2" x14ac:dyDescent="0.3">
      <c r="A236" s="1">
        <v>44172</v>
      </c>
      <c r="B236">
        <v>13355.75</v>
      </c>
    </row>
    <row r="237" spans="1:2" x14ac:dyDescent="0.3">
      <c r="A237" s="1">
        <v>44173</v>
      </c>
      <c r="B237">
        <v>13392.95</v>
      </c>
    </row>
    <row r="238" spans="1:2" x14ac:dyDescent="0.3">
      <c r="A238" s="1">
        <v>44174</v>
      </c>
      <c r="B238">
        <v>13529.1</v>
      </c>
    </row>
    <row r="239" spans="1:2" x14ac:dyDescent="0.3">
      <c r="A239" s="1">
        <v>44175</v>
      </c>
      <c r="B239">
        <v>13478.3</v>
      </c>
    </row>
    <row r="240" spans="1:2" x14ac:dyDescent="0.3">
      <c r="A240" s="1">
        <v>44176</v>
      </c>
      <c r="B240">
        <v>13513.85</v>
      </c>
    </row>
    <row r="241" spans="1:2" x14ac:dyDescent="0.3">
      <c r="A241" s="1">
        <v>44179</v>
      </c>
      <c r="B241">
        <v>13558.15</v>
      </c>
    </row>
    <row r="242" spans="1:2" x14ac:dyDescent="0.3">
      <c r="A242" s="1">
        <v>44180</v>
      </c>
      <c r="B242">
        <v>13567.85</v>
      </c>
    </row>
    <row r="243" spans="1:2" x14ac:dyDescent="0.3">
      <c r="A243" s="1">
        <v>44181</v>
      </c>
      <c r="B243">
        <v>13682.7</v>
      </c>
    </row>
    <row r="244" spans="1:2" x14ac:dyDescent="0.3">
      <c r="A244" s="1">
        <v>44182</v>
      </c>
      <c r="B244">
        <v>13740.7</v>
      </c>
    </row>
    <row r="245" spans="1:2" x14ac:dyDescent="0.3">
      <c r="A245" s="1">
        <v>44183</v>
      </c>
      <c r="B245">
        <v>13760.55</v>
      </c>
    </row>
    <row r="246" spans="1:2" x14ac:dyDescent="0.3">
      <c r="A246" s="1">
        <v>44186</v>
      </c>
      <c r="B246">
        <v>13328.4</v>
      </c>
    </row>
    <row r="247" spans="1:2" x14ac:dyDescent="0.3">
      <c r="A247" s="1">
        <v>44187</v>
      </c>
      <c r="B247">
        <v>13466.3</v>
      </c>
    </row>
    <row r="248" spans="1:2" x14ac:dyDescent="0.3">
      <c r="A248" s="1">
        <v>44188</v>
      </c>
      <c r="B248">
        <v>13601.1</v>
      </c>
    </row>
    <row r="249" spans="1:2" x14ac:dyDescent="0.3">
      <c r="A249" s="1">
        <v>44189</v>
      </c>
      <c r="B249">
        <v>13749.25</v>
      </c>
    </row>
    <row r="250" spans="1:2" x14ac:dyDescent="0.3">
      <c r="A250" s="1">
        <v>44193</v>
      </c>
      <c r="B250">
        <v>13873.2</v>
      </c>
    </row>
    <row r="251" spans="1:2" x14ac:dyDescent="0.3">
      <c r="A251" s="1">
        <v>44194</v>
      </c>
      <c r="B251">
        <v>13932.6</v>
      </c>
    </row>
    <row r="252" spans="1:2" x14ac:dyDescent="0.3">
      <c r="A252" s="1">
        <v>44195</v>
      </c>
      <c r="B252">
        <v>13981.95</v>
      </c>
    </row>
    <row r="253" spans="1:2" x14ac:dyDescent="0.3">
      <c r="A253" s="1">
        <v>44196</v>
      </c>
      <c r="B253">
        <v>13981.75</v>
      </c>
    </row>
    <row r="254" spans="1:2" x14ac:dyDescent="0.3">
      <c r="A254" s="1">
        <v>44197</v>
      </c>
      <c r="B254">
        <v>14018.5</v>
      </c>
    </row>
    <row r="255" spans="1:2" x14ac:dyDescent="0.3">
      <c r="A255" s="1">
        <v>44200</v>
      </c>
      <c r="B255">
        <v>14132.9</v>
      </c>
    </row>
    <row r="256" spans="1:2" x14ac:dyDescent="0.3">
      <c r="A256" s="1">
        <v>44201</v>
      </c>
      <c r="B256">
        <v>14199.5</v>
      </c>
    </row>
    <row r="257" spans="1:2" x14ac:dyDescent="0.3">
      <c r="A257" s="1">
        <v>44202</v>
      </c>
      <c r="B257">
        <v>14146.25</v>
      </c>
    </row>
    <row r="258" spans="1:2" x14ac:dyDescent="0.3">
      <c r="A258" s="1">
        <v>44203</v>
      </c>
      <c r="B258">
        <v>14137.35</v>
      </c>
    </row>
    <row r="259" spans="1:2" x14ac:dyDescent="0.3">
      <c r="A259" s="1">
        <v>44204</v>
      </c>
      <c r="B259">
        <v>14347.25</v>
      </c>
    </row>
    <row r="260" spans="1:2" x14ac:dyDescent="0.3">
      <c r="A260" s="1">
        <v>44207</v>
      </c>
      <c r="B260">
        <v>14484.75</v>
      </c>
    </row>
    <row r="261" spans="1:2" x14ac:dyDescent="0.3">
      <c r="A261" s="1">
        <v>44208</v>
      </c>
      <c r="B261">
        <v>14563.45</v>
      </c>
    </row>
    <row r="262" spans="1:2" x14ac:dyDescent="0.3">
      <c r="A262" s="1">
        <v>44209</v>
      </c>
      <c r="B262">
        <v>14564.85</v>
      </c>
    </row>
    <row r="263" spans="1:2" x14ac:dyDescent="0.3">
      <c r="A263" s="1">
        <v>44210</v>
      </c>
      <c r="B263">
        <v>14595.6</v>
      </c>
    </row>
    <row r="264" spans="1:2" x14ac:dyDescent="0.3">
      <c r="A264" s="1">
        <v>44211</v>
      </c>
      <c r="B264">
        <v>14433.7</v>
      </c>
    </row>
    <row r="265" spans="1:2" x14ac:dyDescent="0.3">
      <c r="A265" s="1">
        <v>44214</v>
      </c>
      <c r="B265">
        <v>14281.3</v>
      </c>
    </row>
    <row r="266" spans="1:2" x14ac:dyDescent="0.3">
      <c r="A266" s="1">
        <v>44215</v>
      </c>
      <c r="B266">
        <v>14521.15</v>
      </c>
    </row>
    <row r="267" spans="1:2" x14ac:dyDescent="0.3">
      <c r="A267" s="1">
        <v>44216</v>
      </c>
      <c r="B267">
        <v>14644.7</v>
      </c>
    </row>
    <row r="268" spans="1:2" x14ac:dyDescent="0.3">
      <c r="A268" s="1">
        <v>44217</v>
      </c>
      <c r="B268">
        <v>14590.35</v>
      </c>
    </row>
    <row r="269" spans="1:2" x14ac:dyDescent="0.3">
      <c r="A269" s="1">
        <v>44218</v>
      </c>
      <c r="B269">
        <v>14371.9</v>
      </c>
    </row>
    <row r="270" spans="1:2" x14ac:dyDescent="0.3">
      <c r="A270" s="1">
        <v>44221</v>
      </c>
      <c r="B270">
        <v>14238.9</v>
      </c>
    </row>
    <row r="271" spans="1:2" x14ac:dyDescent="0.3">
      <c r="A271" s="1">
        <v>44223</v>
      </c>
      <c r="B271">
        <v>13967.5</v>
      </c>
    </row>
    <row r="272" spans="1:2" x14ac:dyDescent="0.3">
      <c r="A272" s="1">
        <v>44224</v>
      </c>
      <c r="B272">
        <v>13817.55</v>
      </c>
    </row>
    <row r="273" spans="1:2" x14ac:dyDescent="0.3">
      <c r="A273" s="1">
        <v>44225</v>
      </c>
      <c r="B273">
        <v>13634.6</v>
      </c>
    </row>
    <row r="274" spans="1:2" x14ac:dyDescent="0.3">
      <c r="A274" s="1">
        <v>44228</v>
      </c>
      <c r="B274">
        <v>14281.2</v>
      </c>
    </row>
    <row r="275" spans="1:2" x14ac:dyDescent="0.3">
      <c r="A275" s="1">
        <v>44229</v>
      </c>
      <c r="B275">
        <v>14647.85</v>
      </c>
    </row>
    <row r="276" spans="1:2" x14ac:dyDescent="0.3">
      <c r="A276" s="1">
        <v>44230</v>
      </c>
      <c r="B276">
        <v>14789.95</v>
      </c>
    </row>
    <row r="277" spans="1:2" x14ac:dyDescent="0.3">
      <c r="A277" s="1">
        <v>44231</v>
      </c>
      <c r="B277">
        <v>14895.65</v>
      </c>
    </row>
    <row r="278" spans="1:2" x14ac:dyDescent="0.3">
      <c r="A278" s="1">
        <v>44232</v>
      </c>
      <c r="B278">
        <v>14924.25</v>
      </c>
    </row>
    <row r="279" spans="1:2" x14ac:dyDescent="0.3">
      <c r="A279" s="1">
        <v>44235</v>
      </c>
      <c r="B279">
        <v>15115.8</v>
      </c>
    </row>
    <row r="280" spans="1:2" x14ac:dyDescent="0.3">
      <c r="A280" s="1">
        <v>44236</v>
      </c>
      <c r="B280">
        <v>15109.3</v>
      </c>
    </row>
    <row r="281" spans="1:2" x14ac:dyDescent="0.3">
      <c r="A281" s="1">
        <v>44237</v>
      </c>
      <c r="B281">
        <v>15106.5</v>
      </c>
    </row>
    <row r="282" spans="1:2" x14ac:dyDescent="0.3">
      <c r="A282" s="1">
        <v>44238</v>
      </c>
      <c r="B282">
        <v>15173.3</v>
      </c>
    </row>
    <row r="283" spans="1:2" x14ac:dyDescent="0.3">
      <c r="A283" s="1">
        <v>44239</v>
      </c>
      <c r="B283">
        <v>15163.3</v>
      </c>
    </row>
    <row r="284" spans="1:2" x14ac:dyDescent="0.3">
      <c r="A284" s="1">
        <v>44242</v>
      </c>
      <c r="B284">
        <v>15314.7</v>
      </c>
    </row>
    <row r="285" spans="1:2" x14ac:dyDescent="0.3">
      <c r="A285" s="1">
        <v>44243</v>
      </c>
      <c r="B285">
        <v>15313.45</v>
      </c>
    </row>
    <row r="286" spans="1:2" x14ac:dyDescent="0.3">
      <c r="A286" s="1">
        <v>44244</v>
      </c>
      <c r="B286">
        <v>15208.9</v>
      </c>
    </row>
    <row r="287" spans="1:2" x14ac:dyDescent="0.3">
      <c r="A287" s="1">
        <v>44245</v>
      </c>
      <c r="B287">
        <v>15118.95</v>
      </c>
    </row>
    <row r="288" spans="1:2" x14ac:dyDescent="0.3">
      <c r="A288" s="1">
        <v>44246</v>
      </c>
      <c r="B288">
        <v>14981.75</v>
      </c>
    </row>
    <row r="289" spans="1:2" x14ac:dyDescent="0.3">
      <c r="A289" s="1">
        <v>44249</v>
      </c>
      <c r="B289">
        <v>14675.7</v>
      </c>
    </row>
    <row r="290" spans="1:2" x14ac:dyDescent="0.3">
      <c r="A290" s="1">
        <v>44250</v>
      </c>
      <c r="B290">
        <v>14707.8</v>
      </c>
    </row>
    <row r="291" spans="1:2" x14ac:dyDescent="0.3">
      <c r="A291" s="1">
        <v>44251</v>
      </c>
      <c r="B291">
        <v>14982</v>
      </c>
    </row>
    <row r="292" spans="1:2" x14ac:dyDescent="0.3">
      <c r="A292" s="1">
        <v>44252</v>
      </c>
      <c r="B292">
        <v>15097.35</v>
      </c>
    </row>
    <row r="293" spans="1:2" x14ac:dyDescent="0.3">
      <c r="A293" s="1">
        <v>44253</v>
      </c>
      <c r="B293">
        <v>14529.15</v>
      </c>
    </row>
    <row r="294" spans="1:2" x14ac:dyDescent="0.3">
      <c r="A294" s="1">
        <v>44256</v>
      </c>
      <c r="B294">
        <v>14761.55</v>
      </c>
    </row>
    <row r="295" spans="1:2" x14ac:dyDescent="0.3">
      <c r="A295" s="1">
        <v>44257</v>
      </c>
      <c r="B295">
        <v>14919.1</v>
      </c>
    </row>
    <row r="296" spans="1:2" x14ac:dyDescent="0.3">
      <c r="A296" s="1">
        <v>44258</v>
      </c>
      <c r="B296">
        <v>15245.6</v>
      </c>
    </row>
    <row r="297" spans="1:2" x14ac:dyDescent="0.3">
      <c r="A297" s="1">
        <v>44259</v>
      </c>
      <c r="B297">
        <v>15080.75</v>
      </c>
    </row>
    <row r="298" spans="1:2" x14ac:dyDescent="0.3">
      <c r="A298" s="1">
        <v>44260</v>
      </c>
      <c r="B298">
        <v>14938.1</v>
      </c>
    </row>
    <row r="299" spans="1:2" x14ac:dyDescent="0.3">
      <c r="A299" s="1">
        <v>44263</v>
      </c>
      <c r="B299">
        <v>14956.2</v>
      </c>
    </row>
    <row r="300" spans="1:2" x14ac:dyDescent="0.3">
      <c r="A300" s="1">
        <v>44264</v>
      </c>
      <c r="B300">
        <v>15098.4</v>
      </c>
    </row>
    <row r="301" spans="1:2" x14ac:dyDescent="0.3">
      <c r="A301" s="1">
        <v>44265</v>
      </c>
      <c r="B301">
        <v>15174.8</v>
      </c>
    </row>
    <row r="302" spans="1:2" x14ac:dyDescent="0.3">
      <c r="A302" s="1">
        <v>44267</v>
      </c>
      <c r="B302">
        <v>15030.95</v>
      </c>
    </row>
    <row r="303" spans="1:2" x14ac:dyDescent="0.3">
      <c r="A303" s="1">
        <v>44270</v>
      </c>
      <c r="B303">
        <v>14929.5</v>
      </c>
    </row>
    <row r="304" spans="1:2" x14ac:dyDescent="0.3">
      <c r="A304" s="1">
        <v>44271</v>
      </c>
      <c r="B304">
        <v>14910.45</v>
      </c>
    </row>
    <row r="305" spans="1:2" x14ac:dyDescent="0.3">
      <c r="A305" s="1">
        <v>44272</v>
      </c>
      <c r="B305">
        <v>14721.3</v>
      </c>
    </row>
    <row r="306" spans="1:2" x14ac:dyDescent="0.3">
      <c r="A306" s="1">
        <v>44273</v>
      </c>
      <c r="B306">
        <v>14557.85</v>
      </c>
    </row>
    <row r="307" spans="1:2" x14ac:dyDescent="0.3">
      <c r="A307" s="1">
        <v>44274</v>
      </c>
      <c r="B307">
        <v>14744</v>
      </c>
    </row>
    <row r="308" spans="1:2" x14ac:dyDescent="0.3">
      <c r="A308" s="1">
        <v>44277</v>
      </c>
      <c r="B308">
        <v>14736.4</v>
      </c>
    </row>
    <row r="309" spans="1:2" x14ac:dyDescent="0.3">
      <c r="A309" s="1">
        <v>44278</v>
      </c>
      <c r="B309">
        <v>14814.75</v>
      </c>
    </row>
    <row r="310" spans="1:2" x14ac:dyDescent="0.3">
      <c r="A310" s="1">
        <v>44279</v>
      </c>
      <c r="B310">
        <v>14549.4</v>
      </c>
    </row>
    <row r="311" spans="1:2" x14ac:dyDescent="0.3">
      <c r="A311" s="1">
        <v>44280</v>
      </c>
      <c r="B311">
        <v>14324.9</v>
      </c>
    </row>
    <row r="312" spans="1:2" x14ac:dyDescent="0.3">
      <c r="A312" s="1">
        <v>44281</v>
      </c>
      <c r="B312">
        <v>14507.3</v>
      </c>
    </row>
    <row r="313" spans="1:2" x14ac:dyDescent="0.3">
      <c r="A313" s="1">
        <v>44285</v>
      </c>
      <c r="B313">
        <v>14845.1</v>
      </c>
    </row>
    <row r="314" spans="1:2" x14ac:dyDescent="0.3">
      <c r="A314" s="1">
        <v>44286</v>
      </c>
      <c r="B314">
        <v>14690.7</v>
      </c>
    </row>
    <row r="315" spans="1:2" x14ac:dyDescent="0.3">
      <c r="A315" s="1">
        <v>44287</v>
      </c>
      <c r="B315">
        <v>14867.35</v>
      </c>
    </row>
    <row r="316" spans="1:2" x14ac:dyDescent="0.3">
      <c r="A316" s="1">
        <v>44291</v>
      </c>
      <c r="B316">
        <v>14637.8</v>
      </c>
    </row>
    <row r="317" spans="1:2" x14ac:dyDescent="0.3">
      <c r="A317" s="1">
        <v>44292</v>
      </c>
      <c r="B317">
        <v>14683.5</v>
      </c>
    </row>
    <row r="318" spans="1:2" x14ac:dyDescent="0.3">
      <c r="A318" s="1">
        <v>44293</v>
      </c>
      <c r="B318">
        <v>14819.05</v>
      </c>
    </row>
    <row r="319" spans="1:2" x14ac:dyDescent="0.3">
      <c r="A319" s="1">
        <v>44294</v>
      </c>
      <c r="B319">
        <v>14873.8</v>
      </c>
    </row>
    <row r="320" spans="1:2" x14ac:dyDescent="0.3">
      <c r="A320" s="1">
        <v>44295</v>
      </c>
      <c r="B320">
        <v>14834.85</v>
      </c>
    </row>
    <row r="321" spans="1:2" x14ac:dyDescent="0.3">
      <c r="A321" s="1">
        <v>44298</v>
      </c>
      <c r="B321">
        <v>14310.8</v>
      </c>
    </row>
    <row r="322" spans="1:2" x14ac:dyDescent="0.3">
      <c r="A322" s="1">
        <v>44299</v>
      </c>
      <c r="B322">
        <v>14504.8</v>
      </c>
    </row>
    <row r="323" spans="1:2" x14ac:dyDescent="0.3">
      <c r="A323" s="1">
        <v>44301</v>
      </c>
      <c r="B323">
        <v>14581.45</v>
      </c>
    </row>
    <row r="324" spans="1:2" x14ac:dyDescent="0.3">
      <c r="A324" s="1">
        <v>44302</v>
      </c>
      <c r="B324">
        <v>14617.85</v>
      </c>
    </row>
    <row r="325" spans="1:2" x14ac:dyDescent="0.3">
      <c r="A325" s="1">
        <v>44305</v>
      </c>
      <c r="B325">
        <v>14359.45</v>
      </c>
    </row>
    <row r="326" spans="1:2" x14ac:dyDescent="0.3">
      <c r="A326" s="1">
        <v>44306</v>
      </c>
      <c r="B326">
        <v>14296.4</v>
      </c>
    </row>
    <row r="327" spans="1:2" x14ac:dyDescent="0.3">
      <c r="A327" s="1">
        <v>44308</v>
      </c>
      <c r="B327">
        <v>14406.15</v>
      </c>
    </row>
    <row r="328" spans="1:2" x14ac:dyDescent="0.3">
      <c r="A328" s="1">
        <v>44309</v>
      </c>
      <c r="B328">
        <v>14341.35</v>
      </c>
    </row>
    <row r="329" spans="1:2" x14ac:dyDescent="0.3">
      <c r="A329" s="1">
        <v>44312</v>
      </c>
      <c r="B329">
        <v>14485</v>
      </c>
    </row>
    <row r="330" spans="1:2" x14ac:dyDescent="0.3">
      <c r="A330" s="1">
        <v>44313</v>
      </c>
      <c r="B330">
        <v>14653.05</v>
      </c>
    </row>
    <row r="331" spans="1:2" x14ac:dyDescent="0.3">
      <c r="A331" s="1">
        <v>44314</v>
      </c>
      <c r="B331">
        <v>14864.55</v>
      </c>
    </row>
    <row r="332" spans="1:2" x14ac:dyDescent="0.3">
      <c r="A332" s="1">
        <v>44315</v>
      </c>
      <c r="B332">
        <v>14894.9</v>
      </c>
    </row>
    <row r="333" spans="1:2" x14ac:dyDescent="0.3">
      <c r="A333" s="1">
        <v>44316</v>
      </c>
      <c r="B333">
        <v>14631.1</v>
      </c>
    </row>
    <row r="334" spans="1:2" x14ac:dyDescent="0.3">
      <c r="A334" s="1">
        <v>44319</v>
      </c>
      <c r="B334">
        <v>14634.15</v>
      </c>
    </row>
    <row r="335" spans="1:2" x14ac:dyDescent="0.3">
      <c r="A335" s="1">
        <v>44320</v>
      </c>
      <c r="B335">
        <v>14496.5</v>
      </c>
    </row>
    <row r="336" spans="1:2" x14ac:dyDescent="0.3">
      <c r="A336" s="1">
        <v>44321</v>
      </c>
      <c r="B336">
        <v>14617.85</v>
      </c>
    </row>
    <row r="337" spans="1:2" x14ac:dyDescent="0.3">
      <c r="A337" s="1">
        <v>44322</v>
      </c>
      <c r="B337">
        <v>14724.8</v>
      </c>
    </row>
    <row r="338" spans="1:2" x14ac:dyDescent="0.3">
      <c r="A338" s="1">
        <v>44323</v>
      </c>
      <c r="B338">
        <v>14823.15</v>
      </c>
    </row>
    <row r="339" spans="1:2" x14ac:dyDescent="0.3">
      <c r="A339" s="1">
        <v>44326</v>
      </c>
      <c r="B339">
        <v>14942.35</v>
      </c>
    </row>
    <row r="340" spans="1:2" x14ac:dyDescent="0.3">
      <c r="A340" s="1">
        <v>44327</v>
      </c>
      <c r="B340">
        <v>14850.75</v>
      </c>
    </row>
    <row r="341" spans="1:2" x14ac:dyDescent="0.3">
      <c r="A341" s="1">
        <v>44328</v>
      </c>
      <c r="B341">
        <v>14696.5</v>
      </c>
    </row>
    <row r="342" spans="1:2" x14ac:dyDescent="0.3">
      <c r="A342" s="1">
        <v>44330</v>
      </c>
      <c r="B342">
        <v>14677.8</v>
      </c>
    </row>
    <row r="343" spans="1:2" x14ac:dyDescent="0.3">
      <c r="A343" s="1">
        <v>44333</v>
      </c>
      <c r="B343">
        <v>14923.15</v>
      </c>
    </row>
    <row r="344" spans="1:2" x14ac:dyDescent="0.3">
      <c r="A344" s="1">
        <v>44334</v>
      </c>
      <c r="B344">
        <v>15108.1</v>
      </c>
    </row>
    <row r="345" spans="1:2" x14ac:dyDescent="0.3">
      <c r="A345" s="1">
        <v>44335</v>
      </c>
      <c r="B345">
        <v>15030.15</v>
      </c>
    </row>
    <row r="346" spans="1:2" x14ac:dyDescent="0.3">
      <c r="A346" s="1">
        <v>44336</v>
      </c>
      <c r="B346">
        <v>14906.05</v>
      </c>
    </row>
    <row r="347" spans="1:2" x14ac:dyDescent="0.3">
      <c r="A347" s="1">
        <v>44337</v>
      </c>
      <c r="B347">
        <v>15175.3</v>
      </c>
    </row>
    <row r="348" spans="1:2" x14ac:dyDescent="0.3">
      <c r="A348" s="1">
        <v>44340</v>
      </c>
      <c r="B348">
        <v>15197.7</v>
      </c>
    </row>
    <row r="349" spans="1:2" x14ac:dyDescent="0.3">
      <c r="A349" s="1">
        <v>44341</v>
      </c>
      <c r="B349">
        <v>15208.45</v>
      </c>
    </row>
    <row r="350" spans="1:2" x14ac:dyDescent="0.3">
      <c r="A350" s="1">
        <v>44342</v>
      </c>
      <c r="B350">
        <v>15301.45</v>
      </c>
    </row>
    <row r="351" spans="1:2" x14ac:dyDescent="0.3">
      <c r="A351" s="1">
        <v>44343</v>
      </c>
      <c r="B351">
        <v>15337.85</v>
      </c>
    </row>
    <row r="352" spans="1:2" x14ac:dyDescent="0.3">
      <c r="A352" s="1">
        <v>44344</v>
      </c>
      <c r="B352">
        <v>15435.65</v>
      </c>
    </row>
    <row r="353" spans="1:2" x14ac:dyDescent="0.3">
      <c r="A353" s="1">
        <v>44347</v>
      </c>
      <c r="B353">
        <v>15582.8</v>
      </c>
    </row>
    <row r="354" spans="1:2" x14ac:dyDescent="0.3">
      <c r="A354" s="1">
        <v>44348</v>
      </c>
      <c r="B354">
        <v>15574.85</v>
      </c>
    </row>
    <row r="355" spans="1:2" x14ac:dyDescent="0.3">
      <c r="A355" s="1">
        <v>44349</v>
      </c>
      <c r="B355">
        <v>15576.2</v>
      </c>
    </row>
    <row r="356" spans="1:2" x14ac:dyDescent="0.3">
      <c r="A356" s="1">
        <v>44350</v>
      </c>
      <c r="B356">
        <v>15690.35</v>
      </c>
    </row>
    <row r="357" spans="1:2" x14ac:dyDescent="0.3">
      <c r="A357" s="1">
        <v>44351</v>
      </c>
      <c r="B357">
        <v>15670.25</v>
      </c>
    </row>
    <row r="358" spans="1:2" x14ac:dyDescent="0.3">
      <c r="A358" s="1">
        <v>44354</v>
      </c>
      <c r="B358">
        <v>15751.65</v>
      </c>
    </row>
    <row r="359" spans="1:2" x14ac:dyDescent="0.3">
      <c r="A359" s="1">
        <v>44355</v>
      </c>
      <c r="B359">
        <v>15740.1</v>
      </c>
    </row>
    <row r="360" spans="1:2" x14ac:dyDescent="0.3">
      <c r="A360" s="1">
        <v>44356</v>
      </c>
      <c r="B360">
        <v>15635.35</v>
      </c>
    </row>
    <row r="361" spans="1:2" x14ac:dyDescent="0.3">
      <c r="A361" s="1">
        <v>44357</v>
      </c>
      <c r="B361">
        <v>15737.75</v>
      </c>
    </row>
    <row r="362" spans="1:2" x14ac:dyDescent="0.3">
      <c r="A362" s="1">
        <v>44358</v>
      </c>
      <c r="B362">
        <v>15799.35</v>
      </c>
    </row>
    <row r="363" spans="1:2" x14ac:dyDescent="0.3">
      <c r="A363" s="1">
        <v>44361</v>
      </c>
      <c r="B363">
        <v>15811.85</v>
      </c>
    </row>
    <row r="364" spans="1:2" x14ac:dyDescent="0.3">
      <c r="A364" s="1">
        <v>44362</v>
      </c>
      <c r="B364">
        <v>15869.25</v>
      </c>
    </row>
    <row r="365" spans="1:2" x14ac:dyDescent="0.3">
      <c r="A365" s="1">
        <v>44363</v>
      </c>
      <c r="B365">
        <v>15767.55</v>
      </c>
    </row>
    <row r="366" spans="1:2" x14ac:dyDescent="0.3">
      <c r="A366" s="1">
        <v>44364</v>
      </c>
      <c r="B366">
        <v>15691.4</v>
      </c>
    </row>
    <row r="367" spans="1:2" x14ac:dyDescent="0.3">
      <c r="A367" s="1">
        <v>44365</v>
      </c>
      <c r="B367">
        <v>15683.35</v>
      </c>
    </row>
    <row r="368" spans="1:2" x14ac:dyDescent="0.3">
      <c r="A368" s="1">
        <v>44368</v>
      </c>
      <c r="B368">
        <v>15746.5</v>
      </c>
    </row>
    <row r="369" spans="1:2" x14ac:dyDescent="0.3">
      <c r="A369" s="1">
        <v>44369</v>
      </c>
      <c r="B369">
        <v>15772.75</v>
      </c>
    </row>
    <row r="370" spans="1:2" x14ac:dyDescent="0.3">
      <c r="A370" s="1">
        <v>44370</v>
      </c>
      <c r="B370">
        <v>15686.95</v>
      </c>
    </row>
    <row r="371" spans="1:2" x14ac:dyDescent="0.3">
      <c r="A371" s="1">
        <v>44371</v>
      </c>
      <c r="B371">
        <v>15790.45</v>
      </c>
    </row>
    <row r="372" spans="1:2" x14ac:dyDescent="0.3">
      <c r="A372" s="1">
        <v>44372</v>
      </c>
      <c r="B372">
        <v>15860.35</v>
      </c>
    </row>
    <row r="373" spans="1:2" x14ac:dyDescent="0.3">
      <c r="A373" s="1">
        <v>44375</v>
      </c>
      <c r="B373">
        <v>15814.7</v>
      </c>
    </row>
    <row r="374" spans="1:2" x14ac:dyDescent="0.3">
      <c r="A374" s="1">
        <v>44376</v>
      </c>
      <c r="B374">
        <v>15748.45</v>
      </c>
    </row>
    <row r="375" spans="1:2" x14ac:dyDescent="0.3">
      <c r="A375" s="1">
        <v>44377</v>
      </c>
      <c r="B375">
        <v>15721.5</v>
      </c>
    </row>
    <row r="376" spans="1:2" x14ac:dyDescent="0.3">
      <c r="A376" s="1">
        <v>44378</v>
      </c>
      <c r="B376">
        <v>15680</v>
      </c>
    </row>
    <row r="377" spans="1:2" x14ac:dyDescent="0.3">
      <c r="A377" s="1">
        <v>44379</v>
      </c>
      <c r="B377">
        <v>15722.2</v>
      </c>
    </row>
    <row r="378" spans="1:2" x14ac:dyDescent="0.3">
      <c r="A378" s="1">
        <v>44382</v>
      </c>
      <c r="B378">
        <v>15834.35</v>
      </c>
    </row>
    <row r="379" spans="1:2" x14ac:dyDescent="0.3">
      <c r="A379" s="1">
        <v>44383</v>
      </c>
      <c r="B379">
        <v>15818.25</v>
      </c>
    </row>
    <row r="380" spans="1:2" x14ac:dyDescent="0.3">
      <c r="A380" s="1">
        <v>44384</v>
      </c>
      <c r="B380">
        <v>15879.65</v>
      </c>
    </row>
    <row r="381" spans="1:2" x14ac:dyDescent="0.3">
      <c r="A381" s="1">
        <v>44385</v>
      </c>
      <c r="B381">
        <v>15727.9</v>
      </c>
    </row>
    <row r="382" spans="1:2" x14ac:dyDescent="0.3">
      <c r="A382" s="1">
        <v>44386</v>
      </c>
      <c r="B382">
        <v>15689.8</v>
      </c>
    </row>
    <row r="383" spans="1:2" x14ac:dyDescent="0.3">
      <c r="A383" s="1">
        <v>44389</v>
      </c>
      <c r="B383">
        <v>15692.6</v>
      </c>
    </row>
    <row r="384" spans="1:2" x14ac:dyDescent="0.3">
      <c r="A384" s="1">
        <v>44390</v>
      </c>
      <c r="B384">
        <v>15812.35</v>
      </c>
    </row>
    <row r="385" spans="1:2" x14ac:dyDescent="0.3">
      <c r="A385" s="1">
        <v>44391</v>
      </c>
      <c r="B385">
        <v>15853.95</v>
      </c>
    </row>
    <row r="386" spans="1:2" x14ac:dyDescent="0.3">
      <c r="A386" s="1">
        <v>44392</v>
      </c>
      <c r="B386">
        <v>15924.2</v>
      </c>
    </row>
    <row r="387" spans="1:2" x14ac:dyDescent="0.3">
      <c r="A387" s="1">
        <v>44393</v>
      </c>
      <c r="B387">
        <v>15923.4</v>
      </c>
    </row>
    <row r="388" spans="1:2" x14ac:dyDescent="0.3">
      <c r="A388" s="1">
        <v>44396</v>
      </c>
      <c r="B388">
        <v>15752.4</v>
      </c>
    </row>
    <row r="389" spans="1:2" x14ac:dyDescent="0.3">
      <c r="A389" s="1">
        <v>44397</v>
      </c>
      <c r="B389">
        <v>15632.1</v>
      </c>
    </row>
    <row r="390" spans="1:2" x14ac:dyDescent="0.3">
      <c r="A390" s="1">
        <v>44399</v>
      </c>
      <c r="B390">
        <v>15824.05</v>
      </c>
    </row>
    <row r="391" spans="1:2" x14ac:dyDescent="0.3">
      <c r="A391" s="1">
        <v>44400</v>
      </c>
      <c r="B391">
        <v>15856.05</v>
      </c>
    </row>
    <row r="392" spans="1:2" x14ac:dyDescent="0.3">
      <c r="A392" s="1">
        <v>44403</v>
      </c>
      <c r="B392">
        <v>15824.45</v>
      </c>
    </row>
    <row r="393" spans="1:2" x14ac:dyDescent="0.3">
      <c r="A393" s="1">
        <v>44404</v>
      </c>
      <c r="B393">
        <v>15746.45</v>
      </c>
    </row>
    <row r="394" spans="1:2" x14ac:dyDescent="0.3">
      <c r="A394" s="1">
        <v>44405</v>
      </c>
      <c r="B394">
        <v>15709.4</v>
      </c>
    </row>
    <row r="395" spans="1:2" x14ac:dyDescent="0.3">
      <c r="A395" s="1">
        <v>44406</v>
      </c>
      <c r="B395">
        <v>15778.45</v>
      </c>
    </row>
    <row r="396" spans="1:2" x14ac:dyDescent="0.3">
      <c r="A396" s="1">
        <v>44407</v>
      </c>
      <c r="B396">
        <v>15763.05</v>
      </c>
    </row>
    <row r="397" spans="1:2" x14ac:dyDescent="0.3">
      <c r="A397" s="1">
        <v>44410</v>
      </c>
      <c r="B397">
        <v>15885.15</v>
      </c>
    </row>
    <row r="398" spans="1:2" x14ac:dyDescent="0.3">
      <c r="A398" s="1">
        <v>44411</v>
      </c>
      <c r="B398">
        <v>16130.75</v>
      </c>
    </row>
    <row r="399" spans="1:2" x14ac:dyDescent="0.3">
      <c r="A399" s="1">
        <v>44412</v>
      </c>
      <c r="B399">
        <v>16258.8</v>
      </c>
    </row>
    <row r="400" spans="1:2" x14ac:dyDescent="0.3">
      <c r="A400" s="1">
        <v>44413</v>
      </c>
      <c r="B400">
        <v>16294.6</v>
      </c>
    </row>
    <row r="401" spans="1:2" x14ac:dyDescent="0.3">
      <c r="A401" s="1">
        <v>44414</v>
      </c>
      <c r="B401">
        <v>16238.2</v>
      </c>
    </row>
    <row r="402" spans="1:2" x14ac:dyDescent="0.3">
      <c r="A402" s="1">
        <v>44417</v>
      </c>
      <c r="B402">
        <v>16258.25</v>
      </c>
    </row>
    <row r="403" spans="1:2" x14ac:dyDescent="0.3">
      <c r="A403" s="1">
        <v>44418</v>
      </c>
      <c r="B403">
        <v>16280.1</v>
      </c>
    </row>
    <row r="404" spans="1:2" x14ac:dyDescent="0.3">
      <c r="A404" s="1">
        <v>44419</v>
      </c>
      <c r="B404">
        <v>16282.25</v>
      </c>
    </row>
    <row r="405" spans="1:2" x14ac:dyDescent="0.3">
      <c r="A405" s="1">
        <v>44420</v>
      </c>
      <c r="B405">
        <v>16364.4</v>
      </c>
    </row>
    <row r="406" spans="1:2" x14ac:dyDescent="0.3">
      <c r="A406" s="1">
        <v>44421</v>
      </c>
      <c r="B406">
        <v>16529.099999999999</v>
      </c>
    </row>
    <row r="407" spans="1:2" x14ac:dyDescent="0.3">
      <c r="A407" s="1">
        <v>44424</v>
      </c>
      <c r="B407">
        <v>16563.05</v>
      </c>
    </row>
    <row r="408" spans="1:2" x14ac:dyDescent="0.3">
      <c r="A408" s="1">
        <v>44425</v>
      </c>
      <c r="B408">
        <v>16614.599999999999</v>
      </c>
    </row>
    <row r="409" spans="1:2" x14ac:dyDescent="0.3">
      <c r="A409" s="1">
        <v>44426</v>
      </c>
      <c r="B409">
        <v>16568.849999999999</v>
      </c>
    </row>
    <row r="410" spans="1:2" x14ac:dyDescent="0.3">
      <c r="A410" s="1">
        <v>44428</v>
      </c>
      <c r="B410">
        <v>16450.5</v>
      </c>
    </row>
    <row r="411" spans="1:2" x14ac:dyDescent="0.3">
      <c r="A411" s="1">
        <v>44431</v>
      </c>
      <c r="B411">
        <v>16496.45</v>
      </c>
    </row>
    <row r="412" spans="1:2" x14ac:dyDescent="0.3">
      <c r="A412" s="1">
        <v>44432</v>
      </c>
      <c r="B412">
        <v>16624.599999999999</v>
      </c>
    </row>
    <row r="413" spans="1:2" x14ac:dyDescent="0.3">
      <c r="A413" s="1">
        <v>44433</v>
      </c>
      <c r="B413">
        <v>16634.650000000001</v>
      </c>
    </row>
    <row r="414" spans="1:2" x14ac:dyDescent="0.3">
      <c r="A414" s="1">
        <v>44434</v>
      </c>
      <c r="B414">
        <v>16636.900000000001</v>
      </c>
    </row>
    <row r="415" spans="1:2" x14ac:dyDescent="0.3">
      <c r="A415" s="1">
        <v>44435</v>
      </c>
      <c r="B415">
        <v>16705.2</v>
      </c>
    </row>
    <row r="416" spans="1:2" x14ac:dyDescent="0.3">
      <c r="A416" s="1">
        <v>44438</v>
      </c>
      <c r="B416">
        <v>16931.05</v>
      </c>
    </row>
    <row r="417" spans="1:2" x14ac:dyDescent="0.3">
      <c r="A417" s="1">
        <v>44439</v>
      </c>
      <c r="B417">
        <v>17132.2</v>
      </c>
    </row>
    <row r="418" spans="1:2" x14ac:dyDescent="0.3">
      <c r="A418" s="1">
        <v>44440</v>
      </c>
      <c r="B418">
        <v>17076.25</v>
      </c>
    </row>
    <row r="419" spans="1:2" x14ac:dyDescent="0.3">
      <c r="A419" s="1">
        <v>44441</v>
      </c>
      <c r="B419">
        <v>17234.150000000001</v>
      </c>
    </row>
    <row r="420" spans="1:2" x14ac:dyDescent="0.3">
      <c r="A420" s="1">
        <v>44442</v>
      </c>
      <c r="B420">
        <v>17323.599999999999</v>
      </c>
    </row>
    <row r="421" spans="1:2" x14ac:dyDescent="0.3">
      <c r="A421" s="1">
        <v>44445</v>
      </c>
      <c r="B421">
        <v>17377.8</v>
      </c>
    </row>
    <row r="422" spans="1:2" x14ac:dyDescent="0.3">
      <c r="A422" s="1">
        <v>44446</v>
      </c>
      <c r="B422">
        <v>17362.099999999999</v>
      </c>
    </row>
    <row r="423" spans="1:2" x14ac:dyDescent="0.3">
      <c r="A423" s="1">
        <v>44447</v>
      </c>
      <c r="B423">
        <v>17353.5</v>
      </c>
    </row>
    <row r="424" spans="1:2" x14ac:dyDescent="0.3">
      <c r="A424" s="1">
        <v>44448</v>
      </c>
      <c r="B424">
        <v>17369.25</v>
      </c>
    </row>
    <row r="425" spans="1:2" x14ac:dyDescent="0.3">
      <c r="A425" s="1">
        <v>44452</v>
      </c>
      <c r="B425">
        <v>17355.3</v>
      </c>
    </row>
    <row r="426" spans="1:2" x14ac:dyDescent="0.3">
      <c r="A426" s="1">
        <v>44453</v>
      </c>
      <c r="B426">
        <v>17380</v>
      </c>
    </row>
    <row r="427" spans="1:2" x14ac:dyDescent="0.3">
      <c r="A427" s="1">
        <v>44454</v>
      </c>
      <c r="B427">
        <v>17519.45</v>
      </c>
    </row>
    <row r="428" spans="1:2" x14ac:dyDescent="0.3">
      <c r="A428" s="1">
        <v>44455</v>
      </c>
      <c r="B428">
        <v>17629.5</v>
      </c>
    </row>
    <row r="429" spans="1:2" x14ac:dyDescent="0.3">
      <c r="A429" s="1">
        <v>44456</v>
      </c>
      <c r="B429">
        <v>17585.150000000001</v>
      </c>
    </row>
    <row r="430" spans="1:2" x14ac:dyDescent="0.3">
      <c r="A430" s="1">
        <v>44459</v>
      </c>
      <c r="B430">
        <v>17396.900000000001</v>
      </c>
    </row>
    <row r="431" spans="1:2" x14ac:dyDescent="0.3">
      <c r="A431" s="1">
        <v>44460</v>
      </c>
      <c r="B431">
        <v>17562</v>
      </c>
    </row>
    <row r="432" spans="1:2" x14ac:dyDescent="0.3">
      <c r="A432" s="1">
        <v>44461</v>
      </c>
      <c r="B432">
        <v>17546.650000000001</v>
      </c>
    </row>
    <row r="433" spans="1:2" x14ac:dyDescent="0.3">
      <c r="A433" s="1">
        <v>44462</v>
      </c>
      <c r="B433">
        <v>17822.95</v>
      </c>
    </row>
    <row r="434" spans="1:2" x14ac:dyDescent="0.3">
      <c r="A434" s="1">
        <v>44463</v>
      </c>
      <c r="B434">
        <v>17853.2</v>
      </c>
    </row>
    <row r="435" spans="1:2" x14ac:dyDescent="0.3">
      <c r="A435" s="1">
        <v>44466</v>
      </c>
      <c r="B435">
        <v>17855.099999999999</v>
      </c>
    </row>
    <row r="436" spans="1:2" x14ac:dyDescent="0.3">
      <c r="A436" s="1">
        <v>44467</v>
      </c>
      <c r="B436">
        <v>17748.599999999999</v>
      </c>
    </row>
    <row r="437" spans="1:2" x14ac:dyDescent="0.3">
      <c r="A437" s="1">
        <v>44468</v>
      </c>
      <c r="B437">
        <v>17711.3</v>
      </c>
    </row>
    <row r="438" spans="1:2" x14ac:dyDescent="0.3">
      <c r="A438" s="1">
        <v>44469</v>
      </c>
      <c r="B438">
        <v>17618.150000000001</v>
      </c>
    </row>
    <row r="439" spans="1:2" x14ac:dyDescent="0.3">
      <c r="A439" s="1">
        <v>44470</v>
      </c>
      <c r="B439">
        <v>17532.05</v>
      </c>
    </row>
    <row r="440" spans="1:2" x14ac:dyDescent="0.3">
      <c r="A440" s="1">
        <v>44473</v>
      </c>
      <c r="B440">
        <v>17691.25</v>
      </c>
    </row>
    <row r="441" spans="1:2" x14ac:dyDescent="0.3">
      <c r="A441" s="1">
        <v>44474</v>
      </c>
      <c r="B441">
        <v>17822.3</v>
      </c>
    </row>
    <row r="442" spans="1:2" x14ac:dyDescent="0.3">
      <c r="A442" s="1">
        <v>44475</v>
      </c>
      <c r="B442">
        <v>17646</v>
      </c>
    </row>
    <row r="443" spans="1:2" x14ac:dyDescent="0.3">
      <c r="A443" s="1">
        <v>44476</v>
      </c>
      <c r="B443">
        <v>17790.349999999999</v>
      </c>
    </row>
    <row r="444" spans="1:2" x14ac:dyDescent="0.3">
      <c r="A444" s="1">
        <v>44477</v>
      </c>
      <c r="B444">
        <v>17895.2</v>
      </c>
    </row>
    <row r="445" spans="1:2" x14ac:dyDescent="0.3">
      <c r="A445" s="1">
        <v>44480</v>
      </c>
      <c r="B445">
        <v>17945.95</v>
      </c>
    </row>
    <row r="446" spans="1:2" x14ac:dyDescent="0.3">
      <c r="A446" s="1">
        <v>44481</v>
      </c>
      <c r="B446">
        <v>17991.95</v>
      </c>
    </row>
    <row r="447" spans="1:2" x14ac:dyDescent="0.3">
      <c r="A447" s="1">
        <v>44482</v>
      </c>
      <c r="B447">
        <v>18161.75</v>
      </c>
    </row>
    <row r="448" spans="1:2" x14ac:dyDescent="0.3">
      <c r="A448" s="1">
        <v>44483</v>
      </c>
      <c r="B448">
        <v>18338.55</v>
      </c>
    </row>
    <row r="449" spans="1:2" x14ac:dyDescent="0.3">
      <c r="A449" s="1">
        <v>44487</v>
      </c>
      <c r="B449">
        <v>18477.05</v>
      </c>
    </row>
    <row r="450" spans="1:2" x14ac:dyDescent="0.3">
      <c r="A450" s="1">
        <v>44488</v>
      </c>
      <c r="B450">
        <v>18418.75</v>
      </c>
    </row>
    <row r="451" spans="1:2" x14ac:dyDescent="0.3">
      <c r="A451" s="1">
        <v>44489</v>
      </c>
      <c r="B451">
        <v>18266.599999999999</v>
      </c>
    </row>
    <row r="452" spans="1:2" x14ac:dyDescent="0.3">
      <c r="A452" s="1">
        <v>44490</v>
      </c>
      <c r="B452">
        <v>18178.099999999999</v>
      </c>
    </row>
    <row r="453" spans="1:2" x14ac:dyDescent="0.3">
      <c r="A453" s="1">
        <v>44491</v>
      </c>
      <c r="B453">
        <v>18114.900000000001</v>
      </c>
    </row>
    <row r="454" spans="1:2" x14ac:dyDescent="0.3">
      <c r="A454" s="1">
        <v>44494</v>
      </c>
      <c r="B454">
        <v>18125.400000000001</v>
      </c>
    </row>
    <row r="455" spans="1:2" x14ac:dyDescent="0.3">
      <c r="A455" s="1">
        <v>44495</v>
      </c>
      <c r="B455">
        <v>18268.400000000001</v>
      </c>
    </row>
    <row r="456" spans="1:2" x14ac:dyDescent="0.3">
      <c r="A456" s="1">
        <v>44496</v>
      </c>
      <c r="B456">
        <v>18210.95</v>
      </c>
    </row>
    <row r="457" spans="1:2" x14ac:dyDescent="0.3">
      <c r="A457" s="1">
        <v>44497</v>
      </c>
      <c r="B457">
        <v>17857.25</v>
      </c>
    </row>
    <row r="458" spans="1:2" x14ac:dyDescent="0.3">
      <c r="A458" s="1">
        <v>44498</v>
      </c>
      <c r="B458">
        <v>17671.650000000001</v>
      </c>
    </row>
    <row r="459" spans="1:2" x14ac:dyDescent="0.3">
      <c r="A459" s="1">
        <v>44501</v>
      </c>
      <c r="B459">
        <v>17929.650000000001</v>
      </c>
    </row>
    <row r="460" spans="1:2" x14ac:dyDescent="0.3">
      <c r="A460" s="1">
        <v>44502</v>
      </c>
      <c r="B460">
        <v>17888.95</v>
      </c>
    </row>
    <row r="461" spans="1:2" x14ac:dyDescent="0.3">
      <c r="A461" s="1">
        <v>44503</v>
      </c>
      <c r="B461">
        <v>17829.2</v>
      </c>
    </row>
    <row r="462" spans="1:2" x14ac:dyDescent="0.3">
      <c r="A462" s="1">
        <v>44504</v>
      </c>
      <c r="B462">
        <v>17916.8</v>
      </c>
    </row>
    <row r="463" spans="1:2" x14ac:dyDescent="0.3">
      <c r="A463" s="1">
        <v>44508</v>
      </c>
      <c r="B463">
        <v>18068.55</v>
      </c>
    </row>
    <row r="464" spans="1:2" x14ac:dyDescent="0.3">
      <c r="A464" s="1">
        <v>44509</v>
      </c>
      <c r="B464">
        <v>18044.25</v>
      </c>
    </row>
    <row r="465" spans="1:2" x14ac:dyDescent="0.3">
      <c r="A465" s="1">
        <v>44510</v>
      </c>
      <c r="B465">
        <v>18017.2</v>
      </c>
    </row>
    <row r="466" spans="1:2" x14ac:dyDescent="0.3">
      <c r="A466" s="1">
        <v>44511</v>
      </c>
      <c r="B466">
        <v>17873.599999999999</v>
      </c>
    </row>
    <row r="467" spans="1:2" x14ac:dyDescent="0.3">
      <c r="A467" s="1">
        <v>44512</v>
      </c>
      <c r="B467">
        <v>18102.75</v>
      </c>
    </row>
    <row r="468" spans="1:2" x14ac:dyDescent="0.3">
      <c r="A468" s="1">
        <v>44515</v>
      </c>
      <c r="B468">
        <v>18109.45</v>
      </c>
    </row>
    <row r="469" spans="1:2" x14ac:dyDescent="0.3">
      <c r="A469" s="1">
        <v>44516</v>
      </c>
      <c r="B469">
        <v>17999.2</v>
      </c>
    </row>
    <row r="470" spans="1:2" x14ac:dyDescent="0.3">
      <c r="A470" s="1">
        <v>44517</v>
      </c>
      <c r="B470">
        <v>17898.650000000001</v>
      </c>
    </row>
    <row r="471" spans="1:2" x14ac:dyDescent="0.3">
      <c r="A471" s="1">
        <v>44518</v>
      </c>
      <c r="B471">
        <v>17764.8</v>
      </c>
    </row>
    <row r="472" spans="1:2" x14ac:dyDescent="0.3">
      <c r="A472" s="1">
        <v>44522</v>
      </c>
      <c r="B472">
        <v>17416.55</v>
      </c>
    </row>
    <row r="473" spans="1:2" x14ac:dyDescent="0.3">
      <c r="A473" s="1">
        <v>44523</v>
      </c>
      <c r="B473">
        <v>17503.349999999999</v>
      </c>
    </row>
    <row r="474" spans="1:2" x14ac:dyDescent="0.3">
      <c r="A474" s="1">
        <v>44524</v>
      </c>
      <c r="B474">
        <v>17415.05</v>
      </c>
    </row>
    <row r="475" spans="1:2" x14ac:dyDescent="0.3">
      <c r="A475" s="1">
        <v>44525</v>
      </c>
      <c r="B475">
        <v>17536.25</v>
      </c>
    </row>
    <row r="476" spans="1:2" x14ac:dyDescent="0.3">
      <c r="A476" s="1">
        <v>44526</v>
      </c>
      <c r="B476">
        <v>17026.45</v>
      </c>
    </row>
    <row r="477" spans="1:2" x14ac:dyDescent="0.3">
      <c r="A477" s="1">
        <v>44529</v>
      </c>
      <c r="B477">
        <v>17053.95</v>
      </c>
    </row>
    <row r="478" spans="1:2" x14ac:dyDescent="0.3">
      <c r="A478" s="1">
        <v>44530</v>
      </c>
      <c r="B478">
        <v>16983.2</v>
      </c>
    </row>
    <row r="479" spans="1:2" x14ac:dyDescent="0.3">
      <c r="A479" s="1">
        <v>44531</v>
      </c>
      <c r="B479">
        <v>17166.900000000001</v>
      </c>
    </row>
    <row r="480" spans="1:2" x14ac:dyDescent="0.3">
      <c r="A480" s="1">
        <v>44532</v>
      </c>
      <c r="B480">
        <v>17401.650000000001</v>
      </c>
    </row>
    <row r="481" spans="1:2" x14ac:dyDescent="0.3">
      <c r="A481" s="1">
        <v>44533</v>
      </c>
      <c r="B481">
        <v>17196.7</v>
      </c>
    </row>
    <row r="482" spans="1:2" x14ac:dyDescent="0.3">
      <c r="A482" s="1">
        <v>44536</v>
      </c>
      <c r="B482">
        <v>16912.25</v>
      </c>
    </row>
    <row r="483" spans="1:2" x14ac:dyDescent="0.3">
      <c r="A483" s="1">
        <v>44537</v>
      </c>
      <c r="B483">
        <v>17176.7</v>
      </c>
    </row>
    <row r="484" spans="1:2" x14ac:dyDescent="0.3">
      <c r="A484" s="1">
        <v>44538</v>
      </c>
      <c r="B484">
        <v>17469.75</v>
      </c>
    </row>
    <row r="485" spans="1:2" x14ac:dyDescent="0.3">
      <c r="A485" s="1">
        <v>44539</v>
      </c>
      <c r="B485">
        <v>17516.849999999999</v>
      </c>
    </row>
    <row r="486" spans="1:2" x14ac:dyDescent="0.3">
      <c r="A486" s="1">
        <v>44540</v>
      </c>
      <c r="B486">
        <v>17511.3</v>
      </c>
    </row>
    <row r="487" spans="1:2" x14ac:dyDescent="0.3">
      <c r="A487" s="1">
        <v>44543</v>
      </c>
      <c r="B487">
        <v>17368.25</v>
      </c>
    </row>
    <row r="488" spans="1:2" x14ac:dyDescent="0.3">
      <c r="A488" s="1">
        <v>44544</v>
      </c>
      <c r="B488">
        <v>17324.900000000001</v>
      </c>
    </row>
    <row r="489" spans="1:2" x14ac:dyDescent="0.3">
      <c r="A489" s="1">
        <v>44545</v>
      </c>
      <c r="B489">
        <v>17221.400000000001</v>
      </c>
    </row>
    <row r="490" spans="1:2" x14ac:dyDescent="0.3">
      <c r="A490" s="1">
        <v>44546</v>
      </c>
      <c r="B490">
        <v>17248.400000000001</v>
      </c>
    </row>
    <row r="491" spans="1:2" x14ac:dyDescent="0.3">
      <c r="A491" s="1">
        <v>44547</v>
      </c>
      <c r="B491">
        <v>16985.2</v>
      </c>
    </row>
    <row r="492" spans="1:2" x14ac:dyDescent="0.3">
      <c r="A492" s="1">
        <v>44550</v>
      </c>
      <c r="B492">
        <v>16614.2</v>
      </c>
    </row>
    <row r="493" spans="1:2" x14ac:dyDescent="0.3">
      <c r="A493" s="1">
        <v>44551</v>
      </c>
      <c r="B493">
        <v>16770.849999999999</v>
      </c>
    </row>
    <row r="494" spans="1:2" x14ac:dyDescent="0.3">
      <c r="A494" s="1">
        <v>44552</v>
      </c>
      <c r="B494">
        <v>16955.45</v>
      </c>
    </row>
    <row r="495" spans="1:2" x14ac:dyDescent="0.3">
      <c r="A495" s="1">
        <v>44553</v>
      </c>
      <c r="B495">
        <v>17072.599999999999</v>
      </c>
    </row>
    <row r="496" spans="1:2" x14ac:dyDescent="0.3">
      <c r="A496" s="1">
        <v>44554</v>
      </c>
      <c r="B496">
        <v>17003.75</v>
      </c>
    </row>
    <row r="497" spans="1:2" x14ac:dyDescent="0.3">
      <c r="A497" s="1">
        <v>44557</v>
      </c>
      <c r="B497">
        <v>17086.25</v>
      </c>
    </row>
    <row r="498" spans="1:2" x14ac:dyDescent="0.3">
      <c r="A498" s="1">
        <v>44558</v>
      </c>
      <c r="B498">
        <v>17233.25</v>
      </c>
    </row>
    <row r="499" spans="1:2" x14ac:dyDescent="0.3">
      <c r="A499" s="1">
        <v>44559</v>
      </c>
      <c r="B499">
        <v>17213.599999999999</v>
      </c>
    </row>
    <row r="500" spans="1:2" x14ac:dyDescent="0.3">
      <c r="A500" s="1">
        <v>44560</v>
      </c>
      <c r="B500">
        <v>17203.95</v>
      </c>
    </row>
    <row r="501" spans="1:2" x14ac:dyDescent="0.3">
      <c r="A501" s="1">
        <v>44561</v>
      </c>
      <c r="B501">
        <v>17354.05</v>
      </c>
    </row>
    <row r="502" spans="1:2" x14ac:dyDescent="0.3">
      <c r="A502" s="1">
        <v>44564</v>
      </c>
      <c r="B502">
        <v>17625.7</v>
      </c>
    </row>
    <row r="503" spans="1:2" x14ac:dyDescent="0.3">
      <c r="A503" s="1">
        <v>44565</v>
      </c>
      <c r="B503">
        <v>17805.25</v>
      </c>
    </row>
    <row r="504" spans="1:2" x14ac:dyDescent="0.3">
      <c r="A504" s="1">
        <v>44566</v>
      </c>
      <c r="B504">
        <v>17925.25</v>
      </c>
    </row>
    <row r="505" spans="1:2" x14ac:dyDescent="0.3">
      <c r="A505" s="1">
        <v>44567</v>
      </c>
      <c r="B505">
        <v>17745.900000000001</v>
      </c>
    </row>
    <row r="506" spans="1:2" x14ac:dyDescent="0.3">
      <c r="A506" s="1">
        <v>44568</v>
      </c>
      <c r="B506">
        <v>17812.7</v>
      </c>
    </row>
    <row r="507" spans="1:2" x14ac:dyDescent="0.3">
      <c r="A507" s="1">
        <v>44571</v>
      </c>
      <c r="B507">
        <v>18003.3</v>
      </c>
    </row>
    <row r="508" spans="1:2" x14ac:dyDescent="0.3">
      <c r="A508" s="1">
        <v>44572</v>
      </c>
      <c r="B508">
        <v>18055.75</v>
      </c>
    </row>
    <row r="509" spans="1:2" x14ac:dyDescent="0.3">
      <c r="A509" s="1">
        <v>44573</v>
      </c>
      <c r="B509">
        <v>18212.349999999999</v>
      </c>
    </row>
    <row r="510" spans="1:2" x14ac:dyDescent="0.3">
      <c r="A510" s="1">
        <v>44574</v>
      </c>
      <c r="B510">
        <v>18257.8</v>
      </c>
    </row>
    <row r="511" spans="1:2" x14ac:dyDescent="0.3">
      <c r="A511" s="1">
        <v>44575</v>
      </c>
      <c r="B511">
        <v>18255.75</v>
      </c>
    </row>
    <row r="512" spans="1:2" x14ac:dyDescent="0.3">
      <c r="A512" s="1">
        <v>44578</v>
      </c>
      <c r="B512">
        <v>18308.099999999999</v>
      </c>
    </row>
    <row r="513" spans="1:2" x14ac:dyDescent="0.3">
      <c r="A513" s="1">
        <v>44579</v>
      </c>
      <c r="B513">
        <v>18113.05</v>
      </c>
    </row>
    <row r="514" spans="1:2" x14ac:dyDescent="0.3">
      <c r="A514" s="1">
        <v>44580</v>
      </c>
      <c r="B514">
        <v>17938.400000000001</v>
      </c>
    </row>
    <row r="515" spans="1:2" x14ac:dyDescent="0.3">
      <c r="A515" s="1">
        <v>44581</v>
      </c>
      <c r="B515">
        <v>17757</v>
      </c>
    </row>
    <row r="516" spans="1:2" x14ac:dyDescent="0.3">
      <c r="A516" s="1">
        <v>44582</v>
      </c>
      <c r="B516">
        <v>17617.150000000001</v>
      </c>
    </row>
    <row r="517" spans="1:2" x14ac:dyDescent="0.3">
      <c r="A517" s="1">
        <v>44585</v>
      </c>
      <c r="B517">
        <v>17149.099999999999</v>
      </c>
    </row>
    <row r="518" spans="1:2" x14ac:dyDescent="0.3">
      <c r="A518" s="1">
        <v>44586</v>
      </c>
      <c r="B518">
        <v>17277.95</v>
      </c>
    </row>
    <row r="519" spans="1:2" x14ac:dyDescent="0.3">
      <c r="A519" s="1">
        <v>44588</v>
      </c>
      <c r="B519">
        <v>17110.150000000001</v>
      </c>
    </row>
    <row r="520" spans="1:2" x14ac:dyDescent="0.3">
      <c r="A520" s="1">
        <v>44589</v>
      </c>
      <c r="B520">
        <v>17101.95</v>
      </c>
    </row>
    <row r="521" spans="1:2" x14ac:dyDescent="0.3">
      <c r="A521" s="1">
        <v>44592</v>
      </c>
      <c r="B521">
        <v>17339.849999999999</v>
      </c>
    </row>
    <row r="522" spans="1:2" x14ac:dyDescent="0.3">
      <c r="A522" s="1">
        <v>44593</v>
      </c>
      <c r="B522">
        <v>17576.849999999999</v>
      </c>
    </row>
    <row r="523" spans="1:2" x14ac:dyDescent="0.3">
      <c r="A523" s="1">
        <v>44594</v>
      </c>
      <c r="B523">
        <v>17780</v>
      </c>
    </row>
    <row r="524" spans="1:2" x14ac:dyDescent="0.3">
      <c r="A524" s="1">
        <v>44595</v>
      </c>
      <c r="B524">
        <v>17560.2</v>
      </c>
    </row>
    <row r="525" spans="1:2" x14ac:dyDescent="0.3">
      <c r="A525" s="1">
        <v>44596</v>
      </c>
      <c r="B525">
        <v>17516.3</v>
      </c>
    </row>
    <row r="526" spans="1:2" x14ac:dyDescent="0.3">
      <c r="A526" s="1">
        <v>44599</v>
      </c>
      <c r="B526">
        <v>17213.599999999999</v>
      </c>
    </row>
    <row r="527" spans="1:2" x14ac:dyDescent="0.3">
      <c r="A527" s="1">
        <v>44600</v>
      </c>
      <c r="B527">
        <v>17266.75</v>
      </c>
    </row>
    <row r="528" spans="1:2" x14ac:dyDescent="0.3">
      <c r="A528" s="1">
        <v>44601</v>
      </c>
      <c r="B528">
        <v>17463.8</v>
      </c>
    </row>
    <row r="529" spans="1:2" x14ac:dyDescent="0.3">
      <c r="A529" s="1">
        <v>44602</v>
      </c>
      <c r="B529">
        <v>17605.849999999999</v>
      </c>
    </row>
    <row r="530" spans="1:2" x14ac:dyDescent="0.3">
      <c r="A530" s="1">
        <v>44603</v>
      </c>
      <c r="B530">
        <v>17374.75</v>
      </c>
    </row>
    <row r="531" spans="1:2" x14ac:dyDescent="0.3">
      <c r="A531" s="1">
        <v>44606</v>
      </c>
      <c r="B531">
        <v>16842.8</v>
      </c>
    </row>
    <row r="532" spans="1:2" x14ac:dyDescent="0.3">
      <c r="A532" s="1">
        <v>44607</v>
      </c>
      <c r="B532">
        <v>17352.45</v>
      </c>
    </row>
    <row r="533" spans="1:2" x14ac:dyDescent="0.3">
      <c r="A533" s="1">
        <v>44608</v>
      </c>
      <c r="B533">
        <v>17322.2</v>
      </c>
    </row>
    <row r="534" spans="1:2" x14ac:dyDescent="0.3">
      <c r="A534" s="1">
        <v>44609</v>
      </c>
      <c r="B534">
        <v>17304.599999999999</v>
      </c>
    </row>
    <row r="535" spans="1:2" x14ac:dyDescent="0.3">
      <c r="A535" s="1">
        <v>44610</v>
      </c>
      <c r="B535">
        <v>17276.3</v>
      </c>
    </row>
    <row r="536" spans="1:2" x14ac:dyDescent="0.3">
      <c r="A536" s="1">
        <v>44613</v>
      </c>
      <c r="B536">
        <v>17206.650000000001</v>
      </c>
    </row>
    <row r="537" spans="1:2" x14ac:dyDescent="0.3">
      <c r="A537" s="1">
        <v>44614</v>
      </c>
      <c r="B537">
        <v>17092.2</v>
      </c>
    </row>
    <row r="538" spans="1:2" x14ac:dyDescent="0.3">
      <c r="A538" s="1">
        <v>44615</v>
      </c>
      <c r="B538">
        <v>17063.25</v>
      </c>
    </row>
    <row r="539" spans="1:2" x14ac:dyDescent="0.3">
      <c r="A539" s="1">
        <v>44616</v>
      </c>
      <c r="B539">
        <v>16247.95</v>
      </c>
    </row>
    <row r="540" spans="1:2" x14ac:dyDescent="0.3">
      <c r="A540" s="1">
        <v>44617</v>
      </c>
      <c r="B540">
        <v>16658.400000000001</v>
      </c>
    </row>
    <row r="541" spans="1:2" x14ac:dyDescent="0.3">
      <c r="A541" s="1">
        <v>44620</v>
      </c>
      <c r="B541">
        <v>16793.900000000001</v>
      </c>
    </row>
    <row r="542" spans="1:2" x14ac:dyDescent="0.3">
      <c r="A542" s="1">
        <v>44622</v>
      </c>
      <c r="B542">
        <v>16605.95</v>
      </c>
    </row>
    <row r="543" spans="1:2" x14ac:dyDescent="0.3">
      <c r="A543" s="1">
        <v>44623</v>
      </c>
      <c r="B543">
        <v>16498.05</v>
      </c>
    </row>
    <row r="544" spans="1:2" x14ac:dyDescent="0.3">
      <c r="A544" s="1">
        <v>44624</v>
      </c>
      <c r="B544">
        <v>16245.35</v>
      </c>
    </row>
    <row r="545" spans="1:2" x14ac:dyDescent="0.3">
      <c r="A545" s="1">
        <v>44627</v>
      </c>
      <c r="B545">
        <v>15863.15</v>
      </c>
    </row>
    <row r="546" spans="1:2" x14ac:dyDescent="0.3">
      <c r="A546" s="1">
        <v>44628</v>
      </c>
      <c r="B546">
        <v>16013.45</v>
      </c>
    </row>
    <row r="547" spans="1:2" x14ac:dyDescent="0.3">
      <c r="A547" s="1">
        <v>44629</v>
      </c>
      <c r="B547">
        <v>16345.35</v>
      </c>
    </row>
    <row r="548" spans="1:2" x14ac:dyDescent="0.3">
      <c r="A548" s="1">
        <v>44630</v>
      </c>
      <c r="B548">
        <v>16594.900000000001</v>
      </c>
    </row>
    <row r="549" spans="1:2" x14ac:dyDescent="0.3">
      <c r="A549" s="1">
        <v>44631</v>
      </c>
      <c r="B549">
        <v>16630.45</v>
      </c>
    </row>
    <row r="550" spans="1:2" x14ac:dyDescent="0.3">
      <c r="A550" s="1">
        <v>44634</v>
      </c>
      <c r="B550">
        <v>16871.3</v>
      </c>
    </row>
    <row r="551" spans="1:2" x14ac:dyDescent="0.3">
      <c r="A551" s="1">
        <v>44635</v>
      </c>
      <c r="B551">
        <v>16663</v>
      </c>
    </row>
    <row r="552" spans="1:2" x14ac:dyDescent="0.3">
      <c r="A552" s="1">
        <v>44636</v>
      </c>
      <c r="B552">
        <v>16975.349999999999</v>
      </c>
    </row>
    <row r="553" spans="1:2" x14ac:dyDescent="0.3">
      <c r="A553" s="1">
        <v>44637</v>
      </c>
      <c r="B553">
        <v>17287.05</v>
      </c>
    </row>
    <row r="554" spans="1:2" x14ac:dyDescent="0.3">
      <c r="A554" s="1">
        <v>44641</v>
      </c>
      <c r="B554">
        <v>17117.599999999999</v>
      </c>
    </row>
    <row r="555" spans="1:2" x14ac:dyDescent="0.3">
      <c r="A555" s="1">
        <v>44642</v>
      </c>
      <c r="B555">
        <v>17315.5</v>
      </c>
    </row>
    <row r="556" spans="1:2" x14ac:dyDescent="0.3">
      <c r="A556" s="1">
        <v>44643</v>
      </c>
      <c r="B556">
        <v>17245.650000000001</v>
      </c>
    </row>
    <row r="557" spans="1:2" x14ac:dyDescent="0.3">
      <c r="A557" s="1">
        <v>44644</v>
      </c>
      <c r="B557">
        <v>17222.75</v>
      </c>
    </row>
    <row r="558" spans="1:2" x14ac:dyDescent="0.3">
      <c r="A558" s="1">
        <v>44645</v>
      </c>
      <c r="B558">
        <v>17153</v>
      </c>
    </row>
    <row r="559" spans="1:2" x14ac:dyDescent="0.3">
      <c r="A559" s="1">
        <v>44648</v>
      </c>
      <c r="B559">
        <v>17222</v>
      </c>
    </row>
    <row r="560" spans="1:2" x14ac:dyDescent="0.3">
      <c r="A560" s="1">
        <v>44649</v>
      </c>
      <c r="B560">
        <v>17325.3</v>
      </c>
    </row>
    <row r="561" spans="1:2" x14ac:dyDescent="0.3">
      <c r="A561" s="1">
        <v>44650</v>
      </c>
      <c r="B561">
        <v>17498.25</v>
      </c>
    </row>
    <row r="562" spans="1:2" x14ac:dyDescent="0.3">
      <c r="A562" s="1">
        <v>44651</v>
      </c>
      <c r="B562">
        <v>17464.75</v>
      </c>
    </row>
    <row r="563" spans="1:2" x14ac:dyDescent="0.3">
      <c r="A563" s="1">
        <v>44652</v>
      </c>
      <c r="B563">
        <v>17670.45</v>
      </c>
    </row>
    <row r="564" spans="1:2" x14ac:dyDescent="0.3">
      <c r="A564" s="1">
        <v>44655</v>
      </c>
      <c r="B564">
        <v>18053.400000000001</v>
      </c>
    </row>
    <row r="565" spans="1:2" x14ac:dyDescent="0.3">
      <c r="A565" s="1">
        <v>44656</v>
      </c>
      <c r="B565">
        <v>17957.400000000001</v>
      </c>
    </row>
    <row r="566" spans="1:2" x14ac:dyDescent="0.3">
      <c r="A566" s="1">
        <v>44657</v>
      </c>
      <c r="B566">
        <v>17807.650000000001</v>
      </c>
    </row>
    <row r="567" spans="1:2" x14ac:dyDescent="0.3">
      <c r="A567" s="1">
        <v>44658</v>
      </c>
      <c r="B567">
        <v>17639.55</v>
      </c>
    </row>
    <row r="568" spans="1:2" x14ac:dyDescent="0.3">
      <c r="A568" s="1">
        <v>44659</v>
      </c>
      <c r="B568">
        <v>17784.349999999999</v>
      </c>
    </row>
    <row r="569" spans="1:2" x14ac:dyDescent="0.3">
      <c r="A569" s="1">
        <v>44662</v>
      </c>
      <c r="B569">
        <v>17674.95</v>
      </c>
    </row>
    <row r="570" spans="1:2" x14ac:dyDescent="0.3">
      <c r="A570" s="1">
        <v>44663</v>
      </c>
      <c r="B570">
        <v>17530.3</v>
      </c>
    </row>
    <row r="571" spans="1:2" x14ac:dyDescent="0.3">
      <c r="A571" s="1">
        <v>44664</v>
      </c>
      <c r="B571">
        <v>17475.650000000001</v>
      </c>
    </row>
    <row r="572" spans="1:2" x14ac:dyDescent="0.3">
      <c r="A572" s="1">
        <v>44669</v>
      </c>
      <c r="B572">
        <v>17173.650000000001</v>
      </c>
    </row>
    <row r="573" spans="1:2" x14ac:dyDescent="0.3">
      <c r="A573" s="1">
        <v>44670</v>
      </c>
      <c r="B573">
        <v>16958.650000000001</v>
      </c>
    </row>
    <row r="574" spans="1:2" x14ac:dyDescent="0.3">
      <c r="A574" s="1">
        <v>44671</v>
      </c>
      <c r="B574">
        <v>17136.55</v>
      </c>
    </row>
    <row r="575" spans="1:2" x14ac:dyDescent="0.3">
      <c r="A575" s="1">
        <v>44672</v>
      </c>
      <c r="B575">
        <v>17392.599999999999</v>
      </c>
    </row>
    <row r="576" spans="1:2" x14ac:dyDescent="0.3">
      <c r="A576" s="1">
        <v>44673</v>
      </c>
      <c r="B576">
        <v>17171.95</v>
      </c>
    </row>
    <row r="577" spans="1:2" x14ac:dyDescent="0.3">
      <c r="A577" s="1">
        <v>44676</v>
      </c>
      <c r="B577">
        <v>16953.95</v>
      </c>
    </row>
    <row r="578" spans="1:2" x14ac:dyDescent="0.3">
      <c r="A578" s="1">
        <v>44677</v>
      </c>
      <c r="B578">
        <v>17200.8</v>
      </c>
    </row>
    <row r="579" spans="1:2" x14ac:dyDescent="0.3">
      <c r="A579" s="1">
        <v>44678</v>
      </c>
      <c r="B579">
        <v>17038.400000000001</v>
      </c>
    </row>
    <row r="580" spans="1:2" x14ac:dyDescent="0.3">
      <c r="A580" s="1">
        <v>44679</v>
      </c>
      <c r="B580">
        <v>17245.05</v>
      </c>
    </row>
    <row r="581" spans="1:2" x14ac:dyDescent="0.3">
      <c r="A581" s="1">
        <v>44680</v>
      </c>
      <c r="B581">
        <v>17102.55</v>
      </c>
    </row>
    <row r="582" spans="1:2" x14ac:dyDescent="0.3">
      <c r="A582" s="1">
        <v>44683</v>
      </c>
      <c r="B582">
        <v>17069.099999999999</v>
      </c>
    </row>
    <row r="583" spans="1:2" x14ac:dyDescent="0.3">
      <c r="A583" s="1">
        <v>44685</v>
      </c>
      <c r="B583">
        <v>16677.599999999999</v>
      </c>
    </row>
    <row r="584" spans="1:2" x14ac:dyDescent="0.3">
      <c r="A584" s="1">
        <v>44686</v>
      </c>
      <c r="B584">
        <v>16682.650000000001</v>
      </c>
    </row>
    <row r="585" spans="1:2" x14ac:dyDescent="0.3">
      <c r="A585" s="1">
        <v>44687</v>
      </c>
      <c r="B585">
        <v>16411.25</v>
      </c>
    </row>
    <row r="586" spans="1:2" x14ac:dyDescent="0.3">
      <c r="A586" s="1">
        <v>44690</v>
      </c>
      <c r="B586">
        <v>16301.85</v>
      </c>
    </row>
    <row r="587" spans="1:2" x14ac:dyDescent="0.3">
      <c r="A587" s="1">
        <v>44691</v>
      </c>
      <c r="B587">
        <v>16240.05</v>
      </c>
    </row>
    <row r="588" spans="1:2" x14ac:dyDescent="0.3">
      <c r="A588" s="1">
        <v>44692</v>
      </c>
      <c r="B588">
        <v>16167.1</v>
      </c>
    </row>
    <row r="589" spans="1:2" x14ac:dyDescent="0.3">
      <c r="A589" s="1">
        <v>44693</v>
      </c>
      <c r="B589">
        <v>15808</v>
      </c>
    </row>
    <row r="590" spans="1:2" x14ac:dyDescent="0.3">
      <c r="A590" s="1">
        <v>44694</v>
      </c>
      <c r="B590">
        <v>15782.15</v>
      </c>
    </row>
    <row r="591" spans="1:2" x14ac:dyDescent="0.3">
      <c r="A591" s="1">
        <v>44697</v>
      </c>
      <c r="B591">
        <v>15842.3</v>
      </c>
    </row>
    <row r="592" spans="1:2" x14ac:dyDescent="0.3">
      <c r="A592" s="1">
        <v>44698</v>
      </c>
      <c r="B592">
        <v>16259.3</v>
      </c>
    </row>
    <row r="593" spans="1:2" x14ac:dyDescent="0.3">
      <c r="A593" s="1">
        <v>44699</v>
      </c>
      <c r="B593">
        <v>16240.3</v>
      </c>
    </row>
    <row r="594" spans="1:2" x14ac:dyDescent="0.3">
      <c r="A594" s="1">
        <v>44700</v>
      </c>
      <c r="B594">
        <v>15809.4</v>
      </c>
    </row>
    <row r="595" spans="1:2" x14ac:dyDescent="0.3">
      <c r="A595" s="1">
        <v>44701</v>
      </c>
      <c r="B595">
        <v>16266.15</v>
      </c>
    </row>
    <row r="596" spans="1:2" x14ac:dyDescent="0.3">
      <c r="A596" s="1">
        <v>44704</v>
      </c>
      <c r="B596">
        <v>16214.7</v>
      </c>
    </row>
    <row r="597" spans="1:2" x14ac:dyDescent="0.3">
      <c r="A597" s="1">
        <v>44705</v>
      </c>
      <c r="B597">
        <v>16125.15</v>
      </c>
    </row>
    <row r="598" spans="1:2" x14ac:dyDescent="0.3">
      <c r="A598" s="1">
        <v>44706</v>
      </c>
      <c r="B598">
        <v>16025.8</v>
      </c>
    </row>
    <row r="599" spans="1:2" x14ac:dyDescent="0.3">
      <c r="A599" s="1">
        <v>44707</v>
      </c>
      <c r="B599">
        <v>16170.15</v>
      </c>
    </row>
    <row r="600" spans="1:2" x14ac:dyDescent="0.3">
      <c r="A600" s="1">
        <v>44708</v>
      </c>
      <c r="B600">
        <v>16352.45</v>
      </c>
    </row>
    <row r="601" spans="1:2" x14ac:dyDescent="0.3">
      <c r="A601" s="1">
        <v>44711</v>
      </c>
      <c r="B601">
        <v>16661.400000000001</v>
      </c>
    </row>
    <row r="602" spans="1:2" x14ac:dyDescent="0.3">
      <c r="A602" s="1">
        <v>44712</v>
      </c>
      <c r="B602">
        <v>16584.55</v>
      </c>
    </row>
    <row r="603" spans="1:2" x14ac:dyDescent="0.3">
      <c r="A603" s="1">
        <v>44713</v>
      </c>
      <c r="B603">
        <v>16522.75</v>
      </c>
    </row>
    <row r="604" spans="1:2" x14ac:dyDescent="0.3">
      <c r="A604" s="1">
        <v>44714</v>
      </c>
      <c r="B604">
        <v>16628</v>
      </c>
    </row>
    <row r="605" spans="1:2" x14ac:dyDescent="0.3">
      <c r="A605" s="1">
        <v>44715</v>
      </c>
      <c r="B605">
        <v>16584.3</v>
      </c>
    </row>
    <row r="606" spans="1:2" x14ac:dyDescent="0.3">
      <c r="A606" s="1">
        <v>44718</v>
      </c>
      <c r="B606">
        <v>16569.55</v>
      </c>
    </row>
    <row r="607" spans="1:2" x14ac:dyDescent="0.3">
      <c r="A607" s="1">
        <v>44719</v>
      </c>
      <c r="B607">
        <v>16416.349999999999</v>
      </c>
    </row>
    <row r="608" spans="1:2" x14ac:dyDescent="0.3">
      <c r="A608" s="1">
        <v>44720</v>
      </c>
      <c r="B608">
        <v>16356.25</v>
      </c>
    </row>
    <row r="609" spans="1:2" x14ac:dyDescent="0.3">
      <c r="A609" s="1">
        <v>44721</v>
      </c>
      <c r="B609">
        <v>16478.099999999999</v>
      </c>
    </row>
    <row r="610" spans="1:2" x14ac:dyDescent="0.3">
      <c r="A610" s="1">
        <v>44722</v>
      </c>
      <c r="B610">
        <v>16201.8</v>
      </c>
    </row>
    <row r="611" spans="1:2" x14ac:dyDescent="0.3">
      <c r="A611" s="1">
        <v>44725</v>
      </c>
      <c r="B611">
        <v>15774.4</v>
      </c>
    </row>
    <row r="612" spans="1:2" x14ac:dyDescent="0.3">
      <c r="A612" s="1">
        <v>44726</v>
      </c>
      <c r="B612">
        <v>15732.1</v>
      </c>
    </row>
    <row r="613" spans="1:2" x14ac:dyDescent="0.3">
      <c r="A613" s="1">
        <v>44727</v>
      </c>
      <c r="B613">
        <v>15692.15</v>
      </c>
    </row>
    <row r="614" spans="1:2" x14ac:dyDescent="0.3">
      <c r="A614" s="1">
        <v>44728</v>
      </c>
      <c r="B614">
        <v>15360.6</v>
      </c>
    </row>
    <row r="615" spans="1:2" x14ac:dyDescent="0.3">
      <c r="A615" s="1">
        <v>44729</v>
      </c>
      <c r="B615">
        <v>15293.5</v>
      </c>
    </row>
    <row r="616" spans="1:2" x14ac:dyDescent="0.3">
      <c r="A616" s="1">
        <v>44732</v>
      </c>
      <c r="B616">
        <v>15350.15</v>
      </c>
    </row>
    <row r="617" spans="1:2" x14ac:dyDescent="0.3">
      <c r="A617" s="1">
        <v>44733</v>
      </c>
      <c r="B617">
        <v>15638.8</v>
      </c>
    </row>
    <row r="618" spans="1:2" x14ac:dyDescent="0.3">
      <c r="A618" s="1">
        <v>44734</v>
      </c>
      <c r="B618">
        <v>15413.3</v>
      </c>
    </row>
    <row r="619" spans="1:2" x14ac:dyDescent="0.3">
      <c r="A619" s="1">
        <v>44735</v>
      </c>
      <c r="B619">
        <v>15556.65</v>
      </c>
    </row>
    <row r="620" spans="1:2" x14ac:dyDescent="0.3">
      <c r="A620" s="1">
        <v>44736</v>
      </c>
      <c r="B620">
        <v>15699.25</v>
      </c>
    </row>
    <row r="621" spans="1:2" x14ac:dyDescent="0.3">
      <c r="A621" s="1">
        <v>44739</v>
      </c>
      <c r="B621">
        <v>15832.05</v>
      </c>
    </row>
    <row r="622" spans="1:2" x14ac:dyDescent="0.3">
      <c r="A622" s="1">
        <v>44740</v>
      </c>
      <c r="B622">
        <v>15850.2</v>
      </c>
    </row>
    <row r="623" spans="1:2" x14ac:dyDescent="0.3">
      <c r="A623" s="1">
        <v>44741</v>
      </c>
      <c r="B623">
        <v>15799.1</v>
      </c>
    </row>
    <row r="624" spans="1:2" x14ac:dyDescent="0.3">
      <c r="A624" s="1">
        <v>44742</v>
      </c>
      <c r="B624">
        <v>15780.25</v>
      </c>
    </row>
    <row r="625" spans="1:2" x14ac:dyDescent="0.3">
      <c r="A625" s="1">
        <v>44743</v>
      </c>
      <c r="B625">
        <v>15752.05</v>
      </c>
    </row>
    <row r="626" spans="1:2" x14ac:dyDescent="0.3">
      <c r="A626" s="1">
        <v>44746</v>
      </c>
      <c r="B626">
        <v>15835.35</v>
      </c>
    </row>
    <row r="627" spans="1:2" x14ac:dyDescent="0.3">
      <c r="A627" s="1">
        <v>44747</v>
      </c>
      <c r="B627">
        <v>15810.85</v>
      </c>
    </row>
    <row r="628" spans="1:2" x14ac:dyDescent="0.3">
      <c r="A628" s="1">
        <v>44748</v>
      </c>
      <c r="B628">
        <v>15989.8</v>
      </c>
    </row>
    <row r="629" spans="1:2" x14ac:dyDescent="0.3">
      <c r="A629" s="1">
        <v>44749</v>
      </c>
      <c r="B629">
        <v>16132.9</v>
      </c>
    </row>
    <row r="630" spans="1:2" x14ac:dyDescent="0.3">
      <c r="A630" s="1">
        <v>44750</v>
      </c>
      <c r="B630">
        <v>16220.6</v>
      </c>
    </row>
    <row r="631" spans="1:2" x14ac:dyDescent="0.3">
      <c r="A631" s="1">
        <v>44753</v>
      </c>
      <c r="B631">
        <v>16216</v>
      </c>
    </row>
    <row r="632" spans="1:2" x14ac:dyDescent="0.3">
      <c r="A632" s="1">
        <v>44754</v>
      </c>
      <c r="B632">
        <v>16058.3</v>
      </c>
    </row>
    <row r="633" spans="1:2" x14ac:dyDescent="0.3">
      <c r="A633" s="1">
        <v>44755</v>
      </c>
      <c r="B633">
        <v>15966.65</v>
      </c>
    </row>
    <row r="634" spans="1:2" x14ac:dyDescent="0.3">
      <c r="A634" s="1">
        <v>44756</v>
      </c>
      <c r="B634">
        <v>15938.65</v>
      </c>
    </row>
    <row r="635" spans="1:2" x14ac:dyDescent="0.3">
      <c r="A635" s="1">
        <v>44757</v>
      </c>
      <c r="B635">
        <v>16049.2</v>
      </c>
    </row>
    <row r="636" spans="1:2" x14ac:dyDescent="0.3">
      <c r="A636" s="1">
        <v>44760</v>
      </c>
      <c r="B636">
        <v>16278.5</v>
      </c>
    </row>
    <row r="637" spans="1:2" x14ac:dyDescent="0.3">
      <c r="A637" s="1">
        <v>44761</v>
      </c>
      <c r="B637">
        <v>16340.55</v>
      </c>
    </row>
    <row r="638" spans="1:2" x14ac:dyDescent="0.3">
      <c r="A638" s="1">
        <v>44762</v>
      </c>
      <c r="B638">
        <v>16520.849999999999</v>
      </c>
    </row>
    <row r="639" spans="1:2" x14ac:dyDescent="0.3">
      <c r="A639" s="1">
        <v>44763</v>
      </c>
      <c r="B639">
        <v>16605.25</v>
      </c>
    </row>
    <row r="640" spans="1:2" x14ac:dyDescent="0.3">
      <c r="A640" s="1">
        <v>44764</v>
      </c>
      <c r="B640">
        <v>16719.45</v>
      </c>
    </row>
    <row r="641" spans="1:2" x14ac:dyDescent="0.3">
      <c r="A641" s="1">
        <v>44767</v>
      </c>
      <c r="B641">
        <v>16631</v>
      </c>
    </row>
    <row r="642" spans="1:2" x14ac:dyDescent="0.3">
      <c r="A642" s="1">
        <v>44768</v>
      </c>
      <c r="B642">
        <v>16483.849999999999</v>
      </c>
    </row>
    <row r="643" spans="1:2" x14ac:dyDescent="0.3">
      <c r="A643" s="1">
        <v>44769</v>
      </c>
      <c r="B643">
        <v>16641.8</v>
      </c>
    </row>
    <row r="644" spans="1:2" x14ac:dyDescent="0.3">
      <c r="A644" s="1">
        <v>44770</v>
      </c>
      <c r="B644">
        <v>16929.599999999999</v>
      </c>
    </row>
    <row r="645" spans="1:2" x14ac:dyDescent="0.3">
      <c r="A645" s="1">
        <v>44771</v>
      </c>
      <c r="B645">
        <v>17158.25</v>
      </c>
    </row>
    <row r="646" spans="1:2" x14ac:dyDescent="0.3">
      <c r="A646" s="1">
        <v>44774</v>
      </c>
      <c r="B646">
        <v>17340.05</v>
      </c>
    </row>
    <row r="647" spans="1:2" x14ac:dyDescent="0.3">
      <c r="A647" s="1">
        <v>44775</v>
      </c>
      <c r="B647">
        <v>17345.45</v>
      </c>
    </row>
    <row r="648" spans="1:2" x14ac:dyDescent="0.3">
      <c r="A648" s="1">
        <v>44776</v>
      </c>
      <c r="B648">
        <v>17388.150000000001</v>
      </c>
    </row>
    <row r="649" spans="1:2" x14ac:dyDescent="0.3">
      <c r="A649" s="1">
        <v>44777</v>
      </c>
      <c r="B649">
        <v>17382</v>
      </c>
    </row>
    <row r="650" spans="1:2" x14ac:dyDescent="0.3">
      <c r="A650" s="1">
        <v>44778</v>
      </c>
      <c r="B650">
        <v>17397.5</v>
      </c>
    </row>
    <row r="651" spans="1:2" x14ac:dyDescent="0.3">
      <c r="A651" s="1">
        <v>44781</v>
      </c>
      <c r="B651">
        <v>17525.099999999999</v>
      </c>
    </row>
    <row r="652" spans="1:2" x14ac:dyDescent="0.3">
      <c r="A652" s="1">
        <v>44783</v>
      </c>
      <c r="B652">
        <v>17534.75</v>
      </c>
    </row>
    <row r="653" spans="1:2" x14ac:dyDescent="0.3">
      <c r="A653" s="1">
        <v>44784</v>
      </c>
      <c r="B653">
        <v>17659</v>
      </c>
    </row>
    <row r="654" spans="1:2" x14ac:dyDescent="0.3">
      <c r="A654" s="1">
        <v>44785</v>
      </c>
      <c r="B654">
        <v>17698.150000000001</v>
      </c>
    </row>
    <row r="655" spans="1:2" x14ac:dyDescent="0.3">
      <c r="A655" s="1">
        <v>44789</v>
      </c>
      <c r="B655">
        <v>17825.25</v>
      </c>
    </row>
    <row r="656" spans="1:2" x14ac:dyDescent="0.3">
      <c r="A656" s="1">
        <v>44790</v>
      </c>
      <c r="B656">
        <v>17944.25</v>
      </c>
    </row>
    <row r="657" spans="1:2" x14ac:dyDescent="0.3">
      <c r="A657" s="1">
        <v>44791</v>
      </c>
      <c r="B657">
        <v>17956.5</v>
      </c>
    </row>
    <row r="658" spans="1:2" x14ac:dyDescent="0.3">
      <c r="A658" s="1">
        <v>44792</v>
      </c>
      <c r="B658">
        <v>17758.45</v>
      </c>
    </row>
    <row r="659" spans="1:2" x14ac:dyDescent="0.3">
      <c r="A659" s="1">
        <v>44795</v>
      </c>
      <c r="B659">
        <v>17490.7</v>
      </c>
    </row>
    <row r="660" spans="1:2" x14ac:dyDescent="0.3">
      <c r="A660" s="1">
        <v>44796</v>
      </c>
      <c r="B660">
        <v>17577.5</v>
      </c>
    </row>
    <row r="661" spans="1:2" x14ac:dyDescent="0.3">
      <c r="A661" s="1">
        <v>44797</v>
      </c>
      <c r="B661">
        <v>17604.95</v>
      </c>
    </row>
    <row r="662" spans="1:2" x14ac:dyDescent="0.3">
      <c r="A662" s="1">
        <v>44798</v>
      </c>
      <c r="B662">
        <v>17522.45</v>
      </c>
    </row>
    <row r="663" spans="1:2" x14ac:dyDescent="0.3">
      <c r="A663" s="1">
        <v>44799</v>
      </c>
      <c r="B663">
        <v>17558.900000000001</v>
      </c>
    </row>
    <row r="664" spans="1:2" x14ac:dyDescent="0.3">
      <c r="A664" s="1">
        <v>44802</v>
      </c>
      <c r="B664">
        <v>17312.900000000001</v>
      </c>
    </row>
    <row r="665" spans="1:2" x14ac:dyDescent="0.3">
      <c r="A665" s="1">
        <v>44803</v>
      </c>
      <c r="B665">
        <v>17759.3</v>
      </c>
    </row>
    <row r="666" spans="1:2" x14ac:dyDescent="0.3">
      <c r="A666" s="1">
        <v>44805</v>
      </c>
      <c r="B666">
        <v>17542.8</v>
      </c>
    </row>
    <row r="667" spans="1:2" x14ac:dyDescent="0.3">
      <c r="A667" s="1">
        <v>44806</v>
      </c>
      <c r="B667">
        <v>17539.45</v>
      </c>
    </row>
    <row r="668" spans="1:2" x14ac:dyDescent="0.3">
      <c r="A668" s="1">
        <v>44809</v>
      </c>
      <c r="B668">
        <v>17665.8</v>
      </c>
    </row>
    <row r="669" spans="1:2" x14ac:dyDescent="0.3">
      <c r="A669" s="1">
        <v>44810</v>
      </c>
      <c r="B669">
        <v>17655.599999999999</v>
      </c>
    </row>
    <row r="670" spans="1:2" x14ac:dyDescent="0.3">
      <c r="A670" s="1">
        <v>44811</v>
      </c>
      <c r="B670">
        <v>17624.400000000001</v>
      </c>
    </row>
    <row r="671" spans="1:2" x14ac:dyDescent="0.3">
      <c r="A671" s="1">
        <v>44812</v>
      </c>
      <c r="B671">
        <v>17798.75</v>
      </c>
    </row>
    <row r="672" spans="1:2" x14ac:dyDescent="0.3">
      <c r="A672" s="1">
        <v>44813</v>
      </c>
      <c r="B672">
        <v>17833.349999999999</v>
      </c>
    </row>
    <row r="673" spans="1:2" x14ac:dyDescent="0.3">
      <c r="A673" s="1">
        <v>44816</v>
      </c>
      <c r="B673">
        <v>17936.349999999999</v>
      </c>
    </row>
    <row r="674" spans="1:2" x14ac:dyDescent="0.3">
      <c r="A674" s="1">
        <v>44817</v>
      </c>
      <c r="B674">
        <v>18070.05</v>
      </c>
    </row>
    <row r="675" spans="1:2" x14ac:dyDescent="0.3">
      <c r="A675" s="1">
        <v>44818</v>
      </c>
      <c r="B675">
        <v>18003.75</v>
      </c>
    </row>
    <row r="676" spans="1:2" x14ac:dyDescent="0.3">
      <c r="A676" s="1">
        <v>44819</v>
      </c>
      <c r="B676">
        <v>17877.400000000001</v>
      </c>
    </row>
    <row r="677" spans="1:2" x14ac:dyDescent="0.3">
      <c r="A677" s="1">
        <v>44820</v>
      </c>
      <c r="B677">
        <v>17530.849999999999</v>
      </c>
    </row>
    <row r="678" spans="1:2" x14ac:dyDescent="0.3">
      <c r="A678" s="1">
        <v>44823</v>
      </c>
      <c r="B678">
        <v>17622.25</v>
      </c>
    </row>
    <row r="679" spans="1:2" x14ac:dyDescent="0.3">
      <c r="A679" s="1">
        <v>44824</v>
      </c>
      <c r="B679">
        <v>17816.25</v>
      </c>
    </row>
    <row r="680" spans="1:2" x14ac:dyDescent="0.3">
      <c r="A680" s="1">
        <v>44825</v>
      </c>
      <c r="B680">
        <v>17718.349999999999</v>
      </c>
    </row>
    <row r="681" spans="1:2" x14ac:dyDescent="0.3">
      <c r="A681" s="1">
        <v>44826</v>
      </c>
      <c r="B681">
        <v>17629.8</v>
      </c>
    </row>
    <row r="682" spans="1:2" x14ac:dyDescent="0.3">
      <c r="A682" s="1">
        <v>44827</v>
      </c>
      <c r="B682">
        <v>17327.349999999999</v>
      </c>
    </row>
    <row r="683" spans="1:2" x14ac:dyDescent="0.3">
      <c r="A683" s="1">
        <v>44830</v>
      </c>
      <c r="B683">
        <v>17016.3</v>
      </c>
    </row>
    <row r="684" spans="1:2" x14ac:dyDescent="0.3">
      <c r="A684" s="1">
        <v>44831</v>
      </c>
      <c r="B684">
        <v>17007.400000000001</v>
      </c>
    </row>
    <row r="685" spans="1:2" x14ac:dyDescent="0.3">
      <c r="A685" s="1">
        <v>44832</v>
      </c>
      <c r="B685">
        <v>16858.599999999999</v>
      </c>
    </row>
    <row r="686" spans="1:2" x14ac:dyDescent="0.3">
      <c r="A686" s="1">
        <v>44833</v>
      </c>
      <c r="B686">
        <v>16818.099999999999</v>
      </c>
    </row>
    <row r="687" spans="1:2" x14ac:dyDescent="0.3">
      <c r="A687" s="1">
        <v>44834</v>
      </c>
      <c r="B687">
        <v>17094.349999999999</v>
      </c>
    </row>
    <row r="688" spans="1:2" x14ac:dyDescent="0.3">
      <c r="A688" s="1">
        <v>44837</v>
      </c>
      <c r="B688">
        <v>16887.349999999999</v>
      </c>
    </row>
    <row r="689" spans="1:2" x14ac:dyDescent="0.3">
      <c r="A689" s="1">
        <v>44838</v>
      </c>
      <c r="B689">
        <v>17274.3</v>
      </c>
    </row>
    <row r="690" spans="1:2" x14ac:dyDescent="0.3">
      <c r="A690" s="1">
        <v>44840</v>
      </c>
      <c r="B690">
        <v>17331.8</v>
      </c>
    </row>
    <row r="691" spans="1:2" x14ac:dyDescent="0.3">
      <c r="A691" s="1">
        <v>44841</v>
      </c>
      <c r="B691">
        <v>17314.650000000001</v>
      </c>
    </row>
    <row r="692" spans="1:2" x14ac:dyDescent="0.3">
      <c r="A692" s="1">
        <v>44844</v>
      </c>
      <c r="B692">
        <v>17241</v>
      </c>
    </row>
    <row r="693" spans="1:2" x14ac:dyDescent="0.3">
      <c r="A693" s="1">
        <v>44845</v>
      </c>
      <c r="B693">
        <v>16983.55</v>
      </c>
    </row>
    <row r="694" spans="1:2" x14ac:dyDescent="0.3">
      <c r="A694" s="1">
        <v>44846</v>
      </c>
      <c r="B694">
        <v>17123.599999999999</v>
      </c>
    </row>
    <row r="695" spans="1:2" x14ac:dyDescent="0.3">
      <c r="A695" s="1">
        <v>44847</v>
      </c>
      <c r="B695">
        <v>17014.349999999999</v>
      </c>
    </row>
    <row r="696" spans="1:2" x14ac:dyDescent="0.3">
      <c r="A696" s="1">
        <v>44848</v>
      </c>
      <c r="B696">
        <v>17185.7</v>
      </c>
    </row>
    <row r="697" spans="1:2" x14ac:dyDescent="0.3">
      <c r="A697" s="1">
        <v>44851</v>
      </c>
      <c r="B697">
        <v>17311.8</v>
      </c>
    </row>
    <row r="698" spans="1:2" x14ac:dyDescent="0.3">
      <c r="A698" s="1">
        <v>44852</v>
      </c>
      <c r="B698">
        <v>17486.95</v>
      </c>
    </row>
    <row r="699" spans="1:2" x14ac:dyDescent="0.3">
      <c r="A699" s="1">
        <v>44853</v>
      </c>
      <c r="B699">
        <v>17512.25</v>
      </c>
    </row>
    <row r="700" spans="1:2" x14ac:dyDescent="0.3">
      <c r="A700" s="1">
        <v>44854</v>
      </c>
      <c r="B700">
        <v>17563.95</v>
      </c>
    </row>
    <row r="701" spans="1:2" x14ac:dyDescent="0.3">
      <c r="A701" s="1">
        <v>44855</v>
      </c>
      <c r="B701">
        <v>17576.3</v>
      </c>
    </row>
    <row r="702" spans="1:2" x14ac:dyDescent="0.3">
      <c r="A702" s="1">
        <v>44858</v>
      </c>
      <c r="B702">
        <v>17730.75</v>
      </c>
    </row>
    <row r="703" spans="1:2" x14ac:dyDescent="0.3">
      <c r="A703" s="1">
        <v>44859</v>
      </c>
      <c r="B703">
        <v>17656.349999999999</v>
      </c>
    </row>
    <row r="704" spans="1:2" x14ac:dyDescent="0.3">
      <c r="A704" s="1">
        <v>44861</v>
      </c>
      <c r="B704">
        <v>17736.95</v>
      </c>
    </row>
    <row r="705" spans="1:2" x14ac:dyDescent="0.3">
      <c r="A705" s="1">
        <v>44862</v>
      </c>
      <c r="B705">
        <v>17786.8</v>
      </c>
    </row>
    <row r="706" spans="1:2" x14ac:dyDescent="0.3">
      <c r="A706" s="1">
        <v>44865</v>
      </c>
      <c r="B706">
        <v>18012.2</v>
      </c>
    </row>
    <row r="707" spans="1:2" x14ac:dyDescent="0.3">
      <c r="A707" s="1">
        <v>44866</v>
      </c>
      <c r="B707">
        <v>18145.400000000001</v>
      </c>
    </row>
    <row r="708" spans="1:2" x14ac:dyDescent="0.3">
      <c r="A708" s="1">
        <v>44867</v>
      </c>
      <c r="B708">
        <v>18082.849999999999</v>
      </c>
    </row>
    <row r="709" spans="1:2" x14ac:dyDescent="0.3">
      <c r="A709" s="1">
        <v>44868</v>
      </c>
      <c r="B709">
        <v>18052.7</v>
      </c>
    </row>
    <row r="710" spans="1:2" x14ac:dyDescent="0.3">
      <c r="A710" s="1">
        <v>44869</v>
      </c>
      <c r="B710">
        <v>18117.150000000001</v>
      </c>
    </row>
    <row r="711" spans="1:2" x14ac:dyDescent="0.3">
      <c r="A711" s="1">
        <v>44872</v>
      </c>
      <c r="B711">
        <v>18202.8</v>
      </c>
    </row>
    <row r="712" spans="1:2" x14ac:dyDescent="0.3">
      <c r="A712" s="1">
        <v>44874</v>
      </c>
      <c r="B712">
        <v>18157</v>
      </c>
    </row>
    <row r="713" spans="1:2" x14ac:dyDescent="0.3">
      <c r="A713" s="1">
        <v>44875</v>
      </c>
      <c r="B713">
        <v>18028.2</v>
      </c>
    </row>
    <row r="714" spans="1:2" x14ac:dyDescent="0.3">
      <c r="A714" s="1">
        <v>44876</v>
      </c>
      <c r="B714">
        <v>18349.7</v>
      </c>
    </row>
    <row r="715" spans="1:2" x14ac:dyDescent="0.3">
      <c r="A715" s="1">
        <v>44879</v>
      </c>
      <c r="B715">
        <v>18329.150000000001</v>
      </c>
    </row>
    <row r="716" spans="1:2" x14ac:dyDescent="0.3">
      <c r="A716" s="1">
        <v>44880</v>
      </c>
      <c r="B716">
        <v>18403.400000000001</v>
      </c>
    </row>
    <row r="717" spans="1:2" x14ac:dyDescent="0.3">
      <c r="A717" s="1">
        <v>44881</v>
      </c>
      <c r="B717">
        <v>18409.650000000001</v>
      </c>
    </row>
    <row r="718" spans="1:2" x14ac:dyDescent="0.3">
      <c r="A718" s="1">
        <v>44882</v>
      </c>
      <c r="B718">
        <v>18343.900000000001</v>
      </c>
    </row>
    <row r="719" spans="1:2" x14ac:dyDescent="0.3">
      <c r="A719" s="1">
        <v>44883</v>
      </c>
      <c r="B719">
        <v>18307.650000000001</v>
      </c>
    </row>
    <row r="720" spans="1:2" x14ac:dyDescent="0.3">
      <c r="A720" s="1">
        <v>44886</v>
      </c>
      <c r="B720">
        <v>18159.95</v>
      </c>
    </row>
    <row r="721" spans="1:2" x14ac:dyDescent="0.3">
      <c r="A721" s="1">
        <v>44887</v>
      </c>
      <c r="B721">
        <v>18244.2</v>
      </c>
    </row>
    <row r="722" spans="1:2" x14ac:dyDescent="0.3">
      <c r="A722" s="1">
        <v>44888</v>
      </c>
      <c r="B722">
        <v>18267.25</v>
      </c>
    </row>
    <row r="723" spans="1:2" x14ac:dyDescent="0.3">
      <c r="A723" s="1">
        <v>44889</v>
      </c>
      <c r="B723">
        <v>18484.099999999999</v>
      </c>
    </row>
    <row r="724" spans="1:2" x14ac:dyDescent="0.3">
      <c r="A724" s="1">
        <v>44890</v>
      </c>
      <c r="B724">
        <v>18512.75</v>
      </c>
    </row>
    <row r="725" spans="1:2" x14ac:dyDescent="0.3">
      <c r="A725" s="1">
        <v>44893</v>
      </c>
      <c r="B725">
        <v>18562.75</v>
      </c>
    </row>
    <row r="726" spans="1:2" x14ac:dyDescent="0.3">
      <c r="A726" s="1">
        <v>44894</v>
      </c>
      <c r="B726">
        <v>18618.05</v>
      </c>
    </row>
    <row r="727" spans="1:2" x14ac:dyDescent="0.3">
      <c r="A727" s="1">
        <v>44895</v>
      </c>
      <c r="B727">
        <v>18758.349999999999</v>
      </c>
    </row>
    <row r="728" spans="1:2" x14ac:dyDescent="0.3">
      <c r="A728" s="1">
        <v>44896</v>
      </c>
      <c r="B728">
        <v>18812.5</v>
      </c>
    </row>
    <row r="729" spans="1:2" x14ac:dyDescent="0.3">
      <c r="A729" s="1">
        <v>44897</v>
      </c>
      <c r="B729">
        <v>18696.099999999999</v>
      </c>
    </row>
    <row r="730" spans="1:2" x14ac:dyDescent="0.3">
      <c r="A730" s="1">
        <v>44900</v>
      </c>
      <c r="B730">
        <v>18701.05</v>
      </c>
    </row>
    <row r="731" spans="1:2" x14ac:dyDescent="0.3">
      <c r="A731" s="1">
        <v>44901</v>
      </c>
      <c r="B731">
        <v>18642.75</v>
      </c>
    </row>
    <row r="732" spans="1:2" x14ac:dyDescent="0.3">
      <c r="A732" s="1">
        <v>44902</v>
      </c>
      <c r="B732">
        <v>18560.5</v>
      </c>
    </row>
    <row r="733" spans="1:2" x14ac:dyDescent="0.3">
      <c r="A733" s="1">
        <v>44903</v>
      </c>
      <c r="B733">
        <v>18609.349999999999</v>
      </c>
    </row>
    <row r="734" spans="1:2" x14ac:dyDescent="0.3">
      <c r="A734" s="1">
        <v>44904</v>
      </c>
      <c r="B734">
        <v>18496.599999999999</v>
      </c>
    </row>
    <row r="735" spans="1:2" x14ac:dyDescent="0.3">
      <c r="A735" s="1">
        <v>44907</v>
      </c>
      <c r="B735">
        <v>18497.150000000001</v>
      </c>
    </row>
    <row r="736" spans="1:2" x14ac:dyDescent="0.3">
      <c r="A736" s="1">
        <v>44908</v>
      </c>
      <c r="B736">
        <v>18608</v>
      </c>
    </row>
    <row r="737" spans="1:2" x14ac:dyDescent="0.3">
      <c r="A737" s="1">
        <v>44909</v>
      </c>
      <c r="B737">
        <v>18660.3</v>
      </c>
    </row>
    <row r="738" spans="1:2" x14ac:dyDescent="0.3">
      <c r="A738" s="1">
        <v>44910</v>
      </c>
      <c r="B738">
        <v>18414.900000000001</v>
      </c>
    </row>
    <row r="739" spans="1:2" x14ac:dyDescent="0.3">
      <c r="A739" s="1">
        <v>44911</v>
      </c>
      <c r="B739">
        <v>18269</v>
      </c>
    </row>
    <row r="740" spans="1:2" x14ac:dyDescent="0.3">
      <c r="A740" s="1">
        <v>44914</v>
      </c>
      <c r="B740">
        <v>18420.45</v>
      </c>
    </row>
    <row r="741" spans="1:2" x14ac:dyDescent="0.3">
      <c r="A741" s="1">
        <v>44915</v>
      </c>
      <c r="B741">
        <v>18385.3</v>
      </c>
    </row>
    <row r="742" spans="1:2" x14ac:dyDescent="0.3">
      <c r="A742" s="1">
        <v>44916</v>
      </c>
      <c r="B742">
        <v>18199.099999999999</v>
      </c>
    </row>
    <row r="743" spans="1:2" x14ac:dyDescent="0.3">
      <c r="A743" s="1">
        <v>44917</v>
      </c>
      <c r="B743">
        <v>18127.349999999999</v>
      </c>
    </row>
    <row r="744" spans="1:2" x14ac:dyDescent="0.3">
      <c r="A744" s="1">
        <v>44918</v>
      </c>
      <c r="B744">
        <v>17806.8</v>
      </c>
    </row>
    <row r="745" spans="1:2" x14ac:dyDescent="0.3">
      <c r="A745" s="1">
        <v>44921</v>
      </c>
      <c r="B745">
        <v>18014.599999999999</v>
      </c>
    </row>
    <row r="746" spans="1:2" x14ac:dyDescent="0.3">
      <c r="A746" s="1">
        <v>44922</v>
      </c>
      <c r="B746">
        <v>18132.3</v>
      </c>
    </row>
    <row r="747" spans="1:2" x14ac:dyDescent="0.3">
      <c r="A747" s="1">
        <v>44923</v>
      </c>
      <c r="B747">
        <v>18122.5</v>
      </c>
    </row>
    <row r="748" spans="1:2" x14ac:dyDescent="0.3">
      <c r="A748" s="1">
        <v>44924</v>
      </c>
      <c r="B748">
        <v>18191</v>
      </c>
    </row>
    <row r="749" spans="1:2" x14ac:dyDescent="0.3">
      <c r="A749" s="1">
        <v>44925</v>
      </c>
      <c r="B749">
        <v>18105.3</v>
      </c>
    </row>
    <row r="750" spans="1:2" x14ac:dyDescent="0.3">
      <c r="A750" s="1">
        <v>44928</v>
      </c>
      <c r="B750">
        <v>18197.45</v>
      </c>
    </row>
    <row r="751" spans="1:2" x14ac:dyDescent="0.3">
      <c r="A751" s="1">
        <v>44929</v>
      </c>
      <c r="B751">
        <v>18232.55</v>
      </c>
    </row>
    <row r="752" spans="1:2" x14ac:dyDescent="0.3">
      <c r="A752" s="1">
        <v>44930</v>
      </c>
      <c r="B752">
        <v>18042.95</v>
      </c>
    </row>
    <row r="753" spans="1:2" x14ac:dyDescent="0.3">
      <c r="A753" s="1">
        <v>44931</v>
      </c>
      <c r="B753">
        <v>17992.150000000001</v>
      </c>
    </row>
    <row r="754" spans="1:2" x14ac:dyDescent="0.3">
      <c r="A754" s="1">
        <v>44932</v>
      </c>
      <c r="B754">
        <v>17859.45</v>
      </c>
    </row>
    <row r="755" spans="1:2" x14ac:dyDescent="0.3">
      <c r="A755" s="1">
        <v>44935</v>
      </c>
      <c r="B755">
        <v>18101.2</v>
      </c>
    </row>
    <row r="756" spans="1:2" x14ac:dyDescent="0.3">
      <c r="A756" s="1">
        <v>44936</v>
      </c>
      <c r="B756">
        <v>17914.150000000001</v>
      </c>
    </row>
    <row r="757" spans="1:2" x14ac:dyDescent="0.3">
      <c r="A757" s="1">
        <v>44937</v>
      </c>
      <c r="B757">
        <v>17895.7</v>
      </c>
    </row>
    <row r="758" spans="1:2" x14ac:dyDescent="0.3">
      <c r="A758" s="1">
        <v>44938</v>
      </c>
      <c r="B758">
        <v>17858.2</v>
      </c>
    </row>
    <row r="759" spans="1:2" x14ac:dyDescent="0.3">
      <c r="A759" s="1">
        <v>44939</v>
      </c>
      <c r="B759">
        <v>17956.599999999999</v>
      </c>
    </row>
    <row r="760" spans="1:2" x14ac:dyDescent="0.3">
      <c r="A760" s="1">
        <v>44942</v>
      </c>
      <c r="B760">
        <v>17894.849999999999</v>
      </c>
    </row>
    <row r="761" spans="1:2" x14ac:dyDescent="0.3">
      <c r="A761" s="1">
        <v>44943</v>
      </c>
      <c r="B761">
        <v>18053.3</v>
      </c>
    </row>
    <row r="762" spans="1:2" x14ac:dyDescent="0.3">
      <c r="A762" s="1">
        <v>44944</v>
      </c>
      <c r="B762">
        <v>18165.349999999999</v>
      </c>
    </row>
    <row r="763" spans="1:2" x14ac:dyDescent="0.3">
      <c r="A763" s="1">
        <v>44945</v>
      </c>
      <c r="B763">
        <v>18107.849999999999</v>
      </c>
    </row>
    <row r="764" spans="1:2" x14ac:dyDescent="0.3">
      <c r="A764" s="1">
        <v>44946</v>
      </c>
      <c r="B764">
        <v>18027.650000000001</v>
      </c>
    </row>
    <row r="765" spans="1:2" x14ac:dyDescent="0.3">
      <c r="A765" s="1">
        <v>44949</v>
      </c>
      <c r="B765">
        <v>18118.55</v>
      </c>
    </row>
    <row r="766" spans="1:2" x14ac:dyDescent="0.3">
      <c r="A766" s="1">
        <v>44950</v>
      </c>
      <c r="B766">
        <v>18118.3</v>
      </c>
    </row>
    <row r="767" spans="1:2" x14ac:dyDescent="0.3">
      <c r="A767" s="1">
        <v>44951</v>
      </c>
      <c r="B767">
        <v>17891.95</v>
      </c>
    </row>
    <row r="768" spans="1:2" x14ac:dyDescent="0.3">
      <c r="A768" s="1">
        <v>44953</v>
      </c>
      <c r="B768">
        <v>17604.349999999999</v>
      </c>
    </row>
    <row r="769" spans="1:2" x14ac:dyDescent="0.3">
      <c r="A769" s="1">
        <v>44956</v>
      </c>
      <c r="B769">
        <v>17648.95</v>
      </c>
    </row>
    <row r="770" spans="1:2" x14ac:dyDescent="0.3">
      <c r="A770" s="1">
        <v>44957</v>
      </c>
      <c r="B770">
        <v>17662.150000000001</v>
      </c>
    </row>
    <row r="771" spans="1:2" x14ac:dyDescent="0.3">
      <c r="A771" s="1">
        <v>44958</v>
      </c>
      <c r="B771">
        <v>17616.3</v>
      </c>
    </row>
    <row r="772" spans="1:2" x14ac:dyDescent="0.3">
      <c r="A772" s="1">
        <v>44959</v>
      </c>
      <c r="B772">
        <v>17610.400000000001</v>
      </c>
    </row>
    <row r="773" spans="1:2" x14ac:dyDescent="0.3">
      <c r="A773" s="1">
        <v>44960</v>
      </c>
      <c r="B773">
        <v>17854.05</v>
      </c>
    </row>
    <row r="774" spans="1:2" x14ac:dyDescent="0.3">
      <c r="A774" s="1">
        <v>44963</v>
      </c>
      <c r="B774">
        <v>17764.599999999999</v>
      </c>
    </row>
    <row r="775" spans="1:2" x14ac:dyDescent="0.3">
      <c r="A775" s="1">
        <v>44964</v>
      </c>
      <c r="B775">
        <v>17721.5</v>
      </c>
    </row>
    <row r="776" spans="1:2" x14ac:dyDescent="0.3">
      <c r="A776" s="1">
        <v>44965</v>
      </c>
      <c r="B776">
        <v>17871.7</v>
      </c>
    </row>
    <row r="777" spans="1:2" x14ac:dyDescent="0.3">
      <c r="A777" s="1">
        <v>44966</v>
      </c>
      <c r="B777">
        <v>17893.45</v>
      </c>
    </row>
    <row r="778" spans="1:2" x14ac:dyDescent="0.3">
      <c r="A778" s="1">
        <v>44967</v>
      </c>
      <c r="B778">
        <v>17856.5</v>
      </c>
    </row>
    <row r="779" spans="1:2" x14ac:dyDescent="0.3">
      <c r="A779" s="1">
        <v>44970</v>
      </c>
      <c r="B779">
        <v>17770.900000000001</v>
      </c>
    </row>
    <row r="780" spans="1:2" x14ac:dyDescent="0.3">
      <c r="A780" s="1">
        <v>44971</v>
      </c>
      <c r="B780">
        <v>17929.849999999999</v>
      </c>
    </row>
    <row r="781" spans="1:2" x14ac:dyDescent="0.3">
      <c r="A781" s="1">
        <v>44972</v>
      </c>
      <c r="B781">
        <v>18015.849999999999</v>
      </c>
    </row>
    <row r="782" spans="1:2" x14ac:dyDescent="0.3">
      <c r="A782" s="1">
        <v>44973</v>
      </c>
      <c r="B782">
        <v>18035.849999999999</v>
      </c>
    </row>
    <row r="783" spans="1:2" x14ac:dyDescent="0.3">
      <c r="A783" s="1">
        <v>44974</v>
      </c>
      <c r="B783">
        <v>17944.2</v>
      </c>
    </row>
    <row r="784" spans="1:2" x14ac:dyDescent="0.3">
      <c r="A784" s="1">
        <v>44977</v>
      </c>
      <c r="B784">
        <v>17844.599999999999</v>
      </c>
    </row>
    <row r="785" spans="1:2" x14ac:dyDescent="0.3">
      <c r="A785" s="1">
        <v>44978</v>
      </c>
      <c r="B785">
        <v>17826.7</v>
      </c>
    </row>
    <row r="786" spans="1:2" x14ac:dyDescent="0.3">
      <c r="A786" s="1">
        <v>44979</v>
      </c>
      <c r="B786">
        <v>17554.3</v>
      </c>
    </row>
    <row r="787" spans="1:2" x14ac:dyDescent="0.3">
      <c r="A787" s="1">
        <v>44980</v>
      </c>
      <c r="B787">
        <v>17511.25</v>
      </c>
    </row>
    <row r="788" spans="1:2" x14ac:dyDescent="0.3">
      <c r="A788" s="1">
        <v>44981</v>
      </c>
      <c r="B788">
        <v>17465.8</v>
      </c>
    </row>
    <row r="789" spans="1:2" x14ac:dyDescent="0.3">
      <c r="A789" s="1">
        <v>44984</v>
      </c>
      <c r="B789">
        <v>17392.7</v>
      </c>
    </row>
    <row r="790" spans="1:2" x14ac:dyDescent="0.3">
      <c r="A790" s="1">
        <v>44985</v>
      </c>
      <c r="B790">
        <v>17303.95</v>
      </c>
    </row>
    <row r="791" spans="1:2" x14ac:dyDescent="0.3">
      <c r="A791" s="1">
        <v>44986</v>
      </c>
      <c r="B791">
        <v>17450.900000000001</v>
      </c>
    </row>
    <row r="792" spans="1:2" x14ac:dyDescent="0.3">
      <c r="A792" s="1">
        <v>44987</v>
      </c>
      <c r="B792">
        <v>17321.900000000001</v>
      </c>
    </row>
    <row r="793" spans="1:2" x14ac:dyDescent="0.3">
      <c r="A793" s="1">
        <v>44988</v>
      </c>
      <c r="B793">
        <v>17594.349999999999</v>
      </c>
    </row>
    <row r="794" spans="1:2" x14ac:dyDescent="0.3">
      <c r="A794" s="1">
        <v>44991</v>
      </c>
      <c r="B794">
        <v>17711.45</v>
      </c>
    </row>
    <row r="795" spans="1:2" x14ac:dyDescent="0.3">
      <c r="A795" s="1">
        <v>44993</v>
      </c>
      <c r="B795">
        <v>17754.400000000001</v>
      </c>
    </row>
    <row r="796" spans="1:2" x14ac:dyDescent="0.3">
      <c r="A796" s="1">
        <v>44994</v>
      </c>
      <c r="B796">
        <v>17589.599999999999</v>
      </c>
    </row>
    <row r="797" spans="1:2" x14ac:dyDescent="0.3">
      <c r="A797" s="1">
        <v>44995</v>
      </c>
      <c r="B797">
        <v>17412.900000000001</v>
      </c>
    </row>
    <row r="798" spans="1:2" x14ac:dyDescent="0.3">
      <c r="A798" s="1">
        <v>44998</v>
      </c>
      <c r="B798">
        <v>17154.3</v>
      </c>
    </row>
    <row r="799" spans="1:2" x14ac:dyDescent="0.3">
      <c r="A799" s="1">
        <v>44999</v>
      </c>
      <c r="B799">
        <v>17043.3</v>
      </c>
    </row>
    <row r="800" spans="1:2" x14ac:dyDescent="0.3">
      <c r="A800" s="1">
        <v>45000</v>
      </c>
      <c r="B800">
        <v>16972.150000000001</v>
      </c>
    </row>
    <row r="801" spans="1:2" x14ac:dyDescent="0.3">
      <c r="A801" s="1">
        <v>45001</v>
      </c>
      <c r="B801">
        <v>16985.599999999999</v>
      </c>
    </row>
    <row r="802" spans="1:2" x14ac:dyDescent="0.3">
      <c r="A802" s="1">
        <v>45002</v>
      </c>
      <c r="B802">
        <v>17100.05</v>
      </c>
    </row>
    <row r="803" spans="1:2" x14ac:dyDescent="0.3">
      <c r="A803" s="1">
        <v>45005</v>
      </c>
      <c r="B803">
        <v>16988.400000000001</v>
      </c>
    </row>
    <row r="804" spans="1:2" x14ac:dyDescent="0.3">
      <c r="A804" s="1">
        <v>45006</v>
      </c>
      <c r="B804">
        <v>17107.5</v>
      </c>
    </row>
    <row r="805" spans="1:2" x14ac:dyDescent="0.3">
      <c r="A805" s="1">
        <v>45007</v>
      </c>
      <c r="B805">
        <v>17151.900000000001</v>
      </c>
    </row>
    <row r="806" spans="1:2" x14ac:dyDescent="0.3">
      <c r="A806" s="1">
        <v>45008</v>
      </c>
      <c r="B806">
        <v>17076.900000000001</v>
      </c>
    </row>
    <row r="807" spans="1:2" x14ac:dyDescent="0.3">
      <c r="A807" s="1">
        <v>45009</v>
      </c>
      <c r="B807">
        <v>16945.05</v>
      </c>
    </row>
    <row r="808" spans="1:2" x14ac:dyDescent="0.3">
      <c r="A808" s="1">
        <v>45012</v>
      </c>
      <c r="B808">
        <v>16985.7</v>
      </c>
    </row>
    <row r="809" spans="1:2" x14ac:dyDescent="0.3">
      <c r="A809" s="1">
        <v>45013</v>
      </c>
      <c r="B809">
        <v>16951.7</v>
      </c>
    </row>
    <row r="810" spans="1:2" x14ac:dyDescent="0.3">
      <c r="A810" s="1">
        <v>45014</v>
      </c>
      <c r="B810">
        <v>17080.7</v>
      </c>
    </row>
    <row r="811" spans="1:2" x14ac:dyDescent="0.3">
      <c r="A811" s="1">
        <v>45016</v>
      </c>
      <c r="B811">
        <v>17359.75</v>
      </c>
    </row>
    <row r="812" spans="1:2" x14ac:dyDescent="0.3">
      <c r="A812" s="1">
        <v>45019</v>
      </c>
      <c r="B812">
        <v>17398.05</v>
      </c>
    </row>
    <row r="813" spans="1:2" x14ac:dyDescent="0.3">
      <c r="A813" s="1">
        <v>45021</v>
      </c>
      <c r="B813">
        <v>17557.05</v>
      </c>
    </row>
    <row r="814" spans="1:2" x14ac:dyDescent="0.3">
      <c r="A814" s="1">
        <v>45022</v>
      </c>
      <c r="B814">
        <v>17599.150000000001</v>
      </c>
    </row>
    <row r="815" spans="1:2" x14ac:dyDescent="0.3">
      <c r="A815" s="1">
        <v>45026</v>
      </c>
      <c r="B815">
        <v>17624.05</v>
      </c>
    </row>
    <row r="816" spans="1:2" x14ac:dyDescent="0.3">
      <c r="A816" s="1">
        <v>45027</v>
      </c>
      <c r="B816">
        <v>17722.3</v>
      </c>
    </row>
    <row r="817" spans="1:2" x14ac:dyDescent="0.3">
      <c r="A817" s="1">
        <v>45028</v>
      </c>
      <c r="B817">
        <v>17812.400000000001</v>
      </c>
    </row>
    <row r="818" spans="1:2" x14ac:dyDescent="0.3">
      <c r="A818" s="1">
        <v>45029</v>
      </c>
      <c r="B818">
        <v>17828</v>
      </c>
    </row>
    <row r="819" spans="1:2" x14ac:dyDescent="0.3">
      <c r="A819" s="1">
        <v>45033</v>
      </c>
      <c r="B819">
        <v>17706.849999999999</v>
      </c>
    </row>
    <row r="820" spans="1:2" x14ac:dyDescent="0.3">
      <c r="A820" s="1">
        <v>45034</v>
      </c>
      <c r="B820">
        <v>17660.150000000001</v>
      </c>
    </row>
    <row r="821" spans="1:2" x14ac:dyDescent="0.3">
      <c r="A821" s="1">
        <v>45035</v>
      </c>
      <c r="B821">
        <v>17618.75</v>
      </c>
    </row>
    <row r="822" spans="1:2" x14ac:dyDescent="0.3">
      <c r="A822" s="1">
        <v>45036</v>
      </c>
      <c r="B822">
        <v>17624.45</v>
      </c>
    </row>
    <row r="823" spans="1:2" x14ac:dyDescent="0.3">
      <c r="A823" s="1">
        <v>45037</v>
      </c>
      <c r="B823">
        <v>17624.05</v>
      </c>
    </row>
    <row r="824" spans="1:2" x14ac:dyDescent="0.3">
      <c r="A824" s="1">
        <v>45040</v>
      </c>
      <c r="B824">
        <v>17743.400000000001</v>
      </c>
    </row>
    <row r="825" spans="1:2" x14ac:dyDescent="0.3">
      <c r="A825" s="1">
        <v>45041</v>
      </c>
      <c r="B825">
        <v>17769.25</v>
      </c>
    </row>
    <row r="826" spans="1:2" x14ac:dyDescent="0.3">
      <c r="A826" s="1">
        <v>45042</v>
      </c>
      <c r="B826">
        <v>17813.599999999999</v>
      </c>
    </row>
    <row r="827" spans="1:2" x14ac:dyDescent="0.3">
      <c r="A827" s="1">
        <v>45043</v>
      </c>
      <c r="B827">
        <v>17915.05</v>
      </c>
    </row>
    <row r="828" spans="1:2" x14ac:dyDescent="0.3">
      <c r="A828" s="1">
        <v>45044</v>
      </c>
      <c r="B828">
        <v>18065</v>
      </c>
    </row>
    <row r="829" spans="1:2" x14ac:dyDescent="0.3">
      <c r="A829" s="1">
        <v>45048</v>
      </c>
      <c r="B829">
        <v>18147.650000000001</v>
      </c>
    </row>
    <row r="830" spans="1:2" x14ac:dyDescent="0.3">
      <c r="A830" s="1">
        <v>45049</v>
      </c>
      <c r="B830">
        <v>18089.849999999999</v>
      </c>
    </row>
    <row r="831" spans="1:2" x14ac:dyDescent="0.3">
      <c r="A831" s="1">
        <v>45050</v>
      </c>
      <c r="B831">
        <v>18255.8</v>
      </c>
    </row>
    <row r="832" spans="1:2" x14ac:dyDescent="0.3">
      <c r="A832" s="1">
        <v>45051</v>
      </c>
      <c r="B832">
        <v>18069</v>
      </c>
    </row>
    <row r="833" spans="1:2" x14ac:dyDescent="0.3">
      <c r="A833" s="1">
        <v>45054</v>
      </c>
      <c r="B833">
        <v>18264.400000000001</v>
      </c>
    </row>
    <row r="834" spans="1:2" x14ac:dyDescent="0.3">
      <c r="A834" s="1">
        <v>45055</v>
      </c>
      <c r="B834">
        <v>18265.95</v>
      </c>
    </row>
    <row r="835" spans="1:2" x14ac:dyDescent="0.3">
      <c r="A835" s="1">
        <v>45056</v>
      </c>
      <c r="B835">
        <v>18315.099999999999</v>
      </c>
    </row>
    <row r="836" spans="1:2" x14ac:dyDescent="0.3">
      <c r="A836" s="1">
        <v>45057</v>
      </c>
      <c r="B836">
        <v>18297</v>
      </c>
    </row>
    <row r="837" spans="1:2" x14ac:dyDescent="0.3">
      <c r="A837" s="1">
        <v>45058</v>
      </c>
      <c r="B837">
        <v>18314.8</v>
      </c>
    </row>
    <row r="838" spans="1:2" x14ac:dyDescent="0.3">
      <c r="A838" s="1">
        <v>45061</v>
      </c>
      <c r="B838">
        <v>18398.849999999999</v>
      </c>
    </row>
    <row r="839" spans="1:2" x14ac:dyDescent="0.3">
      <c r="A839" s="1">
        <v>45062</v>
      </c>
      <c r="B839">
        <v>18286.5</v>
      </c>
    </row>
    <row r="840" spans="1:2" x14ac:dyDescent="0.3">
      <c r="A840" s="1">
        <v>45063</v>
      </c>
      <c r="B840">
        <v>18181.75</v>
      </c>
    </row>
    <row r="841" spans="1:2" x14ac:dyDescent="0.3">
      <c r="A841" s="1">
        <v>45064</v>
      </c>
      <c r="B841">
        <v>18129.95</v>
      </c>
    </row>
    <row r="842" spans="1:2" x14ac:dyDescent="0.3">
      <c r="A842" s="1">
        <v>45065</v>
      </c>
      <c r="B842">
        <v>18203.400000000001</v>
      </c>
    </row>
    <row r="843" spans="1:2" x14ac:dyDescent="0.3">
      <c r="A843" s="1">
        <v>45068</v>
      </c>
      <c r="B843">
        <v>18314.400000000001</v>
      </c>
    </row>
    <row r="844" spans="1:2" x14ac:dyDescent="0.3">
      <c r="A844" s="1">
        <v>45069</v>
      </c>
      <c r="B844">
        <v>18348</v>
      </c>
    </row>
    <row r="845" spans="1:2" x14ac:dyDescent="0.3">
      <c r="A845" s="1">
        <v>45070</v>
      </c>
      <c r="B845">
        <v>18285.400000000001</v>
      </c>
    </row>
    <row r="846" spans="1:2" x14ac:dyDescent="0.3">
      <c r="A846" s="1">
        <v>45071</v>
      </c>
      <c r="B846">
        <v>18321.150000000001</v>
      </c>
    </row>
    <row r="847" spans="1:2" x14ac:dyDescent="0.3">
      <c r="A847" s="1">
        <v>45072</v>
      </c>
      <c r="B847">
        <v>18499.349999999999</v>
      </c>
    </row>
    <row r="848" spans="1:2" x14ac:dyDescent="0.3">
      <c r="A848" s="1">
        <v>45075</v>
      </c>
      <c r="B848">
        <v>18598.650000000001</v>
      </c>
    </row>
    <row r="849" spans="1:2" x14ac:dyDescent="0.3">
      <c r="A849" s="1">
        <v>45076</v>
      </c>
      <c r="B849">
        <v>18633.849999999999</v>
      </c>
    </row>
    <row r="850" spans="1:2" x14ac:dyDescent="0.3">
      <c r="A850" s="1">
        <v>45077</v>
      </c>
      <c r="B850">
        <v>18534.400000000001</v>
      </c>
    </row>
    <row r="851" spans="1:2" x14ac:dyDescent="0.3">
      <c r="A851" s="1">
        <v>45078</v>
      </c>
      <c r="B851">
        <v>18487.75</v>
      </c>
    </row>
    <row r="852" spans="1:2" x14ac:dyDescent="0.3">
      <c r="A852" s="1">
        <v>45079</v>
      </c>
      <c r="B852">
        <v>18534.099999999999</v>
      </c>
    </row>
    <row r="853" spans="1:2" x14ac:dyDescent="0.3">
      <c r="A853" s="1">
        <v>45082</v>
      </c>
      <c r="B853">
        <v>18593.849999999999</v>
      </c>
    </row>
    <row r="854" spans="1:2" x14ac:dyDescent="0.3">
      <c r="A854" s="1">
        <v>45083</v>
      </c>
      <c r="B854">
        <v>18599</v>
      </c>
    </row>
    <row r="855" spans="1:2" x14ac:dyDescent="0.3">
      <c r="A855" s="1">
        <v>45084</v>
      </c>
      <c r="B855">
        <v>18726.400000000001</v>
      </c>
    </row>
    <row r="856" spans="1:2" x14ac:dyDescent="0.3">
      <c r="A856" s="1">
        <v>45085</v>
      </c>
      <c r="B856">
        <v>18634.55</v>
      </c>
    </row>
    <row r="857" spans="1:2" x14ac:dyDescent="0.3">
      <c r="A857" s="1">
        <v>45086</v>
      </c>
      <c r="B857">
        <v>18563.400000000001</v>
      </c>
    </row>
    <row r="858" spans="1:2" x14ac:dyDescent="0.3">
      <c r="A858" s="1">
        <v>45089</v>
      </c>
      <c r="B858">
        <v>18601.5</v>
      </c>
    </row>
    <row r="859" spans="1:2" x14ac:dyDescent="0.3">
      <c r="A859" s="1">
        <v>45090</v>
      </c>
      <c r="B859">
        <v>18716.150000000001</v>
      </c>
    </row>
    <row r="860" spans="1:2" x14ac:dyDescent="0.3">
      <c r="A860" s="1">
        <v>45091</v>
      </c>
      <c r="B860">
        <v>18755.900000000001</v>
      </c>
    </row>
    <row r="861" spans="1:2" x14ac:dyDescent="0.3">
      <c r="A861" s="1">
        <v>45092</v>
      </c>
      <c r="B861">
        <v>18688.099999999999</v>
      </c>
    </row>
    <row r="862" spans="1:2" x14ac:dyDescent="0.3">
      <c r="A862" s="1">
        <v>45093</v>
      </c>
      <c r="B862">
        <v>18826</v>
      </c>
    </row>
    <row r="863" spans="1:2" x14ac:dyDescent="0.3">
      <c r="A863" s="1">
        <v>45096</v>
      </c>
      <c r="B863">
        <v>18755.45</v>
      </c>
    </row>
    <row r="864" spans="1:2" x14ac:dyDescent="0.3">
      <c r="A864" s="1">
        <v>45097</v>
      </c>
      <c r="B864">
        <v>18816.7</v>
      </c>
    </row>
    <row r="865" spans="1:2" x14ac:dyDescent="0.3">
      <c r="A865" s="1">
        <v>45098</v>
      </c>
      <c r="B865">
        <v>18856.849999999999</v>
      </c>
    </row>
    <row r="866" spans="1:2" x14ac:dyDescent="0.3">
      <c r="A866" s="1">
        <v>45099</v>
      </c>
      <c r="B866">
        <v>18771.25</v>
      </c>
    </row>
    <row r="867" spans="1:2" x14ac:dyDescent="0.3">
      <c r="A867" s="1">
        <v>45100</v>
      </c>
      <c r="B867">
        <v>18665.5</v>
      </c>
    </row>
    <row r="868" spans="1:2" x14ac:dyDescent="0.3">
      <c r="A868" s="1">
        <v>45103</v>
      </c>
      <c r="B868">
        <v>18691.2</v>
      </c>
    </row>
    <row r="869" spans="1:2" x14ac:dyDescent="0.3">
      <c r="A869" s="1">
        <v>45104</v>
      </c>
      <c r="B869">
        <v>18817.400000000001</v>
      </c>
    </row>
    <row r="870" spans="1:2" x14ac:dyDescent="0.3">
      <c r="A870" s="1">
        <v>45105</v>
      </c>
      <c r="B870">
        <v>18972.099999999999</v>
      </c>
    </row>
    <row r="871" spans="1:2" x14ac:dyDescent="0.3">
      <c r="A871" s="1">
        <v>45107</v>
      </c>
      <c r="B871">
        <v>19189.05</v>
      </c>
    </row>
    <row r="872" spans="1:2" x14ac:dyDescent="0.3">
      <c r="A872" s="1">
        <v>45110</v>
      </c>
      <c r="B872">
        <v>19322.55</v>
      </c>
    </row>
    <row r="873" spans="1:2" x14ac:dyDescent="0.3">
      <c r="A873" s="1">
        <v>45111</v>
      </c>
      <c r="B873">
        <v>19389</v>
      </c>
    </row>
    <row r="874" spans="1:2" x14ac:dyDescent="0.3">
      <c r="A874" s="1">
        <v>45112</v>
      </c>
      <c r="B874">
        <v>19398.5</v>
      </c>
    </row>
    <row r="875" spans="1:2" x14ac:dyDescent="0.3">
      <c r="A875" s="1">
        <v>45113</v>
      </c>
      <c r="B875">
        <v>19497.3</v>
      </c>
    </row>
    <row r="876" spans="1:2" x14ac:dyDescent="0.3">
      <c r="A876" s="1">
        <v>45114</v>
      </c>
      <c r="B876">
        <v>19331.8</v>
      </c>
    </row>
    <row r="877" spans="1:2" x14ac:dyDescent="0.3">
      <c r="A877" s="1">
        <v>45117</v>
      </c>
      <c r="B877">
        <v>19355.900000000001</v>
      </c>
    </row>
    <row r="878" spans="1:2" x14ac:dyDescent="0.3">
      <c r="A878" s="1">
        <v>45118</v>
      </c>
      <c r="B878">
        <v>19439.400000000001</v>
      </c>
    </row>
    <row r="879" spans="1:2" x14ac:dyDescent="0.3">
      <c r="A879" s="1">
        <v>45119</v>
      </c>
      <c r="B879">
        <v>19384.3</v>
      </c>
    </row>
    <row r="880" spans="1:2" x14ac:dyDescent="0.3">
      <c r="A880" s="1">
        <v>45120</v>
      </c>
      <c r="B880">
        <v>19413.75</v>
      </c>
    </row>
    <row r="881" spans="1:2" x14ac:dyDescent="0.3">
      <c r="A881" s="1">
        <v>45121</v>
      </c>
      <c r="B881">
        <v>19564.5</v>
      </c>
    </row>
    <row r="882" spans="1:2" x14ac:dyDescent="0.3">
      <c r="A882" s="1">
        <v>45124</v>
      </c>
      <c r="B882">
        <v>19711.45</v>
      </c>
    </row>
    <row r="883" spans="1:2" x14ac:dyDescent="0.3">
      <c r="A883" s="1">
        <v>45125</v>
      </c>
      <c r="B883">
        <v>19749.25</v>
      </c>
    </row>
    <row r="884" spans="1:2" x14ac:dyDescent="0.3">
      <c r="A884" s="1">
        <v>45126</v>
      </c>
      <c r="B884">
        <v>19833.150000000001</v>
      </c>
    </row>
    <row r="885" spans="1:2" x14ac:dyDescent="0.3">
      <c r="A885" s="1">
        <v>45127</v>
      </c>
      <c r="B885">
        <v>19979.150000000001</v>
      </c>
    </row>
    <row r="886" spans="1:2" x14ac:dyDescent="0.3">
      <c r="A886" s="1">
        <v>45128</v>
      </c>
      <c r="B886">
        <v>19745</v>
      </c>
    </row>
    <row r="887" spans="1:2" x14ac:dyDescent="0.3">
      <c r="A887" s="1">
        <v>45131</v>
      </c>
      <c r="B887">
        <v>19672.349999999999</v>
      </c>
    </row>
    <row r="888" spans="1:2" x14ac:dyDescent="0.3">
      <c r="A888" s="1">
        <v>45132</v>
      </c>
      <c r="B888">
        <v>19680.599999999999</v>
      </c>
    </row>
    <row r="889" spans="1:2" x14ac:dyDescent="0.3">
      <c r="A889" s="1">
        <v>45133</v>
      </c>
      <c r="B889">
        <v>19778.3</v>
      </c>
    </row>
    <row r="890" spans="1:2" x14ac:dyDescent="0.3">
      <c r="A890" s="1">
        <v>45134</v>
      </c>
      <c r="B890">
        <v>19659.900000000001</v>
      </c>
    </row>
    <row r="891" spans="1:2" x14ac:dyDescent="0.3">
      <c r="A891" s="1">
        <v>45135</v>
      </c>
      <c r="B891">
        <v>19646.05</v>
      </c>
    </row>
    <row r="892" spans="1:2" x14ac:dyDescent="0.3">
      <c r="A892" s="1">
        <v>45138</v>
      </c>
      <c r="B892">
        <v>19753.8</v>
      </c>
    </row>
    <row r="893" spans="1:2" x14ac:dyDescent="0.3">
      <c r="A893" s="1">
        <v>45139</v>
      </c>
      <c r="B893">
        <v>19733.55</v>
      </c>
    </row>
    <row r="894" spans="1:2" x14ac:dyDescent="0.3">
      <c r="A894" s="1">
        <v>45140</v>
      </c>
      <c r="B894">
        <v>19526.55</v>
      </c>
    </row>
    <row r="895" spans="1:2" x14ac:dyDescent="0.3">
      <c r="A895" s="1">
        <v>45141</v>
      </c>
      <c r="B895">
        <v>19381.650000000001</v>
      </c>
    </row>
    <row r="896" spans="1:2" x14ac:dyDescent="0.3">
      <c r="A896" s="1">
        <v>45142</v>
      </c>
      <c r="B896">
        <v>19517</v>
      </c>
    </row>
    <row r="897" spans="1:2" x14ac:dyDescent="0.3">
      <c r="A897" s="1">
        <v>45145</v>
      </c>
      <c r="B897">
        <v>19597.3</v>
      </c>
    </row>
    <row r="898" spans="1:2" x14ac:dyDescent="0.3">
      <c r="A898" s="1">
        <v>45146</v>
      </c>
      <c r="B898">
        <v>19570.849999999999</v>
      </c>
    </row>
    <row r="899" spans="1:2" x14ac:dyDescent="0.3">
      <c r="A899" s="1">
        <v>45147</v>
      </c>
      <c r="B899">
        <v>19632.55</v>
      </c>
    </row>
    <row r="900" spans="1:2" x14ac:dyDescent="0.3">
      <c r="A900" s="1">
        <v>45148</v>
      </c>
      <c r="B900">
        <v>19543.099999999999</v>
      </c>
    </row>
    <row r="901" spans="1:2" x14ac:dyDescent="0.3">
      <c r="A901" s="1">
        <v>45149</v>
      </c>
      <c r="B901">
        <v>19428.3</v>
      </c>
    </row>
    <row r="902" spans="1:2" x14ac:dyDescent="0.3">
      <c r="A902" s="1">
        <v>45152</v>
      </c>
      <c r="B902">
        <v>19434.55</v>
      </c>
    </row>
    <row r="903" spans="1:2" x14ac:dyDescent="0.3">
      <c r="A903" s="1">
        <v>45154</v>
      </c>
      <c r="B903">
        <v>19465</v>
      </c>
    </row>
    <row r="904" spans="1:2" x14ac:dyDescent="0.3">
      <c r="A904" s="1">
        <v>45155</v>
      </c>
      <c r="B904">
        <v>19365.25</v>
      </c>
    </row>
    <row r="905" spans="1:2" x14ac:dyDescent="0.3">
      <c r="A905" s="1">
        <v>45156</v>
      </c>
      <c r="B905">
        <v>19310.150000000001</v>
      </c>
    </row>
    <row r="906" spans="1:2" x14ac:dyDescent="0.3">
      <c r="A906" s="1">
        <v>45159</v>
      </c>
      <c r="B906">
        <v>19393.599999999999</v>
      </c>
    </row>
    <row r="907" spans="1:2" x14ac:dyDescent="0.3">
      <c r="A907" s="1">
        <v>45160</v>
      </c>
      <c r="B907">
        <v>19396.45</v>
      </c>
    </row>
    <row r="908" spans="1:2" x14ac:dyDescent="0.3">
      <c r="A908" s="1">
        <v>45161</v>
      </c>
      <c r="B908">
        <v>19444</v>
      </c>
    </row>
    <row r="909" spans="1:2" x14ac:dyDescent="0.3">
      <c r="A909" s="1">
        <v>45162</v>
      </c>
      <c r="B909">
        <v>19386.7</v>
      </c>
    </row>
    <row r="910" spans="1:2" x14ac:dyDescent="0.3">
      <c r="A910" s="1">
        <v>45163</v>
      </c>
      <c r="B910">
        <v>19265.8</v>
      </c>
    </row>
    <row r="911" spans="1:2" x14ac:dyDescent="0.3">
      <c r="A911" s="1">
        <v>45166</v>
      </c>
      <c r="B911">
        <v>19306.05</v>
      </c>
    </row>
    <row r="912" spans="1:2" x14ac:dyDescent="0.3">
      <c r="A912" s="1">
        <v>45167</v>
      </c>
      <c r="B912">
        <v>19342.650000000001</v>
      </c>
    </row>
    <row r="913" spans="1:2" x14ac:dyDescent="0.3">
      <c r="A913" s="1">
        <v>45168</v>
      </c>
      <c r="B913">
        <v>19347.45</v>
      </c>
    </row>
    <row r="914" spans="1:2" x14ac:dyDescent="0.3">
      <c r="A914" s="1">
        <v>45169</v>
      </c>
      <c r="B914">
        <v>19253.8</v>
      </c>
    </row>
    <row r="915" spans="1:2" x14ac:dyDescent="0.3">
      <c r="A915" s="1">
        <v>45170</v>
      </c>
      <c r="B915">
        <v>19435.3</v>
      </c>
    </row>
    <row r="916" spans="1:2" x14ac:dyDescent="0.3">
      <c r="A916" s="1">
        <v>45173</v>
      </c>
      <c r="B916">
        <v>19528.8</v>
      </c>
    </row>
    <row r="917" spans="1:2" x14ac:dyDescent="0.3">
      <c r="A917" s="1">
        <v>45174</v>
      </c>
      <c r="B917">
        <v>19574.900000000001</v>
      </c>
    </row>
    <row r="918" spans="1:2" x14ac:dyDescent="0.3">
      <c r="A918" s="1">
        <v>45175</v>
      </c>
      <c r="B918">
        <v>19611.05</v>
      </c>
    </row>
    <row r="919" spans="1:2" x14ac:dyDescent="0.3">
      <c r="A919" s="1">
        <v>45176</v>
      </c>
      <c r="B919">
        <v>19727.05</v>
      </c>
    </row>
    <row r="920" spans="1:2" x14ac:dyDescent="0.3">
      <c r="A920" s="1">
        <v>45177</v>
      </c>
      <c r="B920">
        <v>19819.95</v>
      </c>
    </row>
    <row r="921" spans="1:2" x14ac:dyDescent="0.3">
      <c r="A921" s="1">
        <v>45180</v>
      </c>
      <c r="B921">
        <v>19996.349999999999</v>
      </c>
    </row>
    <row r="922" spans="1:2" x14ac:dyDescent="0.3">
      <c r="A922" s="1">
        <v>45181</v>
      </c>
      <c r="B922">
        <v>19993.2</v>
      </c>
    </row>
    <row r="923" spans="1:2" x14ac:dyDescent="0.3">
      <c r="A923" s="1">
        <v>45182</v>
      </c>
      <c r="B923">
        <v>20070</v>
      </c>
    </row>
    <row r="924" spans="1:2" x14ac:dyDescent="0.3">
      <c r="A924" s="1">
        <v>45183</v>
      </c>
      <c r="B924">
        <v>20103.099999999999</v>
      </c>
    </row>
    <row r="925" spans="1:2" x14ac:dyDescent="0.3">
      <c r="A925" s="1">
        <v>45184</v>
      </c>
      <c r="B925">
        <v>20192.349999999999</v>
      </c>
    </row>
    <row r="926" spans="1:2" x14ac:dyDescent="0.3">
      <c r="A926" s="1">
        <v>45187</v>
      </c>
      <c r="B926">
        <v>20133.3</v>
      </c>
    </row>
    <row r="927" spans="1:2" x14ac:dyDescent="0.3">
      <c r="A927" s="1">
        <v>45189</v>
      </c>
      <c r="B927">
        <v>19901.400000000001</v>
      </c>
    </row>
    <row r="928" spans="1:2" x14ac:dyDescent="0.3">
      <c r="A928" s="1">
        <v>45190</v>
      </c>
      <c r="B928">
        <v>19742.349999999999</v>
      </c>
    </row>
    <row r="929" spans="1:2" x14ac:dyDescent="0.3">
      <c r="A929" s="1">
        <v>45191</v>
      </c>
      <c r="B929">
        <v>19674.25</v>
      </c>
    </row>
    <row r="930" spans="1:2" x14ac:dyDescent="0.3">
      <c r="A930" s="1">
        <v>45194</v>
      </c>
      <c r="B930">
        <v>19674.55</v>
      </c>
    </row>
    <row r="931" spans="1:2" x14ac:dyDescent="0.3">
      <c r="A931" s="1">
        <v>45195</v>
      </c>
      <c r="B931">
        <v>19664.7</v>
      </c>
    </row>
    <row r="932" spans="1:2" x14ac:dyDescent="0.3">
      <c r="A932" s="1">
        <v>45196</v>
      </c>
      <c r="B932">
        <v>19716.45</v>
      </c>
    </row>
    <row r="933" spans="1:2" x14ac:dyDescent="0.3">
      <c r="A933" s="1">
        <v>45197</v>
      </c>
      <c r="B933">
        <v>19523.55</v>
      </c>
    </row>
    <row r="934" spans="1:2" x14ac:dyDescent="0.3">
      <c r="A934" s="1">
        <v>45198</v>
      </c>
      <c r="B934">
        <v>19638.3</v>
      </c>
    </row>
    <row r="935" spans="1:2" x14ac:dyDescent="0.3">
      <c r="A935" s="1">
        <v>45202</v>
      </c>
      <c r="B935">
        <v>19528.75</v>
      </c>
    </row>
    <row r="936" spans="1:2" x14ac:dyDescent="0.3">
      <c r="A936" s="1">
        <v>45203</v>
      </c>
      <c r="B936">
        <v>19436.099999999999</v>
      </c>
    </row>
    <row r="937" spans="1:2" x14ac:dyDescent="0.3">
      <c r="A937" s="1">
        <v>45204</v>
      </c>
      <c r="B937">
        <v>19545.75</v>
      </c>
    </row>
    <row r="938" spans="1:2" x14ac:dyDescent="0.3">
      <c r="A938" s="1">
        <v>45205</v>
      </c>
      <c r="B938">
        <v>19653.5</v>
      </c>
    </row>
    <row r="939" spans="1:2" x14ac:dyDescent="0.3">
      <c r="A939" s="1">
        <v>45208</v>
      </c>
      <c r="B939">
        <v>19512.349999999999</v>
      </c>
    </row>
    <row r="940" spans="1:2" x14ac:dyDescent="0.3">
      <c r="A940" s="1">
        <v>45209</v>
      </c>
      <c r="B940">
        <v>19689.849999999999</v>
      </c>
    </row>
    <row r="941" spans="1:2" x14ac:dyDescent="0.3">
      <c r="A941" s="1">
        <v>45210</v>
      </c>
      <c r="B941">
        <v>19811.349999999999</v>
      </c>
    </row>
    <row r="942" spans="1:2" x14ac:dyDescent="0.3">
      <c r="A942" s="1">
        <v>45211</v>
      </c>
      <c r="B942">
        <v>19794</v>
      </c>
    </row>
    <row r="943" spans="1:2" x14ac:dyDescent="0.3">
      <c r="A943" s="1">
        <v>45212</v>
      </c>
      <c r="B943">
        <v>19751.05</v>
      </c>
    </row>
    <row r="944" spans="1:2" x14ac:dyDescent="0.3">
      <c r="A944" s="1">
        <v>45215</v>
      </c>
      <c r="B944">
        <v>19731.75</v>
      </c>
    </row>
    <row r="945" spans="1:2" x14ac:dyDescent="0.3">
      <c r="A945" s="1">
        <v>45216</v>
      </c>
      <c r="B945">
        <v>19811.5</v>
      </c>
    </row>
    <row r="946" spans="1:2" x14ac:dyDescent="0.3">
      <c r="A946" s="1">
        <v>45217</v>
      </c>
      <c r="B946">
        <v>19671.099999999999</v>
      </c>
    </row>
    <row r="947" spans="1:2" x14ac:dyDescent="0.3">
      <c r="A947" s="1">
        <v>45218</v>
      </c>
      <c r="B947">
        <v>19624.7</v>
      </c>
    </row>
    <row r="948" spans="1:2" x14ac:dyDescent="0.3">
      <c r="A948" s="1">
        <v>45219</v>
      </c>
      <c r="B948">
        <v>19542.650000000001</v>
      </c>
    </row>
    <row r="949" spans="1:2" x14ac:dyDescent="0.3">
      <c r="A949" s="1">
        <v>45222</v>
      </c>
      <c r="B949">
        <v>19281.75</v>
      </c>
    </row>
    <row r="950" spans="1:2" x14ac:dyDescent="0.3">
      <c r="A950" s="1">
        <v>45224</v>
      </c>
      <c r="B950">
        <v>19122.150000000001</v>
      </c>
    </row>
    <row r="951" spans="1:2" x14ac:dyDescent="0.3">
      <c r="A951" s="1">
        <v>45225</v>
      </c>
      <c r="B951">
        <v>18857.25</v>
      </c>
    </row>
    <row r="952" spans="1:2" x14ac:dyDescent="0.3">
      <c r="A952" s="1">
        <v>45226</v>
      </c>
      <c r="B952">
        <v>19047.25</v>
      </c>
    </row>
    <row r="953" spans="1:2" x14ac:dyDescent="0.3">
      <c r="A953" s="1">
        <v>45229</v>
      </c>
      <c r="B953">
        <v>19140.900000000001</v>
      </c>
    </row>
    <row r="954" spans="1:2" x14ac:dyDescent="0.3">
      <c r="A954" s="1">
        <v>45230</v>
      </c>
      <c r="B954">
        <v>19079.599999999999</v>
      </c>
    </row>
    <row r="955" spans="1:2" x14ac:dyDescent="0.3">
      <c r="A955" s="1">
        <v>45231</v>
      </c>
      <c r="B955">
        <v>18989.150000000001</v>
      </c>
    </row>
    <row r="956" spans="1:2" x14ac:dyDescent="0.3">
      <c r="A956" s="1">
        <v>45232</v>
      </c>
      <c r="B956">
        <v>19133.25</v>
      </c>
    </row>
    <row r="957" spans="1:2" x14ac:dyDescent="0.3">
      <c r="A957" s="1">
        <v>45233</v>
      </c>
      <c r="B957">
        <v>19230.599999999999</v>
      </c>
    </row>
    <row r="958" spans="1:2" x14ac:dyDescent="0.3">
      <c r="A958" s="1">
        <v>45236</v>
      </c>
      <c r="B958">
        <v>19411.75</v>
      </c>
    </row>
    <row r="959" spans="1:2" x14ac:dyDescent="0.3">
      <c r="A959" s="1">
        <v>45237</v>
      </c>
      <c r="B959">
        <v>19406.7</v>
      </c>
    </row>
    <row r="960" spans="1:2" x14ac:dyDescent="0.3">
      <c r="A960" s="1">
        <v>45238</v>
      </c>
      <c r="B960">
        <v>19443.5</v>
      </c>
    </row>
    <row r="961" spans="1:2" x14ac:dyDescent="0.3">
      <c r="A961" s="1">
        <v>45239</v>
      </c>
      <c r="B961">
        <v>19395.3</v>
      </c>
    </row>
    <row r="962" spans="1:2" x14ac:dyDescent="0.3">
      <c r="A962" s="1">
        <v>45240</v>
      </c>
      <c r="B962">
        <v>19425.349999999999</v>
      </c>
    </row>
    <row r="963" spans="1:2" x14ac:dyDescent="0.3">
      <c r="A963" s="1">
        <v>45242</v>
      </c>
      <c r="B963">
        <v>19525.55</v>
      </c>
    </row>
    <row r="964" spans="1:2" x14ac:dyDescent="0.3">
      <c r="A964" s="1">
        <v>45243</v>
      </c>
      <c r="B964">
        <v>19443.55</v>
      </c>
    </row>
    <row r="965" spans="1:2" x14ac:dyDescent="0.3">
      <c r="A965" s="1">
        <v>45245</v>
      </c>
      <c r="B965">
        <v>19675.45</v>
      </c>
    </row>
    <row r="966" spans="1:2" x14ac:dyDescent="0.3">
      <c r="A966" s="1">
        <v>45246</v>
      </c>
      <c r="B966">
        <v>19765.2</v>
      </c>
    </row>
    <row r="967" spans="1:2" x14ac:dyDescent="0.3">
      <c r="A967" s="1">
        <v>45247</v>
      </c>
      <c r="B967">
        <v>19731.8</v>
      </c>
    </row>
    <row r="968" spans="1:2" x14ac:dyDescent="0.3">
      <c r="A968" s="1">
        <v>45250</v>
      </c>
      <c r="B968">
        <v>19694</v>
      </c>
    </row>
    <row r="969" spans="1:2" x14ac:dyDescent="0.3">
      <c r="A969" s="1">
        <v>45251</v>
      </c>
      <c r="B969">
        <v>19783.400000000001</v>
      </c>
    </row>
    <row r="970" spans="1:2" x14ac:dyDescent="0.3">
      <c r="A970" s="1">
        <v>45252</v>
      </c>
      <c r="B970">
        <v>19811.849999999999</v>
      </c>
    </row>
    <row r="971" spans="1:2" x14ac:dyDescent="0.3">
      <c r="A971" s="1">
        <v>45253</v>
      </c>
      <c r="B971">
        <v>19802</v>
      </c>
    </row>
    <row r="972" spans="1:2" x14ac:dyDescent="0.3">
      <c r="A972" s="1">
        <v>45254</v>
      </c>
      <c r="B972">
        <v>19794.7</v>
      </c>
    </row>
    <row r="973" spans="1:2" x14ac:dyDescent="0.3">
      <c r="A973" s="1">
        <v>45258</v>
      </c>
      <c r="B973">
        <v>19889.7</v>
      </c>
    </row>
    <row r="974" spans="1:2" x14ac:dyDescent="0.3">
      <c r="A974" s="1">
        <v>45259</v>
      </c>
      <c r="B974">
        <v>20096.599999999999</v>
      </c>
    </row>
    <row r="975" spans="1:2" x14ac:dyDescent="0.3">
      <c r="A975" s="1">
        <v>45260</v>
      </c>
      <c r="B975">
        <v>20133.150000000001</v>
      </c>
    </row>
    <row r="976" spans="1:2" x14ac:dyDescent="0.3">
      <c r="A976" s="1">
        <v>45261</v>
      </c>
      <c r="B976">
        <v>20267.900000000001</v>
      </c>
    </row>
    <row r="977" spans="1:2" x14ac:dyDescent="0.3">
      <c r="A977" s="1">
        <v>45264</v>
      </c>
      <c r="B977">
        <v>20686.8</v>
      </c>
    </row>
    <row r="978" spans="1:2" x14ac:dyDescent="0.3">
      <c r="A978" s="1">
        <v>45265</v>
      </c>
      <c r="B978">
        <v>20855.099999999999</v>
      </c>
    </row>
    <row r="979" spans="1:2" x14ac:dyDescent="0.3">
      <c r="A979" s="1">
        <v>45266</v>
      </c>
      <c r="B979">
        <v>20937.7</v>
      </c>
    </row>
    <row r="980" spans="1:2" x14ac:dyDescent="0.3">
      <c r="A980" s="1">
        <v>45267</v>
      </c>
      <c r="B980">
        <v>20901.150000000001</v>
      </c>
    </row>
    <row r="981" spans="1:2" x14ac:dyDescent="0.3">
      <c r="A981" s="1">
        <v>45268</v>
      </c>
      <c r="B981">
        <v>20969.400000000001</v>
      </c>
    </row>
    <row r="982" spans="1:2" x14ac:dyDescent="0.3">
      <c r="A982" s="1">
        <v>45271</v>
      </c>
      <c r="B982">
        <v>20997.1</v>
      </c>
    </row>
    <row r="983" spans="1:2" x14ac:dyDescent="0.3">
      <c r="A983" s="1">
        <v>45272</v>
      </c>
      <c r="B983">
        <v>20906.400000000001</v>
      </c>
    </row>
    <row r="984" spans="1:2" x14ac:dyDescent="0.3">
      <c r="A984" s="1">
        <v>45273</v>
      </c>
      <c r="B984">
        <v>20926.349999999999</v>
      </c>
    </row>
    <row r="985" spans="1:2" x14ac:dyDescent="0.3">
      <c r="A985" s="1">
        <v>45274</v>
      </c>
      <c r="B985">
        <v>21182.7</v>
      </c>
    </row>
    <row r="986" spans="1:2" x14ac:dyDescent="0.3">
      <c r="A986" s="1">
        <v>45275</v>
      </c>
      <c r="B986">
        <v>21456.65</v>
      </c>
    </row>
    <row r="987" spans="1:2" x14ac:dyDescent="0.3">
      <c r="A987" s="1">
        <v>45278</v>
      </c>
      <c r="B987">
        <v>21418.65</v>
      </c>
    </row>
    <row r="988" spans="1:2" x14ac:dyDescent="0.3">
      <c r="A988" s="1">
        <v>45279</v>
      </c>
      <c r="B988">
        <v>21453.1</v>
      </c>
    </row>
    <row r="989" spans="1:2" x14ac:dyDescent="0.3">
      <c r="A989" s="1">
        <v>45280</v>
      </c>
      <c r="B989">
        <v>21150.15</v>
      </c>
    </row>
    <row r="990" spans="1:2" x14ac:dyDescent="0.3">
      <c r="A990" s="1">
        <v>45281</v>
      </c>
      <c r="B990">
        <v>21255.05</v>
      </c>
    </row>
    <row r="991" spans="1:2" x14ac:dyDescent="0.3">
      <c r="A991" s="1">
        <v>45282</v>
      </c>
      <c r="B991">
        <v>21349.4</v>
      </c>
    </row>
    <row r="992" spans="1:2" x14ac:dyDescent="0.3">
      <c r="A992" s="1">
        <v>45286</v>
      </c>
      <c r="B992">
        <v>21441.35</v>
      </c>
    </row>
    <row r="993" spans="1:2" x14ac:dyDescent="0.3">
      <c r="A993" s="1">
        <v>45287</v>
      </c>
      <c r="B993">
        <v>21654.75</v>
      </c>
    </row>
    <row r="994" spans="1:2" x14ac:dyDescent="0.3">
      <c r="A994" s="1">
        <v>45288</v>
      </c>
      <c r="B994">
        <v>21778.7</v>
      </c>
    </row>
    <row r="995" spans="1:2" x14ac:dyDescent="0.3">
      <c r="A995" s="1">
        <v>45289</v>
      </c>
      <c r="B995">
        <v>21731.4</v>
      </c>
    </row>
    <row r="996" spans="1:2" x14ac:dyDescent="0.3">
      <c r="A996" s="1">
        <v>45292</v>
      </c>
      <c r="B996">
        <v>21741.9</v>
      </c>
    </row>
    <row r="997" spans="1:2" x14ac:dyDescent="0.3">
      <c r="A997" s="1">
        <v>45293</v>
      </c>
      <c r="B997">
        <v>21665.8</v>
      </c>
    </row>
    <row r="998" spans="1:2" x14ac:dyDescent="0.3">
      <c r="A998" s="1">
        <v>45294</v>
      </c>
      <c r="B998">
        <v>21517.35</v>
      </c>
    </row>
    <row r="999" spans="1:2" x14ac:dyDescent="0.3">
      <c r="A999" s="1">
        <v>45295</v>
      </c>
      <c r="B999">
        <v>21658.6</v>
      </c>
    </row>
    <row r="1000" spans="1:2" x14ac:dyDescent="0.3">
      <c r="A1000" s="1">
        <v>45296</v>
      </c>
      <c r="B1000">
        <v>21710.799999999999</v>
      </c>
    </row>
    <row r="1001" spans="1:2" x14ac:dyDescent="0.3">
      <c r="A1001" s="1">
        <v>45299</v>
      </c>
      <c r="B1001">
        <v>21513</v>
      </c>
    </row>
    <row r="1002" spans="1:2" x14ac:dyDescent="0.3">
      <c r="A1002" s="1">
        <v>45300</v>
      </c>
      <c r="B1002">
        <v>21544.85</v>
      </c>
    </row>
    <row r="1003" spans="1:2" x14ac:dyDescent="0.3">
      <c r="A1003" s="1">
        <v>45301</v>
      </c>
      <c r="B1003">
        <v>21618.7</v>
      </c>
    </row>
    <row r="1004" spans="1:2" x14ac:dyDescent="0.3">
      <c r="A1004" s="1">
        <v>45302</v>
      </c>
      <c r="B1004">
        <v>21647.200000000001</v>
      </c>
    </row>
    <row r="1005" spans="1:2" x14ac:dyDescent="0.3">
      <c r="A1005" s="1">
        <v>45303</v>
      </c>
      <c r="B1005">
        <v>21894.55</v>
      </c>
    </row>
    <row r="1006" spans="1:2" x14ac:dyDescent="0.3">
      <c r="A1006" s="1">
        <v>45306</v>
      </c>
      <c r="B1006">
        <v>22097.45</v>
      </c>
    </row>
    <row r="1007" spans="1:2" x14ac:dyDescent="0.3">
      <c r="A1007" s="1">
        <v>45307</v>
      </c>
      <c r="B1007">
        <v>22032.3</v>
      </c>
    </row>
    <row r="1008" spans="1:2" x14ac:dyDescent="0.3">
      <c r="A1008" s="1">
        <v>45308</v>
      </c>
      <c r="B1008">
        <v>21571.95</v>
      </c>
    </row>
    <row r="1009" spans="1:2" x14ac:dyDescent="0.3">
      <c r="A1009" s="1">
        <v>45309</v>
      </c>
      <c r="B1009">
        <v>21462.25</v>
      </c>
    </row>
    <row r="1010" spans="1:2" x14ac:dyDescent="0.3">
      <c r="A1010" s="1">
        <v>45310</v>
      </c>
      <c r="B1010">
        <v>21622.400000000001</v>
      </c>
    </row>
    <row r="1011" spans="1:2" x14ac:dyDescent="0.3">
      <c r="A1011" s="1">
        <v>45311</v>
      </c>
      <c r="B1011">
        <v>21571.8</v>
      </c>
    </row>
    <row r="1012" spans="1:2" x14ac:dyDescent="0.3">
      <c r="A1012" s="1">
        <v>45314</v>
      </c>
      <c r="B1012">
        <v>21238.799999999999</v>
      </c>
    </row>
    <row r="1013" spans="1:2" x14ac:dyDescent="0.3">
      <c r="A1013" s="1">
        <v>45315</v>
      </c>
      <c r="B1013">
        <v>21453.95</v>
      </c>
    </row>
    <row r="1014" spans="1:2" x14ac:dyDescent="0.3">
      <c r="A1014" s="1">
        <v>45316</v>
      </c>
      <c r="B1014">
        <v>21352.6</v>
      </c>
    </row>
    <row r="1015" spans="1:2" x14ac:dyDescent="0.3">
      <c r="A1015" s="1">
        <v>45320</v>
      </c>
      <c r="B1015">
        <v>21737.599999999999</v>
      </c>
    </row>
    <row r="1016" spans="1:2" x14ac:dyDescent="0.3">
      <c r="A1016" s="1">
        <v>45321</v>
      </c>
      <c r="B1016">
        <v>21522.1</v>
      </c>
    </row>
    <row r="1017" spans="1:2" x14ac:dyDescent="0.3">
      <c r="A1017" s="1">
        <v>45322</v>
      </c>
      <c r="B1017">
        <v>21725.7</v>
      </c>
    </row>
    <row r="1018" spans="1:2" x14ac:dyDescent="0.3">
      <c r="A1018" s="1">
        <v>45323</v>
      </c>
      <c r="B1018">
        <v>21697.45</v>
      </c>
    </row>
    <row r="1019" spans="1:2" x14ac:dyDescent="0.3">
      <c r="A1019" s="1">
        <v>45324</v>
      </c>
      <c r="B1019">
        <v>21853.8</v>
      </c>
    </row>
    <row r="1020" spans="1:2" x14ac:dyDescent="0.3">
      <c r="A1020" s="1">
        <v>45327</v>
      </c>
      <c r="B1020">
        <v>21771.7</v>
      </c>
    </row>
    <row r="1021" spans="1:2" x14ac:dyDescent="0.3">
      <c r="A1021" s="1">
        <v>45328</v>
      </c>
      <c r="B1021">
        <v>21929.4</v>
      </c>
    </row>
    <row r="1022" spans="1:2" x14ac:dyDescent="0.3">
      <c r="A1022" s="1">
        <v>45329</v>
      </c>
      <c r="B1022">
        <v>21930.5</v>
      </c>
    </row>
    <row r="1023" spans="1:2" x14ac:dyDescent="0.3">
      <c r="A1023" s="1">
        <v>45330</v>
      </c>
      <c r="B1023">
        <v>21717.95</v>
      </c>
    </row>
    <row r="1024" spans="1:2" x14ac:dyDescent="0.3">
      <c r="A1024" s="1">
        <v>45331</v>
      </c>
      <c r="B1024">
        <v>21782.5</v>
      </c>
    </row>
    <row r="1025" spans="1:2" x14ac:dyDescent="0.3">
      <c r="A1025" s="1">
        <v>45334</v>
      </c>
      <c r="B1025">
        <v>21616.05</v>
      </c>
    </row>
    <row r="1026" spans="1:2" x14ac:dyDescent="0.3">
      <c r="A1026" s="1">
        <v>45335</v>
      </c>
      <c r="B1026">
        <v>21743.25</v>
      </c>
    </row>
    <row r="1027" spans="1:2" x14ac:dyDescent="0.3">
      <c r="A1027" s="1">
        <v>45336</v>
      </c>
      <c r="B1027">
        <v>21840.05</v>
      </c>
    </row>
    <row r="1028" spans="1:2" x14ac:dyDescent="0.3">
      <c r="A1028" s="1">
        <v>45337</v>
      </c>
      <c r="B1028">
        <v>21910.75</v>
      </c>
    </row>
    <row r="1029" spans="1:2" x14ac:dyDescent="0.3">
      <c r="A1029" s="1">
        <v>45338</v>
      </c>
      <c r="B1029">
        <v>22040.7</v>
      </c>
    </row>
    <row r="1030" spans="1:2" x14ac:dyDescent="0.3">
      <c r="A1030" s="1">
        <v>45341</v>
      </c>
      <c r="B1030">
        <v>22122.25</v>
      </c>
    </row>
    <row r="1031" spans="1:2" x14ac:dyDescent="0.3">
      <c r="A1031" s="1">
        <v>45342</v>
      </c>
      <c r="B1031">
        <v>22196.95</v>
      </c>
    </row>
    <row r="1032" spans="1:2" x14ac:dyDescent="0.3">
      <c r="A1032" s="1">
        <v>45343</v>
      </c>
      <c r="B1032">
        <v>22055.05</v>
      </c>
    </row>
    <row r="1033" spans="1:2" x14ac:dyDescent="0.3">
      <c r="A1033" s="1">
        <v>45344</v>
      </c>
      <c r="B1033">
        <v>22217.45</v>
      </c>
    </row>
    <row r="1034" spans="1:2" x14ac:dyDescent="0.3">
      <c r="A1034" s="1">
        <v>45345</v>
      </c>
      <c r="B1034">
        <v>22212.7</v>
      </c>
    </row>
    <row r="1035" spans="1:2" x14ac:dyDescent="0.3">
      <c r="A1035" s="1">
        <v>45348</v>
      </c>
      <c r="B1035">
        <v>22122.05</v>
      </c>
    </row>
    <row r="1036" spans="1:2" x14ac:dyDescent="0.3">
      <c r="A1036" s="1">
        <v>45349</v>
      </c>
      <c r="B1036">
        <v>22198.35</v>
      </c>
    </row>
    <row r="1037" spans="1:2" x14ac:dyDescent="0.3">
      <c r="A1037" s="1">
        <v>45350</v>
      </c>
      <c r="B1037">
        <v>21951.15</v>
      </c>
    </row>
    <row r="1038" spans="1:2" x14ac:dyDescent="0.3">
      <c r="A1038" s="1">
        <v>45351</v>
      </c>
      <c r="B1038">
        <v>21982.799999999999</v>
      </c>
    </row>
    <row r="1039" spans="1:2" x14ac:dyDescent="0.3">
      <c r="A1039" s="1">
        <v>45352</v>
      </c>
      <c r="B1039">
        <v>22338.75</v>
      </c>
    </row>
    <row r="1040" spans="1:2" x14ac:dyDescent="0.3">
      <c r="A1040" s="1">
        <v>45353</v>
      </c>
      <c r="B1040">
        <v>22378.400000000001</v>
      </c>
    </row>
    <row r="1041" spans="1:2" x14ac:dyDescent="0.3">
      <c r="A1041" s="1">
        <v>45355</v>
      </c>
      <c r="B1041">
        <v>22405.599999999999</v>
      </c>
    </row>
    <row r="1042" spans="1:2" x14ac:dyDescent="0.3">
      <c r="A1042" s="1">
        <v>45356</v>
      </c>
      <c r="B1042">
        <v>22356.3</v>
      </c>
    </row>
    <row r="1043" spans="1:2" x14ac:dyDescent="0.3">
      <c r="A1043" s="1">
        <v>45357</v>
      </c>
      <c r="B1043">
        <v>22474.05</v>
      </c>
    </row>
    <row r="1044" spans="1:2" x14ac:dyDescent="0.3">
      <c r="A1044" s="1">
        <v>45358</v>
      </c>
      <c r="B1044">
        <v>22493.55</v>
      </c>
    </row>
    <row r="1045" spans="1:2" x14ac:dyDescent="0.3">
      <c r="A1045" s="1">
        <v>45362</v>
      </c>
      <c r="B1045">
        <v>22332.65</v>
      </c>
    </row>
    <row r="1046" spans="1:2" x14ac:dyDescent="0.3">
      <c r="A1046" s="1">
        <v>45363</v>
      </c>
      <c r="B1046">
        <v>22335.7</v>
      </c>
    </row>
    <row r="1047" spans="1:2" x14ac:dyDescent="0.3">
      <c r="A1047" s="1">
        <v>45364</v>
      </c>
      <c r="B1047">
        <v>21997.7</v>
      </c>
    </row>
    <row r="1048" spans="1:2" x14ac:dyDescent="0.3">
      <c r="A1048" s="1">
        <v>45365</v>
      </c>
      <c r="B1048">
        <v>22146.65</v>
      </c>
    </row>
    <row r="1049" spans="1:2" x14ac:dyDescent="0.3">
      <c r="A1049" s="1">
        <v>45366</v>
      </c>
      <c r="B1049">
        <v>22023.35</v>
      </c>
    </row>
    <row r="1050" spans="1:2" x14ac:dyDescent="0.3">
      <c r="A1050" s="1">
        <v>45369</v>
      </c>
      <c r="B1050">
        <v>22055.7</v>
      </c>
    </row>
    <row r="1051" spans="1:2" x14ac:dyDescent="0.3">
      <c r="A1051" s="1">
        <v>45370</v>
      </c>
      <c r="B1051">
        <v>21817.45</v>
      </c>
    </row>
    <row r="1052" spans="1:2" x14ac:dyDescent="0.3">
      <c r="A1052" s="1">
        <v>45371</v>
      </c>
      <c r="B1052">
        <v>21839.1</v>
      </c>
    </row>
    <row r="1053" spans="1:2" x14ac:dyDescent="0.3">
      <c r="A1053" s="1">
        <v>45372</v>
      </c>
      <c r="B1053">
        <v>22011.95</v>
      </c>
    </row>
    <row r="1054" spans="1:2" x14ac:dyDescent="0.3">
      <c r="A1054" s="1">
        <v>45373</v>
      </c>
      <c r="B1054">
        <v>22096.75</v>
      </c>
    </row>
    <row r="1055" spans="1:2" x14ac:dyDescent="0.3">
      <c r="A1055" s="1">
        <v>45377</v>
      </c>
      <c r="B1055">
        <v>22004.7</v>
      </c>
    </row>
    <row r="1056" spans="1:2" x14ac:dyDescent="0.3">
      <c r="A1056" s="1">
        <v>45378</v>
      </c>
      <c r="B1056">
        <v>22123.65</v>
      </c>
    </row>
    <row r="1057" spans="1:2" x14ac:dyDescent="0.3">
      <c r="A1057" s="1">
        <v>45379</v>
      </c>
      <c r="B1057">
        <v>22326.9</v>
      </c>
    </row>
    <row r="1058" spans="1:2" x14ac:dyDescent="0.3">
      <c r="A1058" s="1">
        <v>45383</v>
      </c>
      <c r="B1058">
        <v>22462</v>
      </c>
    </row>
    <row r="1059" spans="1:2" x14ac:dyDescent="0.3">
      <c r="A1059" s="1">
        <v>45384</v>
      </c>
      <c r="B1059">
        <v>22453.3</v>
      </c>
    </row>
    <row r="1060" spans="1:2" x14ac:dyDescent="0.3">
      <c r="A1060" s="1">
        <v>45385</v>
      </c>
      <c r="B1060">
        <v>22434.65</v>
      </c>
    </row>
    <row r="1061" spans="1:2" x14ac:dyDescent="0.3">
      <c r="A1061" s="1">
        <v>45386</v>
      </c>
      <c r="B1061">
        <v>22514.65</v>
      </c>
    </row>
    <row r="1062" spans="1:2" x14ac:dyDescent="0.3">
      <c r="A1062" s="1">
        <v>45387</v>
      </c>
      <c r="B1062">
        <v>22513.7</v>
      </c>
    </row>
    <row r="1063" spans="1:2" x14ac:dyDescent="0.3">
      <c r="A1063" s="1">
        <v>45390</v>
      </c>
      <c r="B1063">
        <v>22666.3</v>
      </c>
    </row>
    <row r="1064" spans="1:2" x14ac:dyDescent="0.3">
      <c r="A1064" s="1">
        <v>45391</v>
      </c>
      <c r="B1064">
        <v>22642.75</v>
      </c>
    </row>
    <row r="1065" spans="1:2" x14ac:dyDescent="0.3">
      <c r="A1065" s="1">
        <v>45392</v>
      </c>
      <c r="B1065">
        <v>22753.8</v>
      </c>
    </row>
    <row r="1066" spans="1:2" x14ac:dyDescent="0.3">
      <c r="A1066" s="1">
        <v>45394</v>
      </c>
      <c r="B1066">
        <v>22519.4</v>
      </c>
    </row>
    <row r="1067" spans="1:2" x14ac:dyDescent="0.3">
      <c r="A1067" s="1">
        <v>45397</v>
      </c>
      <c r="B1067">
        <v>22272.5</v>
      </c>
    </row>
    <row r="1068" spans="1:2" x14ac:dyDescent="0.3">
      <c r="A1068" s="1">
        <v>45398</v>
      </c>
      <c r="B1068">
        <v>22147.9</v>
      </c>
    </row>
    <row r="1069" spans="1:2" x14ac:dyDescent="0.3">
      <c r="A1069" s="1">
        <v>45400</v>
      </c>
      <c r="B1069">
        <v>21995.85</v>
      </c>
    </row>
    <row r="1070" spans="1:2" x14ac:dyDescent="0.3">
      <c r="A1070" s="1">
        <v>45401</v>
      </c>
      <c r="B1070">
        <v>22147</v>
      </c>
    </row>
    <row r="1071" spans="1:2" x14ac:dyDescent="0.3">
      <c r="A1071" s="1">
        <v>45404</v>
      </c>
      <c r="B1071">
        <v>22336.400000000001</v>
      </c>
    </row>
    <row r="1072" spans="1:2" x14ac:dyDescent="0.3">
      <c r="A1072" s="1">
        <v>45405</v>
      </c>
      <c r="B1072">
        <v>22368</v>
      </c>
    </row>
    <row r="1073" spans="1:2" x14ac:dyDescent="0.3">
      <c r="A1073" s="1">
        <v>45406</v>
      </c>
      <c r="B1073">
        <v>22402.400000000001</v>
      </c>
    </row>
    <row r="1074" spans="1:2" x14ac:dyDescent="0.3">
      <c r="A1074" s="1">
        <v>45407</v>
      </c>
      <c r="B1074">
        <v>22570.35</v>
      </c>
    </row>
    <row r="1075" spans="1:2" x14ac:dyDescent="0.3">
      <c r="A1075" s="1">
        <v>45408</v>
      </c>
      <c r="B1075">
        <v>22419.95</v>
      </c>
    </row>
    <row r="1076" spans="1:2" x14ac:dyDescent="0.3">
      <c r="A1076" s="1">
        <v>45411</v>
      </c>
      <c r="B1076">
        <v>22643.4</v>
      </c>
    </row>
    <row r="1077" spans="1:2" x14ac:dyDescent="0.3">
      <c r="A1077" s="1">
        <v>45412</v>
      </c>
      <c r="B1077">
        <v>22604.85</v>
      </c>
    </row>
    <row r="1078" spans="1:2" x14ac:dyDescent="0.3">
      <c r="A1078" s="1">
        <v>45414</v>
      </c>
      <c r="B1078">
        <v>22648.2</v>
      </c>
    </row>
    <row r="1079" spans="1:2" x14ac:dyDescent="0.3">
      <c r="A1079" s="1">
        <v>45415</v>
      </c>
      <c r="B1079">
        <v>22475.85</v>
      </c>
    </row>
    <row r="1080" spans="1:2" x14ac:dyDescent="0.3">
      <c r="A1080" s="1">
        <v>45418</v>
      </c>
      <c r="B1080">
        <v>22442.7</v>
      </c>
    </row>
    <row r="1081" spans="1:2" x14ac:dyDescent="0.3">
      <c r="A1081" s="1">
        <v>45419</v>
      </c>
      <c r="B1081">
        <v>22302.5</v>
      </c>
    </row>
    <row r="1082" spans="1:2" x14ac:dyDescent="0.3">
      <c r="A1082" s="1">
        <v>45420</v>
      </c>
      <c r="B1082">
        <v>22302.5</v>
      </c>
    </row>
    <row r="1083" spans="1:2" x14ac:dyDescent="0.3">
      <c r="A1083" s="1">
        <v>45421</v>
      </c>
      <c r="B1083">
        <v>21957.5</v>
      </c>
    </row>
    <row r="1084" spans="1:2" x14ac:dyDescent="0.3">
      <c r="A1084" s="1">
        <v>45422</v>
      </c>
      <c r="B1084">
        <v>22055.200000000001</v>
      </c>
    </row>
    <row r="1085" spans="1:2" x14ac:dyDescent="0.3">
      <c r="A1085" s="1">
        <v>45425</v>
      </c>
      <c r="B1085">
        <v>22104.05</v>
      </c>
    </row>
    <row r="1086" spans="1:2" x14ac:dyDescent="0.3">
      <c r="A1086" s="1">
        <v>45426</v>
      </c>
      <c r="B1086">
        <v>22217.85</v>
      </c>
    </row>
    <row r="1087" spans="1:2" x14ac:dyDescent="0.3">
      <c r="A1087" s="1">
        <v>45427</v>
      </c>
      <c r="B1087">
        <v>22200.55</v>
      </c>
    </row>
    <row r="1088" spans="1:2" x14ac:dyDescent="0.3">
      <c r="A1088" s="1">
        <v>45428</v>
      </c>
      <c r="B1088">
        <v>22403.85</v>
      </c>
    </row>
    <row r="1089" spans="1:2" x14ac:dyDescent="0.3">
      <c r="A1089" s="1">
        <v>45429</v>
      </c>
      <c r="B1089">
        <v>22466.1</v>
      </c>
    </row>
    <row r="1090" spans="1:2" x14ac:dyDescent="0.3">
      <c r="A1090" s="1">
        <v>45430</v>
      </c>
      <c r="B1090">
        <v>22502</v>
      </c>
    </row>
    <row r="1091" spans="1:2" x14ac:dyDescent="0.3">
      <c r="A1091" s="1">
        <v>45433</v>
      </c>
      <c r="B1091">
        <v>22529.05</v>
      </c>
    </row>
    <row r="1092" spans="1:2" x14ac:dyDescent="0.3">
      <c r="A1092" s="1">
        <v>45434</v>
      </c>
      <c r="B1092">
        <v>22597.8</v>
      </c>
    </row>
    <row r="1093" spans="1:2" x14ac:dyDescent="0.3">
      <c r="A1093" s="1">
        <v>45435</v>
      </c>
      <c r="B1093">
        <v>22967.65</v>
      </c>
    </row>
    <row r="1094" spans="1:2" x14ac:dyDescent="0.3">
      <c r="A1094" s="1">
        <v>45436</v>
      </c>
      <c r="B1094">
        <v>22957.1</v>
      </c>
    </row>
    <row r="1095" spans="1:2" x14ac:dyDescent="0.3">
      <c r="A1095" s="1">
        <v>45439</v>
      </c>
      <c r="B1095">
        <v>22932.45</v>
      </c>
    </row>
    <row r="1096" spans="1:2" x14ac:dyDescent="0.3">
      <c r="A1096" s="1">
        <v>45440</v>
      </c>
      <c r="B1096">
        <v>22888.15</v>
      </c>
    </row>
    <row r="1097" spans="1:2" x14ac:dyDescent="0.3">
      <c r="A1097" s="1">
        <v>45441</v>
      </c>
      <c r="B1097">
        <v>22704.7</v>
      </c>
    </row>
    <row r="1098" spans="1:2" x14ac:dyDescent="0.3">
      <c r="A1098" s="1">
        <v>45442</v>
      </c>
      <c r="B1098">
        <v>22488.65</v>
      </c>
    </row>
    <row r="1099" spans="1:2" x14ac:dyDescent="0.3">
      <c r="A1099" s="1">
        <v>45443</v>
      </c>
      <c r="B1099">
        <v>22530.7</v>
      </c>
    </row>
    <row r="1100" spans="1:2" x14ac:dyDescent="0.3">
      <c r="A1100" s="1">
        <v>45446</v>
      </c>
      <c r="B1100">
        <v>23263.9</v>
      </c>
    </row>
    <row r="1101" spans="1:2" x14ac:dyDescent="0.3">
      <c r="A1101" s="1">
        <v>45447</v>
      </c>
      <c r="B1101">
        <v>21884.5</v>
      </c>
    </row>
    <row r="1102" spans="1:2" x14ac:dyDescent="0.3">
      <c r="A1102" s="1">
        <v>45448</v>
      </c>
      <c r="B1102">
        <v>22620.35</v>
      </c>
    </row>
    <row r="1103" spans="1:2" x14ac:dyDescent="0.3">
      <c r="A1103" s="1">
        <v>45449</v>
      </c>
      <c r="B1103">
        <v>22821.4</v>
      </c>
    </row>
    <row r="1104" spans="1:2" x14ac:dyDescent="0.3">
      <c r="A1104" s="1">
        <v>45450</v>
      </c>
      <c r="B1104">
        <v>23290.15</v>
      </c>
    </row>
    <row r="1105" spans="1:2" x14ac:dyDescent="0.3">
      <c r="A1105" s="1">
        <v>45453</v>
      </c>
      <c r="B1105">
        <v>23259.200000000001</v>
      </c>
    </row>
    <row r="1106" spans="1:2" x14ac:dyDescent="0.3">
      <c r="A1106" s="1">
        <v>45454</v>
      </c>
      <c r="B1106">
        <v>23264.85</v>
      </c>
    </row>
    <row r="1107" spans="1:2" x14ac:dyDescent="0.3">
      <c r="A1107" s="1">
        <v>45455</v>
      </c>
      <c r="B1107">
        <v>23322.95</v>
      </c>
    </row>
    <row r="1108" spans="1:2" x14ac:dyDescent="0.3">
      <c r="A1108" s="1">
        <v>45456</v>
      </c>
      <c r="B1108">
        <v>23398.9</v>
      </c>
    </row>
    <row r="1109" spans="1:2" x14ac:dyDescent="0.3">
      <c r="A1109" s="1">
        <v>45457</v>
      </c>
      <c r="B1109">
        <v>23465.599999999999</v>
      </c>
    </row>
    <row r="1110" spans="1:2" x14ac:dyDescent="0.3">
      <c r="A1110" s="1">
        <v>45461</v>
      </c>
      <c r="B1110">
        <v>23557.9</v>
      </c>
    </row>
    <row r="1111" spans="1:2" x14ac:dyDescent="0.3">
      <c r="A1111" s="1">
        <v>45462</v>
      </c>
      <c r="B1111">
        <v>23516</v>
      </c>
    </row>
    <row r="1112" spans="1:2" x14ac:dyDescent="0.3">
      <c r="A1112" s="1">
        <v>45463</v>
      </c>
      <c r="B1112">
        <v>23567</v>
      </c>
    </row>
    <row r="1113" spans="1:2" x14ac:dyDescent="0.3">
      <c r="A1113" s="1">
        <v>45464</v>
      </c>
      <c r="B1113">
        <v>23501.1</v>
      </c>
    </row>
    <row r="1114" spans="1:2" x14ac:dyDescent="0.3">
      <c r="A1114" s="1">
        <v>45467</v>
      </c>
      <c r="B1114">
        <v>23537.85</v>
      </c>
    </row>
    <row r="1115" spans="1:2" x14ac:dyDescent="0.3">
      <c r="A1115" s="1">
        <v>45468</v>
      </c>
      <c r="B1115">
        <v>23721.3</v>
      </c>
    </row>
    <row r="1116" spans="1:2" x14ac:dyDescent="0.3">
      <c r="A1116" s="1">
        <v>45469</v>
      </c>
      <c r="B1116">
        <v>23868.799999999999</v>
      </c>
    </row>
    <row r="1117" spans="1:2" x14ac:dyDescent="0.3">
      <c r="A1117" s="1">
        <v>45470</v>
      </c>
      <c r="B1117">
        <v>24044.5</v>
      </c>
    </row>
    <row r="1118" spans="1:2" x14ac:dyDescent="0.3">
      <c r="A1118" s="1">
        <v>45471</v>
      </c>
      <c r="B1118">
        <v>24010.6</v>
      </c>
    </row>
    <row r="1119" spans="1:2" x14ac:dyDescent="0.3">
      <c r="A1119" s="1">
        <v>45474</v>
      </c>
      <c r="B1119">
        <v>24141.95</v>
      </c>
    </row>
    <row r="1120" spans="1:2" x14ac:dyDescent="0.3">
      <c r="A1120" s="1">
        <v>45475</v>
      </c>
      <c r="B1120">
        <v>24123.85</v>
      </c>
    </row>
    <row r="1121" spans="1:2" x14ac:dyDescent="0.3">
      <c r="A1121" s="1">
        <v>45476</v>
      </c>
      <c r="B1121">
        <v>24286.5</v>
      </c>
    </row>
    <row r="1122" spans="1:2" x14ac:dyDescent="0.3">
      <c r="A1122" s="1">
        <v>45477</v>
      </c>
      <c r="B1122">
        <v>24302.15</v>
      </c>
    </row>
    <row r="1123" spans="1:2" x14ac:dyDescent="0.3">
      <c r="A1123" s="1">
        <v>45478</v>
      </c>
      <c r="B1123">
        <v>24323.85</v>
      </c>
    </row>
    <row r="1124" spans="1:2" x14ac:dyDescent="0.3">
      <c r="A1124" s="1">
        <v>45481</v>
      </c>
      <c r="B1124">
        <v>24320.55</v>
      </c>
    </row>
    <row r="1125" spans="1:2" x14ac:dyDescent="0.3">
      <c r="A1125" s="1">
        <v>45482</v>
      </c>
      <c r="B1125">
        <v>24433.200000000001</v>
      </c>
    </row>
    <row r="1126" spans="1:2" x14ac:dyDescent="0.3">
      <c r="A1126" s="1">
        <v>45483</v>
      </c>
      <c r="B1126">
        <v>24324.45</v>
      </c>
    </row>
    <row r="1127" spans="1:2" x14ac:dyDescent="0.3">
      <c r="A1127" s="1">
        <v>45484</v>
      </c>
      <c r="B1127">
        <v>24315.95</v>
      </c>
    </row>
    <row r="1128" spans="1:2" x14ac:dyDescent="0.3">
      <c r="A1128" s="1">
        <v>45485</v>
      </c>
      <c r="B1128">
        <v>24502.15</v>
      </c>
    </row>
    <row r="1129" spans="1:2" x14ac:dyDescent="0.3">
      <c r="A1129" s="1">
        <v>45488</v>
      </c>
      <c r="B1129">
        <v>24586.7</v>
      </c>
    </row>
    <row r="1130" spans="1:2" x14ac:dyDescent="0.3">
      <c r="A1130" s="1">
        <v>45489</v>
      </c>
      <c r="B1130">
        <v>24613</v>
      </c>
    </row>
    <row r="1131" spans="1:2" x14ac:dyDescent="0.3">
      <c r="A1131" s="1">
        <v>45491</v>
      </c>
      <c r="B1131">
        <v>24800.85</v>
      </c>
    </row>
    <row r="1132" spans="1:2" x14ac:dyDescent="0.3">
      <c r="A1132" s="1">
        <v>45492</v>
      </c>
      <c r="B1132">
        <v>24530.9</v>
      </c>
    </row>
    <row r="1133" spans="1:2" x14ac:dyDescent="0.3">
      <c r="A1133" s="1">
        <v>45495</v>
      </c>
      <c r="B1133">
        <v>24509.25</v>
      </c>
    </row>
    <row r="1134" spans="1:2" x14ac:dyDescent="0.3">
      <c r="A1134" s="1">
        <v>45496</v>
      </c>
      <c r="B1134">
        <v>24479.05</v>
      </c>
    </row>
    <row r="1135" spans="1:2" x14ac:dyDescent="0.3">
      <c r="A1135" s="1">
        <v>45497</v>
      </c>
      <c r="B1135">
        <v>24413.5</v>
      </c>
    </row>
    <row r="1136" spans="1:2" x14ac:dyDescent="0.3">
      <c r="A1136" s="1">
        <v>45498</v>
      </c>
      <c r="B1136">
        <v>24406.1</v>
      </c>
    </row>
    <row r="1137" spans="1:2" x14ac:dyDescent="0.3">
      <c r="A1137" s="1">
        <v>45499</v>
      </c>
      <c r="B1137">
        <v>24834.85</v>
      </c>
    </row>
    <row r="1138" spans="1:2" x14ac:dyDescent="0.3">
      <c r="A1138" s="1">
        <v>45502</v>
      </c>
      <c r="B1138">
        <v>24836.1</v>
      </c>
    </row>
    <row r="1139" spans="1:2" x14ac:dyDescent="0.3">
      <c r="A1139" s="1">
        <v>45503</v>
      </c>
      <c r="B1139">
        <v>24857.3</v>
      </c>
    </row>
    <row r="1140" spans="1:2" x14ac:dyDescent="0.3">
      <c r="A1140" s="1">
        <v>45504</v>
      </c>
      <c r="B1140">
        <v>24951.15</v>
      </c>
    </row>
    <row r="1141" spans="1:2" x14ac:dyDescent="0.3">
      <c r="A1141" s="1">
        <v>45505</v>
      </c>
      <c r="B1141">
        <v>25010.9</v>
      </c>
    </row>
    <row r="1142" spans="1:2" x14ac:dyDescent="0.3">
      <c r="A1142" s="1">
        <v>45506</v>
      </c>
      <c r="B1142">
        <v>24717.7</v>
      </c>
    </row>
    <row r="1143" spans="1:2" x14ac:dyDescent="0.3">
      <c r="A1143" s="1">
        <v>45509</v>
      </c>
      <c r="B1143">
        <v>24055.599999999999</v>
      </c>
    </row>
    <row r="1144" spans="1:2" x14ac:dyDescent="0.3">
      <c r="A1144" s="1">
        <v>45510</v>
      </c>
      <c r="B1144">
        <v>23992.55</v>
      </c>
    </row>
    <row r="1145" spans="1:2" x14ac:dyDescent="0.3">
      <c r="A1145" s="1">
        <v>45511</v>
      </c>
      <c r="B1145">
        <v>24297.5</v>
      </c>
    </row>
    <row r="1146" spans="1:2" x14ac:dyDescent="0.3">
      <c r="A1146" s="1">
        <v>45512</v>
      </c>
      <c r="B1146">
        <v>24117</v>
      </c>
    </row>
    <row r="1147" spans="1:2" x14ac:dyDescent="0.3">
      <c r="A1147" s="1">
        <v>45513</v>
      </c>
      <c r="B1147">
        <v>24367.5</v>
      </c>
    </row>
    <row r="1148" spans="1:2" x14ac:dyDescent="0.3">
      <c r="A1148" s="1">
        <v>45516</v>
      </c>
      <c r="B1148">
        <v>24347</v>
      </c>
    </row>
    <row r="1149" spans="1:2" x14ac:dyDescent="0.3">
      <c r="A1149" s="1">
        <v>45517</v>
      </c>
      <c r="B1149">
        <v>24139</v>
      </c>
    </row>
    <row r="1150" spans="1:2" x14ac:dyDescent="0.3">
      <c r="A1150" s="1">
        <v>45518</v>
      </c>
      <c r="B1150">
        <v>24143.75</v>
      </c>
    </row>
    <row r="1151" spans="1:2" x14ac:dyDescent="0.3">
      <c r="A1151" s="1">
        <v>45520</v>
      </c>
      <c r="B1151">
        <v>24541.15</v>
      </c>
    </row>
    <row r="1152" spans="1:2" x14ac:dyDescent="0.3">
      <c r="A1152" s="1">
        <v>45523</v>
      </c>
      <c r="B1152">
        <v>24572.65</v>
      </c>
    </row>
    <row r="1153" spans="1:2" x14ac:dyDescent="0.3">
      <c r="A1153" s="1">
        <v>45524</v>
      </c>
      <c r="B1153">
        <v>24698.85</v>
      </c>
    </row>
    <row r="1154" spans="1:2" x14ac:dyDescent="0.3">
      <c r="A1154" s="1">
        <v>45525</v>
      </c>
      <c r="B1154">
        <v>24770.2</v>
      </c>
    </row>
    <row r="1155" spans="1:2" x14ac:dyDescent="0.3">
      <c r="A1155" s="1">
        <v>45526</v>
      </c>
      <c r="B1155">
        <v>24811.5</v>
      </c>
    </row>
    <row r="1156" spans="1:2" x14ac:dyDescent="0.3">
      <c r="A1156" s="1">
        <v>45527</v>
      </c>
      <c r="B1156">
        <v>24823.15</v>
      </c>
    </row>
    <row r="1157" spans="1:2" x14ac:dyDescent="0.3">
      <c r="A1157" s="1">
        <v>45530</v>
      </c>
      <c r="B1157">
        <v>25010.6</v>
      </c>
    </row>
    <row r="1158" spans="1:2" x14ac:dyDescent="0.3">
      <c r="A1158" s="1">
        <v>45531</v>
      </c>
      <c r="B1158">
        <v>25017.75</v>
      </c>
    </row>
    <row r="1159" spans="1:2" x14ac:dyDescent="0.3">
      <c r="A1159" s="1">
        <v>45532</v>
      </c>
      <c r="B1159">
        <v>25052.35</v>
      </c>
    </row>
    <row r="1160" spans="1:2" x14ac:dyDescent="0.3">
      <c r="A1160" s="1">
        <v>45533</v>
      </c>
      <c r="B1160">
        <v>25151.95</v>
      </c>
    </row>
    <row r="1161" spans="1:2" x14ac:dyDescent="0.3">
      <c r="A1161" s="1">
        <v>45534</v>
      </c>
      <c r="B1161">
        <v>25235.9</v>
      </c>
    </row>
    <row r="1162" spans="1:2" x14ac:dyDescent="0.3">
      <c r="A1162" s="1">
        <v>45537</v>
      </c>
      <c r="B1162">
        <v>25278.7</v>
      </c>
    </row>
    <row r="1163" spans="1:2" x14ac:dyDescent="0.3">
      <c r="A1163" s="1">
        <v>45538</v>
      </c>
      <c r="B1163">
        <v>25279.85</v>
      </c>
    </row>
    <row r="1164" spans="1:2" x14ac:dyDescent="0.3">
      <c r="A1164" s="1">
        <v>45539</v>
      </c>
      <c r="B1164">
        <v>25198.7</v>
      </c>
    </row>
    <row r="1165" spans="1:2" x14ac:dyDescent="0.3">
      <c r="A1165" s="1">
        <v>45540</v>
      </c>
      <c r="B1165">
        <v>25145.1</v>
      </c>
    </row>
    <row r="1166" spans="1:2" x14ac:dyDescent="0.3">
      <c r="A1166" s="1">
        <v>45541</v>
      </c>
      <c r="B1166">
        <v>24852.15</v>
      </c>
    </row>
    <row r="1167" spans="1:2" x14ac:dyDescent="0.3">
      <c r="A1167" s="1">
        <v>45544</v>
      </c>
      <c r="B1167">
        <v>24936.400000000001</v>
      </c>
    </row>
    <row r="1168" spans="1:2" x14ac:dyDescent="0.3">
      <c r="A1168" s="1">
        <v>45545</v>
      </c>
      <c r="B1168">
        <v>25041.1</v>
      </c>
    </row>
    <row r="1169" spans="1:2" x14ac:dyDescent="0.3">
      <c r="A1169" s="1">
        <v>45546</v>
      </c>
      <c r="B1169">
        <v>24918.45</v>
      </c>
    </row>
    <row r="1170" spans="1:2" x14ac:dyDescent="0.3">
      <c r="A1170" s="1">
        <v>45547</v>
      </c>
      <c r="B1170">
        <v>25388.9</v>
      </c>
    </row>
    <row r="1171" spans="1:2" x14ac:dyDescent="0.3">
      <c r="A1171" s="1">
        <v>45548</v>
      </c>
      <c r="B1171">
        <v>25356.5</v>
      </c>
    </row>
    <row r="1172" spans="1:2" x14ac:dyDescent="0.3">
      <c r="A1172" s="1">
        <v>45551</v>
      </c>
      <c r="B1172">
        <v>25383.75</v>
      </c>
    </row>
    <row r="1173" spans="1:2" x14ac:dyDescent="0.3">
      <c r="A1173" s="1">
        <v>45552</v>
      </c>
      <c r="B1173">
        <v>25418.55</v>
      </c>
    </row>
    <row r="1174" spans="1:2" x14ac:dyDescent="0.3">
      <c r="A1174" s="1">
        <v>45553</v>
      </c>
      <c r="B1174">
        <v>25377.55</v>
      </c>
    </row>
    <row r="1175" spans="1:2" x14ac:dyDescent="0.3">
      <c r="A1175" s="1">
        <v>45554</v>
      </c>
      <c r="B1175">
        <v>25415.8</v>
      </c>
    </row>
    <row r="1176" spans="1:2" x14ac:dyDescent="0.3">
      <c r="A1176" s="1">
        <v>45555</v>
      </c>
      <c r="B1176">
        <v>25790.95</v>
      </c>
    </row>
    <row r="1177" spans="1:2" x14ac:dyDescent="0.3">
      <c r="A1177" s="1">
        <v>45558</v>
      </c>
      <c r="B1177">
        <v>25939.05</v>
      </c>
    </row>
    <row r="1178" spans="1:2" x14ac:dyDescent="0.3">
      <c r="A1178" s="1">
        <v>45559</v>
      </c>
      <c r="B1178">
        <v>25940.400000000001</v>
      </c>
    </row>
    <row r="1179" spans="1:2" x14ac:dyDescent="0.3">
      <c r="A1179" s="1">
        <v>45560</v>
      </c>
      <c r="B1179">
        <v>26004.15</v>
      </c>
    </row>
    <row r="1180" spans="1:2" x14ac:dyDescent="0.3">
      <c r="A1180" s="1">
        <v>45561</v>
      </c>
      <c r="B1180">
        <v>26216.05</v>
      </c>
    </row>
    <row r="1181" spans="1:2" x14ac:dyDescent="0.3">
      <c r="A1181" s="1">
        <v>45562</v>
      </c>
      <c r="B1181">
        <v>26178.95</v>
      </c>
    </row>
    <row r="1182" spans="1:2" x14ac:dyDescent="0.3">
      <c r="A1182" s="1">
        <v>45565</v>
      </c>
      <c r="B1182">
        <v>25810.85</v>
      </c>
    </row>
    <row r="1183" spans="1:2" x14ac:dyDescent="0.3">
      <c r="A1183" s="1">
        <v>45566</v>
      </c>
      <c r="B1183">
        <v>25796.9</v>
      </c>
    </row>
    <row r="1184" spans="1:2" x14ac:dyDescent="0.3">
      <c r="A1184" s="1">
        <v>45568</v>
      </c>
      <c r="B1184">
        <v>25250.1</v>
      </c>
    </row>
    <row r="1185" spans="1:2" x14ac:dyDescent="0.3">
      <c r="A1185" s="1">
        <v>45569</v>
      </c>
      <c r="B1185">
        <v>25014.6</v>
      </c>
    </row>
    <row r="1186" spans="1:2" x14ac:dyDescent="0.3">
      <c r="A1186" s="1">
        <v>45572</v>
      </c>
      <c r="B1186">
        <v>24795.75</v>
      </c>
    </row>
    <row r="1187" spans="1:2" x14ac:dyDescent="0.3">
      <c r="A1187" s="1">
        <v>45573</v>
      </c>
      <c r="B1187">
        <v>25013.15</v>
      </c>
    </row>
    <row r="1188" spans="1:2" x14ac:dyDescent="0.3">
      <c r="A1188" s="1">
        <v>45574</v>
      </c>
      <c r="B1188">
        <v>24981.95</v>
      </c>
    </row>
    <row r="1189" spans="1:2" x14ac:dyDescent="0.3">
      <c r="A1189" s="1">
        <v>45575</v>
      </c>
      <c r="B1189">
        <v>24998.45</v>
      </c>
    </row>
    <row r="1190" spans="1:2" x14ac:dyDescent="0.3">
      <c r="A1190" s="1">
        <v>45576</v>
      </c>
      <c r="B1190">
        <v>24964.25</v>
      </c>
    </row>
    <row r="1191" spans="1:2" x14ac:dyDescent="0.3">
      <c r="A1191" s="1">
        <v>45579</v>
      </c>
      <c r="B1191">
        <v>25127.95</v>
      </c>
    </row>
    <row r="1192" spans="1:2" x14ac:dyDescent="0.3">
      <c r="A1192" s="1">
        <v>45580</v>
      </c>
      <c r="B1192">
        <v>25057.35</v>
      </c>
    </row>
    <row r="1193" spans="1:2" x14ac:dyDescent="0.3">
      <c r="A1193" s="1">
        <v>45581</v>
      </c>
      <c r="B1193">
        <v>24971.3</v>
      </c>
    </row>
    <row r="1194" spans="1:2" x14ac:dyDescent="0.3">
      <c r="A1194" s="1">
        <v>45582</v>
      </c>
      <c r="B1194">
        <v>24749.85</v>
      </c>
    </row>
    <row r="1195" spans="1:2" x14ac:dyDescent="0.3">
      <c r="A1195" s="1">
        <v>45583</v>
      </c>
      <c r="B1195">
        <v>24854.05</v>
      </c>
    </row>
    <row r="1196" spans="1:2" x14ac:dyDescent="0.3">
      <c r="A1196" s="1">
        <v>45586</v>
      </c>
      <c r="B1196">
        <v>24781.1</v>
      </c>
    </row>
    <row r="1197" spans="1:2" x14ac:dyDescent="0.3">
      <c r="A1197" s="1">
        <v>45587</v>
      </c>
      <c r="B1197">
        <v>24472.1</v>
      </c>
    </row>
    <row r="1198" spans="1:2" x14ac:dyDescent="0.3">
      <c r="A1198" s="1">
        <v>45588</v>
      </c>
      <c r="B1198">
        <v>24435.5</v>
      </c>
    </row>
    <row r="1199" spans="1:2" x14ac:dyDescent="0.3">
      <c r="A1199" s="1">
        <v>45589</v>
      </c>
      <c r="B1199">
        <v>24399.4</v>
      </c>
    </row>
    <row r="1200" spans="1:2" x14ac:dyDescent="0.3">
      <c r="A1200" s="1">
        <v>45590</v>
      </c>
      <c r="B1200">
        <v>24180.799999999999</v>
      </c>
    </row>
    <row r="1201" spans="1:2" x14ac:dyDescent="0.3">
      <c r="A1201" s="1">
        <v>45593</v>
      </c>
      <c r="B1201">
        <v>24339.15</v>
      </c>
    </row>
    <row r="1202" spans="1:2" x14ac:dyDescent="0.3">
      <c r="A1202" s="1">
        <v>45594</v>
      </c>
      <c r="B1202">
        <v>24466.85</v>
      </c>
    </row>
    <row r="1203" spans="1:2" x14ac:dyDescent="0.3">
      <c r="A1203" s="1">
        <v>45595</v>
      </c>
      <c r="B1203">
        <v>24340.85</v>
      </c>
    </row>
    <row r="1204" spans="1:2" x14ac:dyDescent="0.3">
      <c r="A1204" s="1">
        <v>45596</v>
      </c>
      <c r="B1204">
        <v>24205.35</v>
      </c>
    </row>
    <row r="1205" spans="1:2" x14ac:dyDescent="0.3">
      <c r="A1205" s="1">
        <v>45597</v>
      </c>
      <c r="B1205">
        <v>24304.35</v>
      </c>
    </row>
    <row r="1206" spans="1:2" x14ac:dyDescent="0.3">
      <c r="A1206" s="1">
        <v>45600</v>
      </c>
      <c r="B1206">
        <v>23995.35</v>
      </c>
    </row>
    <row r="1207" spans="1:2" x14ac:dyDescent="0.3">
      <c r="A1207" s="1">
        <v>45601</v>
      </c>
      <c r="B1207">
        <v>24213.3</v>
      </c>
    </row>
    <row r="1208" spans="1:2" x14ac:dyDescent="0.3">
      <c r="A1208" s="1">
        <v>45602</v>
      </c>
      <c r="B1208">
        <v>24484.05</v>
      </c>
    </row>
    <row r="1209" spans="1:2" x14ac:dyDescent="0.3">
      <c r="A1209" s="1">
        <v>45603</v>
      </c>
      <c r="B1209">
        <v>24199.35</v>
      </c>
    </row>
    <row r="1210" spans="1:2" x14ac:dyDescent="0.3">
      <c r="A1210" s="1">
        <v>45604</v>
      </c>
      <c r="B1210">
        <v>24148.2</v>
      </c>
    </row>
    <row r="1211" spans="1:2" x14ac:dyDescent="0.3">
      <c r="A1211" s="1">
        <v>45607</v>
      </c>
      <c r="B1211">
        <v>24141.3</v>
      </c>
    </row>
    <row r="1212" spans="1:2" x14ac:dyDescent="0.3">
      <c r="A1212" s="1">
        <v>45608</v>
      </c>
      <c r="B1212">
        <v>23883.45</v>
      </c>
    </row>
    <row r="1213" spans="1:2" x14ac:dyDescent="0.3">
      <c r="A1213" s="1">
        <v>45609</v>
      </c>
      <c r="B1213">
        <v>23559.05</v>
      </c>
    </row>
    <row r="1214" spans="1:2" x14ac:dyDescent="0.3">
      <c r="A1214" s="1">
        <v>45610</v>
      </c>
      <c r="B1214">
        <v>23532.7</v>
      </c>
    </row>
    <row r="1215" spans="1:2" x14ac:dyDescent="0.3">
      <c r="A1215" s="1">
        <v>45614</v>
      </c>
      <c r="B1215">
        <v>23453.8</v>
      </c>
    </row>
    <row r="1216" spans="1:2" x14ac:dyDescent="0.3">
      <c r="A1216" s="1">
        <v>45615</v>
      </c>
      <c r="B1216">
        <v>23518.5</v>
      </c>
    </row>
    <row r="1217" spans="1:2" x14ac:dyDescent="0.3">
      <c r="A1217" s="1">
        <v>45617</v>
      </c>
      <c r="B1217">
        <v>23349.9</v>
      </c>
    </row>
    <row r="1218" spans="1:2" x14ac:dyDescent="0.3">
      <c r="A1218" s="1">
        <v>45618</v>
      </c>
      <c r="B1218">
        <v>23907.25</v>
      </c>
    </row>
    <row r="1219" spans="1:2" x14ac:dyDescent="0.3">
      <c r="A1219" s="1">
        <v>45621</v>
      </c>
      <c r="B1219">
        <v>24221.9</v>
      </c>
    </row>
    <row r="1220" spans="1:2" x14ac:dyDescent="0.3">
      <c r="A1220" s="1">
        <v>45622</v>
      </c>
      <c r="B1220">
        <v>24194.5</v>
      </c>
    </row>
    <row r="1221" spans="1:2" x14ac:dyDescent="0.3">
      <c r="A1221" s="1">
        <v>45623</v>
      </c>
      <c r="B1221">
        <v>24274.9</v>
      </c>
    </row>
    <row r="1222" spans="1:2" x14ac:dyDescent="0.3">
      <c r="A1222" s="1">
        <v>45624</v>
      </c>
      <c r="B1222">
        <v>23914.15</v>
      </c>
    </row>
    <row r="1223" spans="1:2" x14ac:dyDescent="0.3">
      <c r="A1223" s="1">
        <v>45625</v>
      </c>
      <c r="B1223">
        <v>24131.1</v>
      </c>
    </row>
    <row r="1224" spans="1:2" x14ac:dyDescent="0.3">
      <c r="A1224" s="1">
        <v>45628</v>
      </c>
      <c r="B1224">
        <v>24276.05</v>
      </c>
    </row>
    <row r="1225" spans="1:2" x14ac:dyDescent="0.3">
      <c r="A1225" s="1">
        <v>45629</v>
      </c>
      <c r="B1225">
        <v>24457.15</v>
      </c>
    </row>
    <row r="1226" spans="1:2" x14ac:dyDescent="0.3">
      <c r="A1226" s="1">
        <v>45630</v>
      </c>
      <c r="B1226">
        <v>24467.45</v>
      </c>
    </row>
    <row r="1227" spans="1:2" x14ac:dyDescent="0.3">
      <c r="A1227" s="1">
        <v>45631</v>
      </c>
      <c r="B1227">
        <v>24708.400000000001</v>
      </c>
    </row>
    <row r="1228" spans="1:2" x14ac:dyDescent="0.3">
      <c r="A1228" s="1">
        <v>45632</v>
      </c>
      <c r="B1228">
        <v>24677.8</v>
      </c>
    </row>
    <row r="1229" spans="1:2" x14ac:dyDescent="0.3">
      <c r="A1229" s="1">
        <v>45635</v>
      </c>
      <c r="B1229">
        <v>24619</v>
      </c>
    </row>
    <row r="1230" spans="1:2" x14ac:dyDescent="0.3">
      <c r="A1230" s="1">
        <v>45636</v>
      </c>
      <c r="B1230">
        <v>24610.05</v>
      </c>
    </row>
    <row r="1231" spans="1:2" x14ac:dyDescent="0.3">
      <c r="A1231" s="1">
        <v>45637</v>
      </c>
      <c r="B1231">
        <v>24641.8</v>
      </c>
    </row>
    <row r="1232" spans="1:2" x14ac:dyDescent="0.3">
      <c r="A1232" s="1">
        <v>45638</v>
      </c>
      <c r="B1232">
        <v>24548.7</v>
      </c>
    </row>
    <row r="1233" spans="1:2" x14ac:dyDescent="0.3">
      <c r="A1233" s="1">
        <v>45639</v>
      </c>
      <c r="B1233">
        <v>24768.3</v>
      </c>
    </row>
    <row r="1234" spans="1:2" x14ac:dyDescent="0.3">
      <c r="A1234" s="1">
        <v>45642</v>
      </c>
      <c r="B1234">
        <v>24668.25</v>
      </c>
    </row>
    <row r="1235" spans="1:2" x14ac:dyDescent="0.3">
      <c r="A1235" s="1">
        <v>45643</v>
      </c>
      <c r="B1235">
        <v>24336</v>
      </c>
    </row>
    <row r="1236" spans="1:2" x14ac:dyDescent="0.3">
      <c r="A1236" s="1">
        <v>45644</v>
      </c>
      <c r="B1236">
        <v>24198.85</v>
      </c>
    </row>
    <row r="1237" spans="1:2" x14ac:dyDescent="0.3">
      <c r="A1237" s="1">
        <v>45645</v>
      </c>
      <c r="B1237">
        <v>23951.7</v>
      </c>
    </row>
    <row r="1238" spans="1:2" x14ac:dyDescent="0.3">
      <c r="A1238" s="1">
        <v>45646</v>
      </c>
      <c r="B1238">
        <v>23587.5</v>
      </c>
    </row>
    <row r="1239" spans="1:2" x14ac:dyDescent="0.3">
      <c r="A1239" s="1">
        <v>45649</v>
      </c>
      <c r="B1239">
        <v>23753.45</v>
      </c>
    </row>
    <row r="1240" spans="1:2" x14ac:dyDescent="0.3">
      <c r="A1240" s="1">
        <v>45650</v>
      </c>
      <c r="B1240">
        <v>23727.65</v>
      </c>
    </row>
    <row r="1241" spans="1:2" x14ac:dyDescent="0.3">
      <c r="A1241" s="1">
        <v>45652</v>
      </c>
      <c r="B1241">
        <v>23750.2</v>
      </c>
    </row>
    <row r="1242" spans="1:2" x14ac:dyDescent="0.3">
      <c r="A1242" s="1">
        <v>45653</v>
      </c>
      <c r="B1242">
        <v>23813.4</v>
      </c>
    </row>
    <row r="1243" spans="1:2" x14ac:dyDescent="0.3">
      <c r="A1243" s="1">
        <v>45656</v>
      </c>
      <c r="B1243">
        <v>23644.9</v>
      </c>
    </row>
    <row r="1244" spans="1:2" x14ac:dyDescent="0.3">
      <c r="A1244" s="1">
        <v>45657</v>
      </c>
      <c r="B1244">
        <v>23644.799999999999</v>
      </c>
    </row>
    <row r="1245" spans="1:2" x14ac:dyDescent="0.3">
      <c r="A1245" s="1">
        <v>45658</v>
      </c>
      <c r="B1245">
        <v>23742.9</v>
      </c>
    </row>
    <row r="1246" spans="1:2" x14ac:dyDescent="0.3">
      <c r="A1246" s="1">
        <v>45659</v>
      </c>
      <c r="B1246">
        <v>24188.65</v>
      </c>
    </row>
    <row r="1247" spans="1:2" x14ac:dyDescent="0.3">
      <c r="A1247" s="1">
        <v>45660</v>
      </c>
      <c r="B1247">
        <v>24004.75</v>
      </c>
    </row>
    <row r="1248" spans="1:2" x14ac:dyDescent="0.3">
      <c r="A1248" s="1">
        <v>45663</v>
      </c>
      <c r="B1248">
        <v>23616.05</v>
      </c>
    </row>
    <row r="1249" spans="1:2" x14ac:dyDescent="0.3">
      <c r="A1249" s="1">
        <v>45664</v>
      </c>
      <c r="B1249">
        <v>23707.9</v>
      </c>
    </row>
    <row r="1250" spans="1:2" x14ac:dyDescent="0.3">
      <c r="A1250" s="1">
        <v>45665</v>
      </c>
      <c r="B1250">
        <v>23688.95</v>
      </c>
    </row>
    <row r="1251" spans="1:2" x14ac:dyDescent="0.3">
      <c r="A1251" s="1">
        <v>45666</v>
      </c>
      <c r="B1251">
        <v>23526.5</v>
      </c>
    </row>
    <row r="1252" spans="1:2" x14ac:dyDescent="0.3">
      <c r="A1252" s="1">
        <v>45667</v>
      </c>
      <c r="B1252">
        <v>23431.5</v>
      </c>
    </row>
    <row r="1253" spans="1:2" x14ac:dyDescent="0.3">
      <c r="A1253" s="1">
        <v>45670</v>
      </c>
      <c r="B1253">
        <v>23085.95</v>
      </c>
    </row>
    <row r="1254" spans="1:2" x14ac:dyDescent="0.3">
      <c r="A1254" s="1">
        <v>45671</v>
      </c>
      <c r="B1254">
        <v>23176.05</v>
      </c>
    </row>
    <row r="1255" spans="1:2" x14ac:dyDescent="0.3">
      <c r="A1255" s="1">
        <v>45672</v>
      </c>
      <c r="B1255">
        <v>23213.200000000001</v>
      </c>
    </row>
    <row r="1256" spans="1:2" x14ac:dyDescent="0.3">
      <c r="A1256" s="1">
        <v>45673</v>
      </c>
      <c r="B1256">
        <v>23311.8</v>
      </c>
    </row>
    <row r="1257" spans="1:2" x14ac:dyDescent="0.3">
      <c r="A1257" s="1">
        <v>45674</v>
      </c>
      <c r="B1257">
        <v>23203.200000000001</v>
      </c>
    </row>
    <row r="1258" spans="1:2" x14ac:dyDescent="0.3">
      <c r="A1258" s="1">
        <v>45677</v>
      </c>
      <c r="B1258">
        <v>23344.75</v>
      </c>
    </row>
    <row r="1259" spans="1:2" x14ac:dyDescent="0.3">
      <c r="A1259" s="1">
        <v>45678</v>
      </c>
      <c r="B1259">
        <v>23024.65</v>
      </c>
    </row>
    <row r="1260" spans="1:2" x14ac:dyDescent="0.3">
      <c r="A1260" s="1">
        <v>45679</v>
      </c>
      <c r="B1260">
        <v>23155.35</v>
      </c>
    </row>
    <row r="1261" spans="1:2" x14ac:dyDescent="0.3">
      <c r="A1261" s="1">
        <v>45680</v>
      </c>
      <c r="B1261">
        <v>23205.35</v>
      </c>
    </row>
    <row r="1262" spans="1:2" x14ac:dyDescent="0.3">
      <c r="A1262" s="1">
        <v>45681</v>
      </c>
      <c r="B1262">
        <v>23092.2</v>
      </c>
    </row>
    <row r="1263" spans="1:2" x14ac:dyDescent="0.3">
      <c r="A1263" s="1">
        <v>45684</v>
      </c>
      <c r="B1263">
        <v>22829.15</v>
      </c>
    </row>
    <row r="1264" spans="1:2" x14ac:dyDescent="0.3">
      <c r="A1264" s="1">
        <v>45685</v>
      </c>
      <c r="B1264">
        <v>22957.25</v>
      </c>
    </row>
    <row r="1265" spans="1:2" x14ac:dyDescent="0.3">
      <c r="A1265" s="1">
        <v>45686</v>
      </c>
      <c r="B1265">
        <v>23163.1</v>
      </c>
    </row>
    <row r="1266" spans="1:2" x14ac:dyDescent="0.3">
      <c r="A1266" s="1">
        <v>45687</v>
      </c>
      <c r="B1266">
        <v>23249.5</v>
      </c>
    </row>
    <row r="1267" spans="1:2" x14ac:dyDescent="0.3">
      <c r="A1267" s="1">
        <v>45688</v>
      </c>
      <c r="B1267">
        <v>23508.400000000001</v>
      </c>
    </row>
    <row r="1268" spans="1:2" x14ac:dyDescent="0.3">
      <c r="A1268" s="1">
        <v>45689</v>
      </c>
      <c r="B1268">
        <v>23482.15</v>
      </c>
    </row>
    <row r="1269" spans="1:2" x14ac:dyDescent="0.3">
      <c r="A1269" s="1">
        <v>45691</v>
      </c>
      <c r="B1269">
        <v>23361.05</v>
      </c>
    </row>
    <row r="1270" spans="1:2" x14ac:dyDescent="0.3">
      <c r="A1270" s="1">
        <v>45692</v>
      </c>
      <c r="B1270">
        <v>23739.25</v>
      </c>
    </row>
    <row r="1271" spans="1:2" x14ac:dyDescent="0.3">
      <c r="A1271" s="1">
        <v>45693</v>
      </c>
      <c r="B1271">
        <v>23696.3</v>
      </c>
    </row>
    <row r="1272" spans="1:2" x14ac:dyDescent="0.3">
      <c r="A1272" s="1">
        <v>45694</v>
      </c>
      <c r="B1272">
        <v>23603.35</v>
      </c>
    </row>
    <row r="1273" spans="1:2" x14ac:dyDescent="0.3">
      <c r="A1273" s="1">
        <v>45695</v>
      </c>
      <c r="B1273">
        <v>23559.95</v>
      </c>
    </row>
    <row r="1274" spans="1:2" x14ac:dyDescent="0.3">
      <c r="A1274" s="1">
        <v>45698</v>
      </c>
      <c r="B1274">
        <v>23381.599999999999</v>
      </c>
    </row>
    <row r="1275" spans="1:2" x14ac:dyDescent="0.3">
      <c r="A1275" s="1">
        <v>45699</v>
      </c>
      <c r="B1275">
        <v>23071.8</v>
      </c>
    </row>
    <row r="1276" spans="1:2" x14ac:dyDescent="0.3">
      <c r="A1276" s="1">
        <v>45700</v>
      </c>
      <c r="B1276">
        <v>23045.25</v>
      </c>
    </row>
    <row r="1277" spans="1:2" x14ac:dyDescent="0.3">
      <c r="A1277" s="1">
        <v>45701</v>
      </c>
      <c r="B1277">
        <v>23031.4</v>
      </c>
    </row>
    <row r="1278" spans="1:2" x14ac:dyDescent="0.3">
      <c r="A1278" s="1">
        <v>45702</v>
      </c>
      <c r="B1278">
        <v>22929.25</v>
      </c>
    </row>
    <row r="1279" spans="1:2" x14ac:dyDescent="0.3">
      <c r="A1279" s="1">
        <v>45705</v>
      </c>
      <c r="B1279">
        <v>22959.5</v>
      </c>
    </row>
    <row r="1280" spans="1:2" x14ac:dyDescent="0.3">
      <c r="A1280" s="1">
        <v>45706</v>
      </c>
      <c r="B1280">
        <v>22945.3</v>
      </c>
    </row>
    <row r="1281" spans="1:2" x14ac:dyDescent="0.3">
      <c r="A1281" s="1">
        <v>45707</v>
      </c>
      <c r="B1281">
        <v>22932.9</v>
      </c>
    </row>
    <row r="1282" spans="1:2" x14ac:dyDescent="0.3">
      <c r="A1282" s="1">
        <v>45708</v>
      </c>
      <c r="B1282">
        <v>22913.15</v>
      </c>
    </row>
    <row r="1283" spans="1:2" x14ac:dyDescent="0.3">
      <c r="A1283" s="1">
        <v>45709</v>
      </c>
      <c r="B1283">
        <v>22795.9</v>
      </c>
    </row>
    <row r="1284" spans="1:2" x14ac:dyDescent="0.3">
      <c r="A1284" s="1">
        <v>45712</v>
      </c>
      <c r="B1284">
        <v>22553.35</v>
      </c>
    </row>
    <row r="1285" spans="1:2" x14ac:dyDescent="0.3">
      <c r="A1285" s="1">
        <v>45713</v>
      </c>
      <c r="B1285">
        <v>22547.55</v>
      </c>
    </row>
    <row r="1286" spans="1:2" x14ac:dyDescent="0.3">
      <c r="A1286" s="1">
        <v>45715</v>
      </c>
      <c r="B1286">
        <v>22545.05</v>
      </c>
    </row>
    <row r="1287" spans="1:2" x14ac:dyDescent="0.3">
      <c r="A1287" s="1">
        <v>45716</v>
      </c>
      <c r="B1287">
        <v>22124.7</v>
      </c>
    </row>
    <row r="1288" spans="1:2" x14ac:dyDescent="0.3">
      <c r="A1288" s="1">
        <v>45719</v>
      </c>
      <c r="B1288">
        <v>22119.3</v>
      </c>
    </row>
    <row r="1289" spans="1:2" x14ac:dyDescent="0.3">
      <c r="A1289" s="1">
        <v>45720</v>
      </c>
      <c r="B1289">
        <v>22082.65</v>
      </c>
    </row>
    <row r="1290" spans="1:2" x14ac:dyDescent="0.3">
      <c r="A1290" s="1">
        <v>45721</v>
      </c>
      <c r="B1290">
        <v>22337.3</v>
      </c>
    </row>
    <row r="1291" spans="1:2" x14ac:dyDescent="0.3">
      <c r="A1291" s="1">
        <v>45722</v>
      </c>
      <c r="B1291">
        <v>22544.7</v>
      </c>
    </row>
    <row r="1292" spans="1:2" x14ac:dyDescent="0.3">
      <c r="A1292" s="1">
        <v>45723</v>
      </c>
      <c r="B1292">
        <v>22552.5</v>
      </c>
    </row>
    <row r="1293" spans="1:2" x14ac:dyDescent="0.3">
      <c r="A1293" s="1">
        <v>45726</v>
      </c>
      <c r="B1293">
        <v>22460.3</v>
      </c>
    </row>
    <row r="1294" spans="1:2" x14ac:dyDescent="0.3">
      <c r="A1294" s="1">
        <v>45727</v>
      </c>
      <c r="B1294">
        <v>22497.9</v>
      </c>
    </row>
    <row r="1295" spans="1:2" x14ac:dyDescent="0.3">
      <c r="A1295" s="1">
        <v>45728</v>
      </c>
      <c r="B1295">
        <v>22470.5</v>
      </c>
    </row>
    <row r="1296" spans="1:2" x14ac:dyDescent="0.3">
      <c r="A1296" s="1">
        <v>45729</v>
      </c>
      <c r="B1296">
        <v>22397.200000000001</v>
      </c>
    </row>
    <row r="1297" spans="1:2" x14ac:dyDescent="0.3">
      <c r="A1297" s="1">
        <v>45733</v>
      </c>
      <c r="B1297">
        <v>22508.75</v>
      </c>
    </row>
    <row r="1298" spans="1:2" x14ac:dyDescent="0.3">
      <c r="A1298" s="1">
        <v>45734</v>
      </c>
      <c r="B1298">
        <v>22834.3</v>
      </c>
    </row>
    <row r="1299" spans="1:2" x14ac:dyDescent="0.3">
      <c r="A1299" s="1">
        <v>45735</v>
      </c>
      <c r="B1299">
        <v>22907.599999999999</v>
      </c>
    </row>
    <row r="1300" spans="1:2" x14ac:dyDescent="0.3">
      <c r="A1300" s="1">
        <v>45736</v>
      </c>
      <c r="B1300">
        <v>23190.65</v>
      </c>
    </row>
    <row r="1301" spans="1:2" x14ac:dyDescent="0.3">
      <c r="A1301" s="1">
        <v>45737</v>
      </c>
      <c r="B1301">
        <v>23350.400000000001</v>
      </c>
    </row>
    <row r="1302" spans="1:2" x14ac:dyDescent="0.3">
      <c r="A1302" s="1">
        <v>45740</v>
      </c>
      <c r="B1302">
        <v>23658.35</v>
      </c>
    </row>
    <row r="1303" spans="1:2" x14ac:dyDescent="0.3">
      <c r="A1303" s="1">
        <v>45741</v>
      </c>
      <c r="B1303">
        <v>23668.65</v>
      </c>
    </row>
    <row r="1304" spans="1:2" x14ac:dyDescent="0.3">
      <c r="A1304" s="1">
        <v>45742</v>
      </c>
      <c r="B1304">
        <v>23486.85</v>
      </c>
    </row>
    <row r="1305" spans="1:2" x14ac:dyDescent="0.3">
      <c r="A1305" s="1">
        <v>45743</v>
      </c>
      <c r="B1305">
        <v>23591.95</v>
      </c>
    </row>
    <row r="1306" spans="1:2" x14ac:dyDescent="0.3">
      <c r="A1306" s="1">
        <v>45744</v>
      </c>
      <c r="B1306">
        <v>23519.35</v>
      </c>
    </row>
    <row r="1307" spans="1:2" x14ac:dyDescent="0.3">
      <c r="A1307" s="1">
        <v>45748</v>
      </c>
      <c r="B1307">
        <v>23165.7</v>
      </c>
    </row>
    <row r="1308" spans="1:2" x14ac:dyDescent="0.3">
      <c r="A1308" s="1">
        <v>45749</v>
      </c>
      <c r="B1308">
        <v>23332.35</v>
      </c>
    </row>
    <row r="1309" spans="1:2" x14ac:dyDescent="0.3">
      <c r="A1309" s="1">
        <v>45750</v>
      </c>
      <c r="B1309">
        <v>23250.1</v>
      </c>
    </row>
    <row r="1310" spans="1:2" x14ac:dyDescent="0.3">
      <c r="A1310" s="1">
        <v>45751</v>
      </c>
      <c r="B1310">
        <v>22904.45</v>
      </c>
    </row>
    <row r="1311" spans="1:2" x14ac:dyDescent="0.3">
      <c r="A1311" s="1">
        <v>45754</v>
      </c>
      <c r="B1311">
        <v>22161.599999999999</v>
      </c>
    </row>
    <row r="1312" spans="1:2" x14ac:dyDescent="0.3">
      <c r="A1312" s="1">
        <v>45755</v>
      </c>
      <c r="B1312">
        <v>22535.85</v>
      </c>
    </row>
    <row r="1313" spans="1:2" x14ac:dyDescent="0.3">
      <c r="A1313" s="1">
        <v>45756</v>
      </c>
      <c r="B1313">
        <v>22399.15</v>
      </c>
    </row>
    <row r="1314" spans="1:2" x14ac:dyDescent="0.3">
      <c r="A1314" s="1">
        <v>45758</v>
      </c>
      <c r="B1314">
        <v>22828.55</v>
      </c>
    </row>
    <row r="1315" spans="1:2" x14ac:dyDescent="0.3">
      <c r="A1315" s="1">
        <v>45762</v>
      </c>
      <c r="B1315">
        <v>23328.55</v>
      </c>
    </row>
    <row r="1316" spans="1:2" x14ac:dyDescent="0.3">
      <c r="A1316" s="1">
        <v>45763</v>
      </c>
      <c r="B1316">
        <v>23437.200000000001</v>
      </c>
    </row>
    <row r="1317" spans="1:2" x14ac:dyDescent="0.3">
      <c r="A1317" s="1">
        <v>45764</v>
      </c>
      <c r="B1317">
        <v>23851.65</v>
      </c>
    </row>
    <row r="1318" spans="1:2" x14ac:dyDescent="0.3">
      <c r="A1318" s="1">
        <v>45768</v>
      </c>
      <c r="B1318">
        <v>24125.55</v>
      </c>
    </row>
    <row r="1319" spans="1:2" x14ac:dyDescent="0.3">
      <c r="A1319" s="1">
        <v>45769</v>
      </c>
      <c r="B1319">
        <v>24167.25</v>
      </c>
    </row>
    <row r="1320" spans="1:2" x14ac:dyDescent="0.3">
      <c r="A1320" s="1">
        <v>45770</v>
      </c>
      <c r="B1320">
        <v>24328.95</v>
      </c>
    </row>
    <row r="1321" spans="1:2" x14ac:dyDescent="0.3">
      <c r="A1321" s="1">
        <v>45771</v>
      </c>
      <c r="B1321">
        <v>24246.7</v>
      </c>
    </row>
    <row r="1322" spans="1:2" x14ac:dyDescent="0.3">
      <c r="A1322" s="1">
        <v>45772</v>
      </c>
      <c r="B1322">
        <v>24039.35</v>
      </c>
    </row>
    <row r="1323" spans="1:2" x14ac:dyDescent="0.3">
      <c r="A1323" s="1">
        <v>45775</v>
      </c>
      <c r="B1323">
        <v>24328.5</v>
      </c>
    </row>
    <row r="1324" spans="1:2" x14ac:dyDescent="0.3">
      <c r="A1324" s="1">
        <v>45776</v>
      </c>
      <c r="B1324">
        <v>24335.95</v>
      </c>
    </row>
    <row r="1325" spans="1:2" x14ac:dyDescent="0.3">
      <c r="A1325" s="1">
        <v>45777</v>
      </c>
      <c r="B1325">
        <v>24334.2</v>
      </c>
    </row>
    <row r="1326" spans="1:2" x14ac:dyDescent="0.3">
      <c r="A1326" s="1">
        <v>45779</v>
      </c>
      <c r="B1326">
        <v>24346.7</v>
      </c>
    </row>
    <row r="1327" spans="1:2" x14ac:dyDescent="0.3">
      <c r="A1327" s="1">
        <v>45782</v>
      </c>
      <c r="B1327">
        <v>24461.15</v>
      </c>
    </row>
    <row r="1328" spans="1:2" x14ac:dyDescent="0.3">
      <c r="A1328" s="1">
        <v>45783</v>
      </c>
      <c r="B1328">
        <v>24379.599999999999</v>
      </c>
    </row>
    <row r="1329" spans="1:2" x14ac:dyDescent="0.3">
      <c r="A1329" s="1">
        <v>45784</v>
      </c>
      <c r="B1329">
        <v>24414.400000000001</v>
      </c>
    </row>
    <row r="1330" spans="1:2" x14ac:dyDescent="0.3">
      <c r="A1330" s="1">
        <v>45785</v>
      </c>
      <c r="B1330">
        <v>24273.8</v>
      </c>
    </row>
    <row r="1331" spans="1:2" x14ac:dyDescent="0.3">
      <c r="A1331" s="1">
        <v>45786</v>
      </c>
      <c r="B1331">
        <v>24008</v>
      </c>
    </row>
    <row r="1332" spans="1:2" x14ac:dyDescent="0.3">
      <c r="A1332" s="1">
        <v>45789</v>
      </c>
      <c r="B1332">
        <v>24924.7</v>
      </c>
    </row>
    <row r="1333" spans="1:2" x14ac:dyDescent="0.3">
      <c r="A1333" s="1">
        <v>45790</v>
      </c>
      <c r="B1333">
        <v>24578.35</v>
      </c>
    </row>
    <row r="1334" spans="1:2" x14ac:dyDescent="0.3">
      <c r="A1334" s="1">
        <v>45791</v>
      </c>
      <c r="B1334">
        <v>24666.9</v>
      </c>
    </row>
    <row r="1335" spans="1:2" x14ac:dyDescent="0.3">
      <c r="A1335" s="1">
        <v>45792</v>
      </c>
      <c r="B1335">
        <v>25062.1</v>
      </c>
    </row>
    <row r="1336" spans="1:2" x14ac:dyDescent="0.3">
      <c r="A1336" s="1">
        <v>45793</v>
      </c>
      <c r="B1336">
        <v>25019.8</v>
      </c>
    </row>
    <row r="1337" spans="1:2" x14ac:dyDescent="0.3">
      <c r="A1337" s="1">
        <v>45796</v>
      </c>
      <c r="B1337">
        <v>24945.45</v>
      </c>
    </row>
    <row r="1338" spans="1:2" x14ac:dyDescent="0.3">
      <c r="A1338" s="1">
        <v>45797</v>
      </c>
      <c r="B1338">
        <v>24683.9</v>
      </c>
    </row>
    <row r="1339" spans="1:2" x14ac:dyDescent="0.3">
      <c r="A1339" s="1">
        <v>45798</v>
      </c>
      <c r="B1339">
        <v>24813.45</v>
      </c>
    </row>
    <row r="1340" spans="1:2" x14ac:dyDescent="0.3">
      <c r="A1340" s="1">
        <v>45799</v>
      </c>
      <c r="B1340">
        <v>24609.7</v>
      </c>
    </row>
    <row r="1341" spans="1:2" x14ac:dyDescent="0.3">
      <c r="A1341" s="1">
        <v>45800</v>
      </c>
      <c r="B1341">
        <v>24853.15</v>
      </c>
    </row>
    <row r="1342" spans="1:2" x14ac:dyDescent="0.3">
      <c r="A1342" s="1">
        <v>45803</v>
      </c>
      <c r="B1342">
        <v>25001.15</v>
      </c>
    </row>
    <row r="1343" spans="1:2" x14ac:dyDescent="0.3">
      <c r="A1343" s="1">
        <v>45804</v>
      </c>
      <c r="B1343">
        <v>24826.2</v>
      </c>
    </row>
    <row r="1344" spans="1:2" x14ac:dyDescent="0.3">
      <c r="A1344" s="1">
        <v>45805</v>
      </c>
      <c r="B1344">
        <v>24752.45</v>
      </c>
    </row>
    <row r="1345" spans="1:2" x14ac:dyDescent="0.3">
      <c r="A1345" s="1">
        <v>45806</v>
      </c>
      <c r="B1345">
        <v>24833.599999999999</v>
      </c>
    </row>
    <row r="1346" spans="1:2" x14ac:dyDescent="0.3">
      <c r="A1346" s="1">
        <v>45807</v>
      </c>
      <c r="B1346">
        <v>24750.7</v>
      </c>
    </row>
    <row r="1347" spans="1:2" x14ac:dyDescent="0.3">
      <c r="A1347" s="1">
        <v>45810</v>
      </c>
      <c r="B1347">
        <v>24716.6</v>
      </c>
    </row>
    <row r="1348" spans="1:2" x14ac:dyDescent="0.3">
      <c r="A1348" s="1">
        <v>45811</v>
      </c>
      <c r="B1348">
        <v>24542.5</v>
      </c>
    </row>
    <row r="1349" spans="1:2" x14ac:dyDescent="0.3">
      <c r="A1349" s="1">
        <v>45812</v>
      </c>
      <c r="B1349">
        <v>24620.2</v>
      </c>
    </row>
    <row r="1350" spans="1:2" x14ac:dyDescent="0.3">
      <c r="A1350" s="1">
        <v>45813</v>
      </c>
      <c r="B1350">
        <v>24750.9</v>
      </c>
    </row>
    <row r="1351" spans="1:2" x14ac:dyDescent="0.3">
      <c r="A1351" s="1">
        <v>45814</v>
      </c>
      <c r="B1351">
        <v>25003.05</v>
      </c>
    </row>
    <row r="1352" spans="1:2" x14ac:dyDescent="0.3">
      <c r="A1352" s="1">
        <v>45817</v>
      </c>
      <c r="B1352">
        <v>25103.200000000001</v>
      </c>
    </row>
    <row r="1353" spans="1:2" x14ac:dyDescent="0.3">
      <c r="A1353" s="1">
        <v>45818</v>
      </c>
      <c r="B1353">
        <v>25104.25</v>
      </c>
    </row>
    <row r="1354" spans="1:2" x14ac:dyDescent="0.3">
      <c r="A1354" s="1">
        <v>45819</v>
      </c>
      <c r="B1354">
        <v>25141.4</v>
      </c>
    </row>
    <row r="1355" spans="1:2" x14ac:dyDescent="0.3">
      <c r="A1355" s="1">
        <v>45820</v>
      </c>
      <c r="B1355">
        <v>24888.2</v>
      </c>
    </row>
    <row r="1356" spans="1:2" x14ac:dyDescent="0.3">
      <c r="A1356" s="1">
        <v>45821</v>
      </c>
      <c r="B1356">
        <v>24718.6</v>
      </c>
    </row>
    <row r="1357" spans="1:2" x14ac:dyDescent="0.3">
      <c r="A1357" s="1">
        <v>45824</v>
      </c>
      <c r="B1357">
        <v>24946.5</v>
      </c>
    </row>
    <row r="1358" spans="1:2" x14ac:dyDescent="0.3">
      <c r="A1358" s="1">
        <v>45825</v>
      </c>
      <c r="B1358">
        <v>24853.4</v>
      </c>
    </row>
    <row r="1359" spans="1:2" x14ac:dyDescent="0.3">
      <c r="A1359" s="1">
        <v>45826</v>
      </c>
      <c r="B1359">
        <v>24812.05</v>
      </c>
    </row>
    <row r="1360" spans="1:2" x14ac:dyDescent="0.3">
      <c r="A1360" s="1">
        <v>45827</v>
      </c>
      <c r="B1360">
        <v>24793.25</v>
      </c>
    </row>
    <row r="1361" spans="1:2" x14ac:dyDescent="0.3">
      <c r="A1361" s="1">
        <v>45828</v>
      </c>
      <c r="B1361">
        <v>25112.400000000001</v>
      </c>
    </row>
    <row r="1362" spans="1:2" x14ac:dyDescent="0.3">
      <c r="A1362" s="1">
        <v>45831</v>
      </c>
      <c r="B1362">
        <v>24971.9</v>
      </c>
    </row>
    <row r="1363" spans="1:2" x14ac:dyDescent="0.3">
      <c r="A1363" s="1">
        <v>45832</v>
      </c>
      <c r="B1363">
        <v>25044.35</v>
      </c>
    </row>
    <row r="1364" spans="1:2" x14ac:dyDescent="0.3">
      <c r="A1364" s="1">
        <v>45833</v>
      </c>
      <c r="B1364">
        <v>25244.75</v>
      </c>
    </row>
    <row r="1365" spans="1:2" x14ac:dyDescent="0.3">
      <c r="A1365" s="1">
        <v>45834</v>
      </c>
      <c r="B1365">
        <v>25549</v>
      </c>
    </row>
    <row r="1366" spans="1:2" x14ac:dyDescent="0.3">
      <c r="A1366" s="1">
        <v>45835</v>
      </c>
      <c r="B1366">
        <v>25637.8</v>
      </c>
    </row>
    <row r="1367" spans="1:2" x14ac:dyDescent="0.3">
      <c r="A1367" s="1">
        <v>45838</v>
      </c>
      <c r="B1367">
        <v>25517.05</v>
      </c>
    </row>
    <row r="1368" spans="1:2" x14ac:dyDescent="0.3">
      <c r="A1368" s="1">
        <v>45839</v>
      </c>
      <c r="B1368">
        <v>25541.8</v>
      </c>
    </row>
    <row r="1369" spans="1:2" x14ac:dyDescent="0.3">
      <c r="A1369" s="1">
        <v>45840</v>
      </c>
      <c r="B1369">
        <v>25453.4</v>
      </c>
    </row>
    <row r="1370" spans="1:2" x14ac:dyDescent="0.3">
      <c r="A1370" s="1">
        <v>45841</v>
      </c>
      <c r="B1370">
        <v>25405.3</v>
      </c>
    </row>
    <row r="1371" spans="1:2" x14ac:dyDescent="0.3">
      <c r="A1371" s="1">
        <v>45842</v>
      </c>
      <c r="B1371">
        <v>25461</v>
      </c>
    </row>
    <row r="1372" spans="1:2" x14ac:dyDescent="0.3">
      <c r="A1372" s="1">
        <v>45845</v>
      </c>
      <c r="B1372">
        <v>25461.3</v>
      </c>
    </row>
    <row r="1373" spans="1:2" x14ac:dyDescent="0.3">
      <c r="A1373" s="1">
        <v>45846</v>
      </c>
      <c r="B1373">
        <v>25522.5</v>
      </c>
    </row>
    <row r="1374" spans="1:2" x14ac:dyDescent="0.3">
      <c r="A1374" s="1">
        <v>45847</v>
      </c>
      <c r="B1374">
        <v>25476.1</v>
      </c>
    </row>
    <row r="1375" spans="1:2" x14ac:dyDescent="0.3">
      <c r="A1375" s="1">
        <v>45848</v>
      </c>
      <c r="B1375">
        <v>25355.25</v>
      </c>
    </row>
    <row r="1376" spans="1:2" x14ac:dyDescent="0.3">
      <c r="A1376" s="1">
        <v>45849</v>
      </c>
      <c r="B1376">
        <v>25149.85</v>
      </c>
    </row>
    <row r="1377" spans="1:2" x14ac:dyDescent="0.3">
      <c r="A1377" s="1">
        <v>45852</v>
      </c>
      <c r="B1377">
        <v>25082.3</v>
      </c>
    </row>
    <row r="1378" spans="1:2" x14ac:dyDescent="0.3">
      <c r="A1378" s="1">
        <v>45853</v>
      </c>
      <c r="B1378">
        <v>25195.8</v>
      </c>
    </row>
    <row r="1379" spans="1:2" x14ac:dyDescent="0.3">
      <c r="A1379" s="1">
        <v>45854</v>
      </c>
      <c r="B1379">
        <v>25212.05</v>
      </c>
    </row>
    <row r="1380" spans="1:2" x14ac:dyDescent="0.3">
      <c r="A1380" s="1">
        <v>45855</v>
      </c>
      <c r="B1380">
        <v>25111.45</v>
      </c>
    </row>
    <row r="1381" spans="1:2" x14ac:dyDescent="0.3">
      <c r="A1381" s="1">
        <v>45856</v>
      </c>
      <c r="B1381">
        <v>24968.400000000001</v>
      </c>
    </row>
    <row r="1382" spans="1:2" x14ac:dyDescent="0.3">
      <c r="A1382" s="1">
        <v>45859</v>
      </c>
      <c r="B1382">
        <v>25090.7</v>
      </c>
    </row>
    <row r="1383" spans="1:2" x14ac:dyDescent="0.3">
      <c r="A1383" s="1">
        <v>45860</v>
      </c>
      <c r="B1383">
        <v>25060.9</v>
      </c>
    </row>
    <row r="1384" spans="1:2" x14ac:dyDescent="0.3">
      <c r="A1384" s="1">
        <v>45861</v>
      </c>
      <c r="B1384">
        <v>25219.9</v>
      </c>
    </row>
    <row r="1385" spans="1:2" x14ac:dyDescent="0.3">
      <c r="A1385" s="1">
        <v>45862</v>
      </c>
      <c r="B1385">
        <v>25062.1</v>
      </c>
    </row>
    <row r="1386" spans="1:2" x14ac:dyDescent="0.3">
      <c r="A1386" s="1">
        <v>45863</v>
      </c>
      <c r="B1386">
        <v>24837</v>
      </c>
    </row>
    <row r="1387" spans="1:2" x14ac:dyDescent="0.3">
      <c r="A1387" s="1">
        <v>45866</v>
      </c>
      <c r="B1387">
        <v>24680.9</v>
      </c>
    </row>
    <row r="1388" spans="1:2" x14ac:dyDescent="0.3">
      <c r="A1388" s="1">
        <v>45867</v>
      </c>
      <c r="B1388">
        <v>24821.1</v>
      </c>
    </row>
    <row r="1389" spans="1:2" x14ac:dyDescent="0.3">
      <c r="A1389" s="1">
        <v>45868</v>
      </c>
      <c r="B1389">
        <v>24855.05</v>
      </c>
    </row>
    <row r="1390" spans="1:2" x14ac:dyDescent="0.3">
      <c r="A1390" s="1">
        <v>45869</v>
      </c>
      <c r="B1390">
        <v>24768.35</v>
      </c>
    </row>
    <row r="1391" spans="1:2" x14ac:dyDescent="0.3">
      <c r="A1391" s="1">
        <v>45870</v>
      </c>
      <c r="B1391">
        <v>24565.35</v>
      </c>
    </row>
    <row r="1392" spans="1:2" x14ac:dyDescent="0.3">
      <c r="A1392" s="1">
        <v>45873</v>
      </c>
      <c r="B1392">
        <v>24722.75</v>
      </c>
    </row>
    <row r="1393" spans="1:2" x14ac:dyDescent="0.3">
      <c r="A1393" s="1">
        <v>45874</v>
      </c>
      <c r="B1393">
        <v>24649.55</v>
      </c>
    </row>
    <row r="1394" spans="1:2" x14ac:dyDescent="0.3">
      <c r="A1394" s="1">
        <v>45875</v>
      </c>
      <c r="B1394">
        <v>24574.2</v>
      </c>
    </row>
    <row r="1395" spans="1:2" x14ac:dyDescent="0.3">
      <c r="A1395" s="1">
        <v>45876</v>
      </c>
      <c r="B1395">
        <v>24596.15</v>
      </c>
    </row>
    <row r="1396" spans="1:2" x14ac:dyDescent="0.3">
      <c r="A1396" s="1">
        <v>45877</v>
      </c>
      <c r="B1396">
        <v>24363.3</v>
      </c>
    </row>
    <row r="1397" spans="1:2" x14ac:dyDescent="0.3">
      <c r="A1397" s="1">
        <v>45880</v>
      </c>
      <c r="B1397">
        <v>24585.05</v>
      </c>
    </row>
    <row r="1398" spans="1:2" x14ac:dyDescent="0.3">
      <c r="A1398" s="1">
        <v>45881</v>
      </c>
      <c r="B1398">
        <v>24487.4</v>
      </c>
    </row>
    <row r="1399" spans="1:2" x14ac:dyDescent="0.3">
      <c r="A1399" s="1">
        <v>45882</v>
      </c>
      <c r="B1399">
        <v>24619.35</v>
      </c>
    </row>
    <row r="1400" spans="1:2" x14ac:dyDescent="0.3">
      <c r="A1400" s="1">
        <v>45883</v>
      </c>
      <c r="B1400">
        <v>24631.3</v>
      </c>
    </row>
    <row r="1401" spans="1:2" x14ac:dyDescent="0.3">
      <c r="A1401" s="1">
        <v>45887</v>
      </c>
      <c r="B1401">
        <v>24876.95</v>
      </c>
    </row>
    <row r="1402" spans="1:2" x14ac:dyDescent="0.3">
      <c r="A1402" s="1">
        <v>45888</v>
      </c>
      <c r="B1402">
        <v>24980.65</v>
      </c>
    </row>
    <row r="1403" spans="1:2" x14ac:dyDescent="0.3">
      <c r="A1403" s="1">
        <v>45889</v>
      </c>
      <c r="B1403">
        <v>25050.55</v>
      </c>
    </row>
    <row r="1404" spans="1:2" x14ac:dyDescent="0.3">
      <c r="A1404" s="1">
        <v>45890</v>
      </c>
      <c r="B1404">
        <v>25083.75</v>
      </c>
    </row>
    <row r="1405" spans="1:2" x14ac:dyDescent="0.3">
      <c r="A1405" s="1">
        <v>45891</v>
      </c>
      <c r="B1405">
        <v>24870.1</v>
      </c>
    </row>
    <row r="1406" spans="1:2" x14ac:dyDescent="0.3">
      <c r="A1406" s="1">
        <v>45894</v>
      </c>
      <c r="B1406">
        <v>24967.75</v>
      </c>
    </row>
    <row r="1407" spans="1:2" x14ac:dyDescent="0.3">
      <c r="A1407" s="1">
        <v>45895</v>
      </c>
      <c r="B1407">
        <v>24712.05</v>
      </c>
    </row>
    <row r="1408" spans="1:2" x14ac:dyDescent="0.3">
      <c r="A1408" s="1">
        <v>45897</v>
      </c>
      <c r="B1408">
        <v>24500.9</v>
      </c>
    </row>
    <row r="1409" spans="1:2" x14ac:dyDescent="0.3">
      <c r="A1409" s="1">
        <v>45898</v>
      </c>
      <c r="B1409">
        <v>24426.85</v>
      </c>
    </row>
    <row r="1410" spans="1:2" x14ac:dyDescent="0.3">
      <c r="A1410" s="1">
        <v>45901</v>
      </c>
      <c r="B1410">
        <v>24625.05</v>
      </c>
    </row>
    <row r="1411" spans="1:2" x14ac:dyDescent="0.3">
      <c r="A1411" s="1">
        <v>45902</v>
      </c>
      <c r="B1411">
        <v>24579.599999999999</v>
      </c>
    </row>
    <row r="1412" spans="1:2" x14ac:dyDescent="0.3">
      <c r="A1412" s="1">
        <v>45903</v>
      </c>
      <c r="B1412">
        <v>24715.05</v>
      </c>
    </row>
    <row r="1413" spans="1:2" x14ac:dyDescent="0.3">
      <c r="A1413" s="1">
        <v>45904</v>
      </c>
      <c r="B1413">
        <v>24734.3</v>
      </c>
    </row>
    <row r="1414" spans="1:2" x14ac:dyDescent="0.3">
      <c r="A1414" s="1">
        <v>45905</v>
      </c>
      <c r="B1414">
        <v>24741</v>
      </c>
    </row>
    <row r="1415" spans="1:2" x14ac:dyDescent="0.3">
      <c r="A1415" s="1">
        <v>45908</v>
      </c>
      <c r="B1415">
        <v>24773.15</v>
      </c>
    </row>
    <row r="1416" spans="1:2" x14ac:dyDescent="0.3">
      <c r="A1416" s="1">
        <v>45909</v>
      </c>
      <c r="B1416">
        <v>24868.6</v>
      </c>
    </row>
    <row r="1417" spans="1:2" x14ac:dyDescent="0.3">
      <c r="A1417" s="1">
        <v>45910</v>
      </c>
      <c r="B1417">
        <v>24973.1</v>
      </c>
    </row>
    <row r="1418" spans="1:2" x14ac:dyDescent="0.3">
      <c r="A1418" s="1">
        <v>45911</v>
      </c>
      <c r="B1418">
        <v>25005.5</v>
      </c>
    </row>
    <row r="1419" spans="1:2" x14ac:dyDescent="0.3">
      <c r="A1419" s="1">
        <v>45912</v>
      </c>
      <c r="B1419">
        <v>25114</v>
      </c>
    </row>
    <row r="1420" spans="1:2" x14ac:dyDescent="0.3">
      <c r="A1420" s="1">
        <v>45915</v>
      </c>
      <c r="B1420">
        <v>25069.200000000001</v>
      </c>
    </row>
    <row r="1421" spans="1:2" x14ac:dyDescent="0.3">
      <c r="A1421" s="1">
        <v>45916</v>
      </c>
      <c r="B1421">
        <v>25239.1</v>
      </c>
    </row>
    <row r="1422" spans="1:2" x14ac:dyDescent="0.3">
      <c r="A1422" s="1">
        <v>45917</v>
      </c>
      <c r="B1422">
        <v>25330.25</v>
      </c>
    </row>
    <row r="1423" spans="1:2" x14ac:dyDescent="0.3">
      <c r="A1423" s="1">
        <v>45918</v>
      </c>
      <c r="B1423">
        <v>25423.599999999999</v>
      </c>
    </row>
    <row r="1424" spans="1:2" x14ac:dyDescent="0.3">
      <c r="A1424" s="1">
        <v>45919</v>
      </c>
      <c r="B1424">
        <v>25327.05</v>
      </c>
    </row>
    <row r="1425" spans="1:2" x14ac:dyDescent="0.3">
      <c r="A1425" s="1">
        <v>45922</v>
      </c>
      <c r="B1425">
        <v>25202.35</v>
      </c>
    </row>
    <row r="1426" spans="1:2" x14ac:dyDescent="0.3">
      <c r="A1426" s="1">
        <v>45923</v>
      </c>
      <c r="B1426">
        <v>25169.5</v>
      </c>
    </row>
    <row r="1427" spans="1:2" x14ac:dyDescent="0.3">
      <c r="A1427" s="1">
        <v>45924</v>
      </c>
      <c r="B1427">
        <v>25056.9</v>
      </c>
    </row>
    <row r="1428" spans="1:2" x14ac:dyDescent="0.3">
      <c r="A1428" s="1">
        <v>45925</v>
      </c>
      <c r="B1428">
        <v>24890.85</v>
      </c>
    </row>
    <row r="1429" spans="1:2" x14ac:dyDescent="0.3">
      <c r="A1429" s="1">
        <v>45926</v>
      </c>
      <c r="B1429">
        <v>24654.7</v>
      </c>
    </row>
    <row r="1430" spans="1:2" x14ac:dyDescent="0.3">
      <c r="A1430" s="1">
        <v>45929</v>
      </c>
      <c r="B1430">
        <v>24634.9</v>
      </c>
    </row>
    <row r="1431" spans="1:2" x14ac:dyDescent="0.3">
      <c r="A1431" s="1">
        <v>45930</v>
      </c>
      <c r="B1431">
        <v>24611.1</v>
      </c>
    </row>
    <row r="1432" spans="1:2" x14ac:dyDescent="0.3">
      <c r="A1432" s="1">
        <v>45931</v>
      </c>
      <c r="B1432">
        <v>24836.3</v>
      </c>
    </row>
    <row r="1433" spans="1:2" x14ac:dyDescent="0.3">
      <c r="A1433" s="1">
        <v>45933</v>
      </c>
      <c r="B1433">
        <v>24894.25</v>
      </c>
    </row>
    <row r="1434" spans="1:2" x14ac:dyDescent="0.3">
      <c r="A1434" s="1">
        <v>45936</v>
      </c>
      <c r="B1434">
        <v>25077.65</v>
      </c>
    </row>
    <row r="1435" spans="1:2" x14ac:dyDescent="0.3">
      <c r="A1435" s="1">
        <v>45937</v>
      </c>
      <c r="B1435">
        <v>25108.3</v>
      </c>
    </row>
    <row r="1436" spans="1:2" x14ac:dyDescent="0.3">
      <c r="A1436" s="1">
        <v>45938</v>
      </c>
      <c r="B1436">
        <v>25046.15</v>
      </c>
    </row>
    <row r="1437" spans="1:2" x14ac:dyDescent="0.3">
      <c r="A1437" s="1">
        <v>45939</v>
      </c>
      <c r="B1437">
        <v>25181.8</v>
      </c>
    </row>
    <row r="1438" spans="1:2" x14ac:dyDescent="0.3">
      <c r="A1438" s="1">
        <v>45940</v>
      </c>
      <c r="B1438">
        <v>25285.35</v>
      </c>
    </row>
    <row r="1439" spans="1:2" x14ac:dyDescent="0.3">
      <c r="A1439" s="1">
        <v>45943</v>
      </c>
      <c r="B1439">
        <v>25227.35</v>
      </c>
    </row>
    <row r="1440" spans="1:2" x14ac:dyDescent="0.3">
      <c r="A1440" s="1">
        <v>45944</v>
      </c>
      <c r="B1440">
        <v>25145.5</v>
      </c>
    </row>
    <row r="1441" spans="1:2" x14ac:dyDescent="0.3">
      <c r="A1441" s="1">
        <v>45945</v>
      </c>
      <c r="B1441">
        <v>25323.55</v>
      </c>
    </row>
    <row r="1442" spans="1:2" x14ac:dyDescent="0.3">
      <c r="A1442" s="1">
        <v>45946</v>
      </c>
      <c r="B1442">
        <v>25585.3</v>
      </c>
    </row>
    <row r="1443" spans="1:2" x14ac:dyDescent="0.3">
      <c r="A1443" s="1">
        <v>45947</v>
      </c>
      <c r="B1443">
        <v>25709.85</v>
      </c>
    </row>
    <row r="1444" spans="1:2" x14ac:dyDescent="0.3">
      <c r="A1444" s="1">
        <v>45950</v>
      </c>
      <c r="B1444">
        <v>25843.15</v>
      </c>
    </row>
    <row r="1445" spans="1:2" x14ac:dyDescent="0.3">
      <c r="A1445" s="1">
        <v>45951</v>
      </c>
      <c r="B1445">
        <v>25868.6</v>
      </c>
    </row>
    <row r="1446" spans="1:2" x14ac:dyDescent="0.3">
      <c r="A1446" s="1">
        <v>45953</v>
      </c>
      <c r="B1446">
        <v>25891.4</v>
      </c>
    </row>
    <row r="1447" spans="1:2" x14ac:dyDescent="0.3">
      <c r="A1447" s="1">
        <v>45954</v>
      </c>
      <c r="B1447">
        <v>25795.15</v>
      </c>
    </row>
    <row r="1448" spans="1:2" x14ac:dyDescent="0.3">
      <c r="A1448" s="1">
        <v>45957</v>
      </c>
      <c r="B1448">
        <v>25966.05</v>
      </c>
    </row>
    <row r="1449" spans="1:2" x14ac:dyDescent="0.3">
      <c r="A1449" s="1">
        <v>45958</v>
      </c>
      <c r="B1449">
        <v>25936.2</v>
      </c>
    </row>
    <row r="1450" spans="1:2" x14ac:dyDescent="0.3">
      <c r="A1450" s="1">
        <v>45959</v>
      </c>
      <c r="B1450">
        <v>26053.9</v>
      </c>
    </row>
    <row r="1451" spans="1:2" x14ac:dyDescent="0.3">
      <c r="A1451" s="1">
        <v>45960</v>
      </c>
      <c r="B1451">
        <v>25877.85</v>
      </c>
    </row>
    <row r="1452" spans="1:2" x14ac:dyDescent="0.3">
      <c r="A1452" s="1">
        <v>45961</v>
      </c>
      <c r="B1452">
        <v>25722.1</v>
      </c>
    </row>
    <row r="1453" spans="1:2" x14ac:dyDescent="0.3">
      <c r="A1453" s="1">
        <v>45964</v>
      </c>
      <c r="B1453">
        <v>25763.35</v>
      </c>
    </row>
    <row r="1454" spans="1:2" x14ac:dyDescent="0.3">
      <c r="A1454" s="1">
        <v>45965</v>
      </c>
      <c r="B1454">
        <v>25597.65</v>
      </c>
    </row>
    <row r="1455" spans="1:2" x14ac:dyDescent="0.3">
      <c r="A1455" s="1">
        <v>45967</v>
      </c>
      <c r="B1455">
        <v>25509.7</v>
      </c>
    </row>
    <row r="1456" spans="1:2" x14ac:dyDescent="0.3">
      <c r="A1456" s="1">
        <v>45968</v>
      </c>
      <c r="B1456">
        <v>25492.3</v>
      </c>
    </row>
    <row r="1457" spans="1:2" x14ac:dyDescent="0.3">
      <c r="A1457" s="1">
        <v>45971</v>
      </c>
      <c r="B1457">
        <v>25574.35</v>
      </c>
    </row>
    <row r="1458" spans="1:2" x14ac:dyDescent="0.3">
      <c r="A1458" s="1">
        <v>45972</v>
      </c>
      <c r="B1458">
        <v>25694.95</v>
      </c>
    </row>
    <row r="1459" spans="1:2" x14ac:dyDescent="0.3">
      <c r="A1459" s="1">
        <v>45973</v>
      </c>
      <c r="B1459">
        <v>25875.8</v>
      </c>
    </row>
    <row r="1460" spans="1:2" x14ac:dyDescent="0.3">
      <c r="A1460" s="1">
        <v>45974</v>
      </c>
      <c r="B1460">
        <v>25879.15</v>
      </c>
    </row>
    <row r="1461" spans="1:2" x14ac:dyDescent="0.3">
      <c r="A1461" s="1">
        <v>45975</v>
      </c>
      <c r="B1461">
        <v>25910.05</v>
      </c>
    </row>
    <row r="1462" spans="1:2" x14ac:dyDescent="0.3">
      <c r="A1462" s="1">
        <v>45978</v>
      </c>
      <c r="B1462">
        <v>26013.45</v>
      </c>
    </row>
    <row r="1463" spans="1:2" x14ac:dyDescent="0.3">
      <c r="A1463" s="1">
        <v>45979</v>
      </c>
      <c r="B1463">
        <v>25910.05</v>
      </c>
    </row>
    <row r="1464" spans="1:2" x14ac:dyDescent="0.3">
      <c r="A1464" s="1">
        <v>45980</v>
      </c>
      <c r="B1464">
        <v>26052.65</v>
      </c>
    </row>
    <row r="1465" spans="1:2" x14ac:dyDescent="0.3">
      <c r="A1465" s="1">
        <v>45981</v>
      </c>
      <c r="B1465">
        <v>26192.15</v>
      </c>
    </row>
    <row r="1466" spans="1:2" x14ac:dyDescent="0.3">
      <c r="A1466" s="1">
        <v>45982</v>
      </c>
      <c r="B1466">
        <v>26068.15</v>
      </c>
    </row>
    <row r="1467" spans="1:2" x14ac:dyDescent="0.3">
      <c r="A1467" s="1">
        <v>45985</v>
      </c>
      <c r="B1467">
        <v>25959.5</v>
      </c>
    </row>
    <row r="1468" spans="1:2" x14ac:dyDescent="0.3">
      <c r="A1468" s="1">
        <v>45986</v>
      </c>
      <c r="B1468">
        <v>25884.799999999999</v>
      </c>
    </row>
    <row r="1469" spans="1:2" x14ac:dyDescent="0.3">
      <c r="A1469" s="1">
        <v>45987</v>
      </c>
      <c r="B1469">
        <v>26205.3</v>
      </c>
    </row>
    <row r="1470" spans="1:2" x14ac:dyDescent="0.3">
      <c r="A1470" s="1">
        <v>45988</v>
      </c>
      <c r="B1470">
        <v>26215.55</v>
      </c>
    </row>
    <row r="1471" spans="1:2" x14ac:dyDescent="0.3">
      <c r="A1471" s="1">
        <v>45989</v>
      </c>
      <c r="B1471">
        <v>26202.95</v>
      </c>
    </row>
    <row r="1472" spans="1:2" x14ac:dyDescent="0.3">
      <c r="A1472" s="1">
        <v>45992</v>
      </c>
      <c r="B1472">
        <v>26175.75</v>
      </c>
    </row>
    <row r="1473" spans="1:2" x14ac:dyDescent="0.3">
      <c r="A1473" s="1">
        <v>45993</v>
      </c>
      <c r="B1473">
        <v>26032.2</v>
      </c>
    </row>
    <row r="1474" spans="1:2" x14ac:dyDescent="0.3">
      <c r="A1474" s="1">
        <v>45994</v>
      </c>
      <c r="B1474">
        <v>25986</v>
      </c>
    </row>
    <row r="1475" spans="1:2" x14ac:dyDescent="0.3">
      <c r="A1475" s="1">
        <v>45995</v>
      </c>
      <c r="B1475">
        <v>26033.75</v>
      </c>
    </row>
    <row r="1476" spans="1:2" x14ac:dyDescent="0.3">
      <c r="A1476" s="1">
        <v>45996</v>
      </c>
      <c r="B1476">
        <v>26186.45</v>
      </c>
    </row>
    <row r="1477" spans="1:2" x14ac:dyDescent="0.3">
      <c r="A1477" s="1">
        <v>45999</v>
      </c>
      <c r="B1477">
        <v>25960.55</v>
      </c>
    </row>
    <row r="1478" spans="1:2" x14ac:dyDescent="0.3">
      <c r="A1478" s="1">
        <v>46000</v>
      </c>
      <c r="B1478">
        <v>25839.65</v>
      </c>
    </row>
    <row r="1479" spans="1:2" x14ac:dyDescent="0.3">
      <c r="A1479" s="1">
        <v>46001</v>
      </c>
      <c r="B1479">
        <v>25758</v>
      </c>
    </row>
    <row r="1480" spans="1:2" x14ac:dyDescent="0.3">
      <c r="A1480" s="1">
        <v>46002</v>
      </c>
      <c r="B1480">
        <v>25898.55</v>
      </c>
    </row>
    <row r="1481" spans="1:2" x14ac:dyDescent="0.3">
      <c r="A1481" s="1">
        <v>46003</v>
      </c>
      <c r="B1481">
        <v>26046.95</v>
      </c>
    </row>
    <row r="1482" spans="1:2" x14ac:dyDescent="0.3">
      <c r="A1482" s="1">
        <v>46006</v>
      </c>
      <c r="B1482">
        <v>26027.3</v>
      </c>
    </row>
    <row r="1483" spans="1:2" x14ac:dyDescent="0.3">
      <c r="A1483" s="1">
        <v>46007</v>
      </c>
      <c r="B1483">
        <v>25860.1</v>
      </c>
    </row>
    <row r="1484" spans="1:2" x14ac:dyDescent="0.3">
      <c r="A1484" s="1">
        <v>46008</v>
      </c>
      <c r="B1484">
        <v>25818.55</v>
      </c>
    </row>
    <row r="1485" spans="1:2" x14ac:dyDescent="0.3">
      <c r="A1485" s="1">
        <v>46009</v>
      </c>
      <c r="B1485">
        <v>25815.55</v>
      </c>
    </row>
    <row r="1486" spans="1:2" x14ac:dyDescent="0.3">
      <c r="A1486" s="1">
        <v>46010</v>
      </c>
      <c r="B1486">
        <v>25966.400000000001</v>
      </c>
    </row>
    <row r="1487" spans="1:2" x14ac:dyDescent="0.3">
      <c r="A1487" s="1">
        <v>46013</v>
      </c>
      <c r="B1487">
        <v>26172.400000000001</v>
      </c>
    </row>
    <row r="1488" spans="1:2" x14ac:dyDescent="0.3">
      <c r="A1488" s="1">
        <v>46014</v>
      </c>
      <c r="B1488">
        <v>26177.15</v>
      </c>
    </row>
    <row r="1489" spans="1:2" x14ac:dyDescent="0.3">
      <c r="A1489" s="1">
        <v>46015</v>
      </c>
      <c r="B1489">
        <v>26142.1</v>
      </c>
    </row>
    <row r="1490" spans="1:2" x14ac:dyDescent="0.3">
      <c r="A1490" s="1">
        <v>46017</v>
      </c>
      <c r="B1490">
        <v>26042.3</v>
      </c>
    </row>
    <row r="1491" spans="1:2" x14ac:dyDescent="0.3">
      <c r="A1491" s="1">
        <v>46020</v>
      </c>
      <c r="B1491">
        <v>25942.1</v>
      </c>
    </row>
    <row r="1492" spans="1:2" x14ac:dyDescent="0.3">
      <c r="A1492" s="1">
        <v>46021</v>
      </c>
      <c r="B1492">
        <v>25938.85</v>
      </c>
    </row>
    <row r="1493" spans="1:2" x14ac:dyDescent="0.3">
      <c r="A1493" s="1">
        <v>46022</v>
      </c>
      <c r="B1493">
        <v>26129.599999999999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936B-C746-440F-87F8-72224CC6BD93}">
  <dimension ref="A1:B1493"/>
  <sheetViews>
    <sheetView workbookViewId="0">
      <selection sqref="A1:B1048576"/>
    </sheetView>
  </sheetViews>
  <sheetFormatPr defaultRowHeight="14.4" x14ac:dyDescent="0.3"/>
  <cols>
    <col min="1" max="1" width="10.33203125" bestFit="1" customWidth="1"/>
    <col min="2" max="2" width="8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>
        <v>678.82</v>
      </c>
    </row>
    <row r="3" spans="1:2" x14ac:dyDescent="0.3">
      <c r="A3" s="1">
        <v>43832</v>
      </c>
      <c r="B3">
        <v>690.37</v>
      </c>
    </row>
    <row r="4" spans="1:2" x14ac:dyDescent="0.3">
      <c r="A4" s="1">
        <v>43833</v>
      </c>
      <c r="B4">
        <v>691.21</v>
      </c>
    </row>
    <row r="5" spans="1:2" x14ac:dyDescent="0.3">
      <c r="A5" s="1">
        <v>43836</v>
      </c>
      <c r="B5">
        <v>675.18</v>
      </c>
    </row>
    <row r="6" spans="1:2" x14ac:dyDescent="0.3">
      <c r="A6" s="1">
        <v>43837</v>
      </c>
      <c r="B6">
        <v>685.56</v>
      </c>
    </row>
    <row r="7" spans="1:2" x14ac:dyDescent="0.3">
      <c r="A7" s="1">
        <v>43838</v>
      </c>
      <c r="B7">
        <v>680.41</v>
      </c>
    </row>
    <row r="8" spans="1:2" x14ac:dyDescent="0.3">
      <c r="A8" s="1">
        <v>43839</v>
      </c>
      <c r="B8">
        <v>696.08</v>
      </c>
    </row>
    <row r="9" spans="1:2" x14ac:dyDescent="0.3">
      <c r="A9" s="1">
        <v>43840</v>
      </c>
      <c r="B9">
        <v>695.93</v>
      </c>
    </row>
    <row r="10" spans="1:2" x14ac:dyDescent="0.3">
      <c r="A10" s="1">
        <v>43843</v>
      </c>
      <c r="B10">
        <v>694.15</v>
      </c>
    </row>
    <row r="11" spans="1:2" x14ac:dyDescent="0.3">
      <c r="A11" s="1">
        <v>43844</v>
      </c>
      <c r="B11">
        <v>687.72</v>
      </c>
    </row>
    <row r="12" spans="1:2" x14ac:dyDescent="0.3">
      <c r="A12" s="1">
        <v>43845</v>
      </c>
      <c r="B12">
        <v>685.23</v>
      </c>
    </row>
    <row r="13" spans="1:2" x14ac:dyDescent="0.3">
      <c r="A13" s="1">
        <v>43846</v>
      </c>
      <c r="B13">
        <v>691.54</v>
      </c>
    </row>
    <row r="14" spans="1:2" x14ac:dyDescent="0.3">
      <c r="A14" s="1">
        <v>43847</v>
      </c>
      <c r="B14">
        <v>710.92</v>
      </c>
    </row>
    <row r="15" spans="1:2" x14ac:dyDescent="0.3">
      <c r="A15" s="1">
        <v>43850</v>
      </c>
      <c r="B15">
        <v>689.05</v>
      </c>
    </row>
    <row r="16" spans="1:2" x14ac:dyDescent="0.3">
      <c r="A16" s="1">
        <v>43851</v>
      </c>
      <c r="B16">
        <v>689.74</v>
      </c>
    </row>
    <row r="17" spans="1:2" x14ac:dyDescent="0.3">
      <c r="A17" s="1">
        <v>43852</v>
      </c>
      <c r="B17">
        <v>689.5</v>
      </c>
    </row>
    <row r="18" spans="1:2" x14ac:dyDescent="0.3">
      <c r="A18" s="1">
        <v>43853</v>
      </c>
      <c r="B18">
        <v>686.57</v>
      </c>
    </row>
    <row r="19" spans="1:2" x14ac:dyDescent="0.3">
      <c r="A19" s="1">
        <v>43854</v>
      </c>
      <c r="B19">
        <v>684.19</v>
      </c>
    </row>
    <row r="20" spans="1:2" x14ac:dyDescent="0.3">
      <c r="A20" s="1">
        <v>43857</v>
      </c>
      <c r="B20">
        <v>677.45</v>
      </c>
    </row>
    <row r="21" spans="1:2" x14ac:dyDescent="0.3">
      <c r="A21" s="1">
        <v>43858</v>
      </c>
      <c r="B21">
        <v>661.8</v>
      </c>
    </row>
    <row r="22" spans="1:2" x14ac:dyDescent="0.3">
      <c r="A22" s="1">
        <v>43859</v>
      </c>
      <c r="B22">
        <v>665.44</v>
      </c>
    </row>
    <row r="23" spans="1:2" x14ac:dyDescent="0.3">
      <c r="A23" s="1">
        <v>43860</v>
      </c>
      <c r="B23">
        <v>649.21</v>
      </c>
    </row>
    <row r="24" spans="1:2" x14ac:dyDescent="0.3">
      <c r="A24" s="1">
        <v>43861</v>
      </c>
      <c r="B24">
        <v>634.77</v>
      </c>
    </row>
    <row r="25" spans="1:2" x14ac:dyDescent="0.3">
      <c r="A25" s="1">
        <v>43862</v>
      </c>
      <c r="B25">
        <v>622.04999999999995</v>
      </c>
    </row>
    <row r="26" spans="1:2" x14ac:dyDescent="0.3">
      <c r="A26" s="1">
        <v>43864</v>
      </c>
      <c r="B26">
        <v>623.01</v>
      </c>
    </row>
    <row r="27" spans="1:2" x14ac:dyDescent="0.3">
      <c r="A27" s="1">
        <v>43865</v>
      </c>
      <c r="B27">
        <v>641.41</v>
      </c>
    </row>
    <row r="28" spans="1:2" x14ac:dyDescent="0.3">
      <c r="A28" s="1">
        <v>43866</v>
      </c>
      <c r="B28">
        <v>651.34</v>
      </c>
    </row>
    <row r="29" spans="1:2" x14ac:dyDescent="0.3">
      <c r="A29" s="1">
        <v>43867</v>
      </c>
      <c r="B29">
        <v>655.52</v>
      </c>
    </row>
    <row r="30" spans="1:2" x14ac:dyDescent="0.3">
      <c r="A30" s="1">
        <v>43868</v>
      </c>
      <c r="B30">
        <v>644.66999999999996</v>
      </c>
    </row>
    <row r="31" spans="1:2" x14ac:dyDescent="0.3">
      <c r="A31" s="1">
        <v>43871</v>
      </c>
      <c r="B31">
        <v>645.54</v>
      </c>
    </row>
    <row r="32" spans="1:2" x14ac:dyDescent="0.3">
      <c r="A32" s="1">
        <v>43872</v>
      </c>
      <c r="B32">
        <v>653.25</v>
      </c>
    </row>
    <row r="33" spans="1:2" x14ac:dyDescent="0.3">
      <c r="A33" s="1">
        <v>43873</v>
      </c>
      <c r="B33">
        <v>661.15</v>
      </c>
    </row>
    <row r="34" spans="1:2" x14ac:dyDescent="0.3">
      <c r="A34" s="1">
        <v>43874</v>
      </c>
      <c r="B34">
        <v>662.88</v>
      </c>
    </row>
    <row r="35" spans="1:2" x14ac:dyDescent="0.3">
      <c r="A35" s="1">
        <v>43875</v>
      </c>
      <c r="B35">
        <v>668.92</v>
      </c>
    </row>
    <row r="36" spans="1:2" x14ac:dyDescent="0.3">
      <c r="A36" s="1">
        <v>43878</v>
      </c>
      <c r="B36">
        <v>664.72</v>
      </c>
    </row>
    <row r="37" spans="1:2" x14ac:dyDescent="0.3">
      <c r="A37" s="1">
        <v>43879</v>
      </c>
      <c r="B37">
        <v>659.84</v>
      </c>
    </row>
    <row r="38" spans="1:2" x14ac:dyDescent="0.3">
      <c r="A38" s="1">
        <v>43880</v>
      </c>
      <c r="B38">
        <v>676.21</v>
      </c>
    </row>
    <row r="39" spans="1:2" x14ac:dyDescent="0.3">
      <c r="A39" s="1">
        <v>43881</v>
      </c>
      <c r="B39">
        <v>668.18</v>
      </c>
    </row>
    <row r="40" spans="1:2" x14ac:dyDescent="0.3">
      <c r="A40" s="1">
        <v>43885</v>
      </c>
      <c r="B40">
        <v>649.75</v>
      </c>
    </row>
    <row r="41" spans="1:2" x14ac:dyDescent="0.3">
      <c r="A41" s="1">
        <v>43886</v>
      </c>
      <c r="B41">
        <v>636.91</v>
      </c>
    </row>
    <row r="42" spans="1:2" x14ac:dyDescent="0.3">
      <c r="A42" s="1">
        <v>43887</v>
      </c>
      <c r="B42">
        <v>625.94000000000005</v>
      </c>
    </row>
    <row r="43" spans="1:2" x14ac:dyDescent="0.3">
      <c r="A43" s="1">
        <v>43888</v>
      </c>
      <c r="B43">
        <v>623.35</v>
      </c>
    </row>
    <row r="44" spans="1:2" x14ac:dyDescent="0.3">
      <c r="A44" s="1">
        <v>43889</v>
      </c>
      <c r="B44">
        <v>597.45000000000005</v>
      </c>
    </row>
    <row r="45" spans="1:2" x14ac:dyDescent="0.3">
      <c r="A45" s="1">
        <v>43892</v>
      </c>
      <c r="B45">
        <v>591.83000000000004</v>
      </c>
    </row>
    <row r="46" spans="1:2" x14ac:dyDescent="0.3">
      <c r="A46" s="1">
        <v>43893</v>
      </c>
      <c r="B46">
        <v>603.84</v>
      </c>
    </row>
    <row r="47" spans="1:2" x14ac:dyDescent="0.3">
      <c r="A47" s="1">
        <v>43894</v>
      </c>
      <c r="B47">
        <v>602.41999999999996</v>
      </c>
    </row>
    <row r="48" spans="1:2" x14ac:dyDescent="0.3">
      <c r="A48" s="1">
        <v>43895</v>
      </c>
      <c r="B48">
        <v>589.58000000000004</v>
      </c>
    </row>
    <row r="49" spans="1:2" x14ac:dyDescent="0.3">
      <c r="A49" s="1">
        <v>43896</v>
      </c>
      <c r="B49">
        <v>571.53</v>
      </c>
    </row>
    <row r="50" spans="1:2" x14ac:dyDescent="0.3">
      <c r="A50" s="1">
        <v>43899</v>
      </c>
      <c r="B50">
        <v>501</v>
      </c>
    </row>
    <row r="51" spans="1:2" x14ac:dyDescent="0.3">
      <c r="A51" s="1">
        <v>43901</v>
      </c>
      <c r="B51">
        <v>518.71</v>
      </c>
    </row>
    <row r="52" spans="1:2" x14ac:dyDescent="0.3">
      <c r="A52" s="1">
        <v>43902</v>
      </c>
      <c r="B52">
        <v>478</v>
      </c>
    </row>
    <row r="53" spans="1:2" x14ac:dyDescent="0.3">
      <c r="A53" s="1">
        <v>43903</v>
      </c>
      <c r="B53">
        <v>497.02</v>
      </c>
    </row>
    <row r="54" spans="1:2" x14ac:dyDescent="0.3">
      <c r="A54" s="1">
        <v>43906</v>
      </c>
      <c r="B54">
        <v>456.73</v>
      </c>
    </row>
    <row r="55" spans="1:2" x14ac:dyDescent="0.3">
      <c r="A55" s="1">
        <v>43907</v>
      </c>
      <c r="B55">
        <v>453.26</v>
      </c>
    </row>
    <row r="56" spans="1:2" x14ac:dyDescent="0.3">
      <c r="A56" s="1">
        <v>43908</v>
      </c>
      <c r="B56">
        <v>435.5</v>
      </c>
    </row>
    <row r="57" spans="1:2" x14ac:dyDescent="0.3">
      <c r="A57" s="1">
        <v>43909</v>
      </c>
      <c r="B57">
        <v>412.66</v>
      </c>
    </row>
    <row r="58" spans="1:2" x14ac:dyDescent="0.3">
      <c r="A58" s="1">
        <v>43910</v>
      </c>
      <c r="B58">
        <v>457.74</v>
      </c>
    </row>
    <row r="59" spans="1:2" x14ac:dyDescent="0.3">
      <c r="A59" s="1">
        <v>43913</v>
      </c>
      <c r="B59">
        <v>397.53</v>
      </c>
    </row>
    <row r="60" spans="1:2" x14ac:dyDescent="0.3">
      <c r="A60" s="1">
        <v>43914</v>
      </c>
      <c r="B60">
        <v>424.22</v>
      </c>
    </row>
    <row r="61" spans="1:2" x14ac:dyDescent="0.3">
      <c r="A61" s="1">
        <v>43915</v>
      </c>
      <c r="B61">
        <v>486.65</v>
      </c>
    </row>
    <row r="62" spans="1:2" x14ac:dyDescent="0.3">
      <c r="A62" s="1">
        <v>43916</v>
      </c>
      <c r="B62">
        <v>479.44</v>
      </c>
    </row>
    <row r="63" spans="1:2" x14ac:dyDescent="0.3">
      <c r="A63" s="1">
        <v>43917</v>
      </c>
      <c r="B63">
        <v>479.17</v>
      </c>
    </row>
    <row r="64" spans="1:2" x14ac:dyDescent="0.3">
      <c r="A64" s="1">
        <v>43920</v>
      </c>
      <c r="B64">
        <v>463.36</v>
      </c>
    </row>
    <row r="65" spans="1:2" x14ac:dyDescent="0.3">
      <c r="A65" s="1">
        <v>43921</v>
      </c>
      <c r="B65">
        <v>500.82</v>
      </c>
    </row>
    <row r="66" spans="1:2" x14ac:dyDescent="0.3">
      <c r="A66" s="1">
        <v>43922</v>
      </c>
      <c r="B66">
        <v>485.84</v>
      </c>
    </row>
    <row r="67" spans="1:2" x14ac:dyDescent="0.3">
      <c r="A67" s="1">
        <v>43924</v>
      </c>
      <c r="B67">
        <v>484.49</v>
      </c>
    </row>
    <row r="68" spans="1:2" x14ac:dyDescent="0.3">
      <c r="A68" s="1">
        <v>43928</v>
      </c>
      <c r="B68">
        <v>542.34</v>
      </c>
    </row>
    <row r="69" spans="1:2" x14ac:dyDescent="0.3">
      <c r="A69" s="1">
        <v>43929</v>
      </c>
      <c r="B69">
        <v>536.07000000000005</v>
      </c>
    </row>
    <row r="70" spans="1:2" x14ac:dyDescent="0.3">
      <c r="A70" s="1">
        <v>43930</v>
      </c>
      <c r="B70">
        <v>548.57000000000005</v>
      </c>
    </row>
    <row r="71" spans="1:2" x14ac:dyDescent="0.3">
      <c r="A71" s="1">
        <v>43934</v>
      </c>
      <c r="B71">
        <v>534.72</v>
      </c>
    </row>
    <row r="72" spans="1:2" x14ac:dyDescent="0.3">
      <c r="A72" s="1">
        <v>43936</v>
      </c>
      <c r="B72">
        <v>517.04999999999995</v>
      </c>
    </row>
    <row r="73" spans="1:2" x14ac:dyDescent="0.3">
      <c r="A73" s="1">
        <v>43937</v>
      </c>
      <c r="B73">
        <v>525.23</v>
      </c>
    </row>
    <row r="74" spans="1:2" x14ac:dyDescent="0.3">
      <c r="A74" s="1">
        <v>43938</v>
      </c>
      <c r="B74">
        <v>550.39</v>
      </c>
    </row>
    <row r="75" spans="1:2" x14ac:dyDescent="0.3">
      <c r="A75" s="1">
        <v>43941</v>
      </c>
      <c r="B75">
        <v>559.29999999999995</v>
      </c>
    </row>
    <row r="76" spans="1:2" x14ac:dyDescent="0.3">
      <c r="A76" s="1">
        <v>43942</v>
      </c>
      <c r="B76">
        <v>556.4</v>
      </c>
    </row>
    <row r="77" spans="1:2" x14ac:dyDescent="0.3">
      <c r="A77" s="1">
        <v>43943</v>
      </c>
      <c r="B77">
        <v>613.16999999999996</v>
      </c>
    </row>
    <row r="78" spans="1:2" x14ac:dyDescent="0.3">
      <c r="A78" s="1">
        <v>43944</v>
      </c>
      <c r="B78">
        <v>616.45000000000005</v>
      </c>
    </row>
    <row r="79" spans="1:2" x14ac:dyDescent="0.3">
      <c r="A79" s="1">
        <v>43945</v>
      </c>
      <c r="B79">
        <v>637.17999999999995</v>
      </c>
    </row>
    <row r="80" spans="1:2" x14ac:dyDescent="0.3">
      <c r="A80" s="1">
        <v>43948</v>
      </c>
      <c r="B80">
        <v>642.91</v>
      </c>
    </row>
    <row r="81" spans="1:2" x14ac:dyDescent="0.3">
      <c r="A81" s="1">
        <v>43949</v>
      </c>
      <c r="B81">
        <v>642.19000000000005</v>
      </c>
    </row>
    <row r="82" spans="1:2" x14ac:dyDescent="0.3">
      <c r="A82" s="1">
        <v>43950</v>
      </c>
      <c r="B82">
        <v>641.65</v>
      </c>
    </row>
    <row r="83" spans="1:2" x14ac:dyDescent="0.3">
      <c r="A83" s="1">
        <v>43951</v>
      </c>
      <c r="B83">
        <v>659.21</v>
      </c>
    </row>
    <row r="84" spans="1:2" x14ac:dyDescent="0.3">
      <c r="A84" s="1">
        <v>43955</v>
      </c>
      <c r="B84">
        <v>645.36</v>
      </c>
    </row>
    <row r="85" spans="1:2" x14ac:dyDescent="0.3">
      <c r="A85" s="1">
        <v>43956</v>
      </c>
      <c r="B85">
        <v>656.81</v>
      </c>
    </row>
    <row r="86" spans="1:2" x14ac:dyDescent="0.3">
      <c r="A86" s="1">
        <v>43957</v>
      </c>
      <c r="B86">
        <v>656.85</v>
      </c>
    </row>
    <row r="87" spans="1:2" x14ac:dyDescent="0.3">
      <c r="A87" s="1">
        <v>43958</v>
      </c>
      <c r="B87">
        <v>677.63</v>
      </c>
    </row>
    <row r="88" spans="1:2" x14ac:dyDescent="0.3">
      <c r="A88" s="1">
        <v>43959</v>
      </c>
      <c r="B88">
        <v>702.29</v>
      </c>
    </row>
    <row r="89" spans="1:2" x14ac:dyDescent="0.3">
      <c r="A89" s="1">
        <v>43962</v>
      </c>
      <c r="B89">
        <v>709.04</v>
      </c>
    </row>
    <row r="90" spans="1:2" x14ac:dyDescent="0.3">
      <c r="A90" s="1">
        <v>43963</v>
      </c>
      <c r="B90">
        <v>665.17</v>
      </c>
    </row>
    <row r="91" spans="1:2" x14ac:dyDescent="0.3">
      <c r="A91" s="1">
        <v>43964</v>
      </c>
      <c r="B91">
        <v>679.28</v>
      </c>
    </row>
    <row r="92" spans="1:2" x14ac:dyDescent="0.3">
      <c r="A92" s="1">
        <v>43965</v>
      </c>
      <c r="B92">
        <v>651.82000000000005</v>
      </c>
    </row>
    <row r="93" spans="1:2" x14ac:dyDescent="0.3">
      <c r="A93" s="1">
        <v>43966</v>
      </c>
      <c r="B93">
        <v>662.46</v>
      </c>
    </row>
    <row r="94" spans="1:2" x14ac:dyDescent="0.3">
      <c r="A94" s="1">
        <v>43969</v>
      </c>
      <c r="B94">
        <v>654</v>
      </c>
    </row>
    <row r="95" spans="1:2" x14ac:dyDescent="0.3">
      <c r="A95" s="1">
        <v>43970</v>
      </c>
      <c r="B95">
        <v>639.54</v>
      </c>
    </row>
    <row r="96" spans="1:2" x14ac:dyDescent="0.3">
      <c r="A96" s="1">
        <v>43971</v>
      </c>
      <c r="B96">
        <v>650.79999999999995</v>
      </c>
    </row>
    <row r="97" spans="1:2" x14ac:dyDescent="0.3">
      <c r="A97" s="1">
        <v>43972</v>
      </c>
      <c r="B97">
        <v>654.23</v>
      </c>
    </row>
    <row r="98" spans="1:2" x14ac:dyDescent="0.3">
      <c r="A98" s="1">
        <v>43973</v>
      </c>
      <c r="B98">
        <v>649.82000000000005</v>
      </c>
    </row>
    <row r="99" spans="1:2" x14ac:dyDescent="0.3">
      <c r="A99" s="1">
        <v>43977</v>
      </c>
      <c r="B99">
        <v>646.41999999999996</v>
      </c>
    </row>
    <row r="100" spans="1:2" x14ac:dyDescent="0.3">
      <c r="A100" s="1">
        <v>43978</v>
      </c>
      <c r="B100">
        <v>656.18</v>
      </c>
    </row>
    <row r="101" spans="1:2" x14ac:dyDescent="0.3">
      <c r="A101" s="1">
        <v>43979</v>
      </c>
      <c r="B101">
        <v>668.3</v>
      </c>
    </row>
    <row r="102" spans="1:2" x14ac:dyDescent="0.3">
      <c r="A102" s="1">
        <v>43980</v>
      </c>
      <c r="B102">
        <v>664.73</v>
      </c>
    </row>
    <row r="103" spans="1:2" x14ac:dyDescent="0.3">
      <c r="A103" s="1">
        <v>43983</v>
      </c>
      <c r="B103">
        <v>690.13</v>
      </c>
    </row>
    <row r="104" spans="1:2" x14ac:dyDescent="0.3">
      <c r="A104" s="1">
        <v>43984</v>
      </c>
      <c r="B104">
        <v>697.1</v>
      </c>
    </row>
    <row r="105" spans="1:2" x14ac:dyDescent="0.3">
      <c r="A105" s="1">
        <v>43985</v>
      </c>
      <c r="B105">
        <v>699.8</v>
      </c>
    </row>
    <row r="106" spans="1:2" x14ac:dyDescent="0.3">
      <c r="A106" s="1">
        <v>43986</v>
      </c>
      <c r="B106">
        <v>717.12</v>
      </c>
    </row>
    <row r="107" spans="1:2" x14ac:dyDescent="0.3">
      <c r="A107" s="1">
        <v>43987</v>
      </c>
      <c r="B107">
        <v>717.98</v>
      </c>
    </row>
    <row r="108" spans="1:2" x14ac:dyDescent="0.3">
      <c r="A108" s="1">
        <v>43990</v>
      </c>
      <c r="B108">
        <v>712.44</v>
      </c>
    </row>
    <row r="109" spans="1:2" x14ac:dyDescent="0.3">
      <c r="A109" s="1">
        <v>43991</v>
      </c>
      <c r="B109">
        <v>697.76</v>
      </c>
    </row>
    <row r="110" spans="1:2" x14ac:dyDescent="0.3">
      <c r="A110" s="1">
        <v>43992</v>
      </c>
      <c r="B110">
        <v>713.65</v>
      </c>
    </row>
    <row r="111" spans="1:2" x14ac:dyDescent="0.3">
      <c r="A111" s="1">
        <v>43993</v>
      </c>
      <c r="B111">
        <v>698.01</v>
      </c>
    </row>
    <row r="112" spans="1:2" x14ac:dyDescent="0.3">
      <c r="A112" s="1">
        <v>43994</v>
      </c>
      <c r="B112">
        <v>721.2</v>
      </c>
    </row>
    <row r="113" spans="1:2" x14ac:dyDescent="0.3">
      <c r="A113" s="1">
        <v>43997</v>
      </c>
      <c r="B113">
        <v>732.89</v>
      </c>
    </row>
    <row r="114" spans="1:2" x14ac:dyDescent="0.3">
      <c r="A114" s="1">
        <v>43998</v>
      </c>
      <c r="B114">
        <v>734.32</v>
      </c>
    </row>
    <row r="115" spans="1:2" x14ac:dyDescent="0.3">
      <c r="A115" s="1">
        <v>43999</v>
      </c>
      <c r="B115">
        <v>733.26</v>
      </c>
    </row>
    <row r="116" spans="1:2" x14ac:dyDescent="0.3">
      <c r="A116" s="1">
        <v>44000</v>
      </c>
      <c r="B116">
        <v>751.66</v>
      </c>
    </row>
    <row r="117" spans="1:2" x14ac:dyDescent="0.3">
      <c r="A117" s="1">
        <v>44001</v>
      </c>
      <c r="B117">
        <v>798.64</v>
      </c>
    </row>
    <row r="118" spans="1:2" x14ac:dyDescent="0.3">
      <c r="A118" s="1">
        <v>44004</v>
      </c>
      <c r="B118">
        <v>792.63</v>
      </c>
    </row>
    <row r="119" spans="1:2" x14ac:dyDescent="0.3">
      <c r="A119" s="1">
        <v>44005</v>
      </c>
      <c r="B119">
        <v>781.17</v>
      </c>
    </row>
    <row r="120" spans="1:2" x14ac:dyDescent="0.3">
      <c r="A120" s="1">
        <v>44006</v>
      </c>
      <c r="B120">
        <v>784.32</v>
      </c>
    </row>
    <row r="121" spans="1:2" x14ac:dyDescent="0.3">
      <c r="A121" s="1">
        <v>44007</v>
      </c>
      <c r="B121">
        <v>779.81</v>
      </c>
    </row>
    <row r="122" spans="1:2" x14ac:dyDescent="0.3">
      <c r="A122" s="1">
        <v>44008</v>
      </c>
      <c r="B122">
        <v>790.59</v>
      </c>
    </row>
    <row r="123" spans="1:2" x14ac:dyDescent="0.3">
      <c r="A123" s="1">
        <v>44011</v>
      </c>
      <c r="B123">
        <v>782.19</v>
      </c>
    </row>
    <row r="124" spans="1:2" x14ac:dyDescent="0.3">
      <c r="A124" s="1">
        <v>44012</v>
      </c>
      <c r="B124">
        <v>773.54</v>
      </c>
    </row>
    <row r="125" spans="1:2" x14ac:dyDescent="0.3">
      <c r="A125" s="1">
        <v>44013</v>
      </c>
      <c r="B125">
        <v>788.75</v>
      </c>
    </row>
    <row r="126" spans="1:2" x14ac:dyDescent="0.3">
      <c r="A126" s="1">
        <v>44014</v>
      </c>
      <c r="B126">
        <v>799.07</v>
      </c>
    </row>
    <row r="127" spans="1:2" x14ac:dyDescent="0.3">
      <c r="A127" s="1">
        <v>44015</v>
      </c>
      <c r="B127">
        <v>811.58</v>
      </c>
    </row>
    <row r="128" spans="1:2" x14ac:dyDescent="0.3">
      <c r="A128" s="1">
        <v>44018</v>
      </c>
      <c r="B128">
        <v>840.59</v>
      </c>
    </row>
    <row r="129" spans="1:2" x14ac:dyDescent="0.3">
      <c r="A129" s="1">
        <v>44019</v>
      </c>
      <c r="B129">
        <v>827.72</v>
      </c>
    </row>
    <row r="130" spans="1:2" x14ac:dyDescent="0.3">
      <c r="A130" s="1">
        <v>44020</v>
      </c>
      <c r="B130">
        <v>816.17</v>
      </c>
    </row>
    <row r="131" spans="1:2" x14ac:dyDescent="0.3">
      <c r="A131" s="1">
        <v>44021</v>
      </c>
      <c r="B131">
        <v>828.08</v>
      </c>
    </row>
    <row r="132" spans="1:2" x14ac:dyDescent="0.3">
      <c r="A132" s="1">
        <v>44022</v>
      </c>
      <c r="B132">
        <v>852.5</v>
      </c>
    </row>
    <row r="133" spans="1:2" x14ac:dyDescent="0.3">
      <c r="A133" s="1">
        <v>44025</v>
      </c>
      <c r="B133">
        <v>878.35</v>
      </c>
    </row>
    <row r="134" spans="1:2" x14ac:dyDescent="0.3">
      <c r="A134" s="1">
        <v>44026</v>
      </c>
      <c r="B134">
        <v>870.18</v>
      </c>
    </row>
    <row r="135" spans="1:2" x14ac:dyDescent="0.3">
      <c r="A135" s="1">
        <v>44027</v>
      </c>
      <c r="B135">
        <v>837.05</v>
      </c>
    </row>
    <row r="136" spans="1:2" x14ac:dyDescent="0.3">
      <c r="A136" s="1">
        <v>44028</v>
      </c>
      <c r="B136">
        <v>836.77</v>
      </c>
    </row>
    <row r="137" spans="1:2" x14ac:dyDescent="0.3">
      <c r="A137" s="1">
        <v>44029</v>
      </c>
      <c r="B137">
        <v>867.78</v>
      </c>
    </row>
    <row r="138" spans="1:2" x14ac:dyDescent="0.3">
      <c r="A138" s="1">
        <v>44032</v>
      </c>
      <c r="B138">
        <v>871.5</v>
      </c>
    </row>
    <row r="139" spans="1:2" x14ac:dyDescent="0.3">
      <c r="A139" s="1">
        <v>44033</v>
      </c>
      <c r="B139">
        <v>894.94</v>
      </c>
    </row>
    <row r="140" spans="1:2" x14ac:dyDescent="0.3">
      <c r="A140" s="1">
        <v>44034</v>
      </c>
      <c r="B140">
        <v>909.67</v>
      </c>
    </row>
    <row r="141" spans="1:2" x14ac:dyDescent="0.3">
      <c r="A141" s="1">
        <v>44035</v>
      </c>
      <c r="B141">
        <v>934.1</v>
      </c>
    </row>
    <row r="142" spans="1:2" x14ac:dyDescent="0.3">
      <c r="A142" s="1">
        <v>44036</v>
      </c>
      <c r="B142">
        <v>974.2</v>
      </c>
    </row>
    <row r="143" spans="1:2" x14ac:dyDescent="0.3">
      <c r="A143" s="1">
        <v>44039</v>
      </c>
      <c r="B143">
        <v>978.76</v>
      </c>
    </row>
    <row r="144" spans="1:2" x14ac:dyDescent="0.3">
      <c r="A144" s="1">
        <v>44040</v>
      </c>
      <c r="B144">
        <v>988.52</v>
      </c>
    </row>
    <row r="145" spans="1:2" x14ac:dyDescent="0.3">
      <c r="A145" s="1">
        <v>44041</v>
      </c>
      <c r="B145">
        <v>951.73</v>
      </c>
    </row>
    <row r="146" spans="1:2" x14ac:dyDescent="0.3">
      <c r="A146" s="1">
        <v>44042</v>
      </c>
      <c r="B146">
        <v>957.27</v>
      </c>
    </row>
    <row r="147" spans="1:2" x14ac:dyDescent="0.3">
      <c r="A147" s="1">
        <v>44043</v>
      </c>
      <c r="B147">
        <v>938.32</v>
      </c>
    </row>
    <row r="148" spans="1:2" x14ac:dyDescent="0.3">
      <c r="A148" s="1">
        <v>44046</v>
      </c>
      <c r="B148">
        <v>911.94</v>
      </c>
    </row>
    <row r="149" spans="1:2" x14ac:dyDescent="0.3">
      <c r="A149" s="1">
        <v>44047</v>
      </c>
      <c r="B149">
        <v>976.22</v>
      </c>
    </row>
    <row r="150" spans="1:2" x14ac:dyDescent="0.3">
      <c r="A150" s="1">
        <v>44048</v>
      </c>
      <c r="B150">
        <v>965.26</v>
      </c>
    </row>
    <row r="151" spans="1:2" x14ac:dyDescent="0.3">
      <c r="A151" s="1">
        <v>44049</v>
      </c>
      <c r="B151">
        <v>968.73</v>
      </c>
    </row>
    <row r="152" spans="1:2" x14ac:dyDescent="0.3">
      <c r="A152" s="1">
        <v>44050</v>
      </c>
      <c r="B152">
        <v>974.34</v>
      </c>
    </row>
    <row r="153" spans="1:2" x14ac:dyDescent="0.3">
      <c r="A153" s="1">
        <v>44053</v>
      </c>
      <c r="B153">
        <v>962.26</v>
      </c>
    </row>
    <row r="154" spans="1:2" x14ac:dyDescent="0.3">
      <c r="A154" s="1">
        <v>44054</v>
      </c>
      <c r="B154">
        <v>968.59</v>
      </c>
    </row>
    <row r="155" spans="1:2" x14ac:dyDescent="0.3">
      <c r="A155" s="1">
        <v>44055</v>
      </c>
      <c r="B155">
        <v>965.78</v>
      </c>
    </row>
    <row r="156" spans="1:2" x14ac:dyDescent="0.3">
      <c r="A156" s="1">
        <v>44056</v>
      </c>
      <c r="B156">
        <v>963.26</v>
      </c>
    </row>
    <row r="157" spans="1:2" x14ac:dyDescent="0.3">
      <c r="A157" s="1">
        <v>44057</v>
      </c>
      <c r="B157">
        <v>959.52</v>
      </c>
    </row>
    <row r="158" spans="1:2" x14ac:dyDescent="0.3">
      <c r="A158" s="1">
        <v>44060</v>
      </c>
      <c r="B158">
        <v>949.33</v>
      </c>
    </row>
    <row r="159" spans="1:2" x14ac:dyDescent="0.3">
      <c r="A159" s="1">
        <v>44061</v>
      </c>
      <c r="B159">
        <v>961.67</v>
      </c>
    </row>
    <row r="160" spans="1:2" x14ac:dyDescent="0.3">
      <c r="A160" s="1">
        <v>44062</v>
      </c>
      <c r="B160">
        <v>967.57</v>
      </c>
    </row>
    <row r="161" spans="1:2" x14ac:dyDescent="0.3">
      <c r="A161" s="1">
        <v>44063</v>
      </c>
      <c r="B161">
        <v>951.91</v>
      </c>
    </row>
    <row r="162" spans="1:2" x14ac:dyDescent="0.3">
      <c r="A162" s="1">
        <v>44064</v>
      </c>
      <c r="B162">
        <v>945.01</v>
      </c>
    </row>
    <row r="163" spans="1:2" x14ac:dyDescent="0.3">
      <c r="A163" s="1">
        <v>44067</v>
      </c>
      <c r="B163">
        <v>951.32</v>
      </c>
    </row>
    <row r="164" spans="1:2" x14ac:dyDescent="0.3">
      <c r="A164" s="1">
        <v>44068</v>
      </c>
      <c r="B164">
        <v>945.13</v>
      </c>
    </row>
    <row r="165" spans="1:2" x14ac:dyDescent="0.3">
      <c r="A165" s="1">
        <v>44069</v>
      </c>
      <c r="B165">
        <v>970.18</v>
      </c>
    </row>
    <row r="166" spans="1:2" x14ac:dyDescent="0.3">
      <c r="A166" s="1">
        <v>44070</v>
      </c>
      <c r="B166">
        <v>958.06</v>
      </c>
    </row>
    <row r="167" spans="1:2" x14ac:dyDescent="0.3">
      <c r="A167" s="1">
        <v>44071</v>
      </c>
      <c r="B167">
        <v>960.58</v>
      </c>
    </row>
    <row r="168" spans="1:2" x14ac:dyDescent="0.3">
      <c r="A168" s="1">
        <v>44074</v>
      </c>
      <c r="B168">
        <v>944.49</v>
      </c>
    </row>
    <row r="169" spans="1:2" x14ac:dyDescent="0.3">
      <c r="A169" s="1">
        <v>44075</v>
      </c>
      <c r="B169">
        <v>947.46</v>
      </c>
    </row>
    <row r="170" spans="1:2" x14ac:dyDescent="0.3">
      <c r="A170" s="1">
        <v>44076</v>
      </c>
      <c r="B170">
        <v>966.05</v>
      </c>
    </row>
    <row r="171" spans="1:2" x14ac:dyDescent="0.3">
      <c r="A171" s="1">
        <v>44077</v>
      </c>
      <c r="B171">
        <v>958.74</v>
      </c>
    </row>
    <row r="172" spans="1:2" x14ac:dyDescent="0.3">
      <c r="A172" s="1">
        <v>44078</v>
      </c>
      <c r="B172">
        <v>942.93</v>
      </c>
    </row>
    <row r="173" spans="1:2" x14ac:dyDescent="0.3">
      <c r="A173" s="1">
        <v>44081</v>
      </c>
      <c r="B173">
        <v>945.38</v>
      </c>
    </row>
    <row r="174" spans="1:2" x14ac:dyDescent="0.3">
      <c r="A174" s="1">
        <v>44082</v>
      </c>
      <c r="B174">
        <v>956.47</v>
      </c>
    </row>
    <row r="175" spans="1:2" x14ac:dyDescent="0.3">
      <c r="A175" s="1">
        <v>44083</v>
      </c>
      <c r="B175">
        <v>981.1</v>
      </c>
    </row>
    <row r="176" spans="1:2" x14ac:dyDescent="0.3">
      <c r="A176" s="1">
        <v>44084</v>
      </c>
      <c r="B176">
        <v>1050.3900000000001</v>
      </c>
    </row>
    <row r="177" spans="1:2" x14ac:dyDescent="0.3">
      <c r="A177" s="1">
        <v>44085</v>
      </c>
      <c r="B177">
        <v>1053</v>
      </c>
    </row>
    <row r="178" spans="1:2" x14ac:dyDescent="0.3">
      <c r="A178" s="1">
        <v>44088</v>
      </c>
      <c r="B178">
        <v>1045.2</v>
      </c>
    </row>
    <row r="179" spans="1:2" x14ac:dyDescent="0.3">
      <c r="A179" s="1">
        <v>44089</v>
      </c>
      <c r="B179">
        <v>1052.5899999999999</v>
      </c>
    </row>
    <row r="180" spans="1:2" x14ac:dyDescent="0.3">
      <c r="A180" s="1">
        <v>44090</v>
      </c>
      <c r="B180">
        <v>1055.18</v>
      </c>
    </row>
    <row r="181" spans="1:2" x14ac:dyDescent="0.3">
      <c r="A181" s="1">
        <v>44091</v>
      </c>
      <c r="B181">
        <v>1043.47</v>
      </c>
    </row>
    <row r="182" spans="1:2" x14ac:dyDescent="0.3">
      <c r="A182" s="1">
        <v>44092</v>
      </c>
      <c r="B182">
        <v>1046.6300000000001</v>
      </c>
    </row>
    <row r="183" spans="1:2" x14ac:dyDescent="0.3">
      <c r="A183" s="1">
        <v>44095</v>
      </c>
      <c r="B183">
        <v>1024</v>
      </c>
    </row>
    <row r="184" spans="1:2" x14ac:dyDescent="0.3">
      <c r="A184" s="1">
        <v>44096</v>
      </c>
      <c r="B184">
        <v>1003.71</v>
      </c>
    </row>
    <row r="185" spans="1:2" x14ac:dyDescent="0.3">
      <c r="A185" s="1">
        <v>44097</v>
      </c>
      <c r="B185">
        <v>1012.63</v>
      </c>
    </row>
    <row r="186" spans="1:2" x14ac:dyDescent="0.3">
      <c r="A186" s="1">
        <v>44098</v>
      </c>
      <c r="B186">
        <v>990.11</v>
      </c>
    </row>
    <row r="187" spans="1:2" x14ac:dyDescent="0.3">
      <c r="A187" s="1">
        <v>44099</v>
      </c>
      <c r="B187">
        <v>999.42</v>
      </c>
    </row>
    <row r="188" spans="1:2" x14ac:dyDescent="0.3">
      <c r="A188" s="1">
        <v>44102</v>
      </c>
      <c r="B188">
        <v>1006.02</v>
      </c>
    </row>
    <row r="189" spans="1:2" x14ac:dyDescent="0.3">
      <c r="A189" s="1">
        <v>44103</v>
      </c>
      <c r="B189">
        <v>1019.09</v>
      </c>
    </row>
    <row r="190" spans="1:2" x14ac:dyDescent="0.3">
      <c r="A190" s="1">
        <v>44104</v>
      </c>
      <c r="B190">
        <v>1014.24</v>
      </c>
    </row>
    <row r="191" spans="1:2" x14ac:dyDescent="0.3">
      <c r="A191" s="1">
        <v>44105</v>
      </c>
      <c r="B191">
        <v>1010.11</v>
      </c>
    </row>
    <row r="192" spans="1:2" x14ac:dyDescent="0.3">
      <c r="A192" s="1">
        <v>44109</v>
      </c>
      <c r="B192">
        <v>1004.18</v>
      </c>
    </row>
    <row r="193" spans="1:2" x14ac:dyDescent="0.3">
      <c r="A193" s="1">
        <v>44110</v>
      </c>
      <c r="B193">
        <v>1003.34</v>
      </c>
    </row>
    <row r="194" spans="1:2" x14ac:dyDescent="0.3">
      <c r="A194" s="1">
        <v>44111</v>
      </c>
      <c r="B194">
        <v>1024.75</v>
      </c>
    </row>
    <row r="195" spans="1:2" x14ac:dyDescent="0.3">
      <c r="A195" s="1">
        <v>44112</v>
      </c>
      <c r="B195">
        <v>1016.46</v>
      </c>
    </row>
    <row r="196" spans="1:2" x14ac:dyDescent="0.3">
      <c r="A196" s="1">
        <v>44113</v>
      </c>
      <c r="B196">
        <v>1013.83</v>
      </c>
    </row>
    <row r="197" spans="1:2" x14ac:dyDescent="0.3">
      <c r="A197" s="1">
        <v>44116</v>
      </c>
      <c r="B197">
        <v>1015.46</v>
      </c>
    </row>
    <row r="198" spans="1:2" x14ac:dyDescent="0.3">
      <c r="A198" s="1">
        <v>44117</v>
      </c>
      <c r="B198">
        <v>1035.28</v>
      </c>
    </row>
    <row r="199" spans="1:2" x14ac:dyDescent="0.3">
      <c r="A199" s="1">
        <v>44118</v>
      </c>
      <c r="B199">
        <v>1038.3599999999999</v>
      </c>
    </row>
    <row r="200" spans="1:2" x14ac:dyDescent="0.3">
      <c r="A200" s="1">
        <v>44119</v>
      </c>
      <c r="B200">
        <v>1001.6</v>
      </c>
    </row>
    <row r="201" spans="1:2" x14ac:dyDescent="0.3">
      <c r="A201" s="1">
        <v>44120</v>
      </c>
      <c r="B201">
        <v>987.66</v>
      </c>
    </row>
    <row r="202" spans="1:2" x14ac:dyDescent="0.3">
      <c r="A202" s="1">
        <v>44123</v>
      </c>
      <c r="B202">
        <v>987.84</v>
      </c>
    </row>
    <row r="203" spans="1:2" x14ac:dyDescent="0.3">
      <c r="A203" s="1">
        <v>44124</v>
      </c>
      <c r="B203">
        <v>978.63</v>
      </c>
    </row>
    <row r="204" spans="1:2" x14ac:dyDescent="0.3">
      <c r="A204" s="1">
        <v>44125</v>
      </c>
      <c r="B204">
        <v>964.42</v>
      </c>
    </row>
    <row r="205" spans="1:2" x14ac:dyDescent="0.3">
      <c r="A205" s="1">
        <v>44126</v>
      </c>
      <c r="B205">
        <v>956.41</v>
      </c>
    </row>
    <row r="206" spans="1:2" x14ac:dyDescent="0.3">
      <c r="A206" s="1">
        <v>44127</v>
      </c>
      <c r="B206">
        <v>959.18</v>
      </c>
    </row>
    <row r="207" spans="1:2" x14ac:dyDescent="0.3">
      <c r="A207" s="1">
        <v>44130</v>
      </c>
      <c r="B207">
        <v>921.07</v>
      </c>
    </row>
    <row r="208" spans="1:2" x14ac:dyDescent="0.3">
      <c r="A208" s="1">
        <v>44131</v>
      </c>
      <c r="B208">
        <v>923.52</v>
      </c>
    </row>
    <row r="209" spans="1:2" x14ac:dyDescent="0.3">
      <c r="A209" s="1">
        <v>44132</v>
      </c>
      <c r="B209">
        <v>913.06</v>
      </c>
    </row>
    <row r="210" spans="1:2" x14ac:dyDescent="0.3">
      <c r="A210" s="1">
        <v>44133</v>
      </c>
      <c r="B210">
        <v>920.07</v>
      </c>
    </row>
    <row r="211" spans="1:2" x14ac:dyDescent="0.3">
      <c r="A211" s="1">
        <v>44134</v>
      </c>
      <c r="B211">
        <v>932.6</v>
      </c>
    </row>
    <row r="212" spans="1:2" x14ac:dyDescent="0.3">
      <c r="A212" s="1">
        <v>44137</v>
      </c>
      <c r="B212">
        <v>852.23</v>
      </c>
    </row>
    <row r="213" spans="1:2" x14ac:dyDescent="0.3">
      <c r="A213" s="1">
        <v>44138</v>
      </c>
      <c r="B213">
        <v>839.95</v>
      </c>
    </row>
    <row r="214" spans="1:2" x14ac:dyDescent="0.3">
      <c r="A214" s="1">
        <v>44139</v>
      </c>
      <c r="B214">
        <v>868.46</v>
      </c>
    </row>
    <row r="215" spans="1:2" x14ac:dyDescent="0.3">
      <c r="A215" s="1">
        <v>44140</v>
      </c>
      <c r="B215">
        <v>887.43</v>
      </c>
    </row>
    <row r="216" spans="1:2" x14ac:dyDescent="0.3">
      <c r="A216" s="1">
        <v>44141</v>
      </c>
      <c r="B216">
        <v>921.09</v>
      </c>
    </row>
    <row r="217" spans="1:2" x14ac:dyDescent="0.3">
      <c r="A217" s="1">
        <v>44144</v>
      </c>
      <c r="B217">
        <v>930.87</v>
      </c>
    </row>
    <row r="218" spans="1:2" x14ac:dyDescent="0.3">
      <c r="A218" s="1">
        <v>44145</v>
      </c>
      <c r="B218">
        <v>946.24</v>
      </c>
    </row>
    <row r="219" spans="1:2" x14ac:dyDescent="0.3">
      <c r="A219" s="1">
        <v>44146</v>
      </c>
      <c r="B219">
        <v>906.59</v>
      </c>
    </row>
    <row r="220" spans="1:2" x14ac:dyDescent="0.3">
      <c r="A220" s="1">
        <v>44147</v>
      </c>
      <c r="B220">
        <v>898.78</v>
      </c>
    </row>
    <row r="221" spans="1:2" x14ac:dyDescent="0.3">
      <c r="A221" s="1">
        <v>44148</v>
      </c>
      <c r="B221">
        <v>906.22</v>
      </c>
    </row>
    <row r="222" spans="1:2" x14ac:dyDescent="0.3">
      <c r="A222" s="1">
        <v>44149</v>
      </c>
      <c r="B222">
        <v>908.9</v>
      </c>
    </row>
    <row r="223" spans="1:2" x14ac:dyDescent="0.3">
      <c r="A223" s="1">
        <v>44152</v>
      </c>
      <c r="B223">
        <v>904.79</v>
      </c>
    </row>
    <row r="224" spans="1:2" x14ac:dyDescent="0.3">
      <c r="A224" s="1">
        <v>44153</v>
      </c>
      <c r="B224">
        <v>902.05</v>
      </c>
    </row>
    <row r="225" spans="1:2" x14ac:dyDescent="0.3">
      <c r="A225" s="1">
        <v>44154</v>
      </c>
      <c r="B225">
        <v>895.67</v>
      </c>
    </row>
    <row r="226" spans="1:2" x14ac:dyDescent="0.3">
      <c r="A226" s="1">
        <v>44155</v>
      </c>
      <c r="B226">
        <v>862.24</v>
      </c>
    </row>
    <row r="227" spans="1:2" x14ac:dyDescent="0.3">
      <c r="A227" s="1">
        <v>44158</v>
      </c>
      <c r="B227">
        <v>885.48</v>
      </c>
    </row>
    <row r="228" spans="1:2" x14ac:dyDescent="0.3">
      <c r="A228" s="1">
        <v>44159</v>
      </c>
      <c r="B228">
        <v>891.54</v>
      </c>
    </row>
    <row r="229" spans="1:2" x14ac:dyDescent="0.3">
      <c r="A229" s="1">
        <v>44160</v>
      </c>
      <c r="B229">
        <v>884.16</v>
      </c>
    </row>
    <row r="230" spans="1:2" x14ac:dyDescent="0.3">
      <c r="A230" s="1">
        <v>44161</v>
      </c>
      <c r="B230">
        <v>886.34</v>
      </c>
    </row>
    <row r="231" spans="1:2" x14ac:dyDescent="0.3">
      <c r="A231" s="1">
        <v>44162</v>
      </c>
      <c r="B231">
        <v>875.99</v>
      </c>
    </row>
    <row r="232" spans="1:2" x14ac:dyDescent="0.3">
      <c r="A232" s="1">
        <v>44166</v>
      </c>
      <c r="B232">
        <v>887.39</v>
      </c>
    </row>
    <row r="233" spans="1:2" x14ac:dyDescent="0.3">
      <c r="A233" s="1">
        <v>44167</v>
      </c>
      <c r="B233">
        <v>888.86</v>
      </c>
    </row>
    <row r="234" spans="1:2" x14ac:dyDescent="0.3">
      <c r="A234" s="1">
        <v>44168</v>
      </c>
      <c r="B234">
        <v>891.54</v>
      </c>
    </row>
    <row r="235" spans="1:2" x14ac:dyDescent="0.3">
      <c r="A235" s="1">
        <v>44169</v>
      </c>
      <c r="B235">
        <v>883.69</v>
      </c>
    </row>
    <row r="236" spans="1:2" x14ac:dyDescent="0.3">
      <c r="A236" s="1">
        <v>44172</v>
      </c>
      <c r="B236">
        <v>888.88</v>
      </c>
    </row>
    <row r="237" spans="1:2" x14ac:dyDescent="0.3">
      <c r="A237" s="1">
        <v>44173</v>
      </c>
      <c r="B237">
        <v>905.02</v>
      </c>
    </row>
    <row r="238" spans="1:2" x14ac:dyDescent="0.3">
      <c r="A238" s="1">
        <v>44174</v>
      </c>
      <c r="B238">
        <v>920.09</v>
      </c>
    </row>
    <row r="239" spans="1:2" x14ac:dyDescent="0.3">
      <c r="A239" s="1">
        <v>44175</v>
      </c>
      <c r="B239">
        <v>911.04</v>
      </c>
    </row>
    <row r="240" spans="1:2" x14ac:dyDescent="0.3">
      <c r="A240" s="1">
        <v>44176</v>
      </c>
      <c r="B240">
        <v>910.49</v>
      </c>
    </row>
    <row r="241" spans="1:2" x14ac:dyDescent="0.3">
      <c r="A241" s="1">
        <v>44179</v>
      </c>
      <c r="B241">
        <v>903.91</v>
      </c>
    </row>
    <row r="242" spans="1:2" x14ac:dyDescent="0.3">
      <c r="A242" s="1">
        <v>44180</v>
      </c>
      <c r="B242">
        <v>896.22</v>
      </c>
    </row>
    <row r="243" spans="1:2" x14ac:dyDescent="0.3">
      <c r="A243" s="1">
        <v>44181</v>
      </c>
      <c r="B243">
        <v>897.21</v>
      </c>
    </row>
    <row r="244" spans="1:2" x14ac:dyDescent="0.3">
      <c r="A244" s="1">
        <v>44182</v>
      </c>
      <c r="B244">
        <v>901.32</v>
      </c>
    </row>
    <row r="245" spans="1:2" x14ac:dyDescent="0.3">
      <c r="A245" s="1">
        <v>44183</v>
      </c>
      <c r="B245">
        <v>904.02</v>
      </c>
    </row>
    <row r="246" spans="1:2" x14ac:dyDescent="0.3">
      <c r="A246" s="1">
        <v>44186</v>
      </c>
      <c r="B246">
        <v>880.49</v>
      </c>
    </row>
    <row r="247" spans="1:2" x14ac:dyDescent="0.3">
      <c r="A247" s="1">
        <v>44187</v>
      </c>
      <c r="B247">
        <v>879.13</v>
      </c>
    </row>
    <row r="248" spans="1:2" x14ac:dyDescent="0.3">
      <c r="A248" s="1">
        <v>44188</v>
      </c>
      <c r="B248">
        <v>882.37</v>
      </c>
    </row>
    <row r="249" spans="1:2" x14ac:dyDescent="0.3">
      <c r="A249" s="1">
        <v>44189</v>
      </c>
      <c r="B249">
        <v>905.2</v>
      </c>
    </row>
    <row r="250" spans="1:2" x14ac:dyDescent="0.3">
      <c r="A250" s="1">
        <v>44193</v>
      </c>
      <c r="B250">
        <v>909.36</v>
      </c>
    </row>
    <row r="251" spans="1:2" x14ac:dyDescent="0.3">
      <c r="A251" s="1">
        <v>44194</v>
      </c>
      <c r="B251">
        <v>903.34</v>
      </c>
    </row>
    <row r="252" spans="1:2" x14ac:dyDescent="0.3">
      <c r="A252" s="1">
        <v>44195</v>
      </c>
      <c r="B252">
        <v>905.82</v>
      </c>
    </row>
    <row r="253" spans="1:2" x14ac:dyDescent="0.3">
      <c r="A253" s="1">
        <v>44196</v>
      </c>
      <c r="B253">
        <v>901.19</v>
      </c>
    </row>
    <row r="254" spans="1:2" x14ac:dyDescent="0.3">
      <c r="A254" s="1">
        <v>44197</v>
      </c>
      <c r="B254">
        <v>902.18</v>
      </c>
    </row>
    <row r="255" spans="1:2" x14ac:dyDescent="0.3">
      <c r="A255" s="1">
        <v>44200</v>
      </c>
      <c r="B255">
        <v>903.71</v>
      </c>
    </row>
    <row r="256" spans="1:2" x14ac:dyDescent="0.3">
      <c r="A256" s="1">
        <v>44201</v>
      </c>
      <c r="B256">
        <v>892.47</v>
      </c>
    </row>
    <row r="257" spans="1:2" x14ac:dyDescent="0.3">
      <c r="A257" s="1">
        <v>44202</v>
      </c>
      <c r="B257">
        <v>868.93</v>
      </c>
    </row>
    <row r="258" spans="1:2" x14ac:dyDescent="0.3">
      <c r="A258" s="1">
        <v>44203</v>
      </c>
      <c r="B258">
        <v>867.53</v>
      </c>
    </row>
    <row r="259" spans="1:2" x14ac:dyDescent="0.3">
      <c r="A259" s="1">
        <v>44204</v>
      </c>
      <c r="B259">
        <v>877.76</v>
      </c>
    </row>
    <row r="260" spans="1:2" x14ac:dyDescent="0.3">
      <c r="A260" s="1">
        <v>44207</v>
      </c>
      <c r="B260">
        <v>861.22</v>
      </c>
    </row>
    <row r="261" spans="1:2" x14ac:dyDescent="0.3">
      <c r="A261" s="1">
        <v>44208</v>
      </c>
      <c r="B261">
        <v>888.36</v>
      </c>
    </row>
    <row r="262" spans="1:2" x14ac:dyDescent="0.3">
      <c r="A262" s="1">
        <v>44209</v>
      </c>
      <c r="B262">
        <v>880.08</v>
      </c>
    </row>
    <row r="263" spans="1:2" x14ac:dyDescent="0.3">
      <c r="A263" s="1">
        <v>44210</v>
      </c>
      <c r="B263">
        <v>889.97</v>
      </c>
    </row>
    <row r="264" spans="1:2" x14ac:dyDescent="0.3">
      <c r="A264" s="1">
        <v>44211</v>
      </c>
      <c r="B264">
        <v>879.47</v>
      </c>
    </row>
    <row r="265" spans="1:2" x14ac:dyDescent="0.3">
      <c r="A265" s="1">
        <v>44214</v>
      </c>
      <c r="B265">
        <v>900.57</v>
      </c>
    </row>
    <row r="266" spans="1:2" x14ac:dyDescent="0.3">
      <c r="A266" s="1">
        <v>44215</v>
      </c>
      <c r="B266">
        <v>915.3</v>
      </c>
    </row>
    <row r="267" spans="1:2" x14ac:dyDescent="0.3">
      <c r="A267" s="1">
        <v>44216</v>
      </c>
      <c r="B267">
        <v>932.69</v>
      </c>
    </row>
    <row r="268" spans="1:2" x14ac:dyDescent="0.3">
      <c r="A268" s="1">
        <v>44217</v>
      </c>
      <c r="B268">
        <v>952.98</v>
      </c>
    </row>
    <row r="269" spans="1:2" x14ac:dyDescent="0.3">
      <c r="A269" s="1">
        <v>44218</v>
      </c>
      <c r="B269">
        <v>930.37</v>
      </c>
    </row>
    <row r="270" spans="1:2" x14ac:dyDescent="0.3">
      <c r="A270" s="1">
        <v>44221</v>
      </c>
      <c r="B270">
        <v>881.08</v>
      </c>
    </row>
    <row r="271" spans="1:2" x14ac:dyDescent="0.3">
      <c r="A271" s="1">
        <v>44223</v>
      </c>
      <c r="B271">
        <v>860.2</v>
      </c>
    </row>
    <row r="272" spans="1:2" x14ac:dyDescent="0.3">
      <c r="A272" s="1">
        <v>44224</v>
      </c>
      <c r="B272">
        <v>851.82</v>
      </c>
    </row>
    <row r="273" spans="1:2" x14ac:dyDescent="0.3">
      <c r="A273" s="1">
        <v>44225</v>
      </c>
      <c r="B273">
        <v>836.12</v>
      </c>
    </row>
    <row r="274" spans="1:2" x14ac:dyDescent="0.3">
      <c r="A274" s="1">
        <v>44228</v>
      </c>
      <c r="B274">
        <v>860.33</v>
      </c>
    </row>
    <row r="275" spans="1:2" x14ac:dyDescent="0.3">
      <c r="A275" s="1">
        <v>44229</v>
      </c>
      <c r="B275">
        <v>874.18</v>
      </c>
    </row>
    <row r="276" spans="1:2" x14ac:dyDescent="0.3">
      <c r="A276" s="1">
        <v>44230</v>
      </c>
      <c r="B276">
        <v>876.38</v>
      </c>
    </row>
    <row r="277" spans="1:2" x14ac:dyDescent="0.3">
      <c r="A277" s="1">
        <v>44231</v>
      </c>
      <c r="B277">
        <v>873.5</v>
      </c>
    </row>
    <row r="278" spans="1:2" x14ac:dyDescent="0.3">
      <c r="A278" s="1">
        <v>44232</v>
      </c>
      <c r="B278">
        <v>873.25</v>
      </c>
    </row>
    <row r="279" spans="1:2" x14ac:dyDescent="0.3">
      <c r="A279" s="1">
        <v>44235</v>
      </c>
      <c r="B279">
        <v>885.82</v>
      </c>
    </row>
    <row r="280" spans="1:2" x14ac:dyDescent="0.3">
      <c r="A280" s="1">
        <v>44236</v>
      </c>
      <c r="B280">
        <v>887.95</v>
      </c>
    </row>
    <row r="281" spans="1:2" x14ac:dyDescent="0.3">
      <c r="A281" s="1">
        <v>44237</v>
      </c>
      <c r="B281">
        <v>896.19</v>
      </c>
    </row>
    <row r="282" spans="1:2" x14ac:dyDescent="0.3">
      <c r="A282" s="1">
        <v>44238</v>
      </c>
      <c r="B282">
        <v>933.14</v>
      </c>
    </row>
    <row r="283" spans="1:2" x14ac:dyDescent="0.3">
      <c r="A283" s="1">
        <v>44239</v>
      </c>
      <c r="B283">
        <v>926.74</v>
      </c>
    </row>
    <row r="284" spans="1:2" x14ac:dyDescent="0.3">
      <c r="A284" s="1">
        <v>44242</v>
      </c>
      <c r="B284">
        <v>922.66</v>
      </c>
    </row>
    <row r="285" spans="1:2" x14ac:dyDescent="0.3">
      <c r="A285" s="1">
        <v>44243</v>
      </c>
      <c r="B285">
        <v>934.87</v>
      </c>
    </row>
    <row r="286" spans="1:2" x14ac:dyDescent="0.3">
      <c r="A286" s="1">
        <v>44244</v>
      </c>
      <c r="B286">
        <v>945.65</v>
      </c>
    </row>
    <row r="287" spans="1:2" x14ac:dyDescent="0.3">
      <c r="A287" s="1">
        <v>44245</v>
      </c>
      <c r="B287">
        <v>938.59</v>
      </c>
    </row>
    <row r="288" spans="1:2" x14ac:dyDescent="0.3">
      <c r="A288" s="1">
        <v>44246</v>
      </c>
      <c r="B288">
        <v>944.31</v>
      </c>
    </row>
    <row r="289" spans="1:2" x14ac:dyDescent="0.3">
      <c r="A289" s="1">
        <v>44249</v>
      </c>
      <c r="B289">
        <v>911.54</v>
      </c>
    </row>
    <row r="290" spans="1:2" x14ac:dyDescent="0.3">
      <c r="A290" s="1">
        <v>44250</v>
      </c>
      <c r="B290">
        <v>918.5</v>
      </c>
    </row>
    <row r="291" spans="1:2" x14ac:dyDescent="0.3">
      <c r="A291" s="1">
        <v>44251</v>
      </c>
      <c r="B291">
        <v>935.55</v>
      </c>
    </row>
    <row r="292" spans="1:2" x14ac:dyDescent="0.3">
      <c r="A292" s="1">
        <v>44252</v>
      </c>
      <c r="B292">
        <v>973.38</v>
      </c>
    </row>
    <row r="293" spans="1:2" x14ac:dyDescent="0.3">
      <c r="A293" s="1">
        <v>44253</v>
      </c>
      <c r="B293">
        <v>946.81</v>
      </c>
    </row>
    <row r="294" spans="1:2" x14ac:dyDescent="0.3">
      <c r="A294" s="1">
        <v>44256</v>
      </c>
      <c r="B294">
        <v>954.02</v>
      </c>
    </row>
    <row r="295" spans="1:2" x14ac:dyDescent="0.3">
      <c r="A295" s="1">
        <v>44257</v>
      </c>
      <c r="B295">
        <v>955.98</v>
      </c>
    </row>
    <row r="296" spans="1:2" x14ac:dyDescent="0.3">
      <c r="A296" s="1">
        <v>44258</v>
      </c>
      <c r="B296">
        <v>999.6</v>
      </c>
    </row>
    <row r="297" spans="1:2" x14ac:dyDescent="0.3">
      <c r="A297" s="1">
        <v>44259</v>
      </c>
      <c r="B297">
        <v>987.68</v>
      </c>
    </row>
    <row r="298" spans="1:2" x14ac:dyDescent="0.3">
      <c r="A298" s="1">
        <v>44260</v>
      </c>
      <c r="B298">
        <v>988.98</v>
      </c>
    </row>
    <row r="299" spans="1:2" x14ac:dyDescent="0.3">
      <c r="A299" s="1">
        <v>44263</v>
      </c>
      <c r="B299">
        <v>994.6</v>
      </c>
    </row>
    <row r="300" spans="1:2" x14ac:dyDescent="0.3">
      <c r="A300" s="1">
        <v>44264</v>
      </c>
      <c r="B300">
        <v>994.58</v>
      </c>
    </row>
    <row r="301" spans="1:2" x14ac:dyDescent="0.3">
      <c r="A301" s="1">
        <v>44265</v>
      </c>
      <c r="B301">
        <v>990.45</v>
      </c>
    </row>
    <row r="302" spans="1:2" x14ac:dyDescent="0.3">
      <c r="A302" s="1">
        <v>44267</v>
      </c>
      <c r="B302">
        <v>970.32</v>
      </c>
    </row>
    <row r="303" spans="1:2" x14ac:dyDescent="0.3">
      <c r="A303" s="1">
        <v>44270</v>
      </c>
      <c r="B303">
        <v>957.29</v>
      </c>
    </row>
    <row r="304" spans="1:2" x14ac:dyDescent="0.3">
      <c r="A304" s="1">
        <v>44271</v>
      </c>
      <c r="B304">
        <v>953.52</v>
      </c>
    </row>
    <row r="305" spans="1:2" x14ac:dyDescent="0.3">
      <c r="A305" s="1">
        <v>44272</v>
      </c>
      <c r="B305">
        <v>932.98</v>
      </c>
    </row>
    <row r="306" spans="1:2" x14ac:dyDescent="0.3">
      <c r="A306" s="1">
        <v>44273</v>
      </c>
      <c r="B306">
        <v>911.99</v>
      </c>
    </row>
    <row r="307" spans="1:2" x14ac:dyDescent="0.3">
      <c r="A307" s="1">
        <v>44274</v>
      </c>
      <c r="B307">
        <v>945.08</v>
      </c>
    </row>
    <row r="308" spans="1:2" x14ac:dyDescent="0.3">
      <c r="A308" s="1">
        <v>44277</v>
      </c>
      <c r="B308">
        <v>936.18</v>
      </c>
    </row>
    <row r="309" spans="1:2" x14ac:dyDescent="0.3">
      <c r="A309" s="1">
        <v>44278</v>
      </c>
      <c r="B309">
        <v>947.58</v>
      </c>
    </row>
    <row r="310" spans="1:2" x14ac:dyDescent="0.3">
      <c r="A310" s="1">
        <v>44279</v>
      </c>
      <c r="B310">
        <v>929.33</v>
      </c>
    </row>
    <row r="311" spans="1:2" x14ac:dyDescent="0.3">
      <c r="A311" s="1">
        <v>44280</v>
      </c>
      <c r="B311">
        <v>903.98</v>
      </c>
    </row>
    <row r="312" spans="1:2" x14ac:dyDescent="0.3">
      <c r="A312" s="1">
        <v>44281</v>
      </c>
      <c r="B312">
        <v>905.43</v>
      </c>
    </row>
    <row r="313" spans="1:2" x14ac:dyDescent="0.3">
      <c r="A313" s="1">
        <v>44285</v>
      </c>
      <c r="B313">
        <v>921.16</v>
      </c>
    </row>
    <row r="314" spans="1:2" x14ac:dyDescent="0.3">
      <c r="A314" s="1">
        <v>44286</v>
      </c>
      <c r="B314">
        <v>909.27</v>
      </c>
    </row>
    <row r="315" spans="1:2" x14ac:dyDescent="0.3">
      <c r="A315" s="1">
        <v>44287</v>
      </c>
      <c r="B315">
        <v>917.78</v>
      </c>
    </row>
    <row r="316" spans="1:2" x14ac:dyDescent="0.3">
      <c r="A316" s="1">
        <v>44291</v>
      </c>
      <c r="B316">
        <v>904.5</v>
      </c>
    </row>
    <row r="317" spans="1:2" x14ac:dyDescent="0.3">
      <c r="A317" s="1">
        <v>44292</v>
      </c>
      <c r="B317">
        <v>900.73</v>
      </c>
    </row>
    <row r="318" spans="1:2" x14ac:dyDescent="0.3">
      <c r="A318" s="1">
        <v>44293</v>
      </c>
      <c r="B318">
        <v>909.15</v>
      </c>
    </row>
    <row r="319" spans="1:2" x14ac:dyDescent="0.3">
      <c r="A319" s="1">
        <v>44294</v>
      </c>
      <c r="B319">
        <v>910.29</v>
      </c>
    </row>
    <row r="320" spans="1:2" x14ac:dyDescent="0.3">
      <c r="A320" s="1">
        <v>44295</v>
      </c>
      <c r="B320">
        <v>899.71</v>
      </c>
    </row>
    <row r="321" spans="1:2" x14ac:dyDescent="0.3">
      <c r="A321" s="1">
        <v>44298</v>
      </c>
      <c r="B321">
        <v>867.53</v>
      </c>
    </row>
    <row r="322" spans="1:2" x14ac:dyDescent="0.3">
      <c r="A322" s="1">
        <v>44299</v>
      </c>
      <c r="B322">
        <v>876.9</v>
      </c>
    </row>
    <row r="323" spans="1:2" x14ac:dyDescent="0.3">
      <c r="A323" s="1">
        <v>44301</v>
      </c>
      <c r="B323">
        <v>882.58</v>
      </c>
    </row>
    <row r="324" spans="1:2" x14ac:dyDescent="0.3">
      <c r="A324" s="1">
        <v>44302</v>
      </c>
      <c r="B324">
        <v>877.04</v>
      </c>
    </row>
    <row r="325" spans="1:2" x14ac:dyDescent="0.3">
      <c r="A325" s="1">
        <v>44305</v>
      </c>
      <c r="B325">
        <v>863.24</v>
      </c>
    </row>
    <row r="326" spans="1:2" x14ac:dyDescent="0.3">
      <c r="A326" s="1">
        <v>44306</v>
      </c>
      <c r="B326">
        <v>862.99</v>
      </c>
    </row>
    <row r="327" spans="1:2" x14ac:dyDescent="0.3">
      <c r="A327" s="1">
        <v>44308</v>
      </c>
      <c r="B327">
        <v>865.37</v>
      </c>
    </row>
    <row r="328" spans="1:2" x14ac:dyDescent="0.3">
      <c r="A328" s="1">
        <v>44309</v>
      </c>
      <c r="B328">
        <v>864.44</v>
      </c>
    </row>
    <row r="329" spans="1:2" x14ac:dyDescent="0.3">
      <c r="A329" s="1">
        <v>44312</v>
      </c>
      <c r="B329">
        <v>879.65</v>
      </c>
    </row>
    <row r="330" spans="1:2" x14ac:dyDescent="0.3">
      <c r="A330" s="1">
        <v>44313</v>
      </c>
      <c r="B330">
        <v>902.71</v>
      </c>
    </row>
    <row r="331" spans="1:2" x14ac:dyDescent="0.3">
      <c r="A331" s="1">
        <v>44314</v>
      </c>
      <c r="B331">
        <v>906.63</v>
      </c>
    </row>
    <row r="332" spans="1:2" x14ac:dyDescent="0.3">
      <c r="A332" s="1">
        <v>44315</v>
      </c>
      <c r="B332">
        <v>918.78</v>
      </c>
    </row>
    <row r="333" spans="1:2" x14ac:dyDescent="0.3">
      <c r="A333" s="1">
        <v>44316</v>
      </c>
      <c r="B333">
        <v>905.36</v>
      </c>
    </row>
    <row r="334" spans="1:2" x14ac:dyDescent="0.3">
      <c r="A334" s="1">
        <v>44319</v>
      </c>
      <c r="B334">
        <v>889.27</v>
      </c>
    </row>
    <row r="335" spans="1:2" x14ac:dyDescent="0.3">
      <c r="A335" s="1">
        <v>44320</v>
      </c>
      <c r="B335">
        <v>870</v>
      </c>
    </row>
    <row r="336" spans="1:2" x14ac:dyDescent="0.3">
      <c r="A336" s="1">
        <v>44321</v>
      </c>
      <c r="B336">
        <v>871.59</v>
      </c>
    </row>
    <row r="337" spans="1:2" x14ac:dyDescent="0.3">
      <c r="A337" s="1">
        <v>44322</v>
      </c>
      <c r="B337">
        <v>876.54</v>
      </c>
    </row>
    <row r="338" spans="1:2" x14ac:dyDescent="0.3">
      <c r="A338" s="1">
        <v>44323</v>
      </c>
      <c r="B338">
        <v>876.88</v>
      </c>
    </row>
    <row r="339" spans="1:2" x14ac:dyDescent="0.3">
      <c r="A339" s="1">
        <v>44326</v>
      </c>
      <c r="B339">
        <v>874.36</v>
      </c>
    </row>
    <row r="340" spans="1:2" x14ac:dyDescent="0.3">
      <c r="A340" s="1">
        <v>44327</v>
      </c>
      <c r="B340">
        <v>877.51</v>
      </c>
    </row>
    <row r="341" spans="1:2" x14ac:dyDescent="0.3">
      <c r="A341" s="1">
        <v>44328</v>
      </c>
      <c r="B341">
        <v>868.44</v>
      </c>
    </row>
    <row r="342" spans="1:2" x14ac:dyDescent="0.3">
      <c r="A342" s="1">
        <v>44330</v>
      </c>
      <c r="B342">
        <v>879.4</v>
      </c>
    </row>
    <row r="343" spans="1:2" x14ac:dyDescent="0.3">
      <c r="A343" s="1">
        <v>44333</v>
      </c>
      <c r="B343">
        <v>889.86</v>
      </c>
    </row>
    <row r="344" spans="1:2" x14ac:dyDescent="0.3">
      <c r="A344" s="1">
        <v>44334</v>
      </c>
      <c r="B344">
        <v>902.39</v>
      </c>
    </row>
    <row r="345" spans="1:2" x14ac:dyDescent="0.3">
      <c r="A345" s="1">
        <v>44335</v>
      </c>
      <c r="B345">
        <v>906.52</v>
      </c>
    </row>
    <row r="346" spans="1:2" x14ac:dyDescent="0.3">
      <c r="A346" s="1">
        <v>44336</v>
      </c>
      <c r="B346">
        <v>901.23</v>
      </c>
    </row>
    <row r="347" spans="1:2" x14ac:dyDescent="0.3">
      <c r="A347" s="1">
        <v>44337</v>
      </c>
      <c r="B347">
        <v>909.02</v>
      </c>
    </row>
    <row r="348" spans="1:2" x14ac:dyDescent="0.3">
      <c r="A348" s="1">
        <v>44340</v>
      </c>
      <c r="B348">
        <v>901.35</v>
      </c>
    </row>
    <row r="349" spans="1:2" x14ac:dyDescent="0.3">
      <c r="A349" s="1">
        <v>44341</v>
      </c>
      <c r="B349">
        <v>891.13</v>
      </c>
    </row>
    <row r="350" spans="1:2" x14ac:dyDescent="0.3">
      <c r="A350" s="1">
        <v>44342</v>
      </c>
      <c r="B350">
        <v>894.26</v>
      </c>
    </row>
    <row r="351" spans="1:2" x14ac:dyDescent="0.3">
      <c r="A351" s="1">
        <v>44343</v>
      </c>
      <c r="B351">
        <v>897.01</v>
      </c>
    </row>
    <row r="352" spans="1:2" x14ac:dyDescent="0.3">
      <c r="A352" s="1">
        <v>44344</v>
      </c>
      <c r="B352">
        <v>950.89</v>
      </c>
    </row>
    <row r="353" spans="1:2" x14ac:dyDescent="0.3">
      <c r="A353" s="1">
        <v>44347</v>
      </c>
      <c r="B353">
        <v>980.62</v>
      </c>
    </row>
    <row r="354" spans="1:2" x14ac:dyDescent="0.3">
      <c r="A354" s="1">
        <v>44348</v>
      </c>
      <c r="B354">
        <v>984.53</v>
      </c>
    </row>
    <row r="355" spans="1:2" x14ac:dyDescent="0.3">
      <c r="A355" s="1">
        <v>44349</v>
      </c>
      <c r="B355">
        <v>999.21</v>
      </c>
    </row>
    <row r="356" spans="1:2" x14ac:dyDescent="0.3">
      <c r="A356" s="1">
        <v>44350</v>
      </c>
      <c r="B356">
        <v>1003.03</v>
      </c>
    </row>
    <row r="357" spans="1:2" x14ac:dyDescent="0.3">
      <c r="A357" s="1">
        <v>44351</v>
      </c>
      <c r="B357">
        <v>994.33</v>
      </c>
    </row>
    <row r="358" spans="1:2" x14ac:dyDescent="0.3">
      <c r="A358" s="1">
        <v>44354</v>
      </c>
      <c r="B358">
        <v>1011.08</v>
      </c>
    </row>
    <row r="359" spans="1:2" x14ac:dyDescent="0.3">
      <c r="A359" s="1">
        <v>44355</v>
      </c>
      <c r="B359">
        <v>1005.27</v>
      </c>
    </row>
    <row r="360" spans="1:2" x14ac:dyDescent="0.3">
      <c r="A360" s="1">
        <v>44356</v>
      </c>
      <c r="B360">
        <v>987.3</v>
      </c>
    </row>
    <row r="361" spans="1:2" x14ac:dyDescent="0.3">
      <c r="A361" s="1">
        <v>44357</v>
      </c>
      <c r="B361">
        <v>990.93</v>
      </c>
    </row>
    <row r="362" spans="1:2" x14ac:dyDescent="0.3">
      <c r="A362" s="1">
        <v>44358</v>
      </c>
      <c r="B362">
        <v>1004.61</v>
      </c>
    </row>
    <row r="363" spans="1:2" x14ac:dyDescent="0.3">
      <c r="A363" s="1">
        <v>44361</v>
      </c>
      <c r="B363">
        <v>1019.03</v>
      </c>
    </row>
    <row r="364" spans="1:2" x14ac:dyDescent="0.3">
      <c r="A364" s="1">
        <v>44362</v>
      </c>
      <c r="B364">
        <v>1021.34</v>
      </c>
    </row>
    <row r="365" spans="1:2" x14ac:dyDescent="0.3">
      <c r="A365" s="1">
        <v>44363</v>
      </c>
      <c r="B365">
        <v>1003.91</v>
      </c>
    </row>
    <row r="366" spans="1:2" x14ac:dyDescent="0.3">
      <c r="A366" s="1">
        <v>44364</v>
      </c>
      <c r="B366">
        <v>1005.75</v>
      </c>
    </row>
    <row r="367" spans="1:2" x14ac:dyDescent="0.3">
      <c r="A367" s="1">
        <v>44365</v>
      </c>
      <c r="B367">
        <v>1010.29</v>
      </c>
    </row>
    <row r="368" spans="1:2" x14ac:dyDescent="0.3">
      <c r="A368" s="1">
        <v>44368</v>
      </c>
      <c r="B368">
        <v>1015.55</v>
      </c>
    </row>
    <row r="369" spans="1:2" x14ac:dyDescent="0.3">
      <c r="A369" s="1">
        <v>44369</v>
      </c>
      <c r="B369">
        <v>1010.33</v>
      </c>
    </row>
    <row r="370" spans="1:2" x14ac:dyDescent="0.3">
      <c r="A370" s="1">
        <v>44370</v>
      </c>
      <c r="B370">
        <v>1001.07</v>
      </c>
    </row>
    <row r="371" spans="1:2" x14ac:dyDescent="0.3">
      <c r="A371" s="1">
        <v>44371</v>
      </c>
      <c r="B371">
        <v>977.54</v>
      </c>
    </row>
    <row r="372" spans="1:2" x14ac:dyDescent="0.3">
      <c r="A372" s="1">
        <v>44372</v>
      </c>
      <c r="B372">
        <v>955.27</v>
      </c>
    </row>
    <row r="373" spans="1:2" x14ac:dyDescent="0.3">
      <c r="A373" s="1">
        <v>44375</v>
      </c>
      <c r="B373">
        <v>946.9</v>
      </c>
    </row>
    <row r="374" spans="1:2" x14ac:dyDescent="0.3">
      <c r="A374" s="1">
        <v>44376</v>
      </c>
      <c r="B374">
        <v>947.71</v>
      </c>
    </row>
    <row r="375" spans="1:2" x14ac:dyDescent="0.3">
      <c r="A375" s="1">
        <v>44377</v>
      </c>
      <c r="B375">
        <v>958.09</v>
      </c>
    </row>
    <row r="376" spans="1:2" x14ac:dyDescent="0.3">
      <c r="A376" s="1">
        <v>44378</v>
      </c>
      <c r="B376">
        <v>952.32</v>
      </c>
    </row>
    <row r="377" spans="1:2" x14ac:dyDescent="0.3">
      <c r="A377" s="1">
        <v>44379</v>
      </c>
      <c r="B377">
        <v>966.44</v>
      </c>
    </row>
    <row r="378" spans="1:2" x14ac:dyDescent="0.3">
      <c r="A378" s="1">
        <v>44382</v>
      </c>
      <c r="B378">
        <v>976.04</v>
      </c>
    </row>
    <row r="379" spans="1:2" x14ac:dyDescent="0.3">
      <c r="A379" s="1">
        <v>44383</v>
      </c>
      <c r="B379">
        <v>964.51</v>
      </c>
    </row>
    <row r="380" spans="1:2" x14ac:dyDescent="0.3">
      <c r="A380" s="1">
        <v>44384</v>
      </c>
      <c r="B380">
        <v>957.81</v>
      </c>
    </row>
    <row r="381" spans="1:2" x14ac:dyDescent="0.3">
      <c r="A381" s="1">
        <v>44385</v>
      </c>
      <c r="B381">
        <v>949.89</v>
      </c>
    </row>
    <row r="382" spans="1:2" x14ac:dyDescent="0.3">
      <c r="A382" s="1">
        <v>44386</v>
      </c>
      <c r="B382">
        <v>940.18</v>
      </c>
    </row>
    <row r="383" spans="1:2" x14ac:dyDescent="0.3">
      <c r="A383" s="1">
        <v>44389</v>
      </c>
      <c r="B383">
        <v>946.03</v>
      </c>
    </row>
    <row r="384" spans="1:2" x14ac:dyDescent="0.3">
      <c r="A384" s="1">
        <v>44390</v>
      </c>
      <c r="B384">
        <v>953.12</v>
      </c>
    </row>
    <row r="385" spans="1:2" x14ac:dyDescent="0.3">
      <c r="A385" s="1">
        <v>44391</v>
      </c>
      <c r="B385">
        <v>946.9</v>
      </c>
    </row>
    <row r="386" spans="1:2" x14ac:dyDescent="0.3">
      <c r="A386" s="1">
        <v>44392</v>
      </c>
      <c r="B386">
        <v>945.24</v>
      </c>
    </row>
    <row r="387" spans="1:2" x14ac:dyDescent="0.3">
      <c r="A387" s="1">
        <v>44393</v>
      </c>
      <c r="B387">
        <v>958.88</v>
      </c>
    </row>
    <row r="388" spans="1:2" x14ac:dyDescent="0.3">
      <c r="A388" s="1">
        <v>44396</v>
      </c>
      <c r="B388">
        <v>952.78</v>
      </c>
    </row>
    <row r="389" spans="1:2" x14ac:dyDescent="0.3">
      <c r="A389" s="1">
        <v>44397</v>
      </c>
      <c r="B389">
        <v>950.44</v>
      </c>
    </row>
    <row r="390" spans="1:2" x14ac:dyDescent="0.3">
      <c r="A390" s="1">
        <v>44399</v>
      </c>
      <c r="B390">
        <v>962.65</v>
      </c>
    </row>
    <row r="391" spans="1:2" x14ac:dyDescent="0.3">
      <c r="A391" s="1">
        <v>44400</v>
      </c>
      <c r="B391">
        <v>955.84</v>
      </c>
    </row>
    <row r="392" spans="1:2" x14ac:dyDescent="0.3">
      <c r="A392" s="1">
        <v>44403</v>
      </c>
      <c r="B392">
        <v>942.74</v>
      </c>
    </row>
    <row r="393" spans="1:2" x14ac:dyDescent="0.3">
      <c r="A393" s="1">
        <v>44404</v>
      </c>
      <c r="B393">
        <v>932.83</v>
      </c>
    </row>
    <row r="394" spans="1:2" x14ac:dyDescent="0.3">
      <c r="A394" s="1">
        <v>44405</v>
      </c>
      <c r="B394">
        <v>924.81</v>
      </c>
    </row>
    <row r="395" spans="1:2" x14ac:dyDescent="0.3">
      <c r="A395" s="1">
        <v>44406</v>
      </c>
      <c r="B395">
        <v>932.03</v>
      </c>
    </row>
    <row r="396" spans="1:2" x14ac:dyDescent="0.3">
      <c r="A396" s="1">
        <v>44407</v>
      </c>
      <c r="B396">
        <v>923.88</v>
      </c>
    </row>
    <row r="397" spans="1:2" x14ac:dyDescent="0.3">
      <c r="A397" s="1">
        <v>44410</v>
      </c>
      <c r="B397">
        <v>940.77</v>
      </c>
    </row>
    <row r="398" spans="1:2" x14ac:dyDescent="0.3">
      <c r="A398" s="1">
        <v>44411</v>
      </c>
      <c r="B398">
        <v>947.69</v>
      </c>
    </row>
    <row r="399" spans="1:2" x14ac:dyDescent="0.3">
      <c r="A399" s="1">
        <v>44412</v>
      </c>
      <c r="B399">
        <v>954.95</v>
      </c>
    </row>
    <row r="400" spans="1:2" x14ac:dyDescent="0.3">
      <c r="A400" s="1">
        <v>44413</v>
      </c>
      <c r="B400">
        <v>968.8</v>
      </c>
    </row>
    <row r="401" spans="1:2" x14ac:dyDescent="0.3">
      <c r="A401" s="1">
        <v>44414</v>
      </c>
      <c r="B401">
        <v>948.28</v>
      </c>
    </row>
    <row r="402" spans="1:2" x14ac:dyDescent="0.3">
      <c r="A402" s="1">
        <v>44417</v>
      </c>
      <c r="B402">
        <v>942.88</v>
      </c>
    </row>
    <row r="403" spans="1:2" x14ac:dyDescent="0.3">
      <c r="A403" s="1">
        <v>44418</v>
      </c>
      <c r="B403">
        <v>947.83</v>
      </c>
    </row>
    <row r="404" spans="1:2" x14ac:dyDescent="0.3">
      <c r="A404" s="1">
        <v>44419</v>
      </c>
      <c r="B404">
        <v>961.1</v>
      </c>
    </row>
    <row r="405" spans="1:2" x14ac:dyDescent="0.3">
      <c r="A405" s="1">
        <v>44420</v>
      </c>
      <c r="B405">
        <v>958.02</v>
      </c>
    </row>
    <row r="406" spans="1:2" x14ac:dyDescent="0.3">
      <c r="A406" s="1">
        <v>44421</v>
      </c>
      <c r="B406">
        <v>973.97</v>
      </c>
    </row>
    <row r="407" spans="1:2" x14ac:dyDescent="0.3">
      <c r="A407" s="1">
        <v>44424</v>
      </c>
      <c r="B407">
        <v>986.62</v>
      </c>
    </row>
    <row r="408" spans="1:2" x14ac:dyDescent="0.3">
      <c r="A408" s="1">
        <v>44425</v>
      </c>
      <c r="B408">
        <v>982.42</v>
      </c>
    </row>
    <row r="409" spans="1:2" x14ac:dyDescent="0.3">
      <c r="A409" s="1">
        <v>44426</v>
      </c>
      <c r="B409">
        <v>986.23</v>
      </c>
    </row>
    <row r="410" spans="1:2" x14ac:dyDescent="0.3">
      <c r="A410" s="1">
        <v>44428</v>
      </c>
      <c r="B410">
        <v>975.15</v>
      </c>
    </row>
    <row r="411" spans="1:2" x14ac:dyDescent="0.3">
      <c r="A411" s="1">
        <v>44431</v>
      </c>
      <c r="B411">
        <v>981.55</v>
      </c>
    </row>
    <row r="412" spans="1:2" x14ac:dyDescent="0.3">
      <c r="A412" s="1">
        <v>44432</v>
      </c>
      <c r="B412">
        <v>991.25</v>
      </c>
    </row>
    <row r="413" spans="1:2" x14ac:dyDescent="0.3">
      <c r="A413" s="1">
        <v>44433</v>
      </c>
      <c r="B413">
        <v>999.83</v>
      </c>
    </row>
    <row r="414" spans="1:2" x14ac:dyDescent="0.3">
      <c r="A414" s="1">
        <v>44434</v>
      </c>
      <c r="B414">
        <v>1012.47</v>
      </c>
    </row>
    <row r="415" spans="1:2" x14ac:dyDescent="0.3">
      <c r="A415" s="1">
        <v>44435</v>
      </c>
      <c r="B415">
        <v>1011.08</v>
      </c>
    </row>
    <row r="416" spans="1:2" x14ac:dyDescent="0.3">
      <c r="A416" s="1">
        <v>44438</v>
      </c>
      <c r="B416">
        <v>1030.53</v>
      </c>
    </row>
    <row r="417" spans="1:2" x14ac:dyDescent="0.3">
      <c r="A417" s="1">
        <v>44439</v>
      </c>
      <c r="B417">
        <v>1025.04</v>
      </c>
    </row>
    <row r="418" spans="1:2" x14ac:dyDescent="0.3">
      <c r="A418" s="1">
        <v>44440</v>
      </c>
      <c r="B418">
        <v>1029.0999999999999</v>
      </c>
    </row>
    <row r="419" spans="1:2" x14ac:dyDescent="0.3">
      <c r="A419" s="1">
        <v>44441</v>
      </c>
      <c r="B419">
        <v>1041.5</v>
      </c>
    </row>
    <row r="420" spans="1:2" x14ac:dyDescent="0.3">
      <c r="A420" s="1">
        <v>44442</v>
      </c>
      <c r="B420">
        <v>1084.21</v>
      </c>
    </row>
    <row r="421" spans="1:2" x14ac:dyDescent="0.3">
      <c r="A421" s="1">
        <v>44445</v>
      </c>
      <c r="B421">
        <v>1101.05</v>
      </c>
    </row>
    <row r="422" spans="1:2" x14ac:dyDescent="0.3">
      <c r="A422" s="1">
        <v>44446</v>
      </c>
      <c r="B422">
        <v>1108</v>
      </c>
    </row>
    <row r="423" spans="1:2" x14ac:dyDescent="0.3">
      <c r="A423" s="1">
        <v>44447</v>
      </c>
      <c r="B423">
        <v>1103.6600000000001</v>
      </c>
    </row>
    <row r="424" spans="1:2" x14ac:dyDescent="0.3">
      <c r="A424" s="1">
        <v>44448</v>
      </c>
      <c r="B424">
        <v>1101.05</v>
      </c>
    </row>
    <row r="425" spans="1:2" x14ac:dyDescent="0.3">
      <c r="A425" s="1">
        <v>44452</v>
      </c>
      <c r="B425">
        <v>1076.52</v>
      </c>
    </row>
    <row r="426" spans="1:2" x14ac:dyDescent="0.3">
      <c r="A426" s="1">
        <v>44453</v>
      </c>
      <c r="B426">
        <v>1075.1099999999999</v>
      </c>
    </row>
    <row r="427" spans="1:2" x14ac:dyDescent="0.3">
      <c r="A427" s="1">
        <v>44454</v>
      </c>
      <c r="B427">
        <v>1079.58</v>
      </c>
    </row>
    <row r="428" spans="1:2" x14ac:dyDescent="0.3">
      <c r="A428" s="1">
        <v>44455</v>
      </c>
      <c r="B428">
        <v>1102.23</v>
      </c>
    </row>
    <row r="429" spans="1:2" x14ac:dyDescent="0.3">
      <c r="A429" s="1">
        <v>44456</v>
      </c>
      <c r="B429">
        <v>1085.1400000000001</v>
      </c>
    </row>
    <row r="430" spans="1:2" x14ac:dyDescent="0.3">
      <c r="A430" s="1">
        <v>44459</v>
      </c>
      <c r="B430">
        <v>1086.8699999999999</v>
      </c>
    </row>
    <row r="431" spans="1:2" x14ac:dyDescent="0.3">
      <c r="A431" s="1">
        <v>44460</v>
      </c>
      <c r="B431">
        <v>1091.56</v>
      </c>
    </row>
    <row r="432" spans="1:2" x14ac:dyDescent="0.3">
      <c r="A432" s="1">
        <v>44461</v>
      </c>
      <c r="B432">
        <v>1103.28</v>
      </c>
    </row>
    <row r="433" spans="1:2" x14ac:dyDescent="0.3">
      <c r="A433" s="1">
        <v>44462</v>
      </c>
      <c r="B433">
        <v>1130.24</v>
      </c>
    </row>
    <row r="434" spans="1:2" x14ac:dyDescent="0.3">
      <c r="A434" s="1">
        <v>44463</v>
      </c>
      <c r="B434">
        <v>1126.97</v>
      </c>
    </row>
    <row r="435" spans="1:2" x14ac:dyDescent="0.3">
      <c r="A435" s="1">
        <v>44466</v>
      </c>
      <c r="B435">
        <v>1145.92</v>
      </c>
    </row>
    <row r="436" spans="1:2" x14ac:dyDescent="0.3">
      <c r="A436" s="1">
        <v>44467</v>
      </c>
      <c r="B436">
        <v>1156.6400000000001</v>
      </c>
    </row>
    <row r="437" spans="1:2" x14ac:dyDescent="0.3">
      <c r="A437" s="1">
        <v>44468</v>
      </c>
      <c r="B437">
        <v>1147.47</v>
      </c>
    </row>
    <row r="438" spans="1:2" x14ac:dyDescent="0.3">
      <c r="A438" s="1">
        <v>44469</v>
      </c>
      <c r="B438">
        <v>1143.56</v>
      </c>
    </row>
    <row r="439" spans="1:2" x14ac:dyDescent="0.3">
      <c r="A439" s="1">
        <v>44470</v>
      </c>
      <c r="B439">
        <v>1145.58</v>
      </c>
    </row>
    <row r="440" spans="1:2" x14ac:dyDescent="0.3">
      <c r="A440" s="1">
        <v>44473</v>
      </c>
      <c r="B440">
        <v>1160.31</v>
      </c>
    </row>
    <row r="441" spans="1:2" x14ac:dyDescent="0.3">
      <c r="A441" s="1">
        <v>44474</v>
      </c>
      <c r="B441">
        <v>1184.3900000000001</v>
      </c>
    </row>
    <row r="442" spans="1:2" x14ac:dyDescent="0.3">
      <c r="A442" s="1">
        <v>44475</v>
      </c>
      <c r="B442">
        <v>1161.99</v>
      </c>
    </row>
    <row r="443" spans="1:2" x14ac:dyDescent="0.3">
      <c r="A443" s="1">
        <v>44476</v>
      </c>
      <c r="B443">
        <v>1167.69</v>
      </c>
    </row>
    <row r="444" spans="1:2" x14ac:dyDescent="0.3">
      <c r="A444" s="1">
        <v>44477</v>
      </c>
      <c r="B444">
        <v>1212.56</v>
      </c>
    </row>
    <row r="445" spans="1:2" x14ac:dyDescent="0.3">
      <c r="A445" s="1">
        <v>44480</v>
      </c>
      <c r="B445">
        <v>1204.1199999999999</v>
      </c>
    </row>
    <row r="446" spans="1:2" x14ac:dyDescent="0.3">
      <c r="A446" s="1">
        <v>44481</v>
      </c>
      <c r="B446">
        <v>1210.99</v>
      </c>
    </row>
    <row r="447" spans="1:2" x14ac:dyDescent="0.3">
      <c r="A447" s="1">
        <v>44482</v>
      </c>
      <c r="B447">
        <v>1223.32</v>
      </c>
    </row>
    <row r="448" spans="1:2" x14ac:dyDescent="0.3">
      <c r="A448" s="1">
        <v>44483</v>
      </c>
      <c r="B448">
        <v>1225.79</v>
      </c>
    </row>
    <row r="449" spans="1:2" x14ac:dyDescent="0.3">
      <c r="A449" s="1">
        <v>44487</v>
      </c>
      <c r="B449">
        <v>1229.06</v>
      </c>
    </row>
    <row r="450" spans="1:2" x14ac:dyDescent="0.3">
      <c r="A450" s="1">
        <v>44488</v>
      </c>
      <c r="B450">
        <v>1240.07</v>
      </c>
    </row>
    <row r="451" spans="1:2" x14ac:dyDescent="0.3">
      <c r="A451" s="1">
        <v>44489</v>
      </c>
      <c r="B451">
        <v>1225.79</v>
      </c>
    </row>
    <row r="452" spans="1:2" x14ac:dyDescent="0.3">
      <c r="A452" s="1">
        <v>44490</v>
      </c>
      <c r="B452">
        <v>1190.43</v>
      </c>
    </row>
    <row r="453" spans="1:2" x14ac:dyDescent="0.3">
      <c r="A453" s="1">
        <v>44491</v>
      </c>
      <c r="B453">
        <v>1192.6500000000001</v>
      </c>
    </row>
    <row r="454" spans="1:2" x14ac:dyDescent="0.3">
      <c r="A454" s="1">
        <v>44494</v>
      </c>
      <c r="B454">
        <v>1181.03</v>
      </c>
    </row>
    <row r="455" spans="1:2" x14ac:dyDescent="0.3">
      <c r="A455" s="1">
        <v>44495</v>
      </c>
      <c r="B455">
        <v>1207.93</v>
      </c>
    </row>
    <row r="456" spans="1:2" x14ac:dyDescent="0.3">
      <c r="A456" s="1">
        <v>44496</v>
      </c>
      <c r="B456">
        <v>1192.6500000000001</v>
      </c>
    </row>
    <row r="457" spans="1:2" x14ac:dyDescent="0.3">
      <c r="A457" s="1">
        <v>44497</v>
      </c>
      <c r="B457">
        <v>1179.58</v>
      </c>
    </row>
    <row r="458" spans="1:2" x14ac:dyDescent="0.3">
      <c r="A458" s="1">
        <v>44498</v>
      </c>
      <c r="B458">
        <v>1151.28</v>
      </c>
    </row>
    <row r="459" spans="1:2" x14ac:dyDescent="0.3">
      <c r="A459" s="1">
        <v>44501</v>
      </c>
      <c r="B459">
        <v>1151.98</v>
      </c>
    </row>
    <row r="460" spans="1:2" x14ac:dyDescent="0.3">
      <c r="A460" s="1">
        <v>44502</v>
      </c>
      <c r="B460">
        <v>1135.19</v>
      </c>
    </row>
    <row r="461" spans="1:2" x14ac:dyDescent="0.3">
      <c r="A461" s="1">
        <v>44503</v>
      </c>
      <c r="B461">
        <v>1127.3800000000001</v>
      </c>
    </row>
    <row r="462" spans="1:2" x14ac:dyDescent="0.3">
      <c r="A462" s="1">
        <v>44504</v>
      </c>
      <c r="B462">
        <v>1134.3</v>
      </c>
    </row>
    <row r="463" spans="1:2" x14ac:dyDescent="0.3">
      <c r="A463" s="1">
        <v>44508</v>
      </c>
      <c r="B463">
        <v>1135.71</v>
      </c>
    </row>
    <row r="464" spans="1:2" x14ac:dyDescent="0.3">
      <c r="A464" s="1">
        <v>44509</v>
      </c>
      <c r="B464">
        <v>1144.67</v>
      </c>
    </row>
    <row r="465" spans="1:2" x14ac:dyDescent="0.3">
      <c r="A465" s="1">
        <v>44510</v>
      </c>
      <c r="B465">
        <v>1157.47</v>
      </c>
    </row>
    <row r="466" spans="1:2" x14ac:dyDescent="0.3">
      <c r="A466" s="1">
        <v>44511</v>
      </c>
      <c r="B466">
        <v>1159.5899999999999</v>
      </c>
    </row>
    <row r="467" spans="1:2" x14ac:dyDescent="0.3">
      <c r="A467" s="1">
        <v>44512</v>
      </c>
      <c r="B467">
        <v>1177.08</v>
      </c>
    </row>
    <row r="468" spans="1:2" x14ac:dyDescent="0.3">
      <c r="A468" s="1">
        <v>44515</v>
      </c>
      <c r="B468">
        <v>1170.1400000000001</v>
      </c>
    </row>
    <row r="469" spans="1:2" x14ac:dyDescent="0.3">
      <c r="A469" s="1">
        <v>44516</v>
      </c>
      <c r="B469">
        <v>1142.95</v>
      </c>
    </row>
    <row r="470" spans="1:2" x14ac:dyDescent="0.3">
      <c r="A470" s="1">
        <v>44517</v>
      </c>
      <c r="B470">
        <v>1118.48</v>
      </c>
    </row>
    <row r="471" spans="1:2" x14ac:dyDescent="0.3">
      <c r="A471" s="1">
        <v>44518</v>
      </c>
      <c r="B471">
        <v>1122.7</v>
      </c>
    </row>
    <row r="472" spans="1:2" x14ac:dyDescent="0.3">
      <c r="A472" s="1">
        <v>44522</v>
      </c>
      <c r="B472">
        <v>1072.98</v>
      </c>
    </row>
    <row r="473" spans="1:2" x14ac:dyDescent="0.3">
      <c r="A473" s="1">
        <v>44523</v>
      </c>
      <c r="B473">
        <v>1083.01</v>
      </c>
    </row>
    <row r="474" spans="1:2" x14ac:dyDescent="0.3">
      <c r="A474" s="1">
        <v>44524</v>
      </c>
      <c r="B474">
        <v>1067.3699999999999</v>
      </c>
    </row>
    <row r="475" spans="1:2" x14ac:dyDescent="0.3">
      <c r="A475" s="1">
        <v>44525</v>
      </c>
      <c r="B475">
        <v>1131.6199999999999</v>
      </c>
    </row>
    <row r="476" spans="1:2" x14ac:dyDescent="0.3">
      <c r="A476" s="1">
        <v>44526</v>
      </c>
      <c r="B476">
        <v>1095.1500000000001</v>
      </c>
    </row>
    <row r="477" spans="1:2" x14ac:dyDescent="0.3">
      <c r="A477" s="1">
        <v>44529</v>
      </c>
      <c r="B477">
        <v>1108.27</v>
      </c>
    </row>
    <row r="478" spans="1:2" x14ac:dyDescent="0.3">
      <c r="A478" s="1">
        <v>44530</v>
      </c>
      <c r="B478">
        <v>1091.8800000000001</v>
      </c>
    </row>
    <row r="479" spans="1:2" x14ac:dyDescent="0.3">
      <c r="A479" s="1">
        <v>44531</v>
      </c>
      <c r="B479">
        <v>1119.8399999999999</v>
      </c>
    </row>
    <row r="480" spans="1:2" x14ac:dyDescent="0.3">
      <c r="A480" s="1">
        <v>44532</v>
      </c>
      <c r="B480">
        <v>1127.04</v>
      </c>
    </row>
    <row r="481" spans="1:2" x14ac:dyDescent="0.3">
      <c r="A481" s="1">
        <v>44533</v>
      </c>
      <c r="B481">
        <v>1093.18</v>
      </c>
    </row>
    <row r="482" spans="1:2" x14ac:dyDescent="0.3">
      <c r="A482" s="1">
        <v>44536</v>
      </c>
      <c r="B482">
        <v>1072.45</v>
      </c>
    </row>
    <row r="483" spans="1:2" x14ac:dyDescent="0.3">
      <c r="A483" s="1">
        <v>44537</v>
      </c>
      <c r="B483">
        <v>1081.19</v>
      </c>
    </row>
    <row r="484" spans="1:2" x14ac:dyDescent="0.3">
      <c r="A484" s="1">
        <v>44538</v>
      </c>
      <c r="B484">
        <v>1097.6500000000001</v>
      </c>
    </row>
    <row r="485" spans="1:2" x14ac:dyDescent="0.3">
      <c r="A485" s="1">
        <v>44539</v>
      </c>
      <c r="B485">
        <v>1115.06</v>
      </c>
    </row>
    <row r="486" spans="1:2" x14ac:dyDescent="0.3">
      <c r="A486" s="1">
        <v>44540</v>
      </c>
      <c r="B486">
        <v>1116.19</v>
      </c>
    </row>
    <row r="487" spans="1:2" x14ac:dyDescent="0.3">
      <c r="A487" s="1">
        <v>44543</v>
      </c>
      <c r="B487">
        <v>1093.81</v>
      </c>
    </row>
    <row r="488" spans="1:2" x14ac:dyDescent="0.3">
      <c r="A488" s="1">
        <v>44544</v>
      </c>
      <c r="B488">
        <v>1080.42</v>
      </c>
    </row>
    <row r="489" spans="1:2" x14ac:dyDescent="0.3">
      <c r="A489" s="1">
        <v>44545</v>
      </c>
      <c r="B489">
        <v>1077.27</v>
      </c>
    </row>
    <row r="490" spans="1:2" x14ac:dyDescent="0.3">
      <c r="A490" s="1">
        <v>44546</v>
      </c>
      <c r="B490">
        <v>1091.2</v>
      </c>
    </row>
    <row r="491" spans="1:2" x14ac:dyDescent="0.3">
      <c r="A491" s="1">
        <v>44547</v>
      </c>
      <c r="B491">
        <v>1062.4000000000001</v>
      </c>
    </row>
    <row r="492" spans="1:2" x14ac:dyDescent="0.3">
      <c r="A492" s="1">
        <v>44550</v>
      </c>
      <c r="B492">
        <v>1033.76</v>
      </c>
    </row>
    <row r="493" spans="1:2" x14ac:dyDescent="0.3">
      <c r="A493" s="1">
        <v>44551</v>
      </c>
      <c r="B493">
        <v>1049.1400000000001</v>
      </c>
    </row>
    <row r="494" spans="1:2" x14ac:dyDescent="0.3">
      <c r="A494" s="1">
        <v>44552</v>
      </c>
      <c r="B494">
        <v>1074.04</v>
      </c>
    </row>
    <row r="495" spans="1:2" x14ac:dyDescent="0.3">
      <c r="A495" s="1">
        <v>44553</v>
      </c>
      <c r="B495">
        <v>1073.6600000000001</v>
      </c>
    </row>
    <row r="496" spans="1:2" x14ac:dyDescent="0.3">
      <c r="A496" s="1">
        <v>44554</v>
      </c>
      <c r="B496">
        <v>1077.08</v>
      </c>
    </row>
    <row r="497" spans="1:2" x14ac:dyDescent="0.3">
      <c r="A497" s="1">
        <v>44557</v>
      </c>
      <c r="B497">
        <v>1075.93</v>
      </c>
    </row>
    <row r="498" spans="1:2" x14ac:dyDescent="0.3">
      <c r="A498" s="1">
        <v>44558</v>
      </c>
      <c r="B498">
        <v>1088.7</v>
      </c>
    </row>
    <row r="499" spans="1:2" x14ac:dyDescent="0.3">
      <c r="A499" s="1">
        <v>44559</v>
      </c>
      <c r="B499">
        <v>1090.57</v>
      </c>
    </row>
    <row r="500" spans="1:2" x14ac:dyDescent="0.3">
      <c r="A500" s="1">
        <v>44560</v>
      </c>
      <c r="B500">
        <v>1070.8699999999999</v>
      </c>
    </row>
    <row r="501" spans="1:2" x14ac:dyDescent="0.3">
      <c r="A501" s="1">
        <v>44561</v>
      </c>
      <c r="B501">
        <v>1074.97</v>
      </c>
    </row>
    <row r="502" spans="1:2" x14ac:dyDescent="0.3">
      <c r="A502" s="1">
        <v>44564</v>
      </c>
      <c r="B502">
        <v>1091.18</v>
      </c>
    </row>
    <row r="503" spans="1:2" x14ac:dyDescent="0.3">
      <c r="A503" s="1">
        <v>44565</v>
      </c>
      <c r="B503">
        <v>1115.8</v>
      </c>
    </row>
    <row r="504" spans="1:2" x14ac:dyDescent="0.3">
      <c r="A504" s="1">
        <v>44566</v>
      </c>
      <c r="B504">
        <v>1121.02</v>
      </c>
    </row>
    <row r="505" spans="1:2" x14ac:dyDescent="0.3">
      <c r="A505" s="1">
        <v>44567</v>
      </c>
      <c r="B505">
        <v>1096.92</v>
      </c>
    </row>
    <row r="506" spans="1:2" x14ac:dyDescent="0.3">
      <c r="A506" s="1">
        <v>44568</v>
      </c>
      <c r="B506">
        <v>1105.77</v>
      </c>
    </row>
    <row r="507" spans="1:2" x14ac:dyDescent="0.3">
      <c r="A507" s="1">
        <v>44571</v>
      </c>
      <c r="B507">
        <v>1106.68</v>
      </c>
    </row>
    <row r="508" spans="1:2" x14ac:dyDescent="0.3">
      <c r="A508" s="1">
        <v>44572</v>
      </c>
      <c r="B508">
        <v>1114.6500000000001</v>
      </c>
    </row>
    <row r="509" spans="1:2" x14ac:dyDescent="0.3">
      <c r="A509" s="1">
        <v>44573</v>
      </c>
      <c r="B509">
        <v>1144.4000000000001</v>
      </c>
    </row>
    <row r="510" spans="1:2" x14ac:dyDescent="0.3">
      <c r="A510" s="1">
        <v>44574</v>
      </c>
      <c r="B510">
        <v>1150.8499999999999</v>
      </c>
    </row>
    <row r="511" spans="1:2" x14ac:dyDescent="0.3">
      <c r="A511" s="1">
        <v>44575</v>
      </c>
      <c r="B511">
        <v>1152.53</v>
      </c>
    </row>
    <row r="512" spans="1:2" x14ac:dyDescent="0.3">
      <c r="A512" s="1">
        <v>44578</v>
      </c>
      <c r="B512">
        <v>1158.54</v>
      </c>
    </row>
    <row r="513" spans="1:2" x14ac:dyDescent="0.3">
      <c r="A513" s="1">
        <v>44579</v>
      </c>
      <c r="B513">
        <v>1144.72</v>
      </c>
    </row>
    <row r="514" spans="1:2" x14ac:dyDescent="0.3">
      <c r="A514" s="1">
        <v>44580</v>
      </c>
      <c r="B514">
        <v>1144.6300000000001</v>
      </c>
    </row>
    <row r="515" spans="1:2" x14ac:dyDescent="0.3">
      <c r="A515" s="1">
        <v>44581</v>
      </c>
      <c r="B515">
        <v>1124.5899999999999</v>
      </c>
    </row>
    <row r="516" spans="1:2" x14ac:dyDescent="0.3">
      <c r="A516" s="1">
        <v>44582</v>
      </c>
      <c r="B516">
        <v>1124.77</v>
      </c>
    </row>
    <row r="517" spans="1:2" x14ac:dyDescent="0.3">
      <c r="A517" s="1">
        <v>44585</v>
      </c>
      <c r="B517">
        <v>1079.4000000000001</v>
      </c>
    </row>
    <row r="518" spans="1:2" x14ac:dyDescent="0.3">
      <c r="A518" s="1">
        <v>44586</v>
      </c>
      <c r="B518">
        <v>1077.29</v>
      </c>
    </row>
    <row r="519" spans="1:2" x14ac:dyDescent="0.3">
      <c r="A519" s="1">
        <v>44588</v>
      </c>
      <c r="B519">
        <v>1061.33</v>
      </c>
    </row>
    <row r="520" spans="1:2" x14ac:dyDescent="0.3">
      <c r="A520" s="1">
        <v>44589</v>
      </c>
      <c r="B520">
        <v>1060.31</v>
      </c>
    </row>
    <row r="521" spans="1:2" x14ac:dyDescent="0.3">
      <c r="A521" s="1">
        <v>44592</v>
      </c>
      <c r="B521">
        <v>1083.3499999999999</v>
      </c>
    </row>
    <row r="522" spans="1:2" x14ac:dyDescent="0.3">
      <c r="A522" s="1">
        <v>44593</v>
      </c>
      <c r="B522">
        <v>1079.76</v>
      </c>
    </row>
    <row r="523" spans="1:2" x14ac:dyDescent="0.3">
      <c r="A523" s="1">
        <v>44594</v>
      </c>
      <c r="B523">
        <v>1081.96</v>
      </c>
    </row>
    <row r="524" spans="1:2" x14ac:dyDescent="0.3">
      <c r="A524" s="1">
        <v>44595</v>
      </c>
      <c r="B524">
        <v>1067.98</v>
      </c>
    </row>
    <row r="525" spans="1:2" x14ac:dyDescent="0.3">
      <c r="A525" s="1">
        <v>44596</v>
      </c>
      <c r="B525">
        <v>1058.25</v>
      </c>
    </row>
    <row r="526" spans="1:2" x14ac:dyDescent="0.3">
      <c r="A526" s="1">
        <v>44599</v>
      </c>
      <c r="B526">
        <v>1051.8</v>
      </c>
    </row>
    <row r="527" spans="1:2" x14ac:dyDescent="0.3">
      <c r="A527" s="1">
        <v>44600</v>
      </c>
      <c r="B527">
        <v>1069.48</v>
      </c>
    </row>
    <row r="528" spans="1:2" x14ac:dyDescent="0.3">
      <c r="A528" s="1">
        <v>44601</v>
      </c>
      <c r="B528">
        <v>1081.94</v>
      </c>
    </row>
    <row r="529" spans="1:2" x14ac:dyDescent="0.3">
      <c r="A529" s="1">
        <v>44602</v>
      </c>
      <c r="B529">
        <v>1080.83</v>
      </c>
    </row>
    <row r="530" spans="1:2" x14ac:dyDescent="0.3">
      <c r="A530" s="1">
        <v>44603</v>
      </c>
      <c r="B530">
        <v>1078.72</v>
      </c>
    </row>
    <row r="531" spans="1:2" x14ac:dyDescent="0.3">
      <c r="A531" s="1">
        <v>44606</v>
      </c>
      <c r="B531">
        <v>1061.54</v>
      </c>
    </row>
    <row r="532" spans="1:2" x14ac:dyDescent="0.3">
      <c r="A532" s="1">
        <v>44607</v>
      </c>
      <c r="B532">
        <v>1097.58</v>
      </c>
    </row>
    <row r="533" spans="1:2" x14ac:dyDescent="0.3">
      <c r="A533" s="1">
        <v>44608</v>
      </c>
      <c r="B533">
        <v>1095.31</v>
      </c>
    </row>
    <row r="534" spans="1:2" x14ac:dyDescent="0.3">
      <c r="A534" s="1">
        <v>44609</v>
      </c>
      <c r="B534">
        <v>1109.18</v>
      </c>
    </row>
    <row r="535" spans="1:2" x14ac:dyDescent="0.3">
      <c r="A535" s="1">
        <v>44610</v>
      </c>
      <c r="B535">
        <v>1100.51</v>
      </c>
    </row>
    <row r="536" spans="1:2" x14ac:dyDescent="0.3">
      <c r="A536" s="1">
        <v>44613</v>
      </c>
      <c r="B536">
        <v>1089.3900000000001</v>
      </c>
    </row>
    <row r="537" spans="1:2" x14ac:dyDescent="0.3">
      <c r="A537" s="1">
        <v>44614</v>
      </c>
      <c r="B537">
        <v>1084.44</v>
      </c>
    </row>
    <row r="538" spans="1:2" x14ac:dyDescent="0.3">
      <c r="A538" s="1">
        <v>44615</v>
      </c>
      <c r="B538">
        <v>1077.6500000000001</v>
      </c>
    </row>
    <row r="539" spans="1:2" x14ac:dyDescent="0.3">
      <c r="A539" s="1">
        <v>44616</v>
      </c>
      <c r="B539">
        <v>1023.95</v>
      </c>
    </row>
    <row r="540" spans="1:2" x14ac:dyDescent="0.3">
      <c r="A540" s="1">
        <v>44617</v>
      </c>
      <c r="B540">
        <v>1036.75</v>
      </c>
    </row>
    <row r="541" spans="1:2" x14ac:dyDescent="0.3">
      <c r="A541" s="1">
        <v>44620</v>
      </c>
      <c r="B541">
        <v>1071.07</v>
      </c>
    </row>
    <row r="542" spans="1:2" x14ac:dyDescent="0.3">
      <c r="A542" s="1">
        <v>44622</v>
      </c>
      <c r="B542">
        <v>1088.77</v>
      </c>
    </row>
    <row r="543" spans="1:2" x14ac:dyDescent="0.3">
      <c r="A543" s="1">
        <v>44623</v>
      </c>
      <c r="B543">
        <v>1079.58</v>
      </c>
    </row>
    <row r="544" spans="1:2" x14ac:dyDescent="0.3">
      <c r="A544" s="1">
        <v>44624</v>
      </c>
      <c r="B544">
        <v>1055.6400000000001</v>
      </c>
    </row>
    <row r="545" spans="1:2" x14ac:dyDescent="0.3">
      <c r="A545" s="1">
        <v>44627</v>
      </c>
      <c r="B545">
        <v>1016.6</v>
      </c>
    </row>
    <row r="546" spans="1:2" x14ac:dyDescent="0.3">
      <c r="A546" s="1">
        <v>44628</v>
      </c>
      <c r="B546">
        <v>1014.76</v>
      </c>
    </row>
    <row r="547" spans="1:2" x14ac:dyDescent="0.3">
      <c r="A547" s="1">
        <v>44629</v>
      </c>
      <c r="B547">
        <v>1068.5999999999999</v>
      </c>
    </row>
    <row r="548" spans="1:2" x14ac:dyDescent="0.3">
      <c r="A548" s="1">
        <v>44630</v>
      </c>
      <c r="B548">
        <v>1085.9100000000001</v>
      </c>
    </row>
    <row r="549" spans="1:2" x14ac:dyDescent="0.3">
      <c r="A549" s="1">
        <v>44631</v>
      </c>
      <c r="B549">
        <v>1089.04</v>
      </c>
    </row>
    <row r="550" spans="1:2" x14ac:dyDescent="0.3">
      <c r="A550" s="1">
        <v>44634</v>
      </c>
      <c r="B550">
        <v>1097.99</v>
      </c>
    </row>
    <row r="551" spans="1:2" x14ac:dyDescent="0.3">
      <c r="A551" s="1">
        <v>44635</v>
      </c>
      <c r="B551">
        <v>1072.8399999999999</v>
      </c>
    </row>
    <row r="552" spans="1:2" x14ac:dyDescent="0.3">
      <c r="A552" s="1">
        <v>44636</v>
      </c>
      <c r="B552">
        <v>1090.95</v>
      </c>
    </row>
    <row r="553" spans="1:2" x14ac:dyDescent="0.3">
      <c r="A553" s="1">
        <v>44637</v>
      </c>
      <c r="B553">
        <v>1126.52</v>
      </c>
    </row>
    <row r="554" spans="1:2" x14ac:dyDescent="0.3">
      <c r="A554" s="1">
        <v>44641</v>
      </c>
      <c r="B554">
        <v>1120.03</v>
      </c>
    </row>
    <row r="555" spans="1:2" x14ac:dyDescent="0.3">
      <c r="A555" s="1">
        <v>44642</v>
      </c>
      <c r="B555">
        <v>1148.96</v>
      </c>
    </row>
    <row r="556" spans="1:2" x14ac:dyDescent="0.3">
      <c r="A556" s="1">
        <v>44643</v>
      </c>
      <c r="B556">
        <v>1152.6199999999999</v>
      </c>
    </row>
    <row r="557" spans="1:2" x14ac:dyDescent="0.3">
      <c r="A557" s="1">
        <v>44644</v>
      </c>
      <c r="B557">
        <v>1170.53</v>
      </c>
    </row>
    <row r="558" spans="1:2" x14ac:dyDescent="0.3">
      <c r="A558" s="1">
        <v>44645</v>
      </c>
      <c r="B558">
        <v>1178.33</v>
      </c>
    </row>
    <row r="559" spans="1:2" x14ac:dyDescent="0.3">
      <c r="A559" s="1">
        <v>44648</v>
      </c>
      <c r="B559">
        <v>1190.18</v>
      </c>
    </row>
    <row r="560" spans="1:2" x14ac:dyDescent="0.3">
      <c r="A560" s="1">
        <v>44649</v>
      </c>
      <c r="B560">
        <v>1190.45</v>
      </c>
    </row>
    <row r="561" spans="1:2" x14ac:dyDescent="0.3">
      <c r="A561" s="1">
        <v>44650</v>
      </c>
      <c r="B561">
        <v>1213.33</v>
      </c>
    </row>
    <row r="562" spans="1:2" x14ac:dyDescent="0.3">
      <c r="A562" s="1">
        <v>44651</v>
      </c>
      <c r="B562">
        <v>1195.99</v>
      </c>
    </row>
    <row r="563" spans="1:2" x14ac:dyDescent="0.3">
      <c r="A563" s="1">
        <v>44652</v>
      </c>
      <c r="B563">
        <v>1205.57</v>
      </c>
    </row>
    <row r="564" spans="1:2" x14ac:dyDescent="0.3">
      <c r="A564" s="1">
        <v>44655</v>
      </c>
      <c r="B564">
        <v>1209.1300000000001</v>
      </c>
    </row>
    <row r="565" spans="1:2" x14ac:dyDescent="0.3">
      <c r="A565" s="1">
        <v>44656</v>
      </c>
      <c r="B565">
        <v>1192.04</v>
      </c>
    </row>
    <row r="566" spans="1:2" x14ac:dyDescent="0.3">
      <c r="A566" s="1">
        <v>44657</v>
      </c>
      <c r="B566">
        <v>1188.8599999999999</v>
      </c>
    </row>
    <row r="567" spans="1:2" x14ac:dyDescent="0.3">
      <c r="A567" s="1">
        <v>44658</v>
      </c>
      <c r="B567">
        <v>1167.8900000000001</v>
      </c>
    </row>
    <row r="568" spans="1:2" x14ac:dyDescent="0.3">
      <c r="A568" s="1">
        <v>44659</v>
      </c>
      <c r="B568">
        <v>1187.32</v>
      </c>
    </row>
    <row r="569" spans="1:2" x14ac:dyDescent="0.3">
      <c r="A569" s="1">
        <v>44662</v>
      </c>
      <c r="B569">
        <v>1184.8499999999999</v>
      </c>
    </row>
    <row r="570" spans="1:2" x14ac:dyDescent="0.3">
      <c r="A570" s="1">
        <v>44663</v>
      </c>
      <c r="B570">
        <v>1162.54</v>
      </c>
    </row>
    <row r="571" spans="1:2" x14ac:dyDescent="0.3">
      <c r="A571" s="1">
        <v>44664</v>
      </c>
      <c r="B571">
        <v>1158.27</v>
      </c>
    </row>
    <row r="572" spans="1:2" x14ac:dyDescent="0.3">
      <c r="A572" s="1">
        <v>44669</v>
      </c>
      <c r="B572">
        <v>1154.73</v>
      </c>
    </row>
    <row r="573" spans="1:2" x14ac:dyDescent="0.3">
      <c r="A573" s="1">
        <v>44670</v>
      </c>
      <c r="B573">
        <v>1198.74</v>
      </c>
    </row>
    <row r="574" spans="1:2" x14ac:dyDescent="0.3">
      <c r="A574" s="1">
        <v>44671</v>
      </c>
      <c r="B574">
        <v>1233.98</v>
      </c>
    </row>
    <row r="575" spans="1:2" x14ac:dyDescent="0.3">
      <c r="A575" s="1">
        <v>44672</v>
      </c>
      <c r="B575">
        <v>1262.8800000000001</v>
      </c>
    </row>
    <row r="576" spans="1:2" x14ac:dyDescent="0.3">
      <c r="A576" s="1">
        <v>44673</v>
      </c>
      <c r="B576">
        <v>1252.3</v>
      </c>
    </row>
    <row r="577" spans="1:2" x14ac:dyDescent="0.3">
      <c r="A577" s="1">
        <v>44676</v>
      </c>
      <c r="B577">
        <v>1223.3399999999999</v>
      </c>
    </row>
    <row r="578" spans="1:2" x14ac:dyDescent="0.3">
      <c r="A578" s="1">
        <v>44677</v>
      </c>
      <c r="B578">
        <v>1259.95</v>
      </c>
    </row>
    <row r="579" spans="1:2" x14ac:dyDescent="0.3">
      <c r="A579" s="1">
        <v>44678</v>
      </c>
      <c r="B579">
        <v>1261.18</v>
      </c>
    </row>
    <row r="580" spans="1:2" x14ac:dyDescent="0.3">
      <c r="A580" s="1">
        <v>44679</v>
      </c>
      <c r="B580">
        <v>1280.01</v>
      </c>
    </row>
    <row r="581" spans="1:2" x14ac:dyDescent="0.3">
      <c r="A581" s="1">
        <v>44680</v>
      </c>
      <c r="B581">
        <v>1266.58</v>
      </c>
    </row>
    <row r="582" spans="1:2" x14ac:dyDescent="0.3">
      <c r="A582" s="1">
        <v>44683</v>
      </c>
      <c r="B582">
        <v>1262.1300000000001</v>
      </c>
    </row>
    <row r="583" spans="1:2" x14ac:dyDescent="0.3">
      <c r="A583" s="1">
        <v>44685</v>
      </c>
      <c r="B583">
        <v>1222.73</v>
      </c>
    </row>
    <row r="584" spans="1:2" x14ac:dyDescent="0.3">
      <c r="A584" s="1">
        <v>44686</v>
      </c>
      <c r="B584">
        <v>1198.78</v>
      </c>
    </row>
    <row r="585" spans="1:2" x14ac:dyDescent="0.3">
      <c r="A585" s="1">
        <v>44687</v>
      </c>
      <c r="B585">
        <v>1189.5899999999999</v>
      </c>
    </row>
    <row r="586" spans="1:2" x14ac:dyDescent="0.3">
      <c r="A586" s="1">
        <v>44690</v>
      </c>
      <c r="B586">
        <v>1143.1300000000001</v>
      </c>
    </row>
    <row r="587" spans="1:2" x14ac:dyDescent="0.3">
      <c r="A587" s="1">
        <v>44691</v>
      </c>
      <c r="B587">
        <v>1123.32</v>
      </c>
    </row>
    <row r="588" spans="1:2" x14ac:dyDescent="0.3">
      <c r="A588" s="1">
        <v>44692</v>
      </c>
      <c r="B588">
        <v>1111.81</v>
      </c>
    </row>
    <row r="589" spans="1:2" x14ac:dyDescent="0.3">
      <c r="A589" s="1">
        <v>44693</v>
      </c>
      <c r="B589">
        <v>1089.1600000000001</v>
      </c>
    </row>
    <row r="590" spans="1:2" x14ac:dyDescent="0.3">
      <c r="A590" s="1">
        <v>44694</v>
      </c>
      <c r="B590">
        <v>1101.51</v>
      </c>
    </row>
    <row r="591" spans="1:2" x14ac:dyDescent="0.3">
      <c r="A591" s="1">
        <v>44697</v>
      </c>
      <c r="B591">
        <v>1101.78</v>
      </c>
    </row>
    <row r="592" spans="1:2" x14ac:dyDescent="0.3">
      <c r="A592" s="1">
        <v>44698</v>
      </c>
      <c r="B592">
        <v>1148.06</v>
      </c>
    </row>
    <row r="593" spans="1:2" x14ac:dyDescent="0.3">
      <c r="A593" s="1">
        <v>44699</v>
      </c>
      <c r="B593">
        <v>1152.23</v>
      </c>
    </row>
    <row r="594" spans="1:2" x14ac:dyDescent="0.3">
      <c r="A594" s="1">
        <v>44700</v>
      </c>
      <c r="B594">
        <v>1125.68</v>
      </c>
    </row>
    <row r="595" spans="1:2" x14ac:dyDescent="0.3">
      <c r="A595" s="1">
        <v>44701</v>
      </c>
      <c r="B595">
        <v>1191.32</v>
      </c>
    </row>
    <row r="596" spans="1:2" x14ac:dyDescent="0.3">
      <c r="A596" s="1">
        <v>44704</v>
      </c>
      <c r="B596">
        <v>1183.3499999999999</v>
      </c>
    </row>
    <row r="597" spans="1:2" x14ac:dyDescent="0.3">
      <c r="A597" s="1">
        <v>44705</v>
      </c>
      <c r="B597">
        <v>1187.4100000000001</v>
      </c>
    </row>
    <row r="598" spans="1:2" x14ac:dyDescent="0.3">
      <c r="A598" s="1">
        <v>44706</v>
      </c>
      <c r="B598">
        <v>1185.6600000000001</v>
      </c>
    </row>
    <row r="599" spans="1:2" x14ac:dyDescent="0.3">
      <c r="A599" s="1">
        <v>44707</v>
      </c>
      <c r="B599">
        <v>1174.3599999999999</v>
      </c>
    </row>
    <row r="600" spans="1:2" x14ac:dyDescent="0.3">
      <c r="A600" s="1">
        <v>44708</v>
      </c>
      <c r="B600">
        <v>1168.9100000000001</v>
      </c>
    </row>
    <row r="601" spans="1:2" x14ac:dyDescent="0.3">
      <c r="A601" s="1">
        <v>44711</v>
      </c>
      <c r="B601">
        <v>1209.6300000000001</v>
      </c>
    </row>
    <row r="602" spans="1:2" x14ac:dyDescent="0.3">
      <c r="A602" s="1">
        <v>44712</v>
      </c>
      <c r="B602">
        <v>1195.04</v>
      </c>
    </row>
    <row r="603" spans="1:2" x14ac:dyDescent="0.3">
      <c r="A603" s="1">
        <v>44713</v>
      </c>
      <c r="B603">
        <v>1195.42</v>
      </c>
    </row>
    <row r="604" spans="1:2" x14ac:dyDescent="0.3">
      <c r="A604" s="1">
        <v>44714</v>
      </c>
      <c r="B604">
        <v>1236.6400000000001</v>
      </c>
    </row>
    <row r="605" spans="1:2" x14ac:dyDescent="0.3">
      <c r="A605" s="1">
        <v>44715</v>
      </c>
      <c r="B605">
        <v>1261.7</v>
      </c>
    </row>
    <row r="606" spans="1:2" x14ac:dyDescent="0.3">
      <c r="A606" s="1">
        <v>44718</v>
      </c>
      <c r="B606">
        <v>1256.27</v>
      </c>
    </row>
    <row r="607" spans="1:2" x14ac:dyDescent="0.3">
      <c r="A607" s="1">
        <v>44719</v>
      </c>
      <c r="B607">
        <v>1258.6300000000001</v>
      </c>
    </row>
    <row r="608" spans="1:2" x14ac:dyDescent="0.3">
      <c r="A608" s="1">
        <v>44720</v>
      </c>
      <c r="B608">
        <v>1236.53</v>
      </c>
    </row>
    <row r="609" spans="1:2" x14ac:dyDescent="0.3">
      <c r="A609" s="1">
        <v>44721</v>
      </c>
      <c r="B609">
        <v>1270.44</v>
      </c>
    </row>
    <row r="610" spans="1:2" x14ac:dyDescent="0.3">
      <c r="A610" s="1">
        <v>44722</v>
      </c>
      <c r="B610">
        <v>1232.08</v>
      </c>
    </row>
    <row r="611" spans="1:2" x14ac:dyDescent="0.3">
      <c r="A611" s="1">
        <v>44725</v>
      </c>
      <c r="B611">
        <v>1208.77</v>
      </c>
    </row>
    <row r="612" spans="1:2" x14ac:dyDescent="0.3">
      <c r="A612" s="1">
        <v>44726</v>
      </c>
      <c r="B612">
        <v>1192.97</v>
      </c>
    </row>
    <row r="613" spans="1:2" x14ac:dyDescent="0.3">
      <c r="A613" s="1">
        <v>44727</v>
      </c>
      <c r="B613">
        <v>1178.54</v>
      </c>
    </row>
    <row r="614" spans="1:2" x14ac:dyDescent="0.3">
      <c r="A614" s="1">
        <v>44728</v>
      </c>
      <c r="B614">
        <v>1162.06</v>
      </c>
    </row>
    <row r="615" spans="1:2" x14ac:dyDescent="0.3">
      <c r="A615" s="1">
        <v>44729</v>
      </c>
      <c r="B615">
        <v>1175.68</v>
      </c>
    </row>
    <row r="616" spans="1:2" x14ac:dyDescent="0.3">
      <c r="A616" s="1">
        <v>44732</v>
      </c>
      <c r="B616">
        <v>1154.3699999999999</v>
      </c>
    </row>
    <row r="617" spans="1:2" x14ac:dyDescent="0.3">
      <c r="A617" s="1">
        <v>44733</v>
      </c>
      <c r="B617">
        <v>1173</v>
      </c>
    </row>
    <row r="618" spans="1:2" x14ac:dyDescent="0.3">
      <c r="A618" s="1">
        <v>44734</v>
      </c>
      <c r="B618">
        <v>1137.3699999999999</v>
      </c>
    </row>
    <row r="619" spans="1:2" x14ac:dyDescent="0.3">
      <c r="A619" s="1">
        <v>44735</v>
      </c>
      <c r="B619">
        <v>1118.9100000000001</v>
      </c>
    </row>
    <row r="620" spans="1:2" x14ac:dyDescent="0.3">
      <c r="A620" s="1">
        <v>44736</v>
      </c>
      <c r="B620">
        <v>1134.8499999999999</v>
      </c>
    </row>
    <row r="621" spans="1:2" x14ac:dyDescent="0.3">
      <c r="A621" s="1">
        <v>44739</v>
      </c>
      <c r="B621">
        <v>1131.49</v>
      </c>
    </row>
    <row r="622" spans="1:2" x14ac:dyDescent="0.3">
      <c r="A622" s="1">
        <v>44740</v>
      </c>
      <c r="B622">
        <v>1147.4000000000001</v>
      </c>
    </row>
    <row r="623" spans="1:2" x14ac:dyDescent="0.3">
      <c r="A623" s="1">
        <v>44741</v>
      </c>
      <c r="B623">
        <v>1171.21</v>
      </c>
    </row>
    <row r="624" spans="1:2" x14ac:dyDescent="0.3">
      <c r="A624" s="1">
        <v>44742</v>
      </c>
      <c r="B624">
        <v>1178.24</v>
      </c>
    </row>
    <row r="625" spans="1:2" x14ac:dyDescent="0.3">
      <c r="A625" s="1">
        <v>44743</v>
      </c>
      <c r="B625">
        <v>1093.3800000000001</v>
      </c>
    </row>
    <row r="626" spans="1:2" x14ac:dyDescent="0.3">
      <c r="A626" s="1">
        <v>44746</v>
      </c>
      <c r="B626">
        <v>1095.6500000000001</v>
      </c>
    </row>
    <row r="627" spans="1:2" x14ac:dyDescent="0.3">
      <c r="A627" s="1">
        <v>44747</v>
      </c>
      <c r="B627">
        <v>1104.52</v>
      </c>
    </row>
    <row r="628" spans="1:2" x14ac:dyDescent="0.3">
      <c r="A628" s="1">
        <v>44748</v>
      </c>
      <c r="B628">
        <v>1094.81</v>
      </c>
    </row>
    <row r="629" spans="1:2" x14ac:dyDescent="0.3">
      <c r="A629" s="1">
        <v>44749</v>
      </c>
      <c r="B629">
        <v>1084.03</v>
      </c>
    </row>
    <row r="630" spans="1:2" x14ac:dyDescent="0.3">
      <c r="A630" s="1">
        <v>44750</v>
      </c>
      <c r="B630">
        <v>1085.53</v>
      </c>
    </row>
    <row r="631" spans="1:2" x14ac:dyDescent="0.3">
      <c r="A631" s="1">
        <v>44753</v>
      </c>
      <c r="B631">
        <v>1100.28</v>
      </c>
    </row>
    <row r="632" spans="1:2" x14ac:dyDescent="0.3">
      <c r="A632" s="1">
        <v>44754</v>
      </c>
      <c r="B632">
        <v>1098.71</v>
      </c>
    </row>
    <row r="633" spans="1:2" x14ac:dyDescent="0.3">
      <c r="A633" s="1">
        <v>44755</v>
      </c>
      <c r="B633">
        <v>1079.24</v>
      </c>
    </row>
    <row r="634" spans="1:2" x14ac:dyDescent="0.3">
      <c r="A634" s="1">
        <v>44756</v>
      </c>
      <c r="B634">
        <v>1088.1400000000001</v>
      </c>
    </row>
    <row r="635" spans="1:2" x14ac:dyDescent="0.3">
      <c r="A635" s="1">
        <v>44757</v>
      </c>
      <c r="B635">
        <v>1090.25</v>
      </c>
    </row>
    <row r="636" spans="1:2" x14ac:dyDescent="0.3">
      <c r="A636" s="1">
        <v>44760</v>
      </c>
      <c r="B636">
        <v>1099.53</v>
      </c>
    </row>
    <row r="637" spans="1:2" x14ac:dyDescent="0.3">
      <c r="A637" s="1">
        <v>44761</v>
      </c>
      <c r="B637">
        <v>1106.27</v>
      </c>
    </row>
    <row r="638" spans="1:2" x14ac:dyDescent="0.3">
      <c r="A638" s="1">
        <v>44762</v>
      </c>
      <c r="B638">
        <v>1136.19</v>
      </c>
    </row>
    <row r="639" spans="1:2" x14ac:dyDescent="0.3">
      <c r="A639" s="1">
        <v>44763</v>
      </c>
      <c r="B639">
        <v>1128.5999999999999</v>
      </c>
    </row>
    <row r="640" spans="1:2" x14ac:dyDescent="0.3">
      <c r="A640" s="1">
        <v>44764</v>
      </c>
      <c r="B640">
        <v>1136.23</v>
      </c>
    </row>
    <row r="641" spans="1:2" x14ac:dyDescent="0.3">
      <c r="A641" s="1">
        <v>44767</v>
      </c>
      <c r="B641">
        <v>1098.69</v>
      </c>
    </row>
    <row r="642" spans="1:2" x14ac:dyDescent="0.3">
      <c r="A642" s="1">
        <v>44768</v>
      </c>
      <c r="B642">
        <v>1099.19</v>
      </c>
    </row>
    <row r="643" spans="1:2" x14ac:dyDescent="0.3">
      <c r="A643" s="1">
        <v>44769</v>
      </c>
      <c r="B643">
        <v>1098.1500000000001</v>
      </c>
    </row>
    <row r="644" spans="1:2" x14ac:dyDescent="0.3">
      <c r="A644" s="1">
        <v>44770</v>
      </c>
      <c r="B644">
        <v>1115.3499999999999</v>
      </c>
    </row>
    <row r="645" spans="1:2" x14ac:dyDescent="0.3">
      <c r="A645" s="1">
        <v>44771</v>
      </c>
      <c r="B645">
        <v>1139.1099999999999</v>
      </c>
    </row>
    <row r="646" spans="1:2" x14ac:dyDescent="0.3">
      <c r="A646" s="1">
        <v>44774</v>
      </c>
      <c r="B646">
        <v>1168.8</v>
      </c>
    </row>
    <row r="647" spans="1:2" x14ac:dyDescent="0.3">
      <c r="A647" s="1">
        <v>44775</v>
      </c>
      <c r="B647">
        <v>1173.25</v>
      </c>
    </row>
    <row r="648" spans="1:2" x14ac:dyDescent="0.3">
      <c r="A648" s="1">
        <v>44776</v>
      </c>
      <c r="B648">
        <v>1183.0999999999999</v>
      </c>
    </row>
    <row r="649" spans="1:2" x14ac:dyDescent="0.3">
      <c r="A649" s="1">
        <v>44777</v>
      </c>
      <c r="B649">
        <v>1167.46</v>
      </c>
    </row>
    <row r="650" spans="1:2" x14ac:dyDescent="0.3">
      <c r="A650" s="1">
        <v>44778</v>
      </c>
      <c r="B650">
        <v>1150.26</v>
      </c>
    </row>
    <row r="651" spans="1:2" x14ac:dyDescent="0.3">
      <c r="A651" s="1">
        <v>44781</v>
      </c>
      <c r="B651">
        <v>1165.31</v>
      </c>
    </row>
    <row r="652" spans="1:2" x14ac:dyDescent="0.3">
      <c r="A652" s="1">
        <v>44783</v>
      </c>
      <c r="B652">
        <v>1172.27</v>
      </c>
    </row>
    <row r="653" spans="1:2" x14ac:dyDescent="0.3">
      <c r="A653" s="1">
        <v>44784</v>
      </c>
      <c r="B653">
        <v>1176.18</v>
      </c>
    </row>
    <row r="654" spans="1:2" x14ac:dyDescent="0.3">
      <c r="A654" s="1">
        <v>44785</v>
      </c>
      <c r="B654">
        <v>1195.2</v>
      </c>
    </row>
    <row r="655" spans="1:2" x14ac:dyDescent="0.3">
      <c r="A655" s="1">
        <v>44789</v>
      </c>
      <c r="B655">
        <v>1203.5</v>
      </c>
    </row>
    <row r="656" spans="1:2" x14ac:dyDescent="0.3">
      <c r="A656" s="1">
        <v>44790</v>
      </c>
      <c r="B656">
        <v>1209.79</v>
      </c>
    </row>
    <row r="657" spans="1:2" x14ac:dyDescent="0.3">
      <c r="A657" s="1">
        <v>44791</v>
      </c>
      <c r="B657">
        <v>1208.04</v>
      </c>
    </row>
    <row r="658" spans="1:2" x14ac:dyDescent="0.3">
      <c r="A658" s="1">
        <v>44792</v>
      </c>
      <c r="B658">
        <v>1186.5</v>
      </c>
    </row>
    <row r="659" spans="1:2" x14ac:dyDescent="0.3">
      <c r="A659" s="1">
        <v>44795</v>
      </c>
      <c r="B659">
        <v>1183.21</v>
      </c>
    </row>
    <row r="660" spans="1:2" x14ac:dyDescent="0.3">
      <c r="A660" s="1">
        <v>44796</v>
      </c>
      <c r="B660">
        <v>1201.46</v>
      </c>
    </row>
    <row r="661" spans="1:2" x14ac:dyDescent="0.3">
      <c r="A661" s="1">
        <v>44797</v>
      </c>
      <c r="B661">
        <v>1198.26</v>
      </c>
    </row>
    <row r="662" spans="1:2" x14ac:dyDescent="0.3">
      <c r="A662" s="1">
        <v>44798</v>
      </c>
      <c r="B662">
        <v>1194.77</v>
      </c>
    </row>
    <row r="663" spans="1:2" x14ac:dyDescent="0.3">
      <c r="A663" s="1">
        <v>44799</v>
      </c>
      <c r="B663">
        <v>1188.3900000000001</v>
      </c>
    </row>
    <row r="664" spans="1:2" x14ac:dyDescent="0.3">
      <c r="A664" s="1">
        <v>44802</v>
      </c>
      <c r="B664">
        <v>1179.1500000000001</v>
      </c>
    </row>
    <row r="665" spans="1:2" x14ac:dyDescent="0.3">
      <c r="A665" s="1">
        <v>44803</v>
      </c>
      <c r="B665">
        <v>1197.44</v>
      </c>
    </row>
    <row r="666" spans="1:2" x14ac:dyDescent="0.3">
      <c r="A666" s="1">
        <v>44805</v>
      </c>
      <c r="B666">
        <v>1162.24</v>
      </c>
    </row>
    <row r="667" spans="1:2" x14ac:dyDescent="0.3">
      <c r="A667" s="1">
        <v>44806</v>
      </c>
      <c r="B667">
        <v>1148.67</v>
      </c>
    </row>
    <row r="668" spans="1:2" x14ac:dyDescent="0.3">
      <c r="A668" s="1">
        <v>44809</v>
      </c>
      <c r="B668">
        <v>1166.51</v>
      </c>
    </row>
    <row r="669" spans="1:2" x14ac:dyDescent="0.3">
      <c r="A669" s="1">
        <v>44810</v>
      </c>
      <c r="B669">
        <v>1178.79</v>
      </c>
    </row>
    <row r="670" spans="1:2" x14ac:dyDescent="0.3">
      <c r="A670" s="1">
        <v>44811</v>
      </c>
      <c r="B670">
        <v>1171.93</v>
      </c>
    </row>
    <row r="671" spans="1:2" x14ac:dyDescent="0.3">
      <c r="A671" s="1">
        <v>44812</v>
      </c>
      <c r="B671">
        <v>1173.5899999999999</v>
      </c>
    </row>
    <row r="672" spans="1:2" x14ac:dyDescent="0.3">
      <c r="A672" s="1">
        <v>44813</v>
      </c>
      <c r="B672">
        <v>1166.28</v>
      </c>
    </row>
    <row r="673" spans="1:2" x14ac:dyDescent="0.3">
      <c r="A673" s="1">
        <v>44816</v>
      </c>
      <c r="B673">
        <v>1179.33</v>
      </c>
    </row>
    <row r="674" spans="1:2" x14ac:dyDescent="0.3">
      <c r="A674" s="1">
        <v>44817</v>
      </c>
      <c r="B674">
        <v>1189.18</v>
      </c>
    </row>
    <row r="675" spans="1:2" x14ac:dyDescent="0.3">
      <c r="A675" s="1">
        <v>44818</v>
      </c>
      <c r="B675">
        <v>1174.93</v>
      </c>
    </row>
    <row r="676" spans="1:2" x14ac:dyDescent="0.3">
      <c r="A676" s="1">
        <v>44819</v>
      </c>
      <c r="B676">
        <v>1163.29</v>
      </c>
    </row>
    <row r="677" spans="1:2" x14ac:dyDescent="0.3">
      <c r="A677" s="1">
        <v>44820</v>
      </c>
      <c r="B677">
        <v>1134.46</v>
      </c>
    </row>
    <row r="678" spans="1:2" x14ac:dyDescent="0.3">
      <c r="A678" s="1">
        <v>44823</v>
      </c>
      <c r="B678">
        <v>1135.94</v>
      </c>
    </row>
    <row r="679" spans="1:2" x14ac:dyDescent="0.3">
      <c r="A679" s="1">
        <v>44824</v>
      </c>
      <c r="B679">
        <v>1136.1199999999999</v>
      </c>
    </row>
    <row r="680" spans="1:2" x14ac:dyDescent="0.3">
      <c r="A680" s="1">
        <v>44825</v>
      </c>
      <c r="B680">
        <v>1139.25</v>
      </c>
    </row>
    <row r="681" spans="1:2" x14ac:dyDescent="0.3">
      <c r="A681" s="1">
        <v>44826</v>
      </c>
      <c r="B681">
        <v>1128.51</v>
      </c>
    </row>
    <row r="682" spans="1:2" x14ac:dyDescent="0.3">
      <c r="A682" s="1">
        <v>44827</v>
      </c>
      <c r="B682">
        <v>1107.3599999999999</v>
      </c>
    </row>
    <row r="683" spans="1:2" x14ac:dyDescent="0.3">
      <c r="A683" s="1">
        <v>44830</v>
      </c>
      <c r="B683">
        <v>1079.1500000000001</v>
      </c>
    </row>
    <row r="684" spans="1:2" x14ac:dyDescent="0.3">
      <c r="A684" s="1">
        <v>44831</v>
      </c>
      <c r="B684">
        <v>1087.73</v>
      </c>
    </row>
    <row r="685" spans="1:2" x14ac:dyDescent="0.3">
      <c r="A685" s="1">
        <v>44832</v>
      </c>
      <c r="B685">
        <v>1058.77</v>
      </c>
    </row>
    <row r="686" spans="1:2" x14ac:dyDescent="0.3">
      <c r="A686" s="1">
        <v>44833</v>
      </c>
      <c r="B686">
        <v>1055.52</v>
      </c>
    </row>
    <row r="687" spans="1:2" x14ac:dyDescent="0.3">
      <c r="A687" s="1">
        <v>44834</v>
      </c>
      <c r="B687">
        <v>1079.33</v>
      </c>
    </row>
    <row r="688" spans="1:2" x14ac:dyDescent="0.3">
      <c r="A688" s="1">
        <v>44837</v>
      </c>
      <c r="B688">
        <v>1075.5899999999999</v>
      </c>
    </row>
    <row r="689" spans="1:2" x14ac:dyDescent="0.3">
      <c r="A689" s="1">
        <v>44838</v>
      </c>
      <c r="B689">
        <v>1095.42</v>
      </c>
    </row>
    <row r="690" spans="1:2" x14ac:dyDescent="0.3">
      <c r="A690" s="1">
        <v>44840</v>
      </c>
      <c r="B690">
        <v>1099.46</v>
      </c>
    </row>
    <row r="691" spans="1:2" x14ac:dyDescent="0.3">
      <c r="A691" s="1">
        <v>44841</v>
      </c>
      <c r="B691">
        <v>1104.1199999999999</v>
      </c>
    </row>
    <row r="692" spans="1:2" x14ac:dyDescent="0.3">
      <c r="A692" s="1">
        <v>44844</v>
      </c>
      <c r="B692">
        <v>1092.06</v>
      </c>
    </row>
    <row r="693" spans="1:2" x14ac:dyDescent="0.3">
      <c r="A693" s="1">
        <v>44845</v>
      </c>
      <c r="B693">
        <v>1070.32</v>
      </c>
    </row>
    <row r="694" spans="1:2" x14ac:dyDescent="0.3">
      <c r="A694" s="1">
        <v>44846</v>
      </c>
      <c r="B694">
        <v>1078.2</v>
      </c>
    </row>
    <row r="695" spans="1:2" x14ac:dyDescent="0.3">
      <c r="A695" s="1">
        <v>44847</v>
      </c>
      <c r="B695">
        <v>1081.6199999999999</v>
      </c>
    </row>
    <row r="696" spans="1:2" x14ac:dyDescent="0.3">
      <c r="A696" s="1">
        <v>44848</v>
      </c>
      <c r="B696">
        <v>1076.1300000000001</v>
      </c>
    </row>
    <row r="697" spans="1:2" x14ac:dyDescent="0.3">
      <c r="A697" s="1">
        <v>44851</v>
      </c>
      <c r="B697">
        <v>1093.4000000000001</v>
      </c>
    </row>
    <row r="698" spans="1:2" x14ac:dyDescent="0.3">
      <c r="A698" s="1">
        <v>44852</v>
      </c>
      <c r="B698">
        <v>1112.69</v>
      </c>
    </row>
    <row r="699" spans="1:2" x14ac:dyDescent="0.3">
      <c r="A699" s="1">
        <v>44853</v>
      </c>
      <c r="B699">
        <v>1132.05</v>
      </c>
    </row>
    <row r="700" spans="1:2" x14ac:dyDescent="0.3">
      <c r="A700" s="1">
        <v>44854</v>
      </c>
      <c r="B700">
        <v>1135.0999999999999</v>
      </c>
    </row>
    <row r="701" spans="1:2" x14ac:dyDescent="0.3">
      <c r="A701" s="1">
        <v>44855</v>
      </c>
      <c r="B701">
        <v>1121.93</v>
      </c>
    </row>
    <row r="702" spans="1:2" x14ac:dyDescent="0.3">
      <c r="A702" s="1">
        <v>44858</v>
      </c>
      <c r="B702">
        <v>1125.68</v>
      </c>
    </row>
    <row r="703" spans="1:2" x14ac:dyDescent="0.3">
      <c r="A703" s="1">
        <v>44859</v>
      </c>
      <c r="B703">
        <v>1108.29</v>
      </c>
    </row>
    <row r="704" spans="1:2" x14ac:dyDescent="0.3">
      <c r="A704" s="1">
        <v>44861</v>
      </c>
      <c r="B704">
        <v>1112.6500000000001</v>
      </c>
    </row>
    <row r="705" spans="1:2" x14ac:dyDescent="0.3">
      <c r="A705" s="1">
        <v>44862</v>
      </c>
      <c r="B705">
        <v>1146.69</v>
      </c>
    </row>
    <row r="706" spans="1:2" x14ac:dyDescent="0.3">
      <c r="A706" s="1">
        <v>44865</v>
      </c>
      <c r="B706">
        <v>1157.3399999999999</v>
      </c>
    </row>
    <row r="707" spans="1:2" x14ac:dyDescent="0.3">
      <c r="A707" s="1">
        <v>44866</v>
      </c>
      <c r="B707">
        <v>1148.3699999999999</v>
      </c>
    </row>
    <row r="708" spans="1:2" x14ac:dyDescent="0.3">
      <c r="A708" s="1">
        <v>44867</v>
      </c>
      <c r="B708">
        <v>1155.55</v>
      </c>
    </row>
    <row r="709" spans="1:2" x14ac:dyDescent="0.3">
      <c r="A709" s="1">
        <v>44868</v>
      </c>
      <c r="B709">
        <v>1159.8599999999999</v>
      </c>
    </row>
    <row r="710" spans="1:2" x14ac:dyDescent="0.3">
      <c r="A710" s="1">
        <v>44869</v>
      </c>
      <c r="B710">
        <v>1176.93</v>
      </c>
    </row>
    <row r="711" spans="1:2" x14ac:dyDescent="0.3">
      <c r="A711" s="1">
        <v>44872</v>
      </c>
      <c r="B711">
        <v>1183.21</v>
      </c>
    </row>
    <row r="712" spans="1:2" x14ac:dyDescent="0.3">
      <c r="A712" s="1">
        <v>44874</v>
      </c>
      <c r="B712">
        <v>1182.03</v>
      </c>
    </row>
    <row r="713" spans="1:2" x14ac:dyDescent="0.3">
      <c r="A713" s="1">
        <v>44875</v>
      </c>
      <c r="B713">
        <v>1167.73</v>
      </c>
    </row>
    <row r="714" spans="1:2" x14ac:dyDescent="0.3">
      <c r="A714" s="1">
        <v>44876</v>
      </c>
      <c r="B714">
        <v>1194.6500000000001</v>
      </c>
    </row>
    <row r="715" spans="1:2" x14ac:dyDescent="0.3">
      <c r="A715" s="1">
        <v>44879</v>
      </c>
      <c r="B715">
        <v>1188.8599999999999</v>
      </c>
    </row>
    <row r="716" spans="1:2" x14ac:dyDescent="0.3">
      <c r="A716" s="1">
        <v>44880</v>
      </c>
      <c r="B716">
        <v>1183.53</v>
      </c>
    </row>
    <row r="717" spans="1:2" x14ac:dyDescent="0.3">
      <c r="A717" s="1">
        <v>44881</v>
      </c>
      <c r="B717">
        <v>1176.74</v>
      </c>
    </row>
    <row r="718" spans="1:2" x14ac:dyDescent="0.3">
      <c r="A718" s="1">
        <v>44882</v>
      </c>
      <c r="B718">
        <v>1179.79</v>
      </c>
    </row>
    <row r="719" spans="1:2" x14ac:dyDescent="0.3">
      <c r="A719" s="1">
        <v>44883</v>
      </c>
      <c r="B719">
        <v>1179.1500000000001</v>
      </c>
    </row>
    <row r="720" spans="1:2" x14ac:dyDescent="0.3">
      <c r="A720" s="1">
        <v>44886</v>
      </c>
      <c r="B720">
        <v>1157.93</v>
      </c>
    </row>
    <row r="721" spans="1:2" x14ac:dyDescent="0.3">
      <c r="A721" s="1">
        <v>44887</v>
      </c>
      <c r="B721">
        <v>1164.3499999999999</v>
      </c>
    </row>
    <row r="722" spans="1:2" x14ac:dyDescent="0.3">
      <c r="A722" s="1">
        <v>44888</v>
      </c>
      <c r="B722">
        <v>1160.72</v>
      </c>
    </row>
    <row r="723" spans="1:2" x14ac:dyDescent="0.3">
      <c r="A723" s="1">
        <v>44889</v>
      </c>
      <c r="B723">
        <v>1170.73</v>
      </c>
    </row>
    <row r="724" spans="1:2" x14ac:dyDescent="0.3">
      <c r="A724" s="1">
        <v>44890</v>
      </c>
      <c r="B724">
        <v>1188.21</v>
      </c>
    </row>
    <row r="725" spans="1:2" x14ac:dyDescent="0.3">
      <c r="A725" s="1">
        <v>44893</v>
      </c>
      <c r="B725">
        <v>1229.04</v>
      </c>
    </row>
    <row r="726" spans="1:2" x14ac:dyDescent="0.3">
      <c r="A726" s="1">
        <v>44894</v>
      </c>
      <c r="B726">
        <v>1231.1500000000001</v>
      </c>
    </row>
    <row r="727" spans="1:2" x14ac:dyDescent="0.3">
      <c r="A727" s="1">
        <v>44895</v>
      </c>
      <c r="B727">
        <v>1239.8399999999999</v>
      </c>
    </row>
    <row r="728" spans="1:2" x14ac:dyDescent="0.3">
      <c r="A728" s="1">
        <v>44896</v>
      </c>
      <c r="B728">
        <v>1236.19</v>
      </c>
    </row>
    <row r="729" spans="1:2" x14ac:dyDescent="0.3">
      <c r="A729" s="1">
        <v>44897</v>
      </c>
      <c r="B729">
        <v>1235.6600000000001</v>
      </c>
    </row>
    <row r="730" spans="1:2" x14ac:dyDescent="0.3">
      <c r="A730" s="1">
        <v>44900</v>
      </c>
      <c r="B730">
        <v>1217.6400000000001</v>
      </c>
    </row>
    <row r="731" spans="1:2" x14ac:dyDescent="0.3">
      <c r="A731" s="1">
        <v>44901</v>
      </c>
      <c r="B731">
        <v>1221.1600000000001</v>
      </c>
    </row>
    <row r="732" spans="1:2" x14ac:dyDescent="0.3">
      <c r="A732" s="1">
        <v>44902</v>
      </c>
      <c r="B732">
        <v>1203.1400000000001</v>
      </c>
    </row>
    <row r="733" spans="1:2" x14ac:dyDescent="0.3">
      <c r="A733" s="1">
        <v>44903</v>
      </c>
      <c r="B733">
        <v>1202.57</v>
      </c>
    </row>
    <row r="734" spans="1:2" x14ac:dyDescent="0.3">
      <c r="A734" s="1">
        <v>44904</v>
      </c>
      <c r="B734">
        <v>1184.3499999999999</v>
      </c>
    </row>
    <row r="735" spans="1:2" x14ac:dyDescent="0.3">
      <c r="A735" s="1">
        <v>44907</v>
      </c>
      <c r="B735">
        <v>1186.1600000000001</v>
      </c>
    </row>
    <row r="736" spans="1:2" x14ac:dyDescent="0.3">
      <c r="A736" s="1">
        <v>44908</v>
      </c>
      <c r="B736">
        <v>1191.56</v>
      </c>
    </row>
    <row r="737" spans="1:2" x14ac:dyDescent="0.3">
      <c r="A737" s="1">
        <v>44909</v>
      </c>
      <c r="B737">
        <v>1187.25</v>
      </c>
    </row>
    <row r="738" spans="1:2" x14ac:dyDescent="0.3">
      <c r="A738" s="1">
        <v>44910</v>
      </c>
      <c r="B738">
        <v>1170.3900000000001</v>
      </c>
    </row>
    <row r="739" spans="1:2" x14ac:dyDescent="0.3">
      <c r="A739" s="1">
        <v>44911</v>
      </c>
      <c r="B739">
        <v>1164.5999999999999</v>
      </c>
    </row>
    <row r="740" spans="1:2" x14ac:dyDescent="0.3">
      <c r="A740" s="1">
        <v>44914</v>
      </c>
      <c r="B740">
        <v>1179.9000000000001</v>
      </c>
    </row>
    <row r="741" spans="1:2" x14ac:dyDescent="0.3">
      <c r="A741" s="1">
        <v>44915</v>
      </c>
      <c r="B741">
        <v>1190.1099999999999</v>
      </c>
    </row>
    <row r="742" spans="1:2" x14ac:dyDescent="0.3">
      <c r="A742" s="1">
        <v>44916</v>
      </c>
      <c r="B742">
        <v>1173.18</v>
      </c>
    </row>
    <row r="743" spans="1:2" x14ac:dyDescent="0.3">
      <c r="A743" s="1">
        <v>44917</v>
      </c>
      <c r="B743">
        <v>1170.1400000000001</v>
      </c>
    </row>
    <row r="744" spans="1:2" x14ac:dyDescent="0.3">
      <c r="A744" s="1">
        <v>44918</v>
      </c>
      <c r="B744">
        <v>1135.82</v>
      </c>
    </row>
    <row r="745" spans="1:2" x14ac:dyDescent="0.3">
      <c r="A745" s="1">
        <v>44921</v>
      </c>
      <c r="B745">
        <v>1145.74</v>
      </c>
    </row>
    <row r="746" spans="1:2" x14ac:dyDescent="0.3">
      <c r="A746" s="1">
        <v>44922</v>
      </c>
      <c r="B746">
        <v>1155.1099999999999</v>
      </c>
    </row>
    <row r="747" spans="1:2" x14ac:dyDescent="0.3">
      <c r="A747" s="1">
        <v>44923</v>
      </c>
      <c r="B747">
        <v>1155</v>
      </c>
    </row>
    <row r="748" spans="1:2" x14ac:dyDescent="0.3">
      <c r="A748" s="1">
        <v>44924</v>
      </c>
      <c r="B748">
        <v>1154.48</v>
      </c>
    </row>
    <row r="749" spans="1:2" x14ac:dyDescent="0.3">
      <c r="A749" s="1">
        <v>44925</v>
      </c>
      <c r="B749">
        <v>1156.25</v>
      </c>
    </row>
    <row r="750" spans="1:2" x14ac:dyDescent="0.3">
      <c r="A750" s="1">
        <v>44928</v>
      </c>
      <c r="B750">
        <v>1169.28</v>
      </c>
    </row>
    <row r="751" spans="1:2" x14ac:dyDescent="0.3">
      <c r="A751" s="1">
        <v>44929</v>
      </c>
      <c r="B751">
        <v>1160.72</v>
      </c>
    </row>
    <row r="752" spans="1:2" x14ac:dyDescent="0.3">
      <c r="A752" s="1">
        <v>44930</v>
      </c>
      <c r="B752">
        <v>1143.24</v>
      </c>
    </row>
    <row r="753" spans="1:2" x14ac:dyDescent="0.3">
      <c r="A753" s="1">
        <v>44931</v>
      </c>
      <c r="B753">
        <v>1141.2</v>
      </c>
    </row>
    <row r="754" spans="1:2" x14ac:dyDescent="0.3">
      <c r="A754" s="1">
        <v>44932</v>
      </c>
      <c r="B754">
        <v>1151.57</v>
      </c>
    </row>
    <row r="755" spans="1:2" x14ac:dyDescent="0.3">
      <c r="A755" s="1">
        <v>44935</v>
      </c>
      <c r="B755">
        <v>1178.76</v>
      </c>
    </row>
    <row r="756" spans="1:2" x14ac:dyDescent="0.3">
      <c r="A756" s="1">
        <v>44936</v>
      </c>
      <c r="B756">
        <v>1161.33</v>
      </c>
    </row>
    <row r="757" spans="1:2" x14ac:dyDescent="0.3">
      <c r="A757" s="1">
        <v>44937</v>
      </c>
      <c r="B757">
        <v>1146.69</v>
      </c>
    </row>
    <row r="758" spans="1:2" x14ac:dyDescent="0.3">
      <c r="A758" s="1">
        <v>44938</v>
      </c>
      <c r="B758">
        <v>1121.93</v>
      </c>
    </row>
    <row r="759" spans="1:2" x14ac:dyDescent="0.3">
      <c r="A759" s="1">
        <v>44939</v>
      </c>
      <c r="B759">
        <v>1120.1199999999999</v>
      </c>
    </row>
    <row r="760" spans="1:2" x14ac:dyDescent="0.3">
      <c r="A760" s="1">
        <v>44942</v>
      </c>
      <c r="B760">
        <v>1109.45</v>
      </c>
    </row>
    <row r="761" spans="1:2" x14ac:dyDescent="0.3">
      <c r="A761" s="1">
        <v>44943</v>
      </c>
      <c r="B761">
        <v>1125.2</v>
      </c>
    </row>
    <row r="762" spans="1:2" x14ac:dyDescent="0.3">
      <c r="A762" s="1">
        <v>44944</v>
      </c>
      <c r="B762">
        <v>1123.3399999999999</v>
      </c>
    </row>
    <row r="763" spans="1:2" x14ac:dyDescent="0.3">
      <c r="A763" s="1">
        <v>44945</v>
      </c>
      <c r="B763">
        <v>1122.1400000000001</v>
      </c>
    </row>
    <row r="764" spans="1:2" x14ac:dyDescent="0.3">
      <c r="A764" s="1">
        <v>44946</v>
      </c>
      <c r="B764">
        <v>1108.79</v>
      </c>
    </row>
    <row r="765" spans="1:2" x14ac:dyDescent="0.3">
      <c r="A765" s="1">
        <v>44949</v>
      </c>
      <c r="B765">
        <v>1103.18</v>
      </c>
    </row>
    <row r="766" spans="1:2" x14ac:dyDescent="0.3">
      <c r="A766" s="1">
        <v>44950</v>
      </c>
      <c r="B766">
        <v>1096.67</v>
      </c>
    </row>
    <row r="767" spans="1:2" x14ac:dyDescent="0.3">
      <c r="A767" s="1">
        <v>44951</v>
      </c>
      <c r="B767">
        <v>1081.51</v>
      </c>
    </row>
    <row r="768" spans="1:2" x14ac:dyDescent="0.3">
      <c r="A768" s="1">
        <v>44953</v>
      </c>
      <c r="B768">
        <v>1060.99</v>
      </c>
    </row>
    <row r="769" spans="1:2" x14ac:dyDescent="0.3">
      <c r="A769" s="1">
        <v>44956</v>
      </c>
      <c r="B769">
        <v>1071.1600000000001</v>
      </c>
    </row>
    <row r="770" spans="1:2" x14ac:dyDescent="0.3">
      <c r="A770" s="1">
        <v>44957</v>
      </c>
      <c r="B770">
        <v>1068.48</v>
      </c>
    </row>
    <row r="771" spans="1:2" x14ac:dyDescent="0.3">
      <c r="A771" s="1">
        <v>44958</v>
      </c>
      <c r="B771">
        <v>1062.1500000000001</v>
      </c>
    </row>
    <row r="772" spans="1:2" x14ac:dyDescent="0.3">
      <c r="A772" s="1">
        <v>44959</v>
      </c>
      <c r="B772">
        <v>1056.27</v>
      </c>
    </row>
    <row r="773" spans="1:2" x14ac:dyDescent="0.3">
      <c r="A773" s="1">
        <v>44960</v>
      </c>
      <c r="B773">
        <v>1057.2</v>
      </c>
    </row>
    <row r="774" spans="1:2" x14ac:dyDescent="0.3">
      <c r="A774" s="1">
        <v>44963</v>
      </c>
      <c r="B774">
        <v>1049.24</v>
      </c>
    </row>
    <row r="775" spans="1:2" x14ac:dyDescent="0.3">
      <c r="A775" s="1">
        <v>44964</v>
      </c>
      <c r="B775">
        <v>1046.72</v>
      </c>
    </row>
    <row r="776" spans="1:2" x14ac:dyDescent="0.3">
      <c r="A776" s="1">
        <v>44965</v>
      </c>
      <c r="B776">
        <v>1067.6199999999999</v>
      </c>
    </row>
    <row r="777" spans="1:2" x14ac:dyDescent="0.3">
      <c r="A777" s="1">
        <v>44966</v>
      </c>
      <c r="B777">
        <v>1069.48</v>
      </c>
    </row>
    <row r="778" spans="1:2" x14ac:dyDescent="0.3">
      <c r="A778" s="1">
        <v>44967</v>
      </c>
      <c r="B778">
        <v>1060.67</v>
      </c>
    </row>
    <row r="779" spans="1:2" x14ac:dyDescent="0.3">
      <c r="A779" s="1">
        <v>44970</v>
      </c>
      <c r="B779">
        <v>1054.6400000000001</v>
      </c>
    </row>
    <row r="780" spans="1:2" x14ac:dyDescent="0.3">
      <c r="A780" s="1">
        <v>44971</v>
      </c>
      <c r="B780">
        <v>1079.49</v>
      </c>
    </row>
    <row r="781" spans="1:2" x14ac:dyDescent="0.3">
      <c r="A781" s="1">
        <v>44972</v>
      </c>
      <c r="B781">
        <v>1103.93</v>
      </c>
    </row>
    <row r="782" spans="1:2" x14ac:dyDescent="0.3">
      <c r="A782" s="1">
        <v>44973</v>
      </c>
      <c r="B782">
        <v>1103.07</v>
      </c>
    </row>
    <row r="783" spans="1:2" x14ac:dyDescent="0.3">
      <c r="A783" s="1">
        <v>44974</v>
      </c>
      <c r="B783">
        <v>1107.68</v>
      </c>
    </row>
    <row r="784" spans="1:2" x14ac:dyDescent="0.3">
      <c r="A784" s="1">
        <v>44977</v>
      </c>
      <c r="B784">
        <v>1095.97</v>
      </c>
    </row>
    <row r="785" spans="1:2" x14ac:dyDescent="0.3">
      <c r="A785" s="1">
        <v>44978</v>
      </c>
      <c r="B785">
        <v>1104.9100000000001</v>
      </c>
    </row>
    <row r="786" spans="1:2" x14ac:dyDescent="0.3">
      <c r="A786" s="1">
        <v>44979</v>
      </c>
      <c r="B786">
        <v>1079.8499999999999</v>
      </c>
    </row>
    <row r="787" spans="1:2" x14ac:dyDescent="0.3">
      <c r="A787" s="1">
        <v>44980</v>
      </c>
      <c r="B787">
        <v>1074.68</v>
      </c>
    </row>
    <row r="788" spans="1:2" x14ac:dyDescent="0.3">
      <c r="A788" s="1">
        <v>44981</v>
      </c>
      <c r="B788">
        <v>1082.03</v>
      </c>
    </row>
    <row r="789" spans="1:2" x14ac:dyDescent="0.3">
      <c r="A789" s="1">
        <v>44984</v>
      </c>
      <c r="B789">
        <v>1074.8399999999999</v>
      </c>
    </row>
    <row r="790" spans="1:2" x14ac:dyDescent="0.3">
      <c r="A790" s="1">
        <v>44985</v>
      </c>
      <c r="B790">
        <v>1054.27</v>
      </c>
    </row>
    <row r="791" spans="1:2" x14ac:dyDescent="0.3">
      <c r="A791" s="1">
        <v>44986</v>
      </c>
      <c r="B791">
        <v>1063.97</v>
      </c>
    </row>
    <row r="792" spans="1:2" x14ac:dyDescent="0.3">
      <c r="A792" s="1">
        <v>44987</v>
      </c>
      <c r="B792">
        <v>1055.8599999999999</v>
      </c>
    </row>
    <row r="793" spans="1:2" x14ac:dyDescent="0.3">
      <c r="A793" s="1">
        <v>44988</v>
      </c>
      <c r="B793">
        <v>1082.8</v>
      </c>
    </row>
    <row r="794" spans="1:2" x14ac:dyDescent="0.3">
      <c r="A794" s="1">
        <v>44991</v>
      </c>
      <c r="B794">
        <v>1093.3800000000001</v>
      </c>
    </row>
    <row r="795" spans="1:2" x14ac:dyDescent="0.3">
      <c r="A795" s="1">
        <v>44993</v>
      </c>
      <c r="B795">
        <v>1097.31</v>
      </c>
    </row>
    <row r="796" spans="1:2" x14ac:dyDescent="0.3">
      <c r="A796" s="1">
        <v>44994</v>
      </c>
      <c r="B796">
        <v>1070.93</v>
      </c>
    </row>
    <row r="797" spans="1:2" x14ac:dyDescent="0.3">
      <c r="A797" s="1">
        <v>44995</v>
      </c>
      <c r="B797">
        <v>1054.3399999999999</v>
      </c>
    </row>
    <row r="798" spans="1:2" x14ac:dyDescent="0.3">
      <c r="A798" s="1">
        <v>44998</v>
      </c>
      <c r="B798">
        <v>1037</v>
      </c>
    </row>
    <row r="799" spans="1:2" x14ac:dyDescent="0.3">
      <c r="A799" s="1">
        <v>44999</v>
      </c>
      <c r="B799">
        <v>1033.1199999999999</v>
      </c>
    </row>
    <row r="800" spans="1:2" x14ac:dyDescent="0.3">
      <c r="A800" s="1">
        <v>45000</v>
      </c>
      <c r="B800">
        <v>1015.46</v>
      </c>
    </row>
    <row r="801" spans="1:2" x14ac:dyDescent="0.3">
      <c r="A801" s="1">
        <v>45001</v>
      </c>
      <c r="B801">
        <v>1010.4</v>
      </c>
    </row>
    <row r="802" spans="1:2" x14ac:dyDescent="0.3">
      <c r="A802" s="1">
        <v>45002</v>
      </c>
      <c r="B802">
        <v>1009.13</v>
      </c>
    </row>
    <row r="803" spans="1:2" x14ac:dyDescent="0.3">
      <c r="A803" s="1">
        <v>45005</v>
      </c>
      <c r="B803">
        <v>999.21</v>
      </c>
    </row>
    <row r="804" spans="1:2" x14ac:dyDescent="0.3">
      <c r="A804" s="1">
        <v>45006</v>
      </c>
      <c r="B804">
        <v>1030.28</v>
      </c>
    </row>
    <row r="805" spans="1:2" x14ac:dyDescent="0.3">
      <c r="A805" s="1">
        <v>45007</v>
      </c>
      <c r="B805">
        <v>1033.42</v>
      </c>
    </row>
    <row r="806" spans="1:2" x14ac:dyDescent="0.3">
      <c r="A806" s="1">
        <v>45008</v>
      </c>
      <c r="B806">
        <v>1020.34</v>
      </c>
    </row>
    <row r="807" spans="1:2" x14ac:dyDescent="0.3">
      <c r="A807" s="1">
        <v>45009</v>
      </c>
      <c r="B807">
        <v>1000.14</v>
      </c>
    </row>
    <row r="808" spans="1:2" x14ac:dyDescent="0.3">
      <c r="A808" s="1">
        <v>45012</v>
      </c>
      <c r="B808">
        <v>1015.69</v>
      </c>
    </row>
    <row r="809" spans="1:2" x14ac:dyDescent="0.3">
      <c r="A809" s="1">
        <v>45013</v>
      </c>
      <c r="B809">
        <v>1020.43</v>
      </c>
    </row>
    <row r="810" spans="1:2" x14ac:dyDescent="0.3">
      <c r="A810" s="1">
        <v>45014</v>
      </c>
      <c r="B810">
        <v>1014.4</v>
      </c>
    </row>
    <row r="811" spans="1:2" x14ac:dyDescent="0.3">
      <c r="A811" s="1">
        <v>45016</v>
      </c>
      <c r="B811">
        <v>1058.1300000000001</v>
      </c>
    </row>
    <row r="812" spans="1:2" x14ac:dyDescent="0.3">
      <c r="A812" s="1">
        <v>45019</v>
      </c>
      <c r="B812">
        <v>1058.31</v>
      </c>
    </row>
    <row r="813" spans="1:2" x14ac:dyDescent="0.3">
      <c r="A813" s="1">
        <v>45021</v>
      </c>
      <c r="B813">
        <v>1055.77</v>
      </c>
    </row>
    <row r="814" spans="1:2" x14ac:dyDescent="0.3">
      <c r="A814" s="1">
        <v>45022</v>
      </c>
      <c r="B814">
        <v>1062.8499999999999</v>
      </c>
    </row>
    <row r="815" spans="1:2" x14ac:dyDescent="0.3">
      <c r="A815" s="1">
        <v>45026</v>
      </c>
      <c r="B815">
        <v>1055.32</v>
      </c>
    </row>
    <row r="816" spans="1:2" x14ac:dyDescent="0.3">
      <c r="A816" s="1">
        <v>45027</v>
      </c>
      <c r="B816">
        <v>1060.54</v>
      </c>
    </row>
    <row r="817" spans="1:2" x14ac:dyDescent="0.3">
      <c r="A817" s="1">
        <v>45028</v>
      </c>
      <c r="B817">
        <v>1065.21</v>
      </c>
    </row>
    <row r="818" spans="1:2" x14ac:dyDescent="0.3">
      <c r="A818" s="1">
        <v>45029</v>
      </c>
      <c r="B818">
        <v>1069.23</v>
      </c>
    </row>
    <row r="819" spans="1:2" x14ac:dyDescent="0.3">
      <c r="A819" s="1">
        <v>45033</v>
      </c>
      <c r="B819">
        <v>1074.6600000000001</v>
      </c>
    </row>
    <row r="820" spans="1:2" x14ac:dyDescent="0.3">
      <c r="A820" s="1">
        <v>45034</v>
      </c>
      <c r="B820">
        <v>1062.3499999999999</v>
      </c>
    </row>
    <row r="821" spans="1:2" x14ac:dyDescent="0.3">
      <c r="A821" s="1">
        <v>45035</v>
      </c>
      <c r="B821">
        <v>1067.6400000000001</v>
      </c>
    </row>
    <row r="822" spans="1:2" x14ac:dyDescent="0.3">
      <c r="A822" s="1">
        <v>45036</v>
      </c>
      <c r="B822">
        <v>1064.94</v>
      </c>
    </row>
    <row r="823" spans="1:2" x14ac:dyDescent="0.3">
      <c r="A823" s="1">
        <v>45037</v>
      </c>
      <c r="B823">
        <v>1066.28</v>
      </c>
    </row>
    <row r="824" spans="1:2" x14ac:dyDescent="0.3">
      <c r="A824" s="1">
        <v>45040</v>
      </c>
      <c r="B824">
        <v>1070.3699999999999</v>
      </c>
    </row>
    <row r="825" spans="1:2" x14ac:dyDescent="0.3">
      <c r="A825" s="1">
        <v>45041</v>
      </c>
      <c r="B825">
        <v>1078.56</v>
      </c>
    </row>
    <row r="826" spans="1:2" x14ac:dyDescent="0.3">
      <c r="A826" s="1">
        <v>45042</v>
      </c>
      <c r="B826">
        <v>1072.23</v>
      </c>
    </row>
    <row r="827" spans="1:2" x14ac:dyDescent="0.3">
      <c r="A827" s="1">
        <v>45043</v>
      </c>
      <c r="B827">
        <v>1079.01</v>
      </c>
    </row>
    <row r="828" spans="1:2" x14ac:dyDescent="0.3">
      <c r="A828" s="1">
        <v>45044</v>
      </c>
      <c r="B828">
        <v>1098.74</v>
      </c>
    </row>
    <row r="829" spans="1:2" x14ac:dyDescent="0.3">
      <c r="A829" s="1">
        <v>45048</v>
      </c>
      <c r="B829">
        <v>1108.06</v>
      </c>
    </row>
    <row r="830" spans="1:2" x14ac:dyDescent="0.3">
      <c r="A830" s="1">
        <v>45049</v>
      </c>
      <c r="B830">
        <v>1098.55</v>
      </c>
    </row>
    <row r="831" spans="1:2" x14ac:dyDescent="0.3">
      <c r="A831" s="1">
        <v>45050</v>
      </c>
      <c r="B831">
        <v>1111.22</v>
      </c>
    </row>
    <row r="832" spans="1:2" x14ac:dyDescent="0.3">
      <c r="A832" s="1">
        <v>45051</v>
      </c>
      <c r="B832">
        <v>1108.3800000000001</v>
      </c>
    </row>
    <row r="833" spans="1:2" x14ac:dyDescent="0.3">
      <c r="A833" s="1">
        <v>45054</v>
      </c>
      <c r="B833">
        <v>1122.07</v>
      </c>
    </row>
    <row r="834" spans="1:2" x14ac:dyDescent="0.3">
      <c r="A834" s="1">
        <v>45055</v>
      </c>
      <c r="B834">
        <v>1125.54</v>
      </c>
    </row>
    <row r="835" spans="1:2" x14ac:dyDescent="0.3">
      <c r="A835" s="1">
        <v>45056</v>
      </c>
      <c r="B835">
        <v>1133.28</v>
      </c>
    </row>
    <row r="836" spans="1:2" x14ac:dyDescent="0.3">
      <c r="A836" s="1">
        <v>45057</v>
      </c>
      <c r="B836">
        <v>1125.8800000000001</v>
      </c>
    </row>
    <row r="837" spans="1:2" x14ac:dyDescent="0.3">
      <c r="A837" s="1">
        <v>45058</v>
      </c>
      <c r="B837">
        <v>1127.72</v>
      </c>
    </row>
    <row r="838" spans="1:2" x14ac:dyDescent="0.3">
      <c r="A838" s="1">
        <v>45061</v>
      </c>
      <c r="B838">
        <v>1129.94</v>
      </c>
    </row>
    <row r="839" spans="1:2" x14ac:dyDescent="0.3">
      <c r="A839" s="1">
        <v>45062</v>
      </c>
      <c r="B839">
        <v>1113.8499999999999</v>
      </c>
    </row>
    <row r="840" spans="1:2" x14ac:dyDescent="0.3">
      <c r="A840" s="1">
        <v>45063</v>
      </c>
      <c r="B840">
        <v>1107.27</v>
      </c>
    </row>
    <row r="841" spans="1:2" x14ac:dyDescent="0.3">
      <c r="A841" s="1">
        <v>45064</v>
      </c>
      <c r="B841">
        <v>1104.8900000000001</v>
      </c>
    </row>
    <row r="842" spans="1:2" x14ac:dyDescent="0.3">
      <c r="A842" s="1">
        <v>45065</v>
      </c>
      <c r="B842">
        <v>1108.47</v>
      </c>
    </row>
    <row r="843" spans="1:2" x14ac:dyDescent="0.3">
      <c r="A843" s="1">
        <v>45068</v>
      </c>
      <c r="B843">
        <v>1114.4000000000001</v>
      </c>
    </row>
    <row r="844" spans="1:2" x14ac:dyDescent="0.3">
      <c r="A844" s="1">
        <v>45069</v>
      </c>
      <c r="B844">
        <v>1114.19</v>
      </c>
    </row>
    <row r="845" spans="1:2" x14ac:dyDescent="0.3">
      <c r="A845" s="1">
        <v>45070</v>
      </c>
      <c r="B845">
        <v>1107.7</v>
      </c>
    </row>
    <row r="846" spans="1:2" x14ac:dyDescent="0.3">
      <c r="A846" s="1">
        <v>45071</v>
      </c>
      <c r="B846">
        <v>1107.57</v>
      </c>
    </row>
    <row r="847" spans="1:2" x14ac:dyDescent="0.3">
      <c r="A847" s="1">
        <v>45072</v>
      </c>
      <c r="B847">
        <v>1137.77</v>
      </c>
    </row>
    <row r="848" spans="1:2" x14ac:dyDescent="0.3">
      <c r="A848" s="1">
        <v>45075</v>
      </c>
      <c r="B848">
        <v>1144.17</v>
      </c>
    </row>
    <row r="849" spans="1:2" x14ac:dyDescent="0.3">
      <c r="A849" s="1">
        <v>45076</v>
      </c>
      <c r="B849">
        <v>1143.8800000000001</v>
      </c>
    </row>
    <row r="850" spans="1:2" x14ac:dyDescent="0.3">
      <c r="A850" s="1">
        <v>45077</v>
      </c>
      <c r="B850">
        <v>1121.1600000000001</v>
      </c>
    </row>
    <row r="851" spans="1:2" x14ac:dyDescent="0.3">
      <c r="A851" s="1">
        <v>45078</v>
      </c>
      <c r="B851">
        <v>1118.1400000000001</v>
      </c>
    </row>
    <row r="852" spans="1:2" x14ac:dyDescent="0.3">
      <c r="A852" s="1">
        <v>45079</v>
      </c>
      <c r="B852">
        <v>1114.49</v>
      </c>
    </row>
    <row r="853" spans="1:2" x14ac:dyDescent="0.3">
      <c r="A853" s="1">
        <v>45082</v>
      </c>
      <c r="B853">
        <v>1124.5</v>
      </c>
    </row>
    <row r="854" spans="1:2" x14ac:dyDescent="0.3">
      <c r="A854" s="1">
        <v>45083</v>
      </c>
      <c r="B854">
        <v>1125.45</v>
      </c>
    </row>
    <row r="855" spans="1:2" x14ac:dyDescent="0.3">
      <c r="A855" s="1">
        <v>45084</v>
      </c>
      <c r="B855">
        <v>1133.98</v>
      </c>
    </row>
    <row r="856" spans="1:2" x14ac:dyDescent="0.3">
      <c r="A856" s="1">
        <v>45085</v>
      </c>
      <c r="B856">
        <v>1134.6600000000001</v>
      </c>
    </row>
    <row r="857" spans="1:2" x14ac:dyDescent="0.3">
      <c r="A857" s="1">
        <v>45086</v>
      </c>
      <c r="B857">
        <v>1126.6300000000001</v>
      </c>
    </row>
    <row r="858" spans="1:2" x14ac:dyDescent="0.3">
      <c r="A858" s="1">
        <v>45089</v>
      </c>
      <c r="B858">
        <v>1127.6300000000001</v>
      </c>
    </row>
    <row r="859" spans="1:2" x14ac:dyDescent="0.3">
      <c r="A859" s="1">
        <v>45090</v>
      </c>
      <c r="B859">
        <v>1144.29</v>
      </c>
    </row>
    <row r="860" spans="1:2" x14ac:dyDescent="0.3">
      <c r="A860" s="1">
        <v>45091</v>
      </c>
      <c r="B860">
        <v>1158.3599999999999</v>
      </c>
    </row>
    <row r="861" spans="1:2" x14ac:dyDescent="0.3">
      <c r="A861" s="1">
        <v>45092</v>
      </c>
      <c r="B861">
        <v>1158.68</v>
      </c>
    </row>
    <row r="862" spans="1:2" x14ac:dyDescent="0.3">
      <c r="A862" s="1">
        <v>45093</v>
      </c>
      <c r="B862">
        <v>1169.96</v>
      </c>
    </row>
    <row r="863" spans="1:2" x14ac:dyDescent="0.3">
      <c r="A863" s="1">
        <v>45096</v>
      </c>
      <c r="B863">
        <v>1158.3399999999999</v>
      </c>
    </row>
    <row r="864" spans="1:2" x14ac:dyDescent="0.3">
      <c r="A864" s="1">
        <v>45097</v>
      </c>
      <c r="B864">
        <v>1160.74</v>
      </c>
    </row>
    <row r="865" spans="1:2" x14ac:dyDescent="0.3">
      <c r="A865" s="1">
        <v>45098</v>
      </c>
      <c r="B865">
        <v>1164.01</v>
      </c>
    </row>
    <row r="866" spans="1:2" x14ac:dyDescent="0.3">
      <c r="A866" s="1">
        <v>45099</v>
      </c>
      <c r="B866">
        <v>1150.94</v>
      </c>
    </row>
    <row r="867" spans="1:2" x14ac:dyDescent="0.3">
      <c r="A867" s="1">
        <v>45100</v>
      </c>
      <c r="B867">
        <v>1141.52</v>
      </c>
    </row>
    <row r="868" spans="1:2" x14ac:dyDescent="0.3">
      <c r="A868" s="1">
        <v>45103</v>
      </c>
      <c r="B868">
        <v>1132.8</v>
      </c>
    </row>
    <row r="869" spans="1:2" x14ac:dyDescent="0.3">
      <c r="A869" s="1">
        <v>45104</v>
      </c>
      <c r="B869">
        <v>1133.21</v>
      </c>
    </row>
    <row r="870" spans="1:2" x14ac:dyDescent="0.3">
      <c r="A870" s="1">
        <v>45105</v>
      </c>
      <c r="B870">
        <v>1148.21</v>
      </c>
    </row>
    <row r="871" spans="1:2" x14ac:dyDescent="0.3">
      <c r="A871" s="1">
        <v>45107</v>
      </c>
      <c r="B871">
        <v>1157.6300000000001</v>
      </c>
    </row>
    <row r="872" spans="1:2" x14ac:dyDescent="0.3">
      <c r="A872" s="1">
        <v>45110</v>
      </c>
      <c r="B872">
        <v>1187.3399999999999</v>
      </c>
    </row>
    <row r="873" spans="1:2" x14ac:dyDescent="0.3">
      <c r="A873" s="1">
        <v>45111</v>
      </c>
      <c r="B873">
        <v>1175.1099999999999</v>
      </c>
    </row>
    <row r="874" spans="1:2" x14ac:dyDescent="0.3">
      <c r="A874" s="1">
        <v>45112</v>
      </c>
      <c r="B874">
        <v>1173.18</v>
      </c>
    </row>
    <row r="875" spans="1:2" x14ac:dyDescent="0.3">
      <c r="A875" s="1">
        <v>45113</v>
      </c>
      <c r="B875">
        <v>1197.81</v>
      </c>
    </row>
    <row r="876" spans="1:2" x14ac:dyDescent="0.3">
      <c r="A876" s="1">
        <v>45114</v>
      </c>
      <c r="B876">
        <v>1195.47</v>
      </c>
    </row>
    <row r="877" spans="1:2" x14ac:dyDescent="0.3">
      <c r="A877" s="1">
        <v>45117</v>
      </c>
      <c r="B877">
        <v>1241.52</v>
      </c>
    </row>
    <row r="878" spans="1:2" x14ac:dyDescent="0.3">
      <c r="A878" s="1">
        <v>45118</v>
      </c>
      <c r="B878">
        <v>1254.98</v>
      </c>
    </row>
    <row r="879" spans="1:2" x14ac:dyDescent="0.3">
      <c r="A879" s="1">
        <v>45119</v>
      </c>
      <c r="B879">
        <v>1256.3599999999999</v>
      </c>
    </row>
    <row r="880" spans="1:2" x14ac:dyDescent="0.3">
      <c r="A880" s="1">
        <v>45120</v>
      </c>
      <c r="B880">
        <v>1245.1300000000001</v>
      </c>
    </row>
    <row r="881" spans="1:2" x14ac:dyDescent="0.3">
      <c r="A881" s="1">
        <v>45121</v>
      </c>
      <c r="B881">
        <v>1244.08</v>
      </c>
    </row>
    <row r="882" spans="1:2" x14ac:dyDescent="0.3">
      <c r="A882" s="1">
        <v>45124</v>
      </c>
      <c r="B882">
        <v>1269.5</v>
      </c>
    </row>
    <row r="883" spans="1:2" x14ac:dyDescent="0.3">
      <c r="A883" s="1">
        <v>45125</v>
      </c>
      <c r="B883">
        <v>1280.29</v>
      </c>
    </row>
    <row r="884" spans="1:2" x14ac:dyDescent="0.3">
      <c r="A884" s="1">
        <v>45126</v>
      </c>
      <c r="B884">
        <v>1290</v>
      </c>
    </row>
    <row r="885" spans="1:2" x14ac:dyDescent="0.3">
      <c r="A885" s="1">
        <v>45127</v>
      </c>
      <c r="B885">
        <v>1309.93</v>
      </c>
    </row>
    <row r="886" spans="1:2" x14ac:dyDescent="0.3">
      <c r="A886" s="1">
        <v>45128</v>
      </c>
      <c r="B886">
        <v>1269.3800000000001</v>
      </c>
    </row>
    <row r="887" spans="1:2" x14ac:dyDescent="0.3">
      <c r="A887" s="1">
        <v>45131</v>
      </c>
      <c r="B887">
        <v>1243.7</v>
      </c>
    </row>
    <row r="888" spans="1:2" x14ac:dyDescent="0.3">
      <c r="A888" s="1">
        <v>45132</v>
      </c>
      <c r="B888">
        <v>1242.9000000000001</v>
      </c>
    </row>
    <row r="889" spans="1:2" x14ac:dyDescent="0.3">
      <c r="A889" s="1">
        <v>45133</v>
      </c>
      <c r="B889">
        <v>1263.0999999999999</v>
      </c>
    </row>
    <row r="890" spans="1:2" x14ac:dyDescent="0.3">
      <c r="A890" s="1">
        <v>45134</v>
      </c>
      <c r="B890">
        <v>1251.3499999999999</v>
      </c>
    </row>
    <row r="891" spans="1:2" x14ac:dyDescent="0.3">
      <c r="A891" s="1">
        <v>45135</v>
      </c>
      <c r="B891">
        <v>1263.93</v>
      </c>
    </row>
    <row r="892" spans="1:2" x14ac:dyDescent="0.3">
      <c r="A892" s="1">
        <v>45138</v>
      </c>
      <c r="B892">
        <v>1274.6300000000001</v>
      </c>
    </row>
    <row r="893" spans="1:2" x14ac:dyDescent="0.3">
      <c r="A893" s="1">
        <v>45139</v>
      </c>
      <c r="B893">
        <v>1256.5999999999999</v>
      </c>
    </row>
    <row r="894" spans="1:2" x14ac:dyDescent="0.3">
      <c r="A894" s="1">
        <v>45140</v>
      </c>
      <c r="B894">
        <v>1243.18</v>
      </c>
    </row>
    <row r="895" spans="1:2" x14ac:dyDescent="0.3">
      <c r="A895" s="1">
        <v>45141</v>
      </c>
      <c r="B895">
        <v>1237.95</v>
      </c>
    </row>
    <row r="896" spans="1:2" x14ac:dyDescent="0.3">
      <c r="A896" s="1">
        <v>45142</v>
      </c>
      <c r="B896">
        <v>1254.78</v>
      </c>
    </row>
    <row r="897" spans="1:2" x14ac:dyDescent="0.3">
      <c r="A897" s="1">
        <v>45145</v>
      </c>
      <c r="B897">
        <v>1261.93</v>
      </c>
    </row>
    <row r="898" spans="1:2" x14ac:dyDescent="0.3">
      <c r="A898" s="1">
        <v>45146</v>
      </c>
      <c r="B898">
        <v>1254.32</v>
      </c>
    </row>
    <row r="899" spans="1:2" x14ac:dyDescent="0.3">
      <c r="A899" s="1">
        <v>45147</v>
      </c>
      <c r="B899">
        <v>1262.5999999999999</v>
      </c>
    </row>
    <row r="900" spans="1:2" x14ac:dyDescent="0.3">
      <c r="A900" s="1">
        <v>45148</v>
      </c>
      <c r="B900">
        <v>1268.22</v>
      </c>
    </row>
    <row r="901" spans="1:2" x14ac:dyDescent="0.3">
      <c r="A901" s="1">
        <v>45149</v>
      </c>
      <c r="B901">
        <v>1273.57</v>
      </c>
    </row>
    <row r="902" spans="1:2" x14ac:dyDescent="0.3">
      <c r="A902" s="1">
        <v>45152</v>
      </c>
      <c r="B902">
        <v>1288.6300000000001</v>
      </c>
    </row>
    <row r="903" spans="1:2" x14ac:dyDescent="0.3">
      <c r="A903" s="1">
        <v>45154</v>
      </c>
      <c r="B903">
        <v>1287.57</v>
      </c>
    </row>
    <row r="904" spans="1:2" x14ac:dyDescent="0.3">
      <c r="A904" s="1">
        <v>45155</v>
      </c>
      <c r="B904">
        <v>1269</v>
      </c>
    </row>
    <row r="905" spans="1:2" x14ac:dyDescent="0.3">
      <c r="A905" s="1">
        <v>45156</v>
      </c>
      <c r="B905">
        <v>1278.4000000000001</v>
      </c>
    </row>
    <row r="906" spans="1:2" x14ac:dyDescent="0.3">
      <c r="A906" s="1">
        <v>45159</v>
      </c>
      <c r="B906">
        <v>1260</v>
      </c>
    </row>
    <row r="907" spans="1:2" x14ac:dyDescent="0.3">
      <c r="A907" s="1">
        <v>45160</v>
      </c>
      <c r="B907">
        <v>1259.7</v>
      </c>
    </row>
    <row r="908" spans="1:2" x14ac:dyDescent="0.3">
      <c r="A908" s="1">
        <v>45161</v>
      </c>
      <c r="B908">
        <v>1261.0999999999999</v>
      </c>
    </row>
    <row r="909" spans="1:2" x14ac:dyDescent="0.3">
      <c r="A909" s="1">
        <v>45162</v>
      </c>
      <c r="B909">
        <v>1239.9000000000001</v>
      </c>
    </row>
    <row r="910" spans="1:2" x14ac:dyDescent="0.3">
      <c r="A910" s="1">
        <v>45163</v>
      </c>
      <c r="B910">
        <v>1234.18</v>
      </c>
    </row>
    <row r="911" spans="1:2" x14ac:dyDescent="0.3">
      <c r="A911" s="1">
        <v>45166</v>
      </c>
      <c r="B911">
        <v>1221.8800000000001</v>
      </c>
    </row>
    <row r="912" spans="1:2" x14ac:dyDescent="0.3">
      <c r="A912" s="1">
        <v>45167</v>
      </c>
      <c r="B912">
        <v>1210.18</v>
      </c>
    </row>
    <row r="913" spans="1:2" x14ac:dyDescent="0.3">
      <c r="A913" s="1">
        <v>45168</v>
      </c>
      <c r="B913">
        <v>1209.03</v>
      </c>
    </row>
    <row r="914" spans="1:2" x14ac:dyDescent="0.3">
      <c r="A914" s="1">
        <v>45169</v>
      </c>
      <c r="B914">
        <v>1203.5</v>
      </c>
    </row>
    <row r="915" spans="1:2" x14ac:dyDescent="0.3">
      <c r="A915" s="1">
        <v>45170</v>
      </c>
      <c r="B915">
        <v>1206.32</v>
      </c>
    </row>
    <row r="916" spans="1:2" x14ac:dyDescent="0.3">
      <c r="A916" s="1">
        <v>45173</v>
      </c>
      <c r="B916">
        <v>1205.3499999999999</v>
      </c>
    </row>
    <row r="917" spans="1:2" x14ac:dyDescent="0.3">
      <c r="A917" s="1">
        <v>45174</v>
      </c>
      <c r="B917">
        <v>1211.8</v>
      </c>
    </row>
    <row r="918" spans="1:2" x14ac:dyDescent="0.3">
      <c r="A918" s="1">
        <v>45175</v>
      </c>
      <c r="B918">
        <v>1214.3499999999999</v>
      </c>
    </row>
    <row r="919" spans="1:2" x14ac:dyDescent="0.3">
      <c r="A919" s="1">
        <v>45176</v>
      </c>
      <c r="B919">
        <v>1216</v>
      </c>
    </row>
    <row r="920" spans="1:2" x14ac:dyDescent="0.3">
      <c r="A920" s="1">
        <v>45177</v>
      </c>
      <c r="B920">
        <v>1224.0999999999999</v>
      </c>
    </row>
    <row r="921" spans="1:2" x14ac:dyDescent="0.3">
      <c r="A921" s="1">
        <v>45180</v>
      </c>
      <c r="B921">
        <v>1237.3</v>
      </c>
    </row>
    <row r="922" spans="1:2" x14ac:dyDescent="0.3">
      <c r="A922" s="1">
        <v>45181</v>
      </c>
      <c r="B922">
        <v>1219.43</v>
      </c>
    </row>
    <row r="923" spans="1:2" x14ac:dyDescent="0.3">
      <c r="A923" s="1">
        <v>45182</v>
      </c>
      <c r="B923">
        <v>1225.53</v>
      </c>
    </row>
    <row r="924" spans="1:2" x14ac:dyDescent="0.3">
      <c r="A924" s="1">
        <v>45183</v>
      </c>
      <c r="B924">
        <v>1226.6500000000001</v>
      </c>
    </row>
    <row r="925" spans="1:2" x14ac:dyDescent="0.3">
      <c r="A925" s="1">
        <v>45184</v>
      </c>
      <c r="B925">
        <v>1228.93</v>
      </c>
    </row>
    <row r="926" spans="1:2" x14ac:dyDescent="0.3">
      <c r="A926" s="1">
        <v>45187</v>
      </c>
      <c r="B926">
        <v>1218.22</v>
      </c>
    </row>
    <row r="927" spans="1:2" x14ac:dyDescent="0.3">
      <c r="A927" s="1">
        <v>45189</v>
      </c>
      <c r="B927">
        <v>1191.07</v>
      </c>
    </row>
    <row r="928" spans="1:2" x14ac:dyDescent="0.3">
      <c r="A928" s="1">
        <v>45190</v>
      </c>
      <c r="B928">
        <v>1182.4000000000001</v>
      </c>
    </row>
    <row r="929" spans="1:2" x14ac:dyDescent="0.3">
      <c r="A929" s="1">
        <v>45191</v>
      </c>
      <c r="B929">
        <v>1177.47</v>
      </c>
    </row>
    <row r="930" spans="1:2" x14ac:dyDescent="0.3">
      <c r="A930" s="1">
        <v>45194</v>
      </c>
      <c r="B930">
        <v>1170.22</v>
      </c>
    </row>
    <row r="931" spans="1:2" x14ac:dyDescent="0.3">
      <c r="A931" s="1">
        <v>45195</v>
      </c>
      <c r="B931">
        <v>1171.25</v>
      </c>
    </row>
    <row r="932" spans="1:2" x14ac:dyDescent="0.3">
      <c r="A932" s="1">
        <v>45196</v>
      </c>
      <c r="B932">
        <v>1184.45</v>
      </c>
    </row>
    <row r="933" spans="1:2" x14ac:dyDescent="0.3">
      <c r="A933" s="1">
        <v>45197</v>
      </c>
      <c r="B933">
        <v>1167.05</v>
      </c>
    </row>
    <row r="934" spans="1:2" x14ac:dyDescent="0.3">
      <c r="A934" s="1">
        <v>45198</v>
      </c>
      <c r="B934">
        <v>1172.5</v>
      </c>
    </row>
    <row r="935" spans="1:2" x14ac:dyDescent="0.3">
      <c r="A935" s="1">
        <v>45202</v>
      </c>
      <c r="B935">
        <v>1159.07</v>
      </c>
    </row>
    <row r="936" spans="1:2" x14ac:dyDescent="0.3">
      <c r="A936" s="1">
        <v>45203</v>
      </c>
      <c r="B936">
        <v>1157.07</v>
      </c>
    </row>
    <row r="937" spans="1:2" x14ac:dyDescent="0.3">
      <c r="A937" s="1">
        <v>45204</v>
      </c>
      <c r="B937">
        <v>1157.05</v>
      </c>
    </row>
    <row r="938" spans="1:2" x14ac:dyDescent="0.3">
      <c r="A938" s="1">
        <v>45205</v>
      </c>
      <c r="B938">
        <v>1159</v>
      </c>
    </row>
    <row r="939" spans="1:2" x14ac:dyDescent="0.3">
      <c r="A939" s="1">
        <v>45208</v>
      </c>
      <c r="B939">
        <v>1149.1300000000001</v>
      </c>
    </row>
    <row r="940" spans="1:2" x14ac:dyDescent="0.3">
      <c r="A940" s="1">
        <v>45209</v>
      </c>
      <c r="B940">
        <v>1154.2</v>
      </c>
    </row>
    <row r="941" spans="1:2" x14ac:dyDescent="0.3">
      <c r="A941" s="1">
        <v>45210</v>
      </c>
      <c r="B941">
        <v>1172.53</v>
      </c>
    </row>
    <row r="942" spans="1:2" x14ac:dyDescent="0.3">
      <c r="A942" s="1">
        <v>45211</v>
      </c>
      <c r="B942">
        <v>1174.7</v>
      </c>
    </row>
    <row r="943" spans="1:2" x14ac:dyDescent="0.3">
      <c r="A943" s="1">
        <v>45212</v>
      </c>
      <c r="B943">
        <v>1174.6500000000001</v>
      </c>
    </row>
    <row r="944" spans="1:2" x14ac:dyDescent="0.3">
      <c r="A944" s="1">
        <v>45215</v>
      </c>
      <c r="B944">
        <v>1172.03</v>
      </c>
    </row>
    <row r="945" spans="1:2" x14ac:dyDescent="0.3">
      <c r="A945" s="1">
        <v>45216</v>
      </c>
      <c r="B945">
        <v>1177.6300000000001</v>
      </c>
    </row>
    <row r="946" spans="1:2" x14ac:dyDescent="0.3">
      <c r="A946" s="1">
        <v>45217</v>
      </c>
      <c r="B946">
        <v>1162</v>
      </c>
    </row>
    <row r="947" spans="1:2" x14ac:dyDescent="0.3">
      <c r="A947" s="1">
        <v>45218</v>
      </c>
      <c r="B947">
        <v>1153.07</v>
      </c>
    </row>
    <row r="948" spans="1:2" x14ac:dyDescent="0.3">
      <c r="A948" s="1">
        <v>45219</v>
      </c>
      <c r="B948">
        <v>1149.55</v>
      </c>
    </row>
    <row r="949" spans="1:2" x14ac:dyDescent="0.3">
      <c r="A949" s="1">
        <v>45222</v>
      </c>
      <c r="B949">
        <v>1131.5999999999999</v>
      </c>
    </row>
    <row r="950" spans="1:2" x14ac:dyDescent="0.3">
      <c r="A950" s="1">
        <v>45224</v>
      </c>
      <c r="B950">
        <v>1128.97</v>
      </c>
    </row>
    <row r="951" spans="1:2" x14ac:dyDescent="0.3">
      <c r="A951" s="1">
        <v>45225</v>
      </c>
      <c r="B951">
        <v>1113.25</v>
      </c>
    </row>
    <row r="952" spans="1:2" x14ac:dyDescent="0.3">
      <c r="A952" s="1">
        <v>45226</v>
      </c>
      <c r="B952">
        <v>1132.9000000000001</v>
      </c>
    </row>
    <row r="953" spans="1:2" x14ac:dyDescent="0.3">
      <c r="A953" s="1">
        <v>45229</v>
      </c>
      <c r="B953">
        <v>1156.25</v>
      </c>
    </row>
    <row r="954" spans="1:2" x14ac:dyDescent="0.3">
      <c r="A954" s="1">
        <v>45230</v>
      </c>
      <c r="B954">
        <v>1143.95</v>
      </c>
    </row>
    <row r="955" spans="1:2" x14ac:dyDescent="0.3">
      <c r="A955" s="1">
        <v>45231</v>
      </c>
      <c r="B955">
        <v>1148.7</v>
      </c>
    </row>
    <row r="956" spans="1:2" x14ac:dyDescent="0.3">
      <c r="A956" s="1">
        <v>45232</v>
      </c>
      <c r="B956">
        <v>1160.0999999999999</v>
      </c>
    </row>
    <row r="957" spans="1:2" x14ac:dyDescent="0.3">
      <c r="A957" s="1">
        <v>45233</v>
      </c>
      <c r="B957">
        <v>1159.8499999999999</v>
      </c>
    </row>
    <row r="958" spans="1:2" x14ac:dyDescent="0.3">
      <c r="A958" s="1">
        <v>45236</v>
      </c>
      <c r="B958">
        <v>1169.5</v>
      </c>
    </row>
    <row r="959" spans="1:2" x14ac:dyDescent="0.3">
      <c r="A959" s="1">
        <v>45237</v>
      </c>
      <c r="B959">
        <v>1161.9000000000001</v>
      </c>
    </row>
    <row r="960" spans="1:2" x14ac:dyDescent="0.3">
      <c r="A960" s="1">
        <v>45238</v>
      </c>
      <c r="B960">
        <v>1167.95</v>
      </c>
    </row>
    <row r="961" spans="1:2" x14ac:dyDescent="0.3">
      <c r="A961" s="1">
        <v>45239</v>
      </c>
      <c r="B961">
        <v>1155.28</v>
      </c>
    </row>
    <row r="962" spans="1:2" x14ac:dyDescent="0.3">
      <c r="A962" s="1">
        <v>45240</v>
      </c>
      <c r="B962">
        <v>1157.45</v>
      </c>
    </row>
    <row r="963" spans="1:2" x14ac:dyDescent="0.3">
      <c r="A963" s="1">
        <v>45242</v>
      </c>
      <c r="B963">
        <v>1165.33</v>
      </c>
    </row>
    <row r="964" spans="1:2" x14ac:dyDescent="0.3">
      <c r="A964" s="1">
        <v>45243</v>
      </c>
      <c r="B964">
        <v>1157.3</v>
      </c>
    </row>
    <row r="965" spans="1:2" x14ac:dyDescent="0.3">
      <c r="A965" s="1">
        <v>45245</v>
      </c>
      <c r="B965">
        <v>1178.22</v>
      </c>
    </row>
    <row r="966" spans="1:2" x14ac:dyDescent="0.3">
      <c r="A966" s="1">
        <v>45246</v>
      </c>
      <c r="B966">
        <v>1180.3499999999999</v>
      </c>
    </row>
    <row r="967" spans="1:2" x14ac:dyDescent="0.3">
      <c r="A967" s="1">
        <v>45247</v>
      </c>
      <c r="B967">
        <v>1177.78</v>
      </c>
    </row>
    <row r="968" spans="1:2" x14ac:dyDescent="0.3">
      <c r="A968" s="1">
        <v>45250</v>
      </c>
      <c r="B968">
        <v>1174.68</v>
      </c>
    </row>
    <row r="969" spans="1:2" x14ac:dyDescent="0.3">
      <c r="A969" s="1">
        <v>45251</v>
      </c>
      <c r="B969">
        <v>1189.45</v>
      </c>
    </row>
    <row r="970" spans="1:2" x14ac:dyDescent="0.3">
      <c r="A970" s="1">
        <v>45252</v>
      </c>
      <c r="B970">
        <v>1194.0999999999999</v>
      </c>
    </row>
    <row r="971" spans="1:2" x14ac:dyDescent="0.3">
      <c r="A971" s="1">
        <v>45253</v>
      </c>
      <c r="B971">
        <v>1197.75</v>
      </c>
    </row>
    <row r="972" spans="1:2" x14ac:dyDescent="0.3">
      <c r="A972" s="1">
        <v>45254</v>
      </c>
      <c r="B972">
        <v>1196.95</v>
      </c>
    </row>
    <row r="973" spans="1:2" x14ac:dyDescent="0.3">
      <c r="A973" s="1">
        <v>45258</v>
      </c>
      <c r="B973">
        <v>1197.2</v>
      </c>
    </row>
    <row r="974" spans="1:2" x14ac:dyDescent="0.3">
      <c r="A974" s="1">
        <v>45259</v>
      </c>
      <c r="B974">
        <v>1200.3499999999999</v>
      </c>
    </row>
    <row r="975" spans="1:2" x14ac:dyDescent="0.3">
      <c r="A975" s="1">
        <v>45260</v>
      </c>
      <c r="B975">
        <v>1188.72</v>
      </c>
    </row>
    <row r="976" spans="1:2" x14ac:dyDescent="0.3">
      <c r="A976" s="1">
        <v>45261</v>
      </c>
      <c r="B976">
        <v>1197.1500000000001</v>
      </c>
    </row>
    <row r="977" spans="1:2" x14ac:dyDescent="0.3">
      <c r="A977" s="1">
        <v>45264</v>
      </c>
      <c r="B977">
        <v>1210.0999999999999</v>
      </c>
    </row>
    <row r="978" spans="1:2" x14ac:dyDescent="0.3">
      <c r="A978" s="1">
        <v>45265</v>
      </c>
      <c r="B978">
        <v>1218.8800000000001</v>
      </c>
    </row>
    <row r="979" spans="1:2" x14ac:dyDescent="0.3">
      <c r="A979" s="1">
        <v>45266</v>
      </c>
      <c r="B979">
        <v>1230.55</v>
      </c>
    </row>
    <row r="980" spans="1:2" x14ac:dyDescent="0.3">
      <c r="A980" s="1">
        <v>45267</v>
      </c>
      <c r="B980">
        <v>1228.53</v>
      </c>
    </row>
    <row r="981" spans="1:2" x14ac:dyDescent="0.3">
      <c r="A981" s="1">
        <v>45268</v>
      </c>
      <c r="B981">
        <v>1227.8800000000001</v>
      </c>
    </row>
    <row r="982" spans="1:2" x14ac:dyDescent="0.3">
      <c r="A982" s="1">
        <v>45271</v>
      </c>
      <c r="B982">
        <v>1229.68</v>
      </c>
    </row>
    <row r="983" spans="1:2" x14ac:dyDescent="0.3">
      <c r="A983" s="1">
        <v>45272</v>
      </c>
      <c r="B983">
        <v>1212.03</v>
      </c>
    </row>
    <row r="984" spans="1:2" x14ac:dyDescent="0.3">
      <c r="A984" s="1">
        <v>45273</v>
      </c>
      <c r="B984">
        <v>1216.97</v>
      </c>
    </row>
    <row r="985" spans="1:2" x14ac:dyDescent="0.3">
      <c r="A985" s="1">
        <v>45274</v>
      </c>
      <c r="B985">
        <v>1232.07</v>
      </c>
    </row>
    <row r="986" spans="1:2" x14ac:dyDescent="0.3">
      <c r="A986" s="1">
        <v>45275</v>
      </c>
      <c r="B986">
        <v>1247.8</v>
      </c>
    </row>
    <row r="987" spans="1:2" x14ac:dyDescent="0.3">
      <c r="A987" s="1">
        <v>45278</v>
      </c>
      <c r="B987">
        <v>1260.5</v>
      </c>
    </row>
    <row r="988" spans="1:2" x14ac:dyDescent="0.3">
      <c r="A988" s="1">
        <v>45279</v>
      </c>
      <c r="B988">
        <v>1279.05</v>
      </c>
    </row>
    <row r="989" spans="1:2" x14ac:dyDescent="0.3">
      <c r="A989" s="1">
        <v>45280</v>
      </c>
      <c r="B989">
        <v>1263.57</v>
      </c>
    </row>
    <row r="990" spans="1:2" x14ac:dyDescent="0.3">
      <c r="A990" s="1">
        <v>45281</v>
      </c>
      <c r="B990">
        <v>1281.28</v>
      </c>
    </row>
    <row r="991" spans="1:2" x14ac:dyDescent="0.3">
      <c r="A991" s="1">
        <v>45282</v>
      </c>
      <c r="B991">
        <v>1282.53</v>
      </c>
    </row>
    <row r="992" spans="1:2" x14ac:dyDescent="0.3">
      <c r="A992" s="1">
        <v>45286</v>
      </c>
      <c r="B992">
        <v>1289.03</v>
      </c>
    </row>
    <row r="993" spans="1:2" x14ac:dyDescent="0.3">
      <c r="A993" s="1">
        <v>45287</v>
      </c>
      <c r="B993">
        <v>1293.43</v>
      </c>
    </row>
    <row r="994" spans="1:2" x14ac:dyDescent="0.3">
      <c r="A994" s="1">
        <v>45288</v>
      </c>
      <c r="B994">
        <v>1302.78</v>
      </c>
    </row>
    <row r="995" spans="1:2" x14ac:dyDescent="0.3">
      <c r="A995" s="1">
        <v>45289</v>
      </c>
      <c r="B995">
        <v>1292.47</v>
      </c>
    </row>
    <row r="996" spans="1:2" x14ac:dyDescent="0.3">
      <c r="A996" s="1">
        <v>45292</v>
      </c>
      <c r="B996">
        <v>1295.1300000000001</v>
      </c>
    </row>
    <row r="997" spans="1:2" x14ac:dyDescent="0.3">
      <c r="A997" s="1">
        <v>45293</v>
      </c>
      <c r="B997">
        <v>1305.8499999999999</v>
      </c>
    </row>
    <row r="998" spans="1:2" x14ac:dyDescent="0.3">
      <c r="A998" s="1">
        <v>45294</v>
      </c>
      <c r="B998">
        <v>1291.6500000000001</v>
      </c>
    </row>
    <row r="999" spans="1:2" x14ac:dyDescent="0.3">
      <c r="A999" s="1">
        <v>45295</v>
      </c>
      <c r="B999">
        <v>1298.32</v>
      </c>
    </row>
    <row r="1000" spans="1:2" x14ac:dyDescent="0.3">
      <c r="A1000" s="1">
        <v>45296</v>
      </c>
      <c r="B1000">
        <v>1303.8499999999999</v>
      </c>
    </row>
    <row r="1001" spans="1:2" x14ac:dyDescent="0.3">
      <c r="A1001" s="1">
        <v>45299</v>
      </c>
      <c r="B1001">
        <v>1293.68</v>
      </c>
    </row>
    <row r="1002" spans="1:2" x14ac:dyDescent="0.3">
      <c r="A1002" s="1">
        <v>45300</v>
      </c>
      <c r="B1002">
        <v>1290.25</v>
      </c>
    </row>
    <row r="1003" spans="1:2" x14ac:dyDescent="0.3">
      <c r="A1003" s="1">
        <v>45301</v>
      </c>
      <c r="B1003">
        <v>1325.05</v>
      </c>
    </row>
    <row r="1004" spans="1:2" x14ac:dyDescent="0.3">
      <c r="A1004" s="1">
        <v>45302</v>
      </c>
      <c r="B1004">
        <v>1359.9</v>
      </c>
    </row>
    <row r="1005" spans="1:2" x14ac:dyDescent="0.3">
      <c r="A1005" s="1">
        <v>45303</v>
      </c>
      <c r="B1005">
        <v>1370.72</v>
      </c>
    </row>
    <row r="1006" spans="1:2" x14ac:dyDescent="0.3">
      <c r="A1006" s="1">
        <v>45306</v>
      </c>
      <c r="B1006">
        <v>1394.13</v>
      </c>
    </row>
    <row r="1007" spans="1:2" x14ac:dyDescent="0.3">
      <c r="A1007" s="1">
        <v>45307</v>
      </c>
      <c r="B1007">
        <v>1374.63</v>
      </c>
    </row>
    <row r="1008" spans="1:2" x14ac:dyDescent="0.3">
      <c r="A1008" s="1">
        <v>45308</v>
      </c>
      <c r="B1008">
        <v>1361.57</v>
      </c>
    </row>
    <row r="1009" spans="1:2" x14ac:dyDescent="0.3">
      <c r="A1009" s="1">
        <v>45309</v>
      </c>
      <c r="B1009">
        <v>1367.95</v>
      </c>
    </row>
    <row r="1010" spans="1:2" x14ac:dyDescent="0.3">
      <c r="A1010" s="1">
        <v>45310</v>
      </c>
      <c r="B1010">
        <v>1367.45</v>
      </c>
    </row>
    <row r="1011" spans="1:2" x14ac:dyDescent="0.3">
      <c r="A1011" s="1">
        <v>45311</v>
      </c>
      <c r="B1011">
        <v>1356.65</v>
      </c>
    </row>
    <row r="1012" spans="1:2" x14ac:dyDescent="0.3">
      <c r="A1012" s="1">
        <v>45314</v>
      </c>
      <c r="B1012">
        <v>1328.57</v>
      </c>
    </row>
    <row r="1013" spans="1:2" x14ac:dyDescent="0.3">
      <c r="A1013" s="1">
        <v>45315</v>
      </c>
      <c r="B1013">
        <v>1343.88</v>
      </c>
    </row>
    <row r="1014" spans="1:2" x14ac:dyDescent="0.3">
      <c r="A1014" s="1">
        <v>45316</v>
      </c>
      <c r="B1014">
        <v>1353.07</v>
      </c>
    </row>
    <row r="1015" spans="1:2" x14ac:dyDescent="0.3">
      <c r="A1015" s="1">
        <v>45320</v>
      </c>
      <c r="B1015">
        <v>1448.05</v>
      </c>
    </row>
    <row r="1016" spans="1:2" x14ac:dyDescent="0.3">
      <c r="A1016" s="1">
        <v>45321</v>
      </c>
      <c r="B1016">
        <v>1407.63</v>
      </c>
    </row>
    <row r="1017" spans="1:2" x14ac:dyDescent="0.3">
      <c r="A1017" s="1">
        <v>45322</v>
      </c>
      <c r="B1017">
        <v>1426.63</v>
      </c>
    </row>
    <row r="1018" spans="1:2" x14ac:dyDescent="0.3">
      <c r="A1018" s="1">
        <v>45323</v>
      </c>
      <c r="B1018">
        <v>1426.65</v>
      </c>
    </row>
    <row r="1019" spans="1:2" x14ac:dyDescent="0.3">
      <c r="A1019" s="1">
        <v>45324</v>
      </c>
      <c r="B1019">
        <v>1457.7</v>
      </c>
    </row>
    <row r="1020" spans="1:2" x14ac:dyDescent="0.3">
      <c r="A1020" s="1">
        <v>45327</v>
      </c>
      <c r="B1020">
        <v>1439.03</v>
      </c>
    </row>
    <row r="1021" spans="1:2" x14ac:dyDescent="0.3">
      <c r="A1021" s="1">
        <v>45328</v>
      </c>
      <c r="B1021">
        <v>1427.8</v>
      </c>
    </row>
    <row r="1022" spans="1:2" x14ac:dyDescent="0.3">
      <c r="A1022" s="1">
        <v>45329</v>
      </c>
      <c r="B1022">
        <v>1442.15</v>
      </c>
    </row>
    <row r="1023" spans="1:2" x14ac:dyDescent="0.3">
      <c r="A1023" s="1">
        <v>45330</v>
      </c>
      <c r="B1023">
        <v>1450.13</v>
      </c>
    </row>
    <row r="1024" spans="1:2" x14ac:dyDescent="0.3">
      <c r="A1024" s="1">
        <v>45331</v>
      </c>
      <c r="B1024">
        <v>1460.75</v>
      </c>
    </row>
    <row r="1025" spans="1:2" x14ac:dyDescent="0.3">
      <c r="A1025" s="1">
        <v>45334</v>
      </c>
      <c r="B1025">
        <v>1452.35</v>
      </c>
    </row>
    <row r="1026" spans="1:2" x14ac:dyDescent="0.3">
      <c r="A1026" s="1">
        <v>45335</v>
      </c>
      <c r="B1026">
        <v>1465.1</v>
      </c>
    </row>
    <row r="1027" spans="1:2" x14ac:dyDescent="0.3">
      <c r="A1027" s="1">
        <v>45336</v>
      </c>
      <c r="B1027">
        <v>1481.38</v>
      </c>
    </row>
    <row r="1028" spans="1:2" x14ac:dyDescent="0.3">
      <c r="A1028" s="1">
        <v>45337</v>
      </c>
      <c r="B1028">
        <v>1470.6</v>
      </c>
    </row>
    <row r="1029" spans="1:2" x14ac:dyDescent="0.3">
      <c r="A1029" s="1">
        <v>45338</v>
      </c>
      <c r="B1029">
        <v>1460.57</v>
      </c>
    </row>
    <row r="1030" spans="1:2" x14ac:dyDescent="0.3">
      <c r="A1030" s="1">
        <v>45341</v>
      </c>
      <c r="B1030">
        <v>1474</v>
      </c>
    </row>
    <row r="1031" spans="1:2" x14ac:dyDescent="0.3">
      <c r="A1031" s="1">
        <v>45342</v>
      </c>
      <c r="B1031">
        <v>1471.03</v>
      </c>
    </row>
    <row r="1032" spans="1:2" x14ac:dyDescent="0.3">
      <c r="A1032" s="1">
        <v>45343</v>
      </c>
      <c r="B1032">
        <v>1467.7</v>
      </c>
    </row>
    <row r="1033" spans="1:2" x14ac:dyDescent="0.3">
      <c r="A1033" s="1">
        <v>45344</v>
      </c>
      <c r="B1033">
        <v>1481.75</v>
      </c>
    </row>
    <row r="1034" spans="1:2" x14ac:dyDescent="0.3">
      <c r="A1034" s="1">
        <v>45345</v>
      </c>
      <c r="B1034">
        <v>1493.63</v>
      </c>
    </row>
    <row r="1035" spans="1:2" x14ac:dyDescent="0.3">
      <c r="A1035" s="1">
        <v>45348</v>
      </c>
      <c r="B1035">
        <v>1487.32</v>
      </c>
    </row>
    <row r="1036" spans="1:2" x14ac:dyDescent="0.3">
      <c r="A1036" s="1">
        <v>45349</v>
      </c>
      <c r="B1036">
        <v>1485.65</v>
      </c>
    </row>
    <row r="1037" spans="1:2" x14ac:dyDescent="0.3">
      <c r="A1037" s="1">
        <v>45350</v>
      </c>
      <c r="B1037">
        <v>1455.63</v>
      </c>
    </row>
    <row r="1038" spans="1:2" x14ac:dyDescent="0.3">
      <c r="A1038" s="1">
        <v>45351</v>
      </c>
      <c r="B1038">
        <v>1460.8</v>
      </c>
    </row>
    <row r="1039" spans="1:2" x14ac:dyDescent="0.3">
      <c r="A1039" s="1">
        <v>45352</v>
      </c>
      <c r="B1039">
        <v>1492.13</v>
      </c>
    </row>
    <row r="1040" spans="1:2" x14ac:dyDescent="0.3">
      <c r="A1040" s="1">
        <v>45353</v>
      </c>
      <c r="B1040">
        <v>1491.08</v>
      </c>
    </row>
    <row r="1041" spans="1:2" x14ac:dyDescent="0.3">
      <c r="A1041" s="1">
        <v>45355</v>
      </c>
      <c r="B1041">
        <v>1507.4</v>
      </c>
    </row>
    <row r="1042" spans="1:2" x14ac:dyDescent="0.3">
      <c r="A1042" s="1">
        <v>45356</v>
      </c>
      <c r="B1042">
        <v>1500.2</v>
      </c>
    </row>
    <row r="1043" spans="1:2" x14ac:dyDescent="0.3">
      <c r="A1043" s="1">
        <v>45357</v>
      </c>
      <c r="B1043">
        <v>1503</v>
      </c>
    </row>
    <row r="1044" spans="1:2" x14ac:dyDescent="0.3">
      <c r="A1044" s="1">
        <v>45358</v>
      </c>
      <c r="B1044">
        <v>1478.93</v>
      </c>
    </row>
    <row r="1045" spans="1:2" x14ac:dyDescent="0.3">
      <c r="A1045" s="1">
        <v>45362</v>
      </c>
      <c r="B1045">
        <v>1466.6</v>
      </c>
    </row>
    <row r="1046" spans="1:2" x14ac:dyDescent="0.3">
      <c r="A1046" s="1">
        <v>45363</v>
      </c>
      <c r="B1046">
        <v>1475.43</v>
      </c>
    </row>
    <row r="1047" spans="1:2" x14ac:dyDescent="0.3">
      <c r="A1047" s="1">
        <v>45364</v>
      </c>
      <c r="B1047">
        <v>1432.18</v>
      </c>
    </row>
    <row r="1048" spans="1:2" x14ac:dyDescent="0.3">
      <c r="A1048" s="1">
        <v>45365</v>
      </c>
      <c r="B1048">
        <v>1431.47</v>
      </c>
    </row>
    <row r="1049" spans="1:2" x14ac:dyDescent="0.3">
      <c r="A1049" s="1">
        <v>45366</v>
      </c>
      <c r="B1049">
        <v>1418.22</v>
      </c>
    </row>
    <row r="1050" spans="1:2" x14ac:dyDescent="0.3">
      <c r="A1050" s="1">
        <v>45369</v>
      </c>
      <c r="B1050">
        <v>1439.47</v>
      </c>
    </row>
    <row r="1051" spans="1:2" x14ac:dyDescent="0.3">
      <c r="A1051" s="1">
        <v>45370</v>
      </c>
      <c r="B1051">
        <v>1425.25</v>
      </c>
    </row>
    <row r="1052" spans="1:2" x14ac:dyDescent="0.3">
      <c r="A1052" s="1">
        <v>45371</v>
      </c>
      <c r="B1052">
        <v>1443.75</v>
      </c>
    </row>
    <row r="1053" spans="1:2" x14ac:dyDescent="0.3">
      <c r="A1053" s="1">
        <v>45372</v>
      </c>
      <c r="B1053">
        <v>1450.97</v>
      </c>
    </row>
    <row r="1054" spans="1:2" x14ac:dyDescent="0.3">
      <c r="A1054" s="1">
        <v>45373</v>
      </c>
      <c r="B1054">
        <v>1455.03</v>
      </c>
    </row>
    <row r="1055" spans="1:2" x14ac:dyDescent="0.3">
      <c r="A1055" s="1">
        <v>45377</v>
      </c>
      <c r="B1055">
        <v>1441.57</v>
      </c>
    </row>
    <row r="1056" spans="1:2" x14ac:dyDescent="0.3">
      <c r="A1056" s="1">
        <v>45378</v>
      </c>
      <c r="B1056">
        <v>1492.85</v>
      </c>
    </row>
    <row r="1057" spans="1:2" x14ac:dyDescent="0.3">
      <c r="A1057" s="1">
        <v>45379</v>
      </c>
      <c r="B1057">
        <v>1485.85</v>
      </c>
    </row>
    <row r="1058" spans="1:2" x14ac:dyDescent="0.3">
      <c r="A1058" s="1">
        <v>45383</v>
      </c>
      <c r="B1058">
        <v>1484.78</v>
      </c>
    </row>
    <row r="1059" spans="1:2" x14ac:dyDescent="0.3">
      <c r="A1059" s="1">
        <v>45384</v>
      </c>
      <c r="B1059">
        <v>1486.95</v>
      </c>
    </row>
    <row r="1060" spans="1:2" x14ac:dyDescent="0.3">
      <c r="A1060" s="1">
        <v>45385</v>
      </c>
      <c r="B1060">
        <v>1471.6</v>
      </c>
    </row>
    <row r="1061" spans="1:2" x14ac:dyDescent="0.3">
      <c r="A1061" s="1">
        <v>45386</v>
      </c>
      <c r="B1061">
        <v>1462.93</v>
      </c>
    </row>
    <row r="1062" spans="1:2" x14ac:dyDescent="0.3">
      <c r="A1062" s="1">
        <v>45387</v>
      </c>
      <c r="B1062">
        <v>1460.1</v>
      </c>
    </row>
    <row r="1063" spans="1:2" x14ac:dyDescent="0.3">
      <c r="A1063" s="1">
        <v>45390</v>
      </c>
      <c r="B1063">
        <v>1485.97</v>
      </c>
    </row>
    <row r="1064" spans="1:2" x14ac:dyDescent="0.3">
      <c r="A1064" s="1">
        <v>45391</v>
      </c>
      <c r="B1064">
        <v>1463.65</v>
      </c>
    </row>
    <row r="1065" spans="1:2" x14ac:dyDescent="0.3">
      <c r="A1065" s="1">
        <v>45392</v>
      </c>
      <c r="B1065">
        <v>1479.57</v>
      </c>
    </row>
    <row r="1066" spans="1:2" x14ac:dyDescent="0.3">
      <c r="A1066" s="1">
        <v>45394</v>
      </c>
      <c r="B1066">
        <v>1467.15</v>
      </c>
    </row>
    <row r="1067" spans="1:2" x14ac:dyDescent="0.3">
      <c r="A1067" s="1">
        <v>45397</v>
      </c>
      <c r="B1067">
        <v>1464.82</v>
      </c>
    </row>
    <row r="1068" spans="1:2" x14ac:dyDescent="0.3">
      <c r="A1068" s="1">
        <v>45398</v>
      </c>
      <c r="B1068">
        <v>1465.75</v>
      </c>
    </row>
    <row r="1069" spans="1:2" x14ac:dyDescent="0.3">
      <c r="A1069" s="1">
        <v>45400</v>
      </c>
      <c r="B1069">
        <v>1464.32</v>
      </c>
    </row>
    <row r="1070" spans="1:2" x14ac:dyDescent="0.3">
      <c r="A1070" s="1">
        <v>45401</v>
      </c>
      <c r="B1070">
        <v>1470.13</v>
      </c>
    </row>
    <row r="1071" spans="1:2" x14ac:dyDescent="0.3">
      <c r="A1071" s="1">
        <v>45404</v>
      </c>
      <c r="B1071">
        <v>1479.85</v>
      </c>
    </row>
    <row r="1072" spans="1:2" x14ac:dyDescent="0.3">
      <c r="A1072" s="1">
        <v>45405</v>
      </c>
      <c r="B1072">
        <v>1459.32</v>
      </c>
    </row>
    <row r="1073" spans="1:2" x14ac:dyDescent="0.3">
      <c r="A1073" s="1">
        <v>45406</v>
      </c>
      <c r="B1073">
        <v>1450.18</v>
      </c>
    </row>
    <row r="1074" spans="1:2" x14ac:dyDescent="0.3">
      <c r="A1074" s="1">
        <v>45407</v>
      </c>
      <c r="B1074">
        <v>1459.97</v>
      </c>
    </row>
    <row r="1075" spans="1:2" x14ac:dyDescent="0.3">
      <c r="A1075" s="1">
        <v>45408</v>
      </c>
      <c r="B1075">
        <v>1452.55</v>
      </c>
    </row>
    <row r="1076" spans="1:2" x14ac:dyDescent="0.3">
      <c r="A1076" s="1">
        <v>45411</v>
      </c>
      <c r="B1076">
        <v>1465.03</v>
      </c>
    </row>
    <row r="1077" spans="1:2" x14ac:dyDescent="0.3">
      <c r="A1077" s="1">
        <v>45412</v>
      </c>
      <c r="B1077">
        <v>1467</v>
      </c>
    </row>
    <row r="1078" spans="1:2" x14ac:dyDescent="0.3">
      <c r="A1078" s="1">
        <v>45414</v>
      </c>
      <c r="B1078">
        <v>1466.55</v>
      </c>
    </row>
    <row r="1079" spans="1:2" x14ac:dyDescent="0.3">
      <c r="A1079" s="1">
        <v>45415</v>
      </c>
      <c r="B1079">
        <v>1434</v>
      </c>
    </row>
    <row r="1080" spans="1:2" x14ac:dyDescent="0.3">
      <c r="A1080" s="1">
        <v>45418</v>
      </c>
      <c r="B1080">
        <v>1419.53</v>
      </c>
    </row>
    <row r="1081" spans="1:2" x14ac:dyDescent="0.3">
      <c r="A1081" s="1">
        <v>45419</v>
      </c>
      <c r="B1081">
        <v>1401.47</v>
      </c>
    </row>
    <row r="1082" spans="1:2" x14ac:dyDescent="0.3">
      <c r="A1082" s="1">
        <v>45420</v>
      </c>
      <c r="B1082">
        <v>1418.55</v>
      </c>
    </row>
    <row r="1083" spans="1:2" x14ac:dyDescent="0.3">
      <c r="A1083" s="1">
        <v>45421</v>
      </c>
      <c r="B1083">
        <v>1394.13</v>
      </c>
    </row>
    <row r="1084" spans="1:2" x14ac:dyDescent="0.3">
      <c r="A1084" s="1">
        <v>45422</v>
      </c>
      <c r="B1084">
        <v>1407.43</v>
      </c>
    </row>
    <row r="1085" spans="1:2" x14ac:dyDescent="0.3">
      <c r="A1085" s="1">
        <v>45425</v>
      </c>
      <c r="B1085">
        <v>1402.7</v>
      </c>
    </row>
    <row r="1086" spans="1:2" x14ac:dyDescent="0.3">
      <c r="A1086" s="1">
        <v>45426</v>
      </c>
      <c r="B1086">
        <v>1420.07</v>
      </c>
    </row>
    <row r="1087" spans="1:2" x14ac:dyDescent="0.3">
      <c r="A1087" s="1">
        <v>45427</v>
      </c>
      <c r="B1087">
        <v>1416.28</v>
      </c>
    </row>
    <row r="1088" spans="1:2" x14ac:dyDescent="0.3">
      <c r="A1088" s="1">
        <v>45428</v>
      </c>
      <c r="B1088">
        <v>1425.35</v>
      </c>
    </row>
    <row r="1089" spans="1:2" x14ac:dyDescent="0.3">
      <c r="A1089" s="1">
        <v>45429</v>
      </c>
      <c r="B1089">
        <v>1435.7</v>
      </c>
    </row>
    <row r="1090" spans="1:2" x14ac:dyDescent="0.3">
      <c r="A1090" s="1">
        <v>45430</v>
      </c>
      <c r="B1090">
        <v>1434.83</v>
      </c>
    </row>
    <row r="1091" spans="1:2" x14ac:dyDescent="0.3">
      <c r="A1091" s="1">
        <v>45433</v>
      </c>
      <c r="B1091">
        <v>1436.13</v>
      </c>
    </row>
    <row r="1092" spans="1:2" x14ac:dyDescent="0.3">
      <c r="A1092" s="1">
        <v>45434</v>
      </c>
      <c r="B1092">
        <v>1460.65</v>
      </c>
    </row>
    <row r="1093" spans="1:2" x14ac:dyDescent="0.3">
      <c r="A1093" s="1">
        <v>45435</v>
      </c>
      <c r="B1093">
        <v>1486.05</v>
      </c>
    </row>
    <row r="1094" spans="1:2" x14ac:dyDescent="0.3">
      <c r="A1094" s="1">
        <v>45436</v>
      </c>
      <c r="B1094">
        <v>1480.25</v>
      </c>
    </row>
    <row r="1095" spans="1:2" x14ac:dyDescent="0.3">
      <c r="A1095" s="1">
        <v>45439</v>
      </c>
      <c r="B1095">
        <v>1466.25</v>
      </c>
    </row>
    <row r="1096" spans="1:2" x14ac:dyDescent="0.3">
      <c r="A1096" s="1">
        <v>45440</v>
      </c>
      <c r="B1096">
        <v>1456.2</v>
      </c>
    </row>
    <row r="1097" spans="1:2" x14ac:dyDescent="0.3">
      <c r="A1097" s="1">
        <v>45441</v>
      </c>
      <c r="B1097">
        <v>1440.78</v>
      </c>
    </row>
    <row r="1098" spans="1:2" x14ac:dyDescent="0.3">
      <c r="A1098" s="1">
        <v>45442</v>
      </c>
      <c r="B1098">
        <v>1424.85</v>
      </c>
    </row>
    <row r="1099" spans="1:2" x14ac:dyDescent="0.3">
      <c r="A1099" s="1">
        <v>45443</v>
      </c>
      <c r="B1099">
        <v>1430.4</v>
      </c>
    </row>
    <row r="1100" spans="1:2" x14ac:dyDescent="0.3">
      <c r="A1100" s="1">
        <v>45446</v>
      </c>
      <c r="B1100">
        <v>1510.32</v>
      </c>
    </row>
    <row r="1101" spans="1:2" x14ac:dyDescent="0.3">
      <c r="A1101" s="1">
        <v>45447</v>
      </c>
      <c r="B1101">
        <v>1397.28</v>
      </c>
    </row>
    <row r="1102" spans="1:2" x14ac:dyDescent="0.3">
      <c r="A1102" s="1">
        <v>45448</v>
      </c>
      <c r="B1102">
        <v>1420.75</v>
      </c>
    </row>
    <row r="1103" spans="1:2" x14ac:dyDescent="0.3">
      <c r="A1103" s="1">
        <v>45449</v>
      </c>
      <c r="B1103">
        <v>1431.6</v>
      </c>
    </row>
    <row r="1104" spans="1:2" x14ac:dyDescent="0.3">
      <c r="A1104" s="1">
        <v>45450</v>
      </c>
      <c r="B1104">
        <v>1469.95</v>
      </c>
    </row>
    <row r="1105" spans="1:2" x14ac:dyDescent="0.3">
      <c r="A1105" s="1">
        <v>45453</v>
      </c>
      <c r="B1105">
        <v>1471.4</v>
      </c>
    </row>
    <row r="1106" spans="1:2" x14ac:dyDescent="0.3">
      <c r="A1106" s="1">
        <v>45454</v>
      </c>
      <c r="B1106">
        <v>1456.68</v>
      </c>
    </row>
    <row r="1107" spans="1:2" x14ac:dyDescent="0.3">
      <c r="A1107" s="1">
        <v>45455</v>
      </c>
      <c r="B1107">
        <v>1463.32</v>
      </c>
    </row>
    <row r="1108" spans="1:2" x14ac:dyDescent="0.3">
      <c r="A1108" s="1">
        <v>45456</v>
      </c>
      <c r="B1108">
        <v>1465.25</v>
      </c>
    </row>
    <row r="1109" spans="1:2" x14ac:dyDescent="0.3">
      <c r="A1109" s="1">
        <v>45457</v>
      </c>
      <c r="B1109">
        <v>1477.55</v>
      </c>
    </row>
    <row r="1110" spans="1:2" x14ac:dyDescent="0.3">
      <c r="A1110" s="1">
        <v>45461</v>
      </c>
      <c r="B1110">
        <v>1481.03</v>
      </c>
    </row>
    <row r="1111" spans="1:2" x14ac:dyDescent="0.3">
      <c r="A1111" s="1">
        <v>45462</v>
      </c>
      <c r="B1111">
        <v>1458.65</v>
      </c>
    </row>
    <row r="1112" spans="1:2" x14ac:dyDescent="0.3">
      <c r="A1112" s="1">
        <v>45463</v>
      </c>
      <c r="B1112">
        <v>1473.7</v>
      </c>
    </row>
    <row r="1113" spans="1:2" x14ac:dyDescent="0.3">
      <c r="A1113" s="1">
        <v>45464</v>
      </c>
      <c r="B1113">
        <v>1454.2</v>
      </c>
    </row>
    <row r="1114" spans="1:2" x14ac:dyDescent="0.3">
      <c r="A1114" s="1">
        <v>45467</v>
      </c>
      <c r="B1114">
        <v>1441.47</v>
      </c>
    </row>
    <row r="1115" spans="1:2" x14ac:dyDescent="0.3">
      <c r="A1115" s="1">
        <v>45468</v>
      </c>
      <c r="B1115">
        <v>1454.15</v>
      </c>
    </row>
    <row r="1116" spans="1:2" x14ac:dyDescent="0.3">
      <c r="A1116" s="1">
        <v>45469</v>
      </c>
      <c r="B1116">
        <v>1514.03</v>
      </c>
    </row>
    <row r="1117" spans="1:2" x14ac:dyDescent="0.3">
      <c r="A1117" s="1">
        <v>45470</v>
      </c>
      <c r="B1117">
        <v>1530.55</v>
      </c>
    </row>
    <row r="1118" spans="1:2" x14ac:dyDescent="0.3">
      <c r="A1118" s="1">
        <v>45471</v>
      </c>
      <c r="B1118">
        <v>1565.4</v>
      </c>
    </row>
    <row r="1119" spans="1:2" x14ac:dyDescent="0.3">
      <c r="A1119" s="1">
        <v>45474</v>
      </c>
      <c r="B1119">
        <v>1560.15</v>
      </c>
    </row>
    <row r="1120" spans="1:2" x14ac:dyDescent="0.3">
      <c r="A1120" s="1">
        <v>45475</v>
      </c>
      <c r="B1120">
        <v>1565.18</v>
      </c>
    </row>
    <row r="1121" spans="1:2" x14ac:dyDescent="0.3">
      <c r="A1121" s="1">
        <v>45476</v>
      </c>
      <c r="B1121">
        <v>1552.43</v>
      </c>
    </row>
    <row r="1122" spans="1:2" x14ac:dyDescent="0.3">
      <c r="A1122" s="1">
        <v>45477</v>
      </c>
      <c r="B1122">
        <v>1554.03</v>
      </c>
    </row>
    <row r="1123" spans="1:2" x14ac:dyDescent="0.3">
      <c r="A1123" s="1">
        <v>45478</v>
      </c>
      <c r="B1123">
        <v>1588.63</v>
      </c>
    </row>
    <row r="1124" spans="1:2" x14ac:dyDescent="0.3">
      <c r="A1124" s="1">
        <v>45481</v>
      </c>
      <c r="B1124">
        <v>1600.9</v>
      </c>
    </row>
    <row r="1125" spans="1:2" x14ac:dyDescent="0.3">
      <c r="A1125" s="1">
        <v>45482</v>
      </c>
      <c r="B1125">
        <v>1590.28</v>
      </c>
    </row>
    <row r="1126" spans="1:2" x14ac:dyDescent="0.3">
      <c r="A1126" s="1">
        <v>45483</v>
      </c>
      <c r="B1126">
        <v>1584.22</v>
      </c>
    </row>
    <row r="1127" spans="1:2" x14ac:dyDescent="0.3">
      <c r="A1127" s="1">
        <v>45484</v>
      </c>
      <c r="B1127">
        <v>1580.65</v>
      </c>
    </row>
    <row r="1128" spans="1:2" x14ac:dyDescent="0.3">
      <c r="A1128" s="1">
        <v>45485</v>
      </c>
      <c r="B1128">
        <v>1596.72</v>
      </c>
    </row>
    <row r="1129" spans="1:2" x14ac:dyDescent="0.3">
      <c r="A1129" s="1">
        <v>45488</v>
      </c>
      <c r="B1129">
        <v>1597.22</v>
      </c>
    </row>
    <row r="1130" spans="1:2" x14ac:dyDescent="0.3">
      <c r="A1130" s="1">
        <v>45489</v>
      </c>
      <c r="B1130">
        <v>1576.25</v>
      </c>
    </row>
    <row r="1131" spans="1:2" x14ac:dyDescent="0.3">
      <c r="A1131" s="1">
        <v>45491</v>
      </c>
      <c r="B1131">
        <v>1586.68</v>
      </c>
    </row>
    <row r="1132" spans="1:2" x14ac:dyDescent="0.3">
      <c r="A1132" s="1">
        <v>45492</v>
      </c>
      <c r="B1132">
        <v>1555.15</v>
      </c>
    </row>
    <row r="1133" spans="1:2" x14ac:dyDescent="0.3">
      <c r="A1133" s="1">
        <v>45495</v>
      </c>
      <c r="B1133">
        <v>1500.68</v>
      </c>
    </row>
    <row r="1134" spans="1:2" x14ac:dyDescent="0.3">
      <c r="A1134" s="1">
        <v>45496</v>
      </c>
      <c r="B1134">
        <v>1487.9</v>
      </c>
    </row>
    <row r="1135" spans="1:2" x14ac:dyDescent="0.3">
      <c r="A1135" s="1">
        <v>45497</v>
      </c>
      <c r="B1135">
        <v>1495.7</v>
      </c>
    </row>
    <row r="1136" spans="1:2" x14ac:dyDescent="0.3">
      <c r="A1136" s="1">
        <v>45498</v>
      </c>
      <c r="B1136">
        <v>1492.4</v>
      </c>
    </row>
    <row r="1137" spans="1:2" x14ac:dyDescent="0.3">
      <c r="A1137" s="1">
        <v>45499</v>
      </c>
      <c r="B1137">
        <v>1509.03</v>
      </c>
    </row>
    <row r="1138" spans="1:2" x14ac:dyDescent="0.3">
      <c r="A1138" s="1">
        <v>45502</v>
      </c>
      <c r="B1138">
        <v>1520.1</v>
      </c>
    </row>
    <row r="1139" spans="1:2" x14ac:dyDescent="0.3">
      <c r="A1139" s="1">
        <v>45503</v>
      </c>
      <c r="B1139">
        <v>1513.15</v>
      </c>
    </row>
    <row r="1140" spans="1:2" x14ac:dyDescent="0.3">
      <c r="A1140" s="1">
        <v>45504</v>
      </c>
      <c r="B1140">
        <v>1505.43</v>
      </c>
    </row>
    <row r="1141" spans="1:2" x14ac:dyDescent="0.3">
      <c r="A1141" s="1">
        <v>45505</v>
      </c>
      <c r="B1141">
        <v>1515.3</v>
      </c>
    </row>
    <row r="1142" spans="1:2" x14ac:dyDescent="0.3">
      <c r="A1142" s="1">
        <v>45506</v>
      </c>
      <c r="B1142">
        <v>1499.32</v>
      </c>
    </row>
    <row r="1143" spans="1:2" x14ac:dyDescent="0.3">
      <c r="A1143" s="1">
        <v>45509</v>
      </c>
      <c r="B1143">
        <v>1447.32</v>
      </c>
    </row>
    <row r="1144" spans="1:2" x14ac:dyDescent="0.3">
      <c r="A1144" s="1">
        <v>45510</v>
      </c>
      <c r="B1144">
        <v>1456.05</v>
      </c>
    </row>
    <row r="1145" spans="1:2" x14ac:dyDescent="0.3">
      <c r="A1145" s="1">
        <v>45511</v>
      </c>
      <c r="B1145">
        <v>1464.82</v>
      </c>
    </row>
    <row r="1146" spans="1:2" x14ac:dyDescent="0.3">
      <c r="A1146" s="1">
        <v>45512</v>
      </c>
      <c r="B1146">
        <v>1449.13</v>
      </c>
    </row>
    <row r="1147" spans="1:2" x14ac:dyDescent="0.3">
      <c r="A1147" s="1">
        <v>45513</v>
      </c>
      <c r="B1147">
        <v>1474.3</v>
      </c>
    </row>
    <row r="1148" spans="1:2" x14ac:dyDescent="0.3">
      <c r="A1148" s="1">
        <v>45516</v>
      </c>
      <c r="B1148">
        <v>1460.63</v>
      </c>
    </row>
    <row r="1149" spans="1:2" x14ac:dyDescent="0.3">
      <c r="A1149" s="1">
        <v>45517</v>
      </c>
      <c r="B1149">
        <v>1463.63</v>
      </c>
    </row>
    <row r="1150" spans="1:2" x14ac:dyDescent="0.3">
      <c r="A1150" s="1">
        <v>45518</v>
      </c>
      <c r="B1150">
        <v>1461.85</v>
      </c>
    </row>
    <row r="1151" spans="1:2" x14ac:dyDescent="0.3">
      <c r="A1151" s="1">
        <v>45520</v>
      </c>
      <c r="B1151">
        <v>1478.2</v>
      </c>
    </row>
    <row r="1152" spans="1:2" x14ac:dyDescent="0.3">
      <c r="A1152" s="1">
        <v>45523</v>
      </c>
      <c r="B1152">
        <v>1488.4</v>
      </c>
    </row>
    <row r="1153" spans="1:2" x14ac:dyDescent="0.3">
      <c r="A1153" s="1">
        <v>45524</v>
      </c>
      <c r="B1153">
        <v>1495.95</v>
      </c>
    </row>
    <row r="1154" spans="1:2" x14ac:dyDescent="0.3">
      <c r="A1154" s="1">
        <v>45525</v>
      </c>
      <c r="B1154">
        <v>1498.68</v>
      </c>
    </row>
    <row r="1155" spans="1:2" x14ac:dyDescent="0.3">
      <c r="A1155" s="1">
        <v>45526</v>
      </c>
      <c r="B1155">
        <v>1498.13</v>
      </c>
    </row>
    <row r="1156" spans="1:2" x14ac:dyDescent="0.3">
      <c r="A1156" s="1">
        <v>45527</v>
      </c>
      <c r="B1156">
        <v>1499.97</v>
      </c>
    </row>
    <row r="1157" spans="1:2" x14ac:dyDescent="0.3">
      <c r="A1157" s="1">
        <v>45530</v>
      </c>
      <c r="B1157">
        <v>1512.6</v>
      </c>
    </row>
    <row r="1158" spans="1:2" x14ac:dyDescent="0.3">
      <c r="A1158" s="1">
        <v>45531</v>
      </c>
      <c r="B1158">
        <v>1500.45</v>
      </c>
    </row>
    <row r="1159" spans="1:2" x14ac:dyDescent="0.3">
      <c r="A1159" s="1">
        <v>45532</v>
      </c>
      <c r="B1159">
        <v>1498.3</v>
      </c>
    </row>
    <row r="1160" spans="1:2" x14ac:dyDescent="0.3">
      <c r="A1160" s="1">
        <v>45533</v>
      </c>
      <c r="B1160">
        <v>1520.93</v>
      </c>
    </row>
    <row r="1161" spans="1:2" x14ac:dyDescent="0.3">
      <c r="A1161" s="1">
        <v>45534</v>
      </c>
      <c r="B1161">
        <v>1509.63</v>
      </c>
    </row>
    <row r="1162" spans="1:2" x14ac:dyDescent="0.3">
      <c r="A1162" s="1">
        <v>45537</v>
      </c>
      <c r="B1162">
        <v>1516.25</v>
      </c>
    </row>
    <row r="1163" spans="1:2" x14ac:dyDescent="0.3">
      <c r="A1163" s="1">
        <v>45538</v>
      </c>
      <c r="B1163">
        <v>1509.13</v>
      </c>
    </row>
    <row r="1164" spans="1:2" x14ac:dyDescent="0.3">
      <c r="A1164" s="1">
        <v>45539</v>
      </c>
      <c r="B1164">
        <v>1514.55</v>
      </c>
    </row>
    <row r="1165" spans="1:2" x14ac:dyDescent="0.3">
      <c r="A1165" s="1">
        <v>45540</v>
      </c>
      <c r="B1165">
        <v>1492.97</v>
      </c>
    </row>
    <row r="1166" spans="1:2" x14ac:dyDescent="0.3">
      <c r="A1166" s="1">
        <v>45541</v>
      </c>
      <c r="B1166">
        <v>1464.82</v>
      </c>
    </row>
    <row r="1167" spans="1:2" x14ac:dyDescent="0.3">
      <c r="A1167" s="1">
        <v>45544</v>
      </c>
      <c r="B1167">
        <v>1462.45</v>
      </c>
    </row>
    <row r="1168" spans="1:2" x14ac:dyDescent="0.3">
      <c r="A1168" s="1">
        <v>45545</v>
      </c>
      <c r="B1168">
        <v>1461.53</v>
      </c>
    </row>
    <row r="1169" spans="1:2" x14ac:dyDescent="0.3">
      <c r="A1169" s="1">
        <v>45546</v>
      </c>
      <c r="B1169">
        <v>1451.5</v>
      </c>
    </row>
    <row r="1170" spans="1:2" x14ac:dyDescent="0.3">
      <c r="A1170" s="1">
        <v>45547</v>
      </c>
      <c r="B1170">
        <v>1479.8</v>
      </c>
    </row>
    <row r="1171" spans="1:2" x14ac:dyDescent="0.3">
      <c r="A1171" s="1">
        <v>45548</v>
      </c>
      <c r="B1171">
        <v>1472.63</v>
      </c>
    </row>
    <row r="1172" spans="1:2" x14ac:dyDescent="0.3">
      <c r="A1172" s="1">
        <v>45551</v>
      </c>
      <c r="B1172">
        <v>1471.35</v>
      </c>
    </row>
    <row r="1173" spans="1:2" x14ac:dyDescent="0.3">
      <c r="A1173" s="1">
        <v>45552</v>
      </c>
      <c r="B1173">
        <v>1472.3</v>
      </c>
    </row>
    <row r="1174" spans="1:2" x14ac:dyDescent="0.3">
      <c r="A1174" s="1">
        <v>45553</v>
      </c>
      <c r="B1174">
        <v>1463.45</v>
      </c>
    </row>
    <row r="1175" spans="1:2" x14ac:dyDescent="0.3">
      <c r="A1175" s="1">
        <v>45554</v>
      </c>
      <c r="B1175">
        <v>1469.68</v>
      </c>
    </row>
    <row r="1176" spans="1:2" x14ac:dyDescent="0.3">
      <c r="A1176" s="1">
        <v>45555</v>
      </c>
      <c r="B1176">
        <v>1485.93</v>
      </c>
    </row>
    <row r="1177" spans="1:2" x14ac:dyDescent="0.3">
      <c r="A1177" s="1">
        <v>45558</v>
      </c>
      <c r="B1177">
        <v>1493.38</v>
      </c>
    </row>
    <row r="1178" spans="1:2" x14ac:dyDescent="0.3">
      <c r="A1178" s="1">
        <v>45559</v>
      </c>
      <c r="B1178">
        <v>1489.38</v>
      </c>
    </row>
    <row r="1179" spans="1:2" x14ac:dyDescent="0.3">
      <c r="A1179" s="1">
        <v>45560</v>
      </c>
      <c r="B1179">
        <v>1493.95</v>
      </c>
    </row>
    <row r="1180" spans="1:2" x14ac:dyDescent="0.3">
      <c r="A1180" s="1">
        <v>45561</v>
      </c>
      <c r="B1180">
        <v>1497.95</v>
      </c>
    </row>
    <row r="1181" spans="1:2" x14ac:dyDescent="0.3">
      <c r="A1181" s="1">
        <v>45562</v>
      </c>
      <c r="B1181">
        <v>1526.18</v>
      </c>
    </row>
    <row r="1182" spans="1:2" x14ac:dyDescent="0.3">
      <c r="A1182" s="1">
        <v>45565</v>
      </c>
      <c r="B1182">
        <v>1476.57</v>
      </c>
    </row>
    <row r="1183" spans="1:2" x14ac:dyDescent="0.3">
      <c r="A1183" s="1">
        <v>45566</v>
      </c>
      <c r="B1183">
        <v>1464.82</v>
      </c>
    </row>
    <row r="1184" spans="1:2" x14ac:dyDescent="0.3">
      <c r="A1184" s="1">
        <v>45568</v>
      </c>
      <c r="B1184">
        <v>1406.97</v>
      </c>
    </row>
    <row r="1185" spans="1:2" x14ac:dyDescent="0.3">
      <c r="A1185" s="1">
        <v>45569</v>
      </c>
      <c r="B1185">
        <v>1386.53</v>
      </c>
    </row>
    <row r="1186" spans="1:2" x14ac:dyDescent="0.3">
      <c r="A1186" s="1">
        <v>45572</v>
      </c>
      <c r="B1186">
        <v>1370.72</v>
      </c>
    </row>
    <row r="1187" spans="1:2" x14ac:dyDescent="0.3">
      <c r="A1187" s="1">
        <v>45573</v>
      </c>
      <c r="B1187">
        <v>1397.35</v>
      </c>
    </row>
    <row r="1188" spans="1:2" x14ac:dyDescent="0.3">
      <c r="A1188" s="1">
        <v>45574</v>
      </c>
      <c r="B1188">
        <v>1374.6</v>
      </c>
    </row>
    <row r="1189" spans="1:2" x14ac:dyDescent="0.3">
      <c r="A1189" s="1">
        <v>45575</v>
      </c>
      <c r="B1189">
        <v>1371.05</v>
      </c>
    </row>
    <row r="1190" spans="1:2" x14ac:dyDescent="0.3">
      <c r="A1190" s="1">
        <v>45576</v>
      </c>
      <c r="B1190">
        <v>1372.1</v>
      </c>
    </row>
    <row r="1191" spans="1:2" x14ac:dyDescent="0.3">
      <c r="A1191" s="1">
        <v>45579</v>
      </c>
      <c r="B1191">
        <v>1372.53</v>
      </c>
    </row>
    <row r="1192" spans="1:2" x14ac:dyDescent="0.3">
      <c r="A1192" s="1">
        <v>45580</v>
      </c>
      <c r="B1192">
        <v>1344.03</v>
      </c>
    </row>
    <row r="1193" spans="1:2" x14ac:dyDescent="0.3">
      <c r="A1193" s="1">
        <v>45581</v>
      </c>
      <c r="B1193">
        <v>1354.07</v>
      </c>
    </row>
    <row r="1194" spans="1:2" x14ac:dyDescent="0.3">
      <c r="A1194" s="1">
        <v>45582</v>
      </c>
      <c r="B1194">
        <v>1356.43</v>
      </c>
    </row>
    <row r="1195" spans="1:2" x14ac:dyDescent="0.3">
      <c r="A1195" s="1">
        <v>45583</v>
      </c>
      <c r="B1195">
        <v>1359.3</v>
      </c>
    </row>
    <row r="1196" spans="1:2" x14ac:dyDescent="0.3">
      <c r="A1196" s="1">
        <v>45586</v>
      </c>
      <c r="B1196">
        <v>1369.2</v>
      </c>
    </row>
    <row r="1197" spans="1:2" x14ac:dyDescent="0.3">
      <c r="A1197" s="1">
        <v>45587</v>
      </c>
      <c r="B1197">
        <v>1343.35</v>
      </c>
    </row>
    <row r="1198" spans="1:2" x14ac:dyDescent="0.3">
      <c r="A1198" s="1">
        <v>45588</v>
      </c>
      <c r="B1198">
        <v>1338.53</v>
      </c>
    </row>
    <row r="1199" spans="1:2" x14ac:dyDescent="0.3">
      <c r="A1199" s="1">
        <v>45589</v>
      </c>
      <c r="B1199">
        <v>1339.8</v>
      </c>
    </row>
    <row r="1200" spans="1:2" x14ac:dyDescent="0.3">
      <c r="A1200" s="1">
        <v>45590</v>
      </c>
      <c r="B1200">
        <v>1327.85</v>
      </c>
    </row>
    <row r="1201" spans="1:2" x14ac:dyDescent="0.3">
      <c r="A1201" s="1">
        <v>45593</v>
      </c>
      <c r="B1201">
        <v>1334.35</v>
      </c>
    </row>
    <row r="1202" spans="1:2" x14ac:dyDescent="0.3">
      <c r="A1202" s="1">
        <v>45594</v>
      </c>
      <c r="B1202">
        <v>1340</v>
      </c>
    </row>
    <row r="1203" spans="1:2" x14ac:dyDescent="0.3">
      <c r="A1203" s="1">
        <v>45595</v>
      </c>
      <c r="B1203">
        <v>1343.9</v>
      </c>
    </row>
    <row r="1204" spans="1:2" x14ac:dyDescent="0.3">
      <c r="A1204" s="1">
        <v>45596</v>
      </c>
      <c r="B1204">
        <v>1332.05</v>
      </c>
    </row>
    <row r="1205" spans="1:2" x14ac:dyDescent="0.3">
      <c r="A1205" s="1">
        <v>45597</v>
      </c>
      <c r="B1205">
        <v>1338.65</v>
      </c>
    </row>
    <row r="1206" spans="1:2" x14ac:dyDescent="0.3">
      <c r="A1206" s="1">
        <v>45600</v>
      </c>
      <c r="B1206">
        <v>1302.1500000000001</v>
      </c>
    </row>
    <row r="1207" spans="1:2" x14ac:dyDescent="0.3">
      <c r="A1207" s="1">
        <v>45601</v>
      </c>
      <c r="B1207">
        <v>1305.3</v>
      </c>
    </row>
    <row r="1208" spans="1:2" x14ac:dyDescent="0.3">
      <c r="A1208" s="1">
        <v>45602</v>
      </c>
      <c r="B1208">
        <v>1325.35</v>
      </c>
    </row>
    <row r="1209" spans="1:2" x14ac:dyDescent="0.3">
      <c r="A1209" s="1">
        <v>45603</v>
      </c>
      <c r="B1209">
        <v>1305.6500000000001</v>
      </c>
    </row>
    <row r="1210" spans="1:2" x14ac:dyDescent="0.3">
      <c r="A1210" s="1">
        <v>45604</v>
      </c>
      <c r="B1210">
        <v>1283.75</v>
      </c>
    </row>
    <row r="1211" spans="1:2" x14ac:dyDescent="0.3">
      <c r="A1211" s="1">
        <v>45607</v>
      </c>
      <c r="B1211">
        <v>1272.7</v>
      </c>
    </row>
    <row r="1212" spans="1:2" x14ac:dyDescent="0.3">
      <c r="A1212" s="1">
        <v>45608</v>
      </c>
      <c r="B1212">
        <v>1274.25</v>
      </c>
    </row>
    <row r="1213" spans="1:2" x14ac:dyDescent="0.3">
      <c r="A1213" s="1">
        <v>45609</v>
      </c>
      <c r="B1213">
        <v>1252.05</v>
      </c>
    </row>
    <row r="1214" spans="1:2" x14ac:dyDescent="0.3">
      <c r="A1214" s="1">
        <v>45610</v>
      </c>
      <c r="B1214">
        <v>1267.5999999999999</v>
      </c>
    </row>
    <row r="1215" spans="1:2" x14ac:dyDescent="0.3">
      <c r="A1215" s="1">
        <v>45614</v>
      </c>
      <c r="B1215">
        <v>1260.75</v>
      </c>
    </row>
    <row r="1216" spans="1:2" x14ac:dyDescent="0.3">
      <c r="A1216" s="1">
        <v>45615</v>
      </c>
      <c r="B1216">
        <v>1241.6500000000001</v>
      </c>
    </row>
    <row r="1217" spans="1:2" x14ac:dyDescent="0.3">
      <c r="A1217" s="1">
        <v>45617</v>
      </c>
      <c r="B1217">
        <v>1223</v>
      </c>
    </row>
    <row r="1218" spans="1:2" x14ac:dyDescent="0.3">
      <c r="A1218" s="1">
        <v>45618</v>
      </c>
      <c r="B1218">
        <v>1265.4000000000001</v>
      </c>
    </row>
    <row r="1219" spans="1:2" x14ac:dyDescent="0.3">
      <c r="A1219" s="1">
        <v>45621</v>
      </c>
      <c r="B1219">
        <v>1287</v>
      </c>
    </row>
    <row r="1220" spans="1:2" x14ac:dyDescent="0.3">
      <c r="A1220" s="1">
        <v>45622</v>
      </c>
      <c r="B1220">
        <v>1295.7</v>
      </c>
    </row>
    <row r="1221" spans="1:2" x14ac:dyDescent="0.3">
      <c r="A1221" s="1">
        <v>45623</v>
      </c>
      <c r="B1221">
        <v>1293.2</v>
      </c>
    </row>
    <row r="1222" spans="1:2" x14ac:dyDescent="0.3">
      <c r="A1222" s="1">
        <v>45624</v>
      </c>
      <c r="B1222">
        <v>1270.8</v>
      </c>
    </row>
    <row r="1223" spans="1:2" x14ac:dyDescent="0.3">
      <c r="A1223" s="1">
        <v>45625</v>
      </c>
      <c r="B1223">
        <v>1292.2</v>
      </c>
    </row>
    <row r="1224" spans="1:2" x14ac:dyDescent="0.3">
      <c r="A1224" s="1">
        <v>45628</v>
      </c>
      <c r="B1224">
        <v>1309.1500000000001</v>
      </c>
    </row>
    <row r="1225" spans="1:2" x14ac:dyDescent="0.3">
      <c r="A1225" s="1">
        <v>45629</v>
      </c>
      <c r="B1225">
        <v>1323.3</v>
      </c>
    </row>
    <row r="1226" spans="1:2" x14ac:dyDescent="0.3">
      <c r="A1226" s="1">
        <v>45630</v>
      </c>
      <c r="B1226">
        <v>1308.95</v>
      </c>
    </row>
    <row r="1227" spans="1:2" x14ac:dyDescent="0.3">
      <c r="A1227" s="1">
        <v>45631</v>
      </c>
      <c r="B1227">
        <v>1322.05</v>
      </c>
    </row>
    <row r="1228" spans="1:2" x14ac:dyDescent="0.3">
      <c r="A1228" s="1">
        <v>45632</v>
      </c>
      <c r="B1228">
        <v>1311.55</v>
      </c>
    </row>
    <row r="1229" spans="1:2" x14ac:dyDescent="0.3">
      <c r="A1229" s="1">
        <v>45635</v>
      </c>
      <c r="B1229">
        <v>1295.1500000000001</v>
      </c>
    </row>
    <row r="1230" spans="1:2" x14ac:dyDescent="0.3">
      <c r="A1230" s="1">
        <v>45636</v>
      </c>
      <c r="B1230">
        <v>1284.8499999999999</v>
      </c>
    </row>
    <row r="1231" spans="1:2" x14ac:dyDescent="0.3">
      <c r="A1231" s="1">
        <v>45637</v>
      </c>
      <c r="B1231">
        <v>1278.2</v>
      </c>
    </row>
    <row r="1232" spans="1:2" x14ac:dyDescent="0.3">
      <c r="A1232" s="1">
        <v>45638</v>
      </c>
      <c r="B1232">
        <v>1262.9000000000001</v>
      </c>
    </row>
    <row r="1233" spans="1:2" x14ac:dyDescent="0.3">
      <c r="A1233" s="1">
        <v>45639</v>
      </c>
      <c r="B1233">
        <v>1272.8499999999999</v>
      </c>
    </row>
    <row r="1234" spans="1:2" x14ac:dyDescent="0.3">
      <c r="A1234" s="1">
        <v>45642</v>
      </c>
      <c r="B1234">
        <v>1268.3</v>
      </c>
    </row>
    <row r="1235" spans="1:2" x14ac:dyDescent="0.3">
      <c r="A1235" s="1">
        <v>45643</v>
      </c>
      <c r="B1235">
        <v>1245.3</v>
      </c>
    </row>
    <row r="1236" spans="1:2" x14ac:dyDescent="0.3">
      <c r="A1236" s="1">
        <v>45644</v>
      </c>
      <c r="B1236">
        <v>1253.25</v>
      </c>
    </row>
    <row r="1237" spans="1:2" x14ac:dyDescent="0.3">
      <c r="A1237" s="1">
        <v>45645</v>
      </c>
      <c r="B1237">
        <v>1230.45</v>
      </c>
    </row>
    <row r="1238" spans="1:2" x14ac:dyDescent="0.3">
      <c r="A1238" s="1">
        <v>45646</v>
      </c>
      <c r="B1238">
        <v>1205.3</v>
      </c>
    </row>
    <row r="1239" spans="1:2" x14ac:dyDescent="0.3">
      <c r="A1239" s="1">
        <v>45649</v>
      </c>
      <c r="B1239">
        <v>1222.3</v>
      </c>
    </row>
    <row r="1240" spans="1:2" x14ac:dyDescent="0.3">
      <c r="A1240" s="1">
        <v>45650</v>
      </c>
      <c r="B1240">
        <v>1222.75</v>
      </c>
    </row>
    <row r="1241" spans="1:2" x14ac:dyDescent="0.3">
      <c r="A1241" s="1">
        <v>45652</v>
      </c>
      <c r="B1241">
        <v>1216.55</v>
      </c>
    </row>
    <row r="1242" spans="1:2" x14ac:dyDescent="0.3">
      <c r="A1242" s="1">
        <v>45653</v>
      </c>
      <c r="B1242">
        <v>1221.05</v>
      </c>
    </row>
    <row r="1243" spans="1:2" x14ac:dyDescent="0.3">
      <c r="A1243" s="1">
        <v>45656</v>
      </c>
      <c r="B1243">
        <v>1210.7</v>
      </c>
    </row>
    <row r="1244" spans="1:2" x14ac:dyDescent="0.3">
      <c r="A1244" s="1">
        <v>45657</v>
      </c>
      <c r="B1244">
        <v>1215.45</v>
      </c>
    </row>
    <row r="1245" spans="1:2" x14ac:dyDescent="0.3">
      <c r="A1245" s="1">
        <v>45658</v>
      </c>
      <c r="B1245">
        <v>1221.25</v>
      </c>
    </row>
    <row r="1246" spans="1:2" x14ac:dyDescent="0.3">
      <c r="A1246" s="1">
        <v>45659</v>
      </c>
      <c r="B1246">
        <v>1241.8</v>
      </c>
    </row>
    <row r="1247" spans="1:2" x14ac:dyDescent="0.3">
      <c r="A1247" s="1">
        <v>45660</v>
      </c>
      <c r="B1247">
        <v>1251.1500000000001</v>
      </c>
    </row>
    <row r="1248" spans="1:2" x14ac:dyDescent="0.3">
      <c r="A1248" s="1">
        <v>45663</v>
      </c>
      <c r="B1248">
        <v>1218</v>
      </c>
    </row>
    <row r="1249" spans="1:2" x14ac:dyDescent="0.3">
      <c r="A1249" s="1">
        <v>45664</v>
      </c>
      <c r="B1249">
        <v>1240.8499999999999</v>
      </c>
    </row>
    <row r="1250" spans="1:2" x14ac:dyDescent="0.3">
      <c r="A1250" s="1">
        <v>45665</v>
      </c>
      <c r="B1250">
        <v>1265.5</v>
      </c>
    </row>
    <row r="1251" spans="1:2" x14ac:dyDescent="0.3">
      <c r="A1251" s="1">
        <v>45666</v>
      </c>
      <c r="B1251">
        <v>1254.75</v>
      </c>
    </row>
    <row r="1252" spans="1:2" x14ac:dyDescent="0.3">
      <c r="A1252" s="1">
        <v>45667</v>
      </c>
      <c r="B1252">
        <v>1241.9000000000001</v>
      </c>
    </row>
    <row r="1253" spans="1:2" x14ac:dyDescent="0.3">
      <c r="A1253" s="1">
        <v>45670</v>
      </c>
      <c r="B1253">
        <v>1239.8499999999999</v>
      </c>
    </row>
    <row r="1254" spans="1:2" x14ac:dyDescent="0.3">
      <c r="A1254" s="1">
        <v>45671</v>
      </c>
      <c r="B1254">
        <v>1238.75</v>
      </c>
    </row>
    <row r="1255" spans="1:2" x14ac:dyDescent="0.3">
      <c r="A1255" s="1">
        <v>45672</v>
      </c>
      <c r="B1255">
        <v>1252.2</v>
      </c>
    </row>
    <row r="1256" spans="1:2" x14ac:dyDescent="0.3">
      <c r="A1256" s="1">
        <v>45673</v>
      </c>
      <c r="B1256">
        <v>1266.45</v>
      </c>
    </row>
    <row r="1257" spans="1:2" x14ac:dyDescent="0.3">
      <c r="A1257" s="1">
        <v>45674</v>
      </c>
      <c r="B1257">
        <v>1302.3499999999999</v>
      </c>
    </row>
    <row r="1258" spans="1:2" x14ac:dyDescent="0.3">
      <c r="A1258" s="1">
        <v>45677</v>
      </c>
      <c r="B1258">
        <v>1305.45</v>
      </c>
    </row>
    <row r="1259" spans="1:2" x14ac:dyDescent="0.3">
      <c r="A1259" s="1">
        <v>45678</v>
      </c>
      <c r="B1259">
        <v>1273.7</v>
      </c>
    </row>
    <row r="1260" spans="1:2" x14ac:dyDescent="0.3">
      <c r="A1260" s="1">
        <v>45679</v>
      </c>
      <c r="B1260">
        <v>1277.0999999999999</v>
      </c>
    </row>
    <row r="1261" spans="1:2" x14ac:dyDescent="0.3">
      <c r="A1261" s="1">
        <v>45680</v>
      </c>
      <c r="B1261">
        <v>1263.6500000000001</v>
      </c>
    </row>
    <row r="1262" spans="1:2" x14ac:dyDescent="0.3">
      <c r="A1262" s="1">
        <v>45681</v>
      </c>
      <c r="B1262">
        <v>1246.3</v>
      </c>
    </row>
    <row r="1263" spans="1:2" x14ac:dyDescent="0.3">
      <c r="A1263" s="1">
        <v>45684</v>
      </c>
      <c r="B1263">
        <v>1229.3499999999999</v>
      </c>
    </row>
    <row r="1264" spans="1:2" x14ac:dyDescent="0.3">
      <c r="A1264" s="1">
        <v>45685</v>
      </c>
      <c r="B1264">
        <v>1234.4000000000001</v>
      </c>
    </row>
    <row r="1265" spans="1:2" x14ac:dyDescent="0.3">
      <c r="A1265" s="1">
        <v>45686</v>
      </c>
      <c r="B1265">
        <v>1235.5</v>
      </c>
    </row>
    <row r="1266" spans="1:2" x14ac:dyDescent="0.3">
      <c r="A1266" s="1">
        <v>45687</v>
      </c>
      <c r="B1266">
        <v>1253.05</v>
      </c>
    </row>
    <row r="1267" spans="1:2" x14ac:dyDescent="0.3">
      <c r="A1267" s="1">
        <v>45688</v>
      </c>
      <c r="B1267">
        <v>1265.0999999999999</v>
      </c>
    </row>
    <row r="1268" spans="1:2" x14ac:dyDescent="0.3">
      <c r="A1268" s="1">
        <v>45689</v>
      </c>
      <c r="B1268">
        <v>1264.5999999999999</v>
      </c>
    </row>
    <row r="1269" spans="1:2" x14ac:dyDescent="0.3">
      <c r="A1269" s="1">
        <v>45691</v>
      </c>
      <c r="B1269">
        <v>1245.9000000000001</v>
      </c>
    </row>
    <row r="1270" spans="1:2" x14ac:dyDescent="0.3">
      <c r="A1270" s="1">
        <v>45692</v>
      </c>
      <c r="B1270">
        <v>1285.2</v>
      </c>
    </row>
    <row r="1271" spans="1:2" x14ac:dyDescent="0.3">
      <c r="A1271" s="1">
        <v>45693</v>
      </c>
      <c r="B1271">
        <v>1278.2</v>
      </c>
    </row>
    <row r="1272" spans="1:2" x14ac:dyDescent="0.3">
      <c r="A1272" s="1">
        <v>45694</v>
      </c>
      <c r="B1272">
        <v>1281.55</v>
      </c>
    </row>
    <row r="1273" spans="1:2" x14ac:dyDescent="0.3">
      <c r="A1273" s="1">
        <v>45695</v>
      </c>
      <c r="B1273">
        <v>1266.7</v>
      </c>
    </row>
    <row r="1274" spans="1:2" x14ac:dyDescent="0.3">
      <c r="A1274" s="1">
        <v>45698</v>
      </c>
      <c r="B1274">
        <v>1253.6500000000001</v>
      </c>
    </row>
    <row r="1275" spans="1:2" x14ac:dyDescent="0.3">
      <c r="A1275" s="1">
        <v>45699</v>
      </c>
      <c r="B1275">
        <v>1234.8499999999999</v>
      </c>
    </row>
    <row r="1276" spans="1:2" x14ac:dyDescent="0.3">
      <c r="A1276" s="1">
        <v>45700</v>
      </c>
      <c r="B1276">
        <v>1216.55</v>
      </c>
    </row>
    <row r="1277" spans="1:2" x14ac:dyDescent="0.3">
      <c r="A1277" s="1">
        <v>45701</v>
      </c>
      <c r="B1277">
        <v>1216.0999999999999</v>
      </c>
    </row>
    <row r="1278" spans="1:2" x14ac:dyDescent="0.3">
      <c r="A1278" s="1">
        <v>45702</v>
      </c>
      <c r="B1278">
        <v>1217.25</v>
      </c>
    </row>
    <row r="1279" spans="1:2" x14ac:dyDescent="0.3">
      <c r="A1279" s="1">
        <v>45705</v>
      </c>
      <c r="B1279">
        <v>1224.9000000000001</v>
      </c>
    </row>
    <row r="1280" spans="1:2" x14ac:dyDescent="0.3">
      <c r="A1280" s="1">
        <v>45706</v>
      </c>
      <c r="B1280">
        <v>1225.4000000000001</v>
      </c>
    </row>
    <row r="1281" spans="1:2" x14ac:dyDescent="0.3">
      <c r="A1281" s="1">
        <v>45707</v>
      </c>
      <c r="B1281">
        <v>1227.45</v>
      </c>
    </row>
    <row r="1282" spans="1:2" x14ac:dyDescent="0.3">
      <c r="A1282" s="1">
        <v>45708</v>
      </c>
      <c r="B1282">
        <v>1233</v>
      </c>
    </row>
    <row r="1283" spans="1:2" x14ac:dyDescent="0.3">
      <c r="A1283" s="1">
        <v>45709</v>
      </c>
      <c r="B1283">
        <v>1228.1500000000001</v>
      </c>
    </row>
    <row r="1284" spans="1:2" x14ac:dyDescent="0.3">
      <c r="A1284" s="1">
        <v>45712</v>
      </c>
      <c r="B1284">
        <v>1214.55</v>
      </c>
    </row>
    <row r="1285" spans="1:2" x14ac:dyDescent="0.3">
      <c r="A1285" s="1">
        <v>45713</v>
      </c>
      <c r="B1285">
        <v>1204</v>
      </c>
    </row>
    <row r="1286" spans="1:2" x14ac:dyDescent="0.3">
      <c r="A1286" s="1">
        <v>45715</v>
      </c>
      <c r="B1286">
        <v>1207.0999999999999</v>
      </c>
    </row>
    <row r="1287" spans="1:2" x14ac:dyDescent="0.3">
      <c r="A1287" s="1">
        <v>45716</v>
      </c>
      <c r="B1287">
        <v>1200.0999999999999</v>
      </c>
    </row>
    <row r="1288" spans="1:2" x14ac:dyDescent="0.3">
      <c r="A1288" s="1">
        <v>45719</v>
      </c>
      <c r="B1288">
        <v>1171.25</v>
      </c>
    </row>
    <row r="1289" spans="1:2" x14ac:dyDescent="0.3">
      <c r="A1289" s="1">
        <v>45720</v>
      </c>
      <c r="B1289">
        <v>1161.9000000000001</v>
      </c>
    </row>
    <row r="1290" spans="1:2" x14ac:dyDescent="0.3">
      <c r="A1290" s="1">
        <v>45721</v>
      </c>
      <c r="B1290">
        <v>1175.5999999999999</v>
      </c>
    </row>
    <row r="1291" spans="1:2" x14ac:dyDescent="0.3">
      <c r="A1291" s="1">
        <v>45722</v>
      </c>
      <c r="B1291">
        <v>1209.5999999999999</v>
      </c>
    </row>
    <row r="1292" spans="1:2" x14ac:dyDescent="0.3">
      <c r="A1292" s="1">
        <v>45723</v>
      </c>
      <c r="B1292">
        <v>1249.8</v>
      </c>
    </row>
    <row r="1293" spans="1:2" x14ac:dyDescent="0.3">
      <c r="A1293" s="1">
        <v>45726</v>
      </c>
      <c r="B1293">
        <v>1238.4000000000001</v>
      </c>
    </row>
    <row r="1294" spans="1:2" x14ac:dyDescent="0.3">
      <c r="A1294" s="1">
        <v>45727</v>
      </c>
      <c r="B1294">
        <v>1247.3</v>
      </c>
    </row>
    <row r="1295" spans="1:2" x14ac:dyDescent="0.3">
      <c r="A1295" s="1">
        <v>45728</v>
      </c>
      <c r="B1295">
        <v>1257.05</v>
      </c>
    </row>
    <row r="1296" spans="1:2" x14ac:dyDescent="0.3">
      <c r="A1296" s="1">
        <v>45729</v>
      </c>
      <c r="B1296">
        <v>1247.9000000000001</v>
      </c>
    </row>
    <row r="1297" spans="1:2" x14ac:dyDescent="0.3">
      <c r="A1297" s="1">
        <v>45733</v>
      </c>
      <c r="B1297">
        <v>1238.8499999999999</v>
      </c>
    </row>
    <row r="1298" spans="1:2" x14ac:dyDescent="0.3">
      <c r="A1298" s="1">
        <v>45734</v>
      </c>
      <c r="B1298">
        <v>1238.8</v>
      </c>
    </row>
    <row r="1299" spans="1:2" x14ac:dyDescent="0.3">
      <c r="A1299" s="1">
        <v>45735</v>
      </c>
      <c r="B1299">
        <v>1247.1500000000001</v>
      </c>
    </row>
    <row r="1300" spans="1:2" x14ac:dyDescent="0.3">
      <c r="A1300" s="1">
        <v>45736</v>
      </c>
      <c r="B1300">
        <v>1269.1500000000001</v>
      </c>
    </row>
    <row r="1301" spans="1:2" x14ac:dyDescent="0.3">
      <c r="A1301" s="1">
        <v>45737</v>
      </c>
      <c r="B1301">
        <v>1276.3499999999999</v>
      </c>
    </row>
    <row r="1302" spans="1:2" x14ac:dyDescent="0.3">
      <c r="A1302" s="1">
        <v>45740</v>
      </c>
      <c r="B1302">
        <v>1302.0999999999999</v>
      </c>
    </row>
    <row r="1303" spans="1:2" x14ac:dyDescent="0.3">
      <c r="A1303" s="1">
        <v>45741</v>
      </c>
      <c r="B1303">
        <v>1285.45</v>
      </c>
    </row>
    <row r="1304" spans="1:2" x14ac:dyDescent="0.3">
      <c r="A1304" s="1">
        <v>45742</v>
      </c>
      <c r="B1304">
        <v>1273.05</v>
      </c>
    </row>
    <row r="1305" spans="1:2" x14ac:dyDescent="0.3">
      <c r="A1305" s="1">
        <v>45743</v>
      </c>
      <c r="B1305">
        <v>1278.2</v>
      </c>
    </row>
    <row r="1306" spans="1:2" x14ac:dyDescent="0.3">
      <c r="A1306" s="1">
        <v>45744</v>
      </c>
      <c r="B1306">
        <v>1275.0999999999999</v>
      </c>
    </row>
    <row r="1307" spans="1:2" x14ac:dyDescent="0.3">
      <c r="A1307" s="1">
        <v>45748</v>
      </c>
      <c r="B1307">
        <v>1252.5999999999999</v>
      </c>
    </row>
    <row r="1308" spans="1:2" x14ac:dyDescent="0.3">
      <c r="A1308" s="1">
        <v>45749</v>
      </c>
      <c r="B1308">
        <v>1251.1500000000001</v>
      </c>
    </row>
    <row r="1309" spans="1:2" x14ac:dyDescent="0.3">
      <c r="A1309" s="1">
        <v>45750</v>
      </c>
      <c r="B1309">
        <v>1248.7</v>
      </c>
    </row>
    <row r="1310" spans="1:2" x14ac:dyDescent="0.3">
      <c r="A1310" s="1">
        <v>45751</v>
      </c>
      <c r="B1310">
        <v>1204.7</v>
      </c>
    </row>
    <row r="1311" spans="1:2" x14ac:dyDescent="0.3">
      <c r="A1311" s="1">
        <v>45754</v>
      </c>
      <c r="B1311">
        <v>1165.7</v>
      </c>
    </row>
    <row r="1312" spans="1:2" x14ac:dyDescent="0.3">
      <c r="A1312" s="1">
        <v>45755</v>
      </c>
      <c r="B1312">
        <v>1182.2</v>
      </c>
    </row>
    <row r="1313" spans="1:2" x14ac:dyDescent="0.3">
      <c r="A1313" s="1">
        <v>45756</v>
      </c>
      <c r="B1313">
        <v>1185.3499999999999</v>
      </c>
    </row>
    <row r="1314" spans="1:2" x14ac:dyDescent="0.3">
      <c r="A1314" s="1">
        <v>45758</v>
      </c>
      <c r="B1314">
        <v>1218.95</v>
      </c>
    </row>
    <row r="1315" spans="1:2" x14ac:dyDescent="0.3">
      <c r="A1315" s="1">
        <v>45762</v>
      </c>
      <c r="B1315">
        <v>1240.0999999999999</v>
      </c>
    </row>
    <row r="1316" spans="1:2" x14ac:dyDescent="0.3">
      <c r="A1316" s="1">
        <v>45763</v>
      </c>
      <c r="B1316">
        <v>1239.3</v>
      </c>
    </row>
    <row r="1317" spans="1:2" x14ac:dyDescent="0.3">
      <c r="A1317" s="1">
        <v>45764</v>
      </c>
      <c r="B1317">
        <v>1274.5</v>
      </c>
    </row>
    <row r="1318" spans="1:2" x14ac:dyDescent="0.3">
      <c r="A1318" s="1">
        <v>45768</v>
      </c>
      <c r="B1318">
        <v>1295.5</v>
      </c>
    </row>
    <row r="1319" spans="1:2" x14ac:dyDescent="0.3">
      <c r="A1319" s="1">
        <v>45769</v>
      </c>
      <c r="B1319">
        <v>1291.2</v>
      </c>
    </row>
    <row r="1320" spans="1:2" x14ac:dyDescent="0.3">
      <c r="A1320" s="1">
        <v>45770</v>
      </c>
      <c r="B1320">
        <v>1300</v>
      </c>
    </row>
    <row r="1321" spans="1:2" x14ac:dyDescent="0.3">
      <c r="A1321" s="1">
        <v>45771</v>
      </c>
      <c r="B1321">
        <v>1301.5999999999999</v>
      </c>
    </row>
    <row r="1322" spans="1:2" x14ac:dyDescent="0.3">
      <c r="A1322" s="1">
        <v>45772</v>
      </c>
      <c r="B1322">
        <v>1300.4000000000001</v>
      </c>
    </row>
    <row r="1323" spans="1:2" x14ac:dyDescent="0.3">
      <c r="A1323" s="1">
        <v>45775</v>
      </c>
      <c r="B1323">
        <v>1368.8</v>
      </c>
    </row>
    <row r="1324" spans="1:2" x14ac:dyDescent="0.3">
      <c r="A1324" s="1">
        <v>45776</v>
      </c>
      <c r="B1324">
        <v>1399.7</v>
      </c>
    </row>
    <row r="1325" spans="1:2" x14ac:dyDescent="0.3">
      <c r="A1325" s="1">
        <v>45777</v>
      </c>
      <c r="B1325">
        <v>1405</v>
      </c>
    </row>
    <row r="1326" spans="1:2" x14ac:dyDescent="0.3">
      <c r="A1326" s="1">
        <v>45779</v>
      </c>
      <c r="B1326">
        <v>1422.4</v>
      </c>
    </row>
    <row r="1327" spans="1:2" x14ac:dyDescent="0.3">
      <c r="A1327" s="1">
        <v>45782</v>
      </c>
      <c r="B1327">
        <v>1431.3</v>
      </c>
    </row>
    <row r="1328" spans="1:2" x14ac:dyDescent="0.3">
      <c r="A1328" s="1">
        <v>45783</v>
      </c>
      <c r="B1328">
        <v>1420.9</v>
      </c>
    </row>
    <row r="1329" spans="1:2" x14ac:dyDescent="0.3">
      <c r="A1329" s="1">
        <v>45784</v>
      </c>
      <c r="B1329">
        <v>1406</v>
      </c>
    </row>
    <row r="1330" spans="1:2" x14ac:dyDescent="0.3">
      <c r="A1330" s="1">
        <v>45785</v>
      </c>
      <c r="B1330">
        <v>1407</v>
      </c>
    </row>
    <row r="1331" spans="1:2" x14ac:dyDescent="0.3">
      <c r="A1331" s="1">
        <v>45786</v>
      </c>
      <c r="B1331">
        <v>1377.2</v>
      </c>
    </row>
    <row r="1332" spans="1:2" x14ac:dyDescent="0.3">
      <c r="A1332" s="1">
        <v>45789</v>
      </c>
      <c r="B1332">
        <v>1436.5</v>
      </c>
    </row>
    <row r="1333" spans="1:2" x14ac:dyDescent="0.3">
      <c r="A1333" s="1">
        <v>45790</v>
      </c>
      <c r="B1333">
        <v>1415.7</v>
      </c>
    </row>
    <row r="1334" spans="1:2" x14ac:dyDescent="0.3">
      <c r="A1334" s="1">
        <v>45791</v>
      </c>
      <c r="B1334">
        <v>1424.4</v>
      </c>
    </row>
    <row r="1335" spans="1:2" x14ac:dyDescent="0.3">
      <c r="A1335" s="1">
        <v>45792</v>
      </c>
      <c r="B1335">
        <v>1454.2</v>
      </c>
    </row>
    <row r="1336" spans="1:2" x14ac:dyDescent="0.3">
      <c r="A1336" s="1">
        <v>45793</v>
      </c>
      <c r="B1336">
        <v>1456.4</v>
      </c>
    </row>
    <row r="1337" spans="1:2" x14ac:dyDescent="0.3">
      <c r="A1337" s="1">
        <v>45796</v>
      </c>
      <c r="B1337">
        <v>1440.8</v>
      </c>
    </row>
    <row r="1338" spans="1:2" x14ac:dyDescent="0.3">
      <c r="A1338" s="1">
        <v>45797</v>
      </c>
      <c r="B1338">
        <v>1424.6</v>
      </c>
    </row>
    <row r="1339" spans="1:2" x14ac:dyDescent="0.3">
      <c r="A1339" s="1">
        <v>45798</v>
      </c>
      <c r="B1339">
        <v>1429.2</v>
      </c>
    </row>
    <row r="1340" spans="1:2" x14ac:dyDescent="0.3">
      <c r="A1340" s="1">
        <v>45799</v>
      </c>
      <c r="B1340">
        <v>1409.4</v>
      </c>
    </row>
    <row r="1341" spans="1:2" x14ac:dyDescent="0.3">
      <c r="A1341" s="1">
        <v>45800</v>
      </c>
      <c r="B1341">
        <v>1426.8</v>
      </c>
    </row>
    <row r="1342" spans="1:2" x14ac:dyDescent="0.3">
      <c r="A1342" s="1">
        <v>45803</v>
      </c>
      <c r="B1342">
        <v>1434.8</v>
      </c>
    </row>
    <row r="1343" spans="1:2" x14ac:dyDescent="0.3">
      <c r="A1343" s="1">
        <v>45804</v>
      </c>
      <c r="B1343">
        <v>1422.1</v>
      </c>
    </row>
    <row r="1344" spans="1:2" x14ac:dyDescent="0.3">
      <c r="A1344" s="1">
        <v>45805</v>
      </c>
      <c r="B1344">
        <v>1412.9</v>
      </c>
    </row>
    <row r="1345" spans="1:2" x14ac:dyDescent="0.3">
      <c r="A1345" s="1">
        <v>45806</v>
      </c>
      <c r="B1345">
        <v>1417.8</v>
      </c>
    </row>
    <row r="1346" spans="1:2" x14ac:dyDescent="0.3">
      <c r="A1346" s="1">
        <v>45807</v>
      </c>
      <c r="B1346">
        <v>1420.9</v>
      </c>
    </row>
    <row r="1347" spans="1:2" x14ac:dyDescent="0.3">
      <c r="A1347" s="1">
        <v>45810</v>
      </c>
      <c r="B1347">
        <v>1413.7</v>
      </c>
    </row>
    <row r="1348" spans="1:2" x14ac:dyDescent="0.3">
      <c r="A1348" s="1">
        <v>45811</v>
      </c>
      <c r="B1348">
        <v>1405.5</v>
      </c>
    </row>
    <row r="1349" spans="1:2" x14ac:dyDescent="0.3">
      <c r="A1349" s="1">
        <v>45812</v>
      </c>
      <c r="B1349">
        <v>1423.5</v>
      </c>
    </row>
    <row r="1350" spans="1:2" x14ac:dyDescent="0.3">
      <c r="A1350" s="1">
        <v>45813</v>
      </c>
      <c r="B1350">
        <v>1442.4</v>
      </c>
    </row>
    <row r="1351" spans="1:2" x14ac:dyDescent="0.3">
      <c r="A1351" s="1">
        <v>45814</v>
      </c>
      <c r="B1351">
        <v>1443.5</v>
      </c>
    </row>
    <row r="1352" spans="1:2" x14ac:dyDescent="0.3">
      <c r="A1352" s="1">
        <v>45817</v>
      </c>
      <c r="B1352">
        <v>1448.8</v>
      </c>
    </row>
    <row r="1353" spans="1:2" x14ac:dyDescent="0.3">
      <c r="A1353" s="1">
        <v>45818</v>
      </c>
      <c r="B1353">
        <v>1438.5</v>
      </c>
    </row>
    <row r="1354" spans="1:2" x14ac:dyDescent="0.3">
      <c r="A1354" s="1">
        <v>45819</v>
      </c>
      <c r="B1354">
        <v>1448.9</v>
      </c>
    </row>
    <row r="1355" spans="1:2" x14ac:dyDescent="0.3">
      <c r="A1355" s="1">
        <v>45820</v>
      </c>
      <c r="B1355">
        <v>1441.6</v>
      </c>
    </row>
    <row r="1356" spans="1:2" x14ac:dyDescent="0.3">
      <c r="A1356" s="1">
        <v>45821</v>
      </c>
      <c r="B1356">
        <v>1427.9</v>
      </c>
    </row>
    <row r="1357" spans="1:2" x14ac:dyDescent="0.3">
      <c r="A1357" s="1">
        <v>45824</v>
      </c>
      <c r="B1357">
        <v>1437.8</v>
      </c>
    </row>
    <row r="1358" spans="1:2" x14ac:dyDescent="0.3">
      <c r="A1358" s="1">
        <v>45825</v>
      </c>
      <c r="B1358">
        <v>1431.2</v>
      </c>
    </row>
    <row r="1359" spans="1:2" x14ac:dyDescent="0.3">
      <c r="A1359" s="1">
        <v>45826</v>
      </c>
      <c r="B1359">
        <v>1430.1</v>
      </c>
    </row>
    <row r="1360" spans="1:2" x14ac:dyDescent="0.3">
      <c r="A1360" s="1">
        <v>45827</v>
      </c>
      <c r="B1360">
        <v>1433.3</v>
      </c>
    </row>
    <row r="1361" spans="1:2" x14ac:dyDescent="0.3">
      <c r="A1361" s="1">
        <v>45828</v>
      </c>
      <c r="B1361">
        <v>1466.2</v>
      </c>
    </row>
    <row r="1362" spans="1:2" x14ac:dyDescent="0.3">
      <c r="A1362" s="1">
        <v>45831</v>
      </c>
      <c r="B1362">
        <v>1456.8</v>
      </c>
    </row>
    <row r="1363" spans="1:2" x14ac:dyDescent="0.3">
      <c r="A1363" s="1">
        <v>45832</v>
      </c>
      <c r="B1363">
        <v>1450.8</v>
      </c>
    </row>
    <row r="1364" spans="1:2" x14ac:dyDescent="0.3">
      <c r="A1364" s="1">
        <v>45833</v>
      </c>
      <c r="B1364">
        <v>1467.3</v>
      </c>
    </row>
    <row r="1365" spans="1:2" x14ac:dyDescent="0.3">
      <c r="A1365" s="1">
        <v>45834</v>
      </c>
      <c r="B1365">
        <v>1495.3</v>
      </c>
    </row>
    <row r="1366" spans="1:2" x14ac:dyDescent="0.3">
      <c r="A1366" s="1">
        <v>45835</v>
      </c>
      <c r="B1366">
        <v>1515.4</v>
      </c>
    </row>
    <row r="1367" spans="1:2" x14ac:dyDescent="0.3">
      <c r="A1367" s="1">
        <v>45838</v>
      </c>
      <c r="B1367">
        <v>1500.6</v>
      </c>
    </row>
    <row r="1368" spans="1:2" x14ac:dyDescent="0.3">
      <c r="A1368" s="1">
        <v>45839</v>
      </c>
      <c r="B1368">
        <v>1528.4</v>
      </c>
    </row>
    <row r="1369" spans="1:2" x14ac:dyDescent="0.3">
      <c r="A1369" s="1">
        <v>45840</v>
      </c>
      <c r="B1369">
        <v>1518.8</v>
      </c>
    </row>
    <row r="1370" spans="1:2" x14ac:dyDescent="0.3">
      <c r="A1370" s="1">
        <v>45841</v>
      </c>
      <c r="B1370">
        <v>1517.8</v>
      </c>
    </row>
    <row r="1371" spans="1:2" x14ac:dyDescent="0.3">
      <c r="A1371" s="1">
        <v>45842</v>
      </c>
      <c r="B1371">
        <v>1527.3</v>
      </c>
    </row>
    <row r="1372" spans="1:2" x14ac:dyDescent="0.3">
      <c r="A1372" s="1">
        <v>45845</v>
      </c>
      <c r="B1372">
        <v>1541.5</v>
      </c>
    </row>
    <row r="1373" spans="1:2" x14ac:dyDescent="0.3">
      <c r="A1373" s="1">
        <v>45846</v>
      </c>
      <c r="B1373">
        <v>1537.6</v>
      </c>
    </row>
    <row r="1374" spans="1:2" x14ac:dyDescent="0.3">
      <c r="A1374" s="1">
        <v>45847</v>
      </c>
      <c r="B1374">
        <v>1519</v>
      </c>
    </row>
    <row r="1375" spans="1:2" x14ac:dyDescent="0.3">
      <c r="A1375" s="1">
        <v>45848</v>
      </c>
      <c r="B1375">
        <v>1517.2</v>
      </c>
    </row>
    <row r="1376" spans="1:2" x14ac:dyDescent="0.3">
      <c r="A1376" s="1">
        <v>45849</v>
      </c>
      <c r="B1376">
        <v>1495.2</v>
      </c>
    </row>
    <row r="1377" spans="1:2" x14ac:dyDescent="0.3">
      <c r="A1377" s="1">
        <v>45852</v>
      </c>
      <c r="B1377">
        <v>1483.7</v>
      </c>
    </row>
    <row r="1378" spans="1:2" x14ac:dyDescent="0.3">
      <c r="A1378" s="1">
        <v>45853</v>
      </c>
      <c r="B1378">
        <v>1485.4</v>
      </c>
    </row>
    <row r="1379" spans="1:2" x14ac:dyDescent="0.3">
      <c r="A1379" s="1">
        <v>45854</v>
      </c>
      <c r="B1379">
        <v>1485.6</v>
      </c>
    </row>
    <row r="1380" spans="1:2" x14ac:dyDescent="0.3">
      <c r="A1380" s="1">
        <v>45855</v>
      </c>
      <c r="B1380">
        <v>1476.4</v>
      </c>
    </row>
    <row r="1381" spans="1:2" x14ac:dyDescent="0.3">
      <c r="A1381" s="1">
        <v>45856</v>
      </c>
      <c r="B1381">
        <v>1476</v>
      </c>
    </row>
    <row r="1382" spans="1:2" x14ac:dyDescent="0.3">
      <c r="A1382" s="1">
        <v>45859</v>
      </c>
      <c r="B1382">
        <v>1428.6</v>
      </c>
    </row>
    <row r="1383" spans="1:2" x14ac:dyDescent="0.3">
      <c r="A1383" s="1">
        <v>45860</v>
      </c>
      <c r="B1383">
        <v>1412.8</v>
      </c>
    </row>
    <row r="1384" spans="1:2" x14ac:dyDescent="0.3">
      <c r="A1384" s="1">
        <v>45861</v>
      </c>
      <c r="B1384">
        <v>1424.6</v>
      </c>
    </row>
    <row r="1385" spans="1:2" x14ac:dyDescent="0.3">
      <c r="A1385" s="1">
        <v>45862</v>
      </c>
      <c r="B1385">
        <v>1402.9</v>
      </c>
    </row>
    <row r="1386" spans="1:2" x14ac:dyDescent="0.3">
      <c r="A1386" s="1">
        <v>45863</v>
      </c>
      <c r="B1386">
        <v>1391.7</v>
      </c>
    </row>
    <row r="1387" spans="1:2" x14ac:dyDescent="0.3">
      <c r="A1387" s="1">
        <v>45866</v>
      </c>
      <c r="B1387">
        <v>1387.6</v>
      </c>
    </row>
    <row r="1388" spans="1:2" x14ac:dyDescent="0.3">
      <c r="A1388" s="1">
        <v>45867</v>
      </c>
      <c r="B1388">
        <v>1417.1</v>
      </c>
    </row>
    <row r="1389" spans="1:2" x14ac:dyDescent="0.3">
      <c r="A1389" s="1">
        <v>45868</v>
      </c>
      <c r="B1389">
        <v>1410.1</v>
      </c>
    </row>
    <row r="1390" spans="1:2" x14ac:dyDescent="0.3">
      <c r="A1390" s="1">
        <v>45869</v>
      </c>
      <c r="B1390">
        <v>1390.2</v>
      </c>
    </row>
    <row r="1391" spans="1:2" x14ac:dyDescent="0.3">
      <c r="A1391" s="1">
        <v>45870</v>
      </c>
      <c r="B1391">
        <v>1393.7</v>
      </c>
    </row>
    <row r="1392" spans="1:2" x14ac:dyDescent="0.3">
      <c r="A1392" s="1">
        <v>45873</v>
      </c>
      <c r="B1392">
        <v>1411.5</v>
      </c>
    </row>
    <row r="1393" spans="1:2" x14ac:dyDescent="0.3">
      <c r="A1393" s="1">
        <v>45874</v>
      </c>
      <c r="B1393">
        <v>1391.7</v>
      </c>
    </row>
    <row r="1394" spans="1:2" x14ac:dyDescent="0.3">
      <c r="A1394" s="1">
        <v>45875</v>
      </c>
      <c r="B1394">
        <v>1392.8</v>
      </c>
    </row>
    <row r="1395" spans="1:2" x14ac:dyDescent="0.3">
      <c r="A1395" s="1">
        <v>45876</v>
      </c>
      <c r="B1395">
        <v>1389.4</v>
      </c>
    </row>
    <row r="1396" spans="1:2" x14ac:dyDescent="0.3">
      <c r="A1396" s="1">
        <v>45877</v>
      </c>
      <c r="B1396">
        <v>1367.8</v>
      </c>
    </row>
    <row r="1397" spans="1:2" x14ac:dyDescent="0.3">
      <c r="A1397" s="1">
        <v>45880</v>
      </c>
      <c r="B1397">
        <v>1386.2</v>
      </c>
    </row>
    <row r="1398" spans="1:2" x14ac:dyDescent="0.3">
      <c r="A1398" s="1">
        <v>45881</v>
      </c>
      <c r="B1398">
        <v>1380.4</v>
      </c>
    </row>
    <row r="1399" spans="1:2" x14ac:dyDescent="0.3">
      <c r="A1399" s="1">
        <v>45882</v>
      </c>
      <c r="B1399">
        <v>1382.6</v>
      </c>
    </row>
    <row r="1400" spans="1:2" x14ac:dyDescent="0.3">
      <c r="A1400" s="1">
        <v>45883</v>
      </c>
      <c r="B1400">
        <v>1373.8</v>
      </c>
    </row>
    <row r="1401" spans="1:2" x14ac:dyDescent="0.3">
      <c r="A1401" s="1">
        <v>45887</v>
      </c>
      <c r="B1401">
        <v>1381.7</v>
      </c>
    </row>
    <row r="1402" spans="1:2" x14ac:dyDescent="0.3">
      <c r="A1402" s="1">
        <v>45888</v>
      </c>
      <c r="B1402">
        <v>1420.1</v>
      </c>
    </row>
    <row r="1403" spans="1:2" x14ac:dyDescent="0.3">
      <c r="A1403" s="1">
        <v>45889</v>
      </c>
      <c r="B1403">
        <v>1413</v>
      </c>
    </row>
    <row r="1404" spans="1:2" x14ac:dyDescent="0.3">
      <c r="A1404" s="1">
        <v>45890</v>
      </c>
      <c r="B1404">
        <v>1424.8</v>
      </c>
    </row>
    <row r="1405" spans="1:2" x14ac:dyDescent="0.3">
      <c r="A1405" s="1">
        <v>45891</v>
      </c>
      <c r="B1405">
        <v>1409.2</v>
      </c>
    </row>
    <row r="1406" spans="1:2" x14ac:dyDescent="0.3">
      <c r="A1406" s="1">
        <v>45894</v>
      </c>
      <c r="B1406">
        <v>1412.6</v>
      </c>
    </row>
    <row r="1407" spans="1:2" x14ac:dyDescent="0.3">
      <c r="A1407" s="1">
        <v>45895</v>
      </c>
      <c r="B1407">
        <v>1384.9</v>
      </c>
    </row>
    <row r="1408" spans="1:2" x14ac:dyDescent="0.3">
      <c r="A1408" s="1">
        <v>45897</v>
      </c>
      <c r="B1408">
        <v>1385.9</v>
      </c>
    </row>
    <row r="1409" spans="1:2" x14ac:dyDescent="0.3">
      <c r="A1409" s="1">
        <v>45898</v>
      </c>
      <c r="B1409">
        <v>1357.2</v>
      </c>
    </row>
    <row r="1410" spans="1:2" x14ac:dyDescent="0.3">
      <c r="A1410" s="1">
        <v>45901</v>
      </c>
      <c r="B1410">
        <v>1353.9</v>
      </c>
    </row>
    <row r="1411" spans="1:2" x14ac:dyDescent="0.3">
      <c r="A1411" s="1">
        <v>45902</v>
      </c>
      <c r="B1411">
        <v>1366.5</v>
      </c>
    </row>
    <row r="1412" spans="1:2" x14ac:dyDescent="0.3">
      <c r="A1412" s="1">
        <v>45903</v>
      </c>
      <c r="B1412">
        <v>1372.6</v>
      </c>
    </row>
    <row r="1413" spans="1:2" x14ac:dyDescent="0.3">
      <c r="A1413" s="1">
        <v>45904</v>
      </c>
      <c r="B1413">
        <v>1359.3</v>
      </c>
    </row>
    <row r="1414" spans="1:2" x14ac:dyDescent="0.3">
      <c r="A1414" s="1">
        <v>45905</v>
      </c>
      <c r="B1414">
        <v>1375</v>
      </c>
    </row>
    <row r="1415" spans="1:2" x14ac:dyDescent="0.3">
      <c r="A1415" s="1">
        <v>45908</v>
      </c>
      <c r="B1415">
        <v>1378.5</v>
      </c>
    </row>
    <row r="1416" spans="1:2" x14ac:dyDescent="0.3">
      <c r="A1416" s="1">
        <v>45909</v>
      </c>
      <c r="B1416">
        <v>1376.2</v>
      </c>
    </row>
    <row r="1417" spans="1:2" x14ac:dyDescent="0.3">
      <c r="A1417" s="1">
        <v>45910</v>
      </c>
      <c r="B1417">
        <v>1377</v>
      </c>
    </row>
    <row r="1418" spans="1:2" x14ac:dyDescent="0.3">
      <c r="A1418" s="1">
        <v>45911</v>
      </c>
      <c r="B1418">
        <v>1383.3</v>
      </c>
    </row>
    <row r="1419" spans="1:2" x14ac:dyDescent="0.3">
      <c r="A1419" s="1">
        <v>45912</v>
      </c>
      <c r="B1419">
        <v>1395</v>
      </c>
    </row>
    <row r="1420" spans="1:2" x14ac:dyDescent="0.3">
      <c r="A1420" s="1">
        <v>45915</v>
      </c>
      <c r="B1420">
        <v>1399.3</v>
      </c>
    </row>
    <row r="1421" spans="1:2" x14ac:dyDescent="0.3">
      <c r="A1421" s="1">
        <v>45916</v>
      </c>
      <c r="B1421">
        <v>1405.3</v>
      </c>
    </row>
    <row r="1422" spans="1:2" x14ac:dyDescent="0.3">
      <c r="A1422" s="1">
        <v>45917</v>
      </c>
      <c r="B1422">
        <v>1413.8</v>
      </c>
    </row>
    <row r="1423" spans="1:2" x14ac:dyDescent="0.3">
      <c r="A1423" s="1">
        <v>45918</v>
      </c>
      <c r="B1423">
        <v>1415</v>
      </c>
    </row>
    <row r="1424" spans="1:2" x14ac:dyDescent="0.3">
      <c r="A1424" s="1">
        <v>45919</v>
      </c>
      <c r="B1424">
        <v>1407.4</v>
      </c>
    </row>
    <row r="1425" spans="1:2" x14ac:dyDescent="0.3">
      <c r="A1425" s="1">
        <v>45922</v>
      </c>
      <c r="B1425">
        <v>1390.6</v>
      </c>
    </row>
    <row r="1426" spans="1:2" x14ac:dyDescent="0.3">
      <c r="A1426" s="1">
        <v>45923</v>
      </c>
      <c r="B1426">
        <v>1389.8</v>
      </c>
    </row>
    <row r="1427" spans="1:2" x14ac:dyDescent="0.3">
      <c r="A1427" s="1">
        <v>45924</v>
      </c>
      <c r="B1427">
        <v>1383</v>
      </c>
    </row>
    <row r="1428" spans="1:2" x14ac:dyDescent="0.3">
      <c r="A1428" s="1">
        <v>45925</v>
      </c>
      <c r="B1428">
        <v>1372.4</v>
      </c>
    </row>
    <row r="1429" spans="1:2" x14ac:dyDescent="0.3">
      <c r="A1429" s="1">
        <v>45926</v>
      </c>
      <c r="B1429">
        <v>1377.6</v>
      </c>
    </row>
    <row r="1430" spans="1:2" x14ac:dyDescent="0.3">
      <c r="A1430" s="1">
        <v>45929</v>
      </c>
      <c r="B1430">
        <v>1372.8</v>
      </c>
    </row>
    <row r="1431" spans="1:2" x14ac:dyDescent="0.3">
      <c r="A1431" s="1">
        <v>45930</v>
      </c>
      <c r="B1431">
        <v>1364</v>
      </c>
    </row>
    <row r="1432" spans="1:2" x14ac:dyDescent="0.3">
      <c r="A1432" s="1">
        <v>45931</v>
      </c>
      <c r="B1432">
        <v>1368.7</v>
      </c>
    </row>
    <row r="1433" spans="1:2" x14ac:dyDescent="0.3">
      <c r="A1433" s="1">
        <v>45933</v>
      </c>
      <c r="B1433">
        <v>1363.4</v>
      </c>
    </row>
    <row r="1434" spans="1:2" x14ac:dyDescent="0.3">
      <c r="A1434" s="1">
        <v>45936</v>
      </c>
      <c r="B1434">
        <v>1375</v>
      </c>
    </row>
    <row r="1435" spans="1:2" x14ac:dyDescent="0.3">
      <c r="A1435" s="1">
        <v>45937</v>
      </c>
      <c r="B1435">
        <v>1384.8</v>
      </c>
    </row>
    <row r="1436" spans="1:2" x14ac:dyDescent="0.3">
      <c r="A1436" s="1">
        <v>45938</v>
      </c>
      <c r="B1436">
        <v>1367.4</v>
      </c>
    </row>
    <row r="1437" spans="1:2" x14ac:dyDescent="0.3">
      <c r="A1437" s="1">
        <v>45939</v>
      </c>
      <c r="B1437">
        <v>1377.8</v>
      </c>
    </row>
    <row r="1438" spans="1:2" x14ac:dyDescent="0.3">
      <c r="A1438" s="1">
        <v>45940</v>
      </c>
      <c r="B1438">
        <v>1381.7</v>
      </c>
    </row>
    <row r="1439" spans="1:2" x14ac:dyDescent="0.3">
      <c r="A1439" s="1">
        <v>45943</v>
      </c>
      <c r="B1439">
        <v>1375</v>
      </c>
    </row>
    <row r="1440" spans="1:2" x14ac:dyDescent="0.3">
      <c r="A1440" s="1">
        <v>45944</v>
      </c>
      <c r="B1440">
        <v>1375.9</v>
      </c>
    </row>
    <row r="1441" spans="1:2" x14ac:dyDescent="0.3">
      <c r="A1441" s="1">
        <v>45945</v>
      </c>
      <c r="B1441">
        <v>1374.3</v>
      </c>
    </row>
    <row r="1442" spans="1:2" x14ac:dyDescent="0.3">
      <c r="A1442" s="1">
        <v>45946</v>
      </c>
      <c r="B1442">
        <v>1398.3</v>
      </c>
    </row>
    <row r="1443" spans="1:2" x14ac:dyDescent="0.3">
      <c r="A1443" s="1">
        <v>45947</v>
      </c>
      <c r="B1443">
        <v>1416.8</v>
      </c>
    </row>
    <row r="1444" spans="1:2" x14ac:dyDescent="0.3">
      <c r="A1444" s="1">
        <v>45950</v>
      </c>
      <c r="B1444">
        <v>1466.8</v>
      </c>
    </row>
    <row r="1445" spans="1:2" x14ac:dyDescent="0.3">
      <c r="A1445" s="1">
        <v>45951</v>
      </c>
      <c r="B1445">
        <v>1465.2</v>
      </c>
    </row>
    <row r="1446" spans="1:2" x14ac:dyDescent="0.3">
      <c r="A1446" s="1">
        <v>45953</v>
      </c>
      <c r="B1446">
        <v>1448.4</v>
      </c>
    </row>
    <row r="1447" spans="1:2" x14ac:dyDescent="0.3">
      <c r="A1447" s="1">
        <v>45954</v>
      </c>
      <c r="B1447">
        <v>1451.6</v>
      </c>
    </row>
    <row r="1448" spans="1:2" x14ac:dyDescent="0.3">
      <c r="A1448" s="1">
        <v>45957</v>
      </c>
      <c r="B1448">
        <v>1484.1</v>
      </c>
    </row>
    <row r="1449" spans="1:2" x14ac:dyDescent="0.3">
      <c r="A1449" s="1">
        <v>45958</v>
      </c>
      <c r="B1449">
        <v>1486.9</v>
      </c>
    </row>
    <row r="1450" spans="1:2" x14ac:dyDescent="0.3">
      <c r="A1450" s="1">
        <v>45959</v>
      </c>
      <c r="B1450">
        <v>1504.2</v>
      </c>
    </row>
    <row r="1451" spans="1:2" x14ac:dyDescent="0.3">
      <c r="A1451" s="1">
        <v>45960</v>
      </c>
      <c r="B1451">
        <v>1488.5</v>
      </c>
    </row>
    <row r="1452" spans="1:2" x14ac:dyDescent="0.3">
      <c r="A1452" s="1">
        <v>45961</v>
      </c>
      <c r="B1452">
        <v>1486.4</v>
      </c>
    </row>
    <row r="1453" spans="1:2" x14ac:dyDescent="0.3">
      <c r="A1453" s="1">
        <v>45964</v>
      </c>
      <c r="B1453">
        <v>1484.7</v>
      </c>
    </row>
    <row r="1454" spans="1:2" x14ac:dyDescent="0.3">
      <c r="A1454" s="1">
        <v>45965</v>
      </c>
      <c r="B1454">
        <v>1473.1</v>
      </c>
    </row>
    <row r="1455" spans="1:2" x14ac:dyDescent="0.3">
      <c r="A1455" s="1">
        <v>45967</v>
      </c>
      <c r="B1455">
        <v>1496.1</v>
      </c>
    </row>
    <row r="1456" spans="1:2" x14ac:dyDescent="0.3">
      <c r="A1456" s="1">
        <v>45968</v>
      </c>
      <c r="B1456">
        <v>1478</v>
      </c>
    </row>
    <row r="1457" spans="1:2" x14ac:dyDescent="0.3">
      <c r="A1457" s="1">
        <v>45971</v>
      </c>
      <c r="B1457">
        <v>1489.3</v>
      </c>
    </row>
    <row r="1458" spans="1:2" x14ac:dyDescent="0.3">
      <c r="A1458" s="1">
        <v>45972</v>
      </c>
      <c r="B1458">
        <v>1493.4</v>
      </c>
    </row>
    <row r="1459" spans="1:2" x14ac:dyDescent="0.3">
      <c r="A1459" s="1">
        <v>45973</v>
      </c>
      <c r="B1459">
        <v>1511.5</v>
      </c>
    </row>
    <row r="1460" spans="1:2" x14ac:dyDescent="0.3">
      <c r="A1460" s="1">
        <v>45974</v>
      </c>
      <c r="B1460">
        <v>1510.9</v>
      </c>
    </row>
    <row r="1461" spans="1:2" x14ac:dyDescent="0.3">
      <c r="A1461" s="1">
        <v>45975</v>
      </c>
      <c r="B1461">
        <v>1518.9</v>
      </c>
    </row>
    <row r="1462" spans="1:2" x14ac:dyDescent="0.3">
      <c r="A1462" s="1">
        <v>45978</v>
      </c>
      <c r="B1462">
        <v>1518.3</v>
      </c>
    </row>
    <row r="1463" spans="1:2" x14ac:dyDescent="0.3">
      <c r="A1463" s="1">
        <v>45979</v>
      </c>
      <c r="B1463">
        <v>1519.4</v>
      </c>
    </row>
    <row r="1464" spans="1:2" x14ac:dyDescent="0.3">
      <c r="A1464" s="1">
        <v>45980</v>
      </c>
      <c r="B1464">
        <v>1518.9</v>
      </c>
    </row>
    <row r="1465" spans="1:2" x14ac:dyDescent="0.3">
      <c r="A1465" s="1">
        <v>45981</v>
      </c>
      <c r="B1465">
        <v>1549.1</v>
      </c>
    </row>
    <row r="1466" spans="1:2" x14ac:dyDescent="0.3">
      <c r="A1466" s="1">
        <v>45982</v>
      </c>
      <c r="B1466">
        <v>1546.6</v>
      </c>
    </row>
    <row r="1467" spans="1:2" x14ac:dyDescent="0.3">
      <c r="A1467" s="1">
        <v>45985</v>
      </c>
      <c r="B1467">
        <v>1535.9</v>
      </c>
    </row>
    <row r="1468" spans="1:2" x14ac:dyDescent="0.3">
      <c r="A1468" s="1">
        <v>45986</v>
      </c>
      <c r="B1468">
        <v>1539.7</v>
      </c>
    </row>
    <row r="1469" spans="1:2" x14ac:dyDescent="0.3">
      <c r="A1469" s="1">
        <v>45987</v>
      </c>
      <c r="B1469">
        <v>1569.9</v>
      </c>
    </row>
    <row r="1470" spans="1:2" x14ac:dyDescent="0.3">
      <c r="A1470" s="1">
        <v>45988</v>
      </c>
      <c r="B1470">
        <v>1563.4</v>
      </c>
    </row>
    <row r="1471" spans="1:2" x14ac:dyDescent="0.3">
      <c r="A1471" s="1">
        <v>45989</v>
      </c>
      <c r="B1471">
        <v>1567.5</v>
      </c>
    </row>
    <row r="1472" spans="1:2" x14ac:dyDescent="0.3">
      <c r="A1472" s="1">
        <v>45992</v>
      </c>
      <c r="B1472">
        <v>1566.1</v>
      </c>
    </row>
    <row r="1473" spans="1:2" x14ac:dyDescent="0.3">
      <c r="A1473" s="1">
        <v>45993</v>
      </c>
      <c r="B1473">
        <v>1546.3</v>
      </c>
    </row>
    <row r="1474" spans="1:2" x14ac:dyDescent="0.3">
      <c r="A1474" s="1">
        <v>45994</v>
      </c>
      <c r="B1474">
        <v>1538.8</v>
      </c>
    </row>
    <row r="1475" spans="1:2" x14ac:dyDescent="0.3">
      <c r="A1475" s="1">
        <v>45995</v>
      </c>
      <c r="B1475">
        <v>1535.6</v>
      </c>
    </row>
    <row r="1476" spans="1:2" x14ac:dyDescent="0.3">
      <c r="A1476" s="1">
        <v>45996</v>
      </c>
      <c r="B1476">
        <v>1540.6</v>
      </c>
    </row>
    <row r="1477" spans="1:2" x14ac:dyDescent="0.3">
      <c r="A1477" s="1">
        <v>45999</v>
      </c>
      <c r="B1477">
        <v>1543</v>
      </c>
    </row>
    <row r="1478" spans="1:2" x14ac:dyDescent="0.3">
      <c r="A1478" s="1">
        <v>46000</v>
      </c>
      <c r="B1478">
        <v>1529.4</v>
      </c>
    </row>
    <row r="1479" spans="1:2" x14ac:dyDescent="0.3">
      <c r="A1479" s="1">
        <v>46001</v>
      </c>
      <c r="B1479">
        <v>1536.9</v>
      </c>
    </row>
    <row r="1480" spans="1:2" x14ac:dyDescent="0.3">
      <c r="A1480" s="1">
        <v>46002</v>
      </c>
      <c r="B1480">
        <v>1545</v>
      </c>
    </row>
    <row r="1481" spans="1:2" x14ac:dyDescent="0.3">
      <c r="A1481" s="1">
        <v>46003</v>
      </c>
      <c r="B1481">
        <v>1556.5</v>
      </c>
    </row>
    <row r="1482" spans="1:2" x14ac:dyDescent="0.3">
      <c r="A1482" s="1">
        <v>46006</v>
      </c>
      <c r="B1482">
        <v>1556.2</v>
      </c>
    </row>
    <row r="1483" spans="1:2" x14ac:dyDescent="0.3">
      <c r="A1483" s="1">
        <v>46007</v>
      </c>
      <c r="B1483">
        <v>1542.3</v>
      </c>
    </row>
    <row r="1484" spans="1:2" x14ac:dyDescent="0.3">
      <c r="A1484" s="1">
        <v>46008</v>
      </c>
      <c r="B1484">
        <v>1544.4</v>
      </c>
    </row>
    <row r="1485" spans="1:2" x14ac:dyDescent="0.3">
      <c r="A1485" s="1">
        <v>46009</v>
      </c>
      <c r="B1485">
        <v>1544.4</v>
      </c>
    </row>
    <row r="1486" spans="1:2" x14ac:dyDescent="0.3">
      <c r="A1486" s="1">
        <v>46010</v>
      </c>
      <c r="B1486">
        <v>1565.1</v>
      </c>
    </row>
    <row r="1487" spans="1:2" x14ac:dyDescent="0.3">
      <c r="A1487" s="1">
        <v>46013</v>
      </c>
      <c r="B1487">
        <v>1575.4</v>
      </c>
    </row>
    <row r="1488" spans="1:2" x14ac:dyDescent="0.3">
      <c r="A1488" s="1">
        <v>46014</v>
      </c>
      <c r="B1488">
        <v>1570.7</v>
      </c>
    </row>
    <row r="1489" spans="1:2" x14ac:dyDescent="0.3">
      <c r="A1489" s="1">
        <v>46015</v>
      </c>
      <c r="B1489">
        <v>1558.2</v>
      </c>
    </row>
    <row r="1490" spans="1:2" x14ac:dyDescent="0.3">
      <c r="A1490" s="1">
        <v>46017</v>
      </c>
      <c r="B1490">
        <v>1559.2</v>
      </c>
    </row>
    <row r="1491" spans="1:2" x14ac:dyDescent="0.3">
      <c r="A1491" s="1">
        <v>46020</v>
      </c>
      <c r="B1491">
        <v>1545.6</v>
      </c>
    </row>
    <row r="1492" spans="1:2" x14ac:dyDescent="0.3">
      <c r="A1492" s="1">
        <v>46021</v>
      </c>
      <c r="B1492">
        <v>1539.8</v>
      </c>
    </row>
    <row r="1493" spans="1:2" x14ac:dyDescent="0.3">
      <c r="A1493" s="1">
        <v>46022</v>
      </c>
      <c r="B1493">
        <v>1570.4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5405-AAEA-4ED1-842D-7894AB462871}">
  <dimension ref="A1:B1493"/>
  <sheetViews>
    <sheetView workbookViewId="0">
      <selection activeCell="K22" sqref="K22"/>
    </sheetView>
  </sheetViews>
  <sheetFormatPr defaultRowHeight="14.4" x14ac:dyDescent="0.3"/>
  <cols>
    <col min="1" max="1" width="10.33203125" bestFit="1" customWidth="1"/>
    <col min="2" max="2" width="8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>
        <v>637.71</v>
      </c>
    </row>
    <row r="3" spans="1:2" x14ac:dyDescent="0.3">
      <c r="A3" s="1">
        <v>43832</v>
      </c>
      <c r="B3">
        <v>641.78</v>
      </c>
    </row>
    <row r="4" spans="1:2" x14ac:dyDescent="0.3">
      <c r="A4" s="1">
        <v>43833</v>
      </c>
      <c r="B4">
        <v>632.63</v>
      </c>
    </row>
    <row r="5" spans="1:2" x14ac:dyDescent="0.3">
      <c r="A5" s="1">
        <v>43836</v>
      </c>
      <c r="B5">
        <v>618.92999999999995</v>
      </c>
    </row>
    <row r="6" spans="1:2" x14ac:dyDescent="0.3">
      <c r="A6" s="1">
        <v>43837</v>
      </c>
      <c r="B6">
        <v>628.74</v>
      </c>
    </row>
    <row r="7" spans="1:2" x14ac:dyDescent="0.3">
      <c r="A7" s="1">
        <v>43838</v>
      </c>
      <c r="B7">
        <v>627.09</v>
      </c>
    </row>
    <row r="8" spans="1:2" x14ac:dyDescent="0.3">
      <c r="A8" s="1">
        <v>43839</v>
      </c>
      <c r="B8">
        <v>634.12</v>
      </c>
    </row>
    <row r="9" spans="1:2" x14ac:dyDescent="0.3">
      <c r="A9" s="1">
        <v>43840</v>
      </c>
      <c r="B9">
        <v>639.76</v>
      </c>
    </row>
    <row r="10" spans="1:2" x14ac:dyDescent="0.3">
      <c r="A10" s="1">
        <v>43843</v>
      </c>
      <c r="B10">
        <v>641.4</v>
      </c>
    </row>
    <row r="11" spans="1:2" x14ac:dyDescent="0.3">
      <c r="A11" s="1">
        <v>43844</v>
      </c>
      <c r="B11">
        <v>643.15</v>
      </c>
    </row>
    <row r="12" spans="1:2" x14ac:dyDescent="0.3">
      <c r="A12" s="1">
        <v>43845</v>
      </c>
      <c r="B12">
        <v>640.53</v>
      </c>
    </row>
    <row r="13" spans="1:2" x14ac:dyDescent="0.3">
      <c r="A13" s="1">
        <v>43846</v>
      </c>
      <c r="B13">
        <v>642.23</v>
      </c>
    </row>
    <row r="14" spans="1:2" x14ac:dyDescent="0.3">
      <c r="A14" s="1">
        <v>43847</v>
      </c>
      <c r="B14">
        <v>637.49</v>
      </c>
    </row>
    <row r="15" spans="1:2" x14ac:dyDescent="0.3">
      <c r="A15" s="1">
        <v>43850</v>
      </c>
      <c r="B15">
        <v>625.89</v>
      </c>
    </row>
    <row r="16" spans="1:2" x14ac:dyDescent="0.3">
      <c r="A16" s="1">
        <v>43851</v>
      </c>
      <c r="B16">
        <v>620.63</v>
      </c>
    </row>
    <row r="17" spans="1:2" x14ac:dyDescent="0.3">
      <c r="A17" s="1">
        <v>43852</v>
      </c>
      <c r="B17">
        <v>618.89</v>
      </c>
    </row>
    <row r="18" spans="1:2" x14ac:dyDescent="0.3">
      <c r="A18" s="1">
        <v>43853</v>
      </c>
      <c r="B18">
        <v>620.88</v>
      </c>
    </row>
    <row r="19" spans="1:2" x14ac:dyDescent="0.3">
      <c r="A19" s="1">
        <v>43854</v>
      </c>
      <c r="B19">
        <v>620.73</v>
      </c>
    </row>
    <row r="20" spans="1:2" x14ac:dyDescent="0.3">
      <c r="A20" s="1">
        <v>43857</v>
      </c>
      <c r="B20">
        <v>605.09</v>
      </c>
    </row>
    <row r="21" spans="1:2" x14ac:dyDescent="0.3">
      <c r="A21" s="1">
        <v>43858</v>
      </c>
      <c r="B21">
        <v>610.08000000000004</v>
      </c>
    </row>
    <row r="22" spans="1:2" x14ac:dyDescent="0.3">
      <c r="A22" s="1">
        <v>43859</v>
      </c>
      <c r="B22">
        <v>616.39</v>
      </c>
    </row>
    <row r="23" spans="1:2" x14ac:dyDescent="0.3">
      <c r="A23" s="1">
        <v>43860</v>
      </c>
      <c r="B23">
        <v>611.5</v>
      </c>
    </row>
    <row r="24" spans="1:2" x14ac:dyDescent="0.3">
      <c r="A24" s="1">
        <v>43861</v>
      </c>
      <c r="B24">
        <v>611.63</v>
      </c>
    </row>
    <row r="25" spans="1:2" x14ac:dyDescent="0.3">
      <c r="A25" s="1">
        <v>43862</v>
      </c>
      <c r="B25">
        <v>597.86</v>
      </c>
    </row>
    <row r="26" spans="1:2" x14ac:dyDescent="0.3">
      <c r="A26" s="1">
        <v>43864</v>
      </c>
      <c r="B26">
        <v>594.91999999999996</v>
      </c>
    </row>
    <row r="27" spans="1:2" x14ac:dyDescent="0.3">
      <c r="A27" s="1">
        <v>43865</v>
      </c>
      <c r="B27">
        <v>613.37</v>
      </c>
    </row>
    <row r="28" spans="1:2" x14ac:dyDescent="0.3">
      <c r="A28" s="1">
        <v>43866</v>
      </c>
      <c r="B28">
        <v>620.78</v>
      </c>
    </row>
    <row r="29" spans="1:2" x14ac:dyDescent="0.3">
      <c r="A29" s="1">
        <v>43867</v>
      </c>
      <c r="B29">
        <v>618.36</v>
      </c>
    </row>
    <row r="30" spans="1:2" x14ac:dyDescent="0.3">
      <c r="A30" s="1">
        <v>43868</v>
      </c>
      <c r="B30">
        <v>619.55999999999995</v>
      </c>
    </row>
    <row r="31" spans="1:2" x14ac:dyDescent="0.3">
      <c r="A31" s="1">
        <v>43871</v>
      </c>
      <c r="B31">
        <v>618.61</v>
      </c>
    </row>
    <row r="32" spans="1:2" x14ac:dyDescent="0.3">
      <c r="A32" s="1">
        <v>43872</v>
      </c>
      <c r="B32">
        <v>618.76</v>
      </c>
    </row>
    <row r="33" spans="1:2" x14ac:dyDescent="0.3">
      <c r="A33" s="1">
        <v>43873</v>
      </c>
      <c r="B33">
        <v>622.95000000000005</v>
      </c>
    </row>
    <row r="34" spans="1:2" x14ac:dyDescent="0.3">
      <c r="A34" s="1">
        <v>43874</v>
      </c>
      <c r="B34">
        <v>619.16</v>
      </c>
    </row>
    <row r="35" spans="1:2" x14ac:dyDescent="0.3">
      <c r="A35" s="1">
        <v>43875</v>
      </c>
      <c r="B35">
        <v>608.16</v>
      </c>
    </row>
    <row r="36" spans="1:2" x14ac:dyDescent="0.3">
      <c r="A36" s="1">
        <v>43878</v>
      </c>
      <c r="B36">
        <v>607.05999999999995</v>
      </c>
    </row>
    <row r="37" spans="1:2" x14ac:dyDescent="0.3">
      <c r="A37" s="1">
        <v>43879</v>
      </c>
      <c r="B37">
        <v>605.12</v>
      </c>
    </row>
    <row r="38" spans="1:2" x14ac:dyDescent="0.3">
      <c r="A38" s="1">
        <v>43880</v>
      </c>
      <c r="B38">
        <v>612.08000000000004</v>
      </c>
    </row>
    <row r="39" spans="1:2" x14ac:dyDescent="0.3">
      <c r="A39" s="1">
        <v>43881</v>
      </c>
      <c r="B39">
        <v>607.04</v>
      </c>
    </row>
    <row r="40" spans="1:2" x14ac:dyDescent="0.3">
      <c r="A40" s="1">
        <v>43885</v>
      </c>
      <c r="B40">
        <v>603.47</v>
      </c>
    </row>
    <row r="41" spans="1:2" x14ac:dyDescent="0.3">
      <c r="A41" s="1">
        <v>43886</v>
      </c>
      <c r="B41">
        <v>598.66</v>
      </c>
    </row>
    <row r="42" spans="1:2" x14ac:dyDescent="0.3">
      <c r="A42" s="1">
        <v>43887</v>
      </c>
      <c r="B42">
        <v>598.14</v>
      </c>
    </row>
    <row r="43" spans="1:2" x14ac:dyDescent="0.3">
      <c r="A43" s="1">
        <v>43888</v>
      </c>
      <c r="B43">
        <v>598.24</v>
      </c>
    </row>
    <row r="44" spans="1:2" x14ac:dyDescent="0.3">
      <c r="A44" s="1">
        <v>43889</v>
      </c>
      <c r="B44">
        <v>587.36</v>
      </c>
    </row>
    <row r="45" spans="1:2" x14ac:dyDescent="0.3">
      <c r="A45" s="1">
        <v>43892</v>
      </c>
      <c r="B45">
        <v>588.34</v>
      </c>
    </row>
    <row r="46" spans="1:2" x14ac:dyDescent="0.3">
      <c r="A46" s="1">
        <v>43893</v>
      </c>
      <c r="B46">
        <v>589.42999999999995</v>
      </c>
    </row>
    <row r="47" spans="1:2" x14ac:dyDescent="0.3">
      <c r="A47" s="1">
        <v>43894</v>
      </c>
      <c r="B47">
        <v>573</v>
      </c>
    </row>
    <row r="48" spans="1:2" x14ac:dyDescent="0.3">
      <c r="A48" s="1">
        <v>43895</v>
      </c>
      <c r="B48">
        <v>574.25</v>
      </c>
    </row>
    <row r="49" spans="1:2" x14ac:dyDescent="0.3">
      <c r="A49" s="1">
        <v>43896</v>
      </c>
      <c r="B49">
        <v>566.04</v>
      </c>
    </row>
    <row r="50" spans="1:2" x14ac:dyDescent="0.3">
      <c r="A50" s="1">
        <v>43899</v>
      </c>
      <c r="B50">
        <v>552.28</v>
      </c>
    </row>
    <row r="51" spans="1:2" x14ac:dyDescent="0.3">
      <c r="A51" s="1">
        <v>43901</v>
      </c>
      <c r="B51">
        <v>555.52</v>
      </c>
    </row>
    <row r="52" spans="1:2" x14ac:dyDescent="0.3">
      <c r="A52" s="1">
        <v>43902</v>
      </c>
      <c r="B52">
        <v>509.38</v>
      </c>
    </row>
    <row r="53" spans="1:2" x14ac:dyDescent="0.3">
      <c r="A53" s="1">
        <v>43903</v>
      </c>
      <c r="B53">
        <v>533.57000000000005</v>
      </c>
    </row>
    <row r="54" spans="1:2" x14ac:dyDescent="0.3">
      <c r="A54" s="1">
        <v>43906</v>
      </c>
      <c r="B54">
        <v>498.51</v>
      </c>
    </row>
    <row r="55" spans="1:2" x14ac:dyDescent="0.3">
      <c r="A55" s="1">
        <v>43907</v>
      </c>
      <c r="B55">
        <v>486.34</v>
      </c>
    </row>
    <row r="56" spans="1:2" x14ac:dyDescent="0.3">
      <c r="A56" s="1">
        <v>43908</v>
      </c>
      <c r="B56">
        <v>437.36</v>
      </c>
    </row>
    <row r="57" spans="1:2" x14ac:dyDescent="0.3">
      <c r="A57" s="1">
        <v>43909</v>
      </c>
      <c r="B57">
        <v>446.66</v>
      </c>
    </row>
    <row r="58" spans="1:2" x14ac:dyDescent="0.3">
      <c r="A58" s="1">
        <v>43910</v>
      </c>
      <c r="B58">
        <v>440.33</v>
      </c>
    </row>
    <row r="59" spans="1:2" x14ac:dyDescent="0.3">
      <c r="A59" s="1">
        <v>43913</v>
      </c>
      <c r="B59">
        <v>384.82</v>
      </c>
    </row>
    <row r="60" spans="1:2" x14ac:dyDescent="0.3">
      <c r="A60" s="1">
        <v>43914</v>
      </c>
      <c r="B60">
        <v>382.9</v>
      </c>
    </row>
    <row r="61" spans="1:2" x14ac:dyDescent="0.3">
      <c r="A61" s="1">
        <v>43915</v>
      </c>
      <c r="B61">
        <v>427.31</v>
      </c>
    </row>
    <row r="62" spans="1:2" x14ac:dyDescent="0.3">
      <c r="A62" s="1">
        <v>43916</v>
      </c>
      <c r="B62">
        <v>449.43</v>
      </c>
    </row>
    <row r="63" spans="1:2" x14ac:dyDescent="0.3">
      <c r="A63" s="1">
        <v>43917</v>
      </c>
      <c r="B63">
        <v>451.1</v>
      </c>
    </row>
    <row r="64" spans="1:2" x14ac:dyDescent="0.3">
      <c r="A64" s="1">
        <v>43920</v>
      </c>
      <c r="B64">
        <v>414.79</v>
      </c>
    </row>
    <row r="65" spans="1:2" x14ac:dyDescent="0.3">
      <c r="A65" s="1">
        <v>43921</v>
      </c>
      <c r="B65">
        <v>429.88</v>
      </c>
    </row>
    <row r="66" spans="1:2" x14ac:dyDescent="0.3">
      <c r="A66" s="1">
        <v>43922</v>
      </c>
      <c r="B66">
        <v>413.8</v>
      </c>
    </row>
    <row r="67" spans="1:2" x14ac:dyDescent="0.3">
      <c r="A67" s="1">
        <v>43924</v>
      </c>
      <c r="B67">
        <v>405.92</v>
      </c>
    </row>
    <row r="68" spans="1:2" x14ac:dyDescent="0.3">
      <c r="A68" s="1">
        <v>43928</v>
      </c>
      <c r="B68">
        <v>446.94</v>
      </c>
    </row>
    <row r="69" spans="1:2" x14ac:dyDescent="0.3">
      <c r="A69" s="1">
        <v>43929</v>
      </c>
      <c r="B69">
        <v>443.35</v>
      </c>
    </row>
    <row r="70" spans="1:2" x14ac:dyDescent="0.3">
      <c r="A70" s="1">
        <v>43930</v>
      </c>
      <c r="B70">
        <v>461.38</v>
      </c>
    </row>
    <row r="71" spans="1:2" x14ac:dyDescent="0.3">
      <c r="A71" s="1">
        <v>43934</v>
      </c>
      <c r="B71">
        <v>446.56</v>
      </c>
    </row>
    <row r="72" spans="1:2" x14ac:dyDescent="0.3">
      <c r="A72" s="1">
        <v>43936</v>
      </c>
      <c r="B72">
        <v>430.58</v>
      </c>
    </row>
    <row r="73" spans="1:2" x14ac:dyDescent="0.3">
      <c r="A73" s="1">
        <v>43937</v>
      </c>
      <c r="B73">
        <v>438.78</v>
      </c>
    </row>
    <row r="74" spans="1:2" x14ac:dyDescent="0.3">
      <c r="A74" s="1">
        <v>43938</v>
      </c>
      <c r="B74">
        <v>454.02</v>
      </c>
    </row>
    <row r="75" spans="1:2" x14ac:dyDescent="0.3">
      <c r="A75" s="1">
        <v>43941</v>
      </c>
      <c r="B75">
        <v>471.25</v>
      </c>
    </row>
    <row r="76" spans="1:2" x14ac:dyDescent="0.3">
      <c r="A76" s="1">
        <v>43942</v>
      </c>
      <c r="B76">
        <v>459.68</v>
      </c>
    </row>
    <row r="77" spans="1:2" x14ac:dyDescent="0.3">
      <c r="A77" s="1">
        <v>43943</v>
      </c>
      <c r="B77">
        <v>463.15</v>
      </c>
    </row>
    <row r="78" spans="1:2" x14ac:dyDescent="0.3">
      <c r="A78" s="1">
        <v>43944</v>
      </c>
      <c r="B78">
        <v>476.29</v>
      </c>
    </row>
    <row r="79" spans="1:2" x14ac:dyDescent="0.3">
      <c r="A79" s="1">
        <v>43945</v>
      </c>
      <c r="B79">
        <v>467.86</v>
      </c>
    </row>
    <row r="80" spans="1:2" x14ac:dyDescent="0.3">
      <c r="A80" s="1">
        <v>43948</v>
      </c>
      <c r="B80">
        <v>463.7</v>
      </c>
    </row>
    <row r="81" spans="1:2" x14ac:dyDescent="0.3">
      <c r="A81" s="1">
        <v>43949</v>
      </c>
      <c r="B81">
        <v>464.54</v>
      </c>
    </row>
    <row r="82" spans="1:2" x14ac:dyDescent="0.3">
      <c r="A82" s="1">
        <v>43950</v>
      </c>
      <c r="B82">
        <v>487.34</v>
      </c>
    </row>
    <row r="83" spans="1:2" x14ac:dyDescent="0.3">
      <c r="A83" s="1">
        <v>43951</v>
      </c>
      <c r="B83">
        <v>499.66</v>
      </c>
    </row>
    <row r="84" spans="1:2" x14ac:dyDescent="0.3">
      <c r="A84" s="1">
        <v>43955</v>
      </c>
      <c r="B84">
        <v>460.35</v>
      </c>
    </row>
    <row r="85" spans="1:2" x14ac:dyDescent="0.3">
      <c r="A85" s="1">
        <v>43956</v>
      </c>
      <c r="B85">
        <v>454.59</v>
      </c>
    </row>
    <row r="86" spans="1:2" x14ac:dyDescent="0.3">
      <c r="A86" s="1">
        <v>43957</v>
      </c>
      <c r="B86">
        <v>472.03</v>
      </c>
    </row>
    <row r="87" spans="1:2" x14ac:dyDescent="0.3">
      <c r="A87" s="1">
        <v>43958</v>
      </c>
      <c r="B87">
        <v>461.35</v>
      </c>
    </row>
    <row r="88" spans="1:2" x14ac:dyDescent="0.3">
      <c r="A88" s="1">
        <v>43959</v>
      </c>
      <c r="B88">
        <v>463.37</v>
      </c>
    </row>
    <row r="89" spans="1:2" x14ac:dyDescent="0.3">
      <c r="A89" s="1">
        <v>43962</v>
      </c>
      <c r="B89">
        <v>456.76</v>
      </c>
    </row>
    <row r="90" spans="1:2" x14ac:dyDescent="0.3">
      <c r="A90" s="1">
        <v>43963</v>
      </c>
      <c r="B90">
        <v>449.66</v>
      </c>
    </row>
    <row r="91" spans="1:2" x14ac:dyDescent="0.3">
      <c r="A91" s="1">
        <v>43964</v>
      </c>
      <c r="B91">
        <v>462.67</v>
      </c>
    </row>
    <row r="92" spans="1:2" x14ac:dyDescent="0.3">
      <c r="A92" s="1">
        <v>43965</v>
      </c>
      <c r="B92">
        <v>445.74</v>
      </c>
    </row>
    <row r="93" spans="1:2" x14ac:dyDescent="0.3">
      <c r="A93" s="1">
        <v>43966</v>
      </c>
      <c r="B93">
        <v>442.97</v>
      </c>
    </row>
    <row r="94" spans="1:2" x14ac:dyDescent="0.3">
      <c r="A94" s="1">
        <v>43969</v>
      </c>
      <c r="B94">
        <v>417.29</v>
      </c>
    </row>
    <row r="95" spans="1:2" x14ac:dyDescent="0.3">
      <c r="A95" s="1">
        <v>43970</v>
      </c>
      <c r="B95">
        <v>414.29</v>
      </c>
    </row>
    <row r="96" spans="1:2" x14ac:dyDescent="0.3">
      <c r="A96" s="1">
        <v>43971</v>
      </c>
      <c r="B96">
        <v>427.49</v>
      </c>
    </row>
    <row r="97" spans="1:2" x14ac:dyDescent="0.3">
      <c r="A97" s="1">
        <v>43972</v>
      </c>
      <c r="B97">
        <v>428.71</v>
      </c>
    </row>
    <row r="98" spans="1:2" x14ac:dyDescent="0.3">
      <c r="A98" s="1">
        <v>43973</v>
      </c>
      <c r="B98">
        <v>418.38</v>
      </c>
    </row>
    <row r="99" spans="1:2" x14ac:dyDescent="0.3">
      <c r="A99" s="1">
        <v>43977</v>
      </c>
      <c r="B99">
        <v>425.14</v>
      </c>
    </row>
    <row r="100" spans="1:2" x14ac:dyDescent="0.3">
      <c r="A100" s="1">
        <v>43978</v>
      </c>
      <c r="B100">
        <v>450.7</v>
      </c>
    </row>
    <row r="101" spans="1:2" x14ac:dyDescent="0.3">
      <c r="A101" s="1">
        <v>43979</v>
      </c>
      <c r="B101">
        <v>471.45</v>
      </c>
    </row>
    <row r="102" spans="1:2" x14ac:dyDescent="0.3">
      <c r="A102" s="1">
        <v>43980</v>
      </c>
      <c r="B102">
        <v>474.64</v>
      </c>
    </row>
    <row r="103" spans="1:2" x14ac:dyDescent="0.3">
      <c r="A103" s="1">
        <v>43983</v>
      </c>
      <c r="B103">
        <v>492.6</v>
      </c>
    </row>
    <row r="104" spans="1:2" x14ac:dyDescent="0.3">
      <c r="A104" s="1">
        <v>43984</v>
      </c>
      <c r="B104">
        <v>499.26</v>
      </c>
    </row>
    <row r="105" spans="1:2" x14ac:dyDescent="0.3">
      <c r="A105" s="1">
        <v>43985</v>
      </c>
      <c r="B105">
        <v>509.86</v>
      </c>
    </row>
    <row r="106" spans="1:2" x14ac:dyDescent="0.3">
      <c r="A106" s="1">
        <v>43986</v>
      </c>
      <c r="B106">
        <v>499.61</v>
      </c>
    </row>
    <row r="107" spans="1:2" x14ac:dyDescent="0.3">
      <c r="A107" s="1">
        <v>43987</v>
      </c>
      <c r="B107">
        <v>515.39</v>
      </c>
    </row>
    <row r="108" spans="1:2" x14ac:dyDescent="0.3">
      <c r="A108" s="1">
        <v>43990</v>
      </c>
      <c r="B108">
        <v>506.69</v>
      </c>
    </row>
    <row r="109" spans="1:2" x14ac:dyDescent="0.3">
      <c r="A109" s="1">
        <v>43991</v>
      </c>
      <c r="B109">
        <v>492.42</v>
      </c>
    </row>
    <row r="110" spans="1:2" x14ac:dyDescent="0.3">
      <c r="A110" s="1">
        <v>43992</v>
      </c>
      <c r="B110">
        <v>494.69</v>
      </c>
    </row>
    <row r="111" spans="1:2" x14ac:dyDescent="0.3">
      <c r="A111" s="1">
        <v>43993</v>
      </c>
      <c r="B111">
        <v>483.1</v>
      </c>
    </row>
    <row r="112" spans="1:2" x14ac:dyDescent="0.3">
      <c r="A112" s="1">
        <v>43994</v>
      </c>
      <c r="B112">
        <v>490.16</v>
      </c>
    </row>
    <row r="113" spans="1:2" x14ac:dyDescent="0.3">
      <c r="A113" s="1">
        <v>43997</v>
      </c>
      <c r="B113">
        <v>473.75</v>
      </c>
    </row>
    <row r="114" spans="1:2" x14ac:dyDescent="0.3">
      <c r="A114" s="1">
        <v>43998</v>
      </c>
      <c r="B114">
        <v>493.97</v>
      </c>
    </row>
    <row r="115" spans="1:2" x14ac:dyDescent="0.3">
      <c r="A115" s="1">
        <v>43999</v>
      </c>
      <c r="B115">
        <v>488.41</v>
      </c>
    </row>
    <row r="116" spans="1:2" x14ac:dyDescent="0.3">
      <c r="A116" s="1">
        <v>44000</v>
      </c>
      <c r="B116">
        <v>508.71</v>
      </c>
    </row>
    <row r="117" spans="1:2" x14ac:dyDescent="0.3">
      <c r="A117" s="1">
        <v>44001</v>
      </c>
      <c r="B117">
        <v>515.39</v>
      </c>
    </row>
    <row r="118" spans="1:2" x14ac:dyDescent="0.3">
      <c r="A118" s="1">
        <v>44004</v>
      </c>
      <c r="B118">
        <v>513.1</v>
      </c>
    </row>
    <row r="119" spans="1:2" x14ac:dyDescent="0.3">
      <c r="A119" s="1">
        <v>44005</v>
      </c>
      <c r="B119">
        <v>519.86</v>
      </c>
    </row>
    <row r="120" spans="1:2" x14ac:dyDescent="0.3">
      <c r="A120" s="1">
        <v>44006</v>
      </c>
      <c r="B120">
        <v>514.97</v>
      </c>
    </row>
    <row r="121" spans="1:2" x14ac:dyDescent="0.3">
      <c r="A121" s="1">
        <v>44007</v>
      </c>
      <c r="B121">
        <v>513.1</v>
      </c>
    </row>
    <row r="122" spans="1:2" x14ac:dyDescent="0.3">
      <c r="A122" s="1">
        <v>44008</v>
      </c>
      <c r="B122">
        <v>526.91</v>
      </c>
    </row>
    <row r="123" spans="1:2" x14ac:dyDescent="0.3">
      <c r="A123" s="1">
        <v>44011</v>
      </c>
      <c r="B123">
        <v>536.69000000000005</v>
      </c>
    </row>
    <row r="124" spans="1:2" x14ac:dyDescent="0.3">
      <c r="A124" s="1">
        <v>44012</v>
      </c>
      <c r="B124">
        <v>531.6</v>
      </c>
    </row>
    <row r="125" spans="1:2" x14ac:dyDescent="0.3">
      <c r="A125" s="1">
        <v>44013</v>
      </c>
      <c r="B125">
        <v>540.95000000000005</v>
      </c>
    </row>
    <row r="126" spans="1:2" x14ac:dyDescent="0.3">
      <c r="A126" s="1">
        <v>44014</v>
      </c>
      <c r="B126">
        <v>543.35</v>
      </c>
    </row>
    <row r="127" spans="1:2" x14ac:dyDescent="0.3">
      <c r="A127" s="1">
        <v>44015</v>
      </c>
      <c r="B127">
        <v>535.64</v>
      </c>
    </row>
    <row r="128" spans="1:2" x14ac:dyDescent="0.3">
      <c r="A128" s="1">
        <v>44018</v>
      </c>
      <c r="B128">
        <v>550.13</v>
      </c>
    </row>
    <row r="129" spans="1:2" x14ac:dyDescent="0.3">
      <c r="A129" s="1">
        <v>44019</v>
      </c>
      <c r="B129">
        <v>551.20000000000005</v>
      </c>
    </row>
    <row r="130" spans="1:2" x14ac:dyDescent="0.3">
      <c r="A130" s="1">
        <v>44020</v>
      </c>
      <c r="B130">
        <v>553.79999999999995</v>
      </c>
    </row>
    <row r="131" spans="1:2" x14ac:dyDescent="0.3">
      <c r="A131" s="1">
        <v>44021</v>
      </c>
      <c r="B131">
        <v>561.08000000000004</v>
      </c>
    </row>
    <row r="132" spans="1:2" x14ac:dyDescent="0.3">
      <c r="A132" s="1">
        <v>44022</v>
      </c>
      <c r="B132">
        <v>551.17999999999995</v>
      </c>
    </row>
    <row r="133" spans="1:2" x14ac:dyDescent="0.3">
      <c r="A133" s="1">
        <v>44025</v>
      </c>
      <c r="B133">
        <v>538.78</v>
      </c>
    </row>
    <row r="134" spans="1:2" x14ac:dyDescent="0.3">
      <c r="A134" s="1">
        <v>44026</v>
      </c>
      <c r="B134">
        <v>528.11</v>
      </c>
    </row>
    <row r="135" spans="1:2" x14ac:dyDescent="0.3">
      <c r="A135" s="1">
        <v>44027</v>
      </c>
      <c r="B135">
        <v>525.27</v>
      </c>
    </row>
    <row r="136" spans="1:2" x14ac:dyDescent="0.3">
      <c r="A136" s="1">
        <v>44028</v>
      </c>
      <c r="B136">
        <v>529.96</v>
      </c>
    </row>
    <row r="137" spans="1:2" x14ac:dyDescent="0.3">
      <c r="A137" s="1">
        <v>44029</v>
      </c>
      <c r="B137">
        <v>547.86</v>
      </c>
    </row>
    <row r="138" spans="1:2" x14ac:dyDescent="0.3">
      <c r="A138" s="1">
        <v>44032</v>
      </c>
      <c r="B138">
        <v>565.12</v>
      </c>
    </row>
    <row r="139" spans="1:2" x14ac:dyDescent="0.3">
      <c r="A139" s="1">
        <v>44033</v>
      </c>
      <c r="B139">
        <v>567.86</v>
      </c>
    </row>
    <row r="140" spans="1:2" x14ac:dyDescent="0.3">
      <c r="A140" s="1">
        <v>44034</v>
      </c>
      <c r="B140">
        <v>561.78</v>
      </c>
    </row>
    <row r="141" spans="1:2" x14ac:dyDescent="0.3">
      <c r="A141" s="1">
        <v>44035</v>
      </c>
      <c r="B141">
        <v>563.79999999999995</v>
      </c>
    </row>
    <row r="142" spans="1:2" x14ac:dyDescent="0.3">
      <c r="A142" s="1">
        <v>44036</v>
      </c>
      <c r="B142">
        <v>558.16</v>
      </c>
    </row>
    <row r="143" spans="1:2" x14ac:dyDescent="0.3">
      <c r="A143" s="1">
        <v>44039</v>
      </c>
      <c r="B143">
        <v>538.41</v>
      </c>
    </row>
    <row r="144" spans="1:2" x14ac:dyDescent="0.3">
      <c r="A144" s="1">
        <v>44040</v>
      </c>
      <c r="B144">
        <v>541.98</v>
      </c>
    </row>
    <row r="145" spans="1:2" x14ac:dyDescent="0.3">
      <c r="A145" s="1">
        <v>44041</v>
      </c>
      <c r="B145">
        <v>530.98</v>
      </c>
    </row>
    <row r="146" spans="1:2" x14ac:dyDescent="0.3">
      <c r="A146" s="1">
        <v>44042</v>
      </c>
      <c r="B146">
        <v>524.02</v>
      </c>
    </row>
    <row r="147" spans="1:2" x14ac:dyDescent="0.3">
      <c r="A147" s="1">
        <v>44043</v>
      </c>
      <c r="B147">
        <v>515.12</v>
      </c>
    </row>
    <row r="148" spans="1:2" x14ac:dyDescent="0.3">
      <c r="A148" s="1">
        <v>44046</v>
      </c>
      <c r="B148">
        <v>499.76</v>
      </c>
    </row>
    <row r="149" spans="1:2" x14ac:dyDescent="0.3">
      <c r="A149" s="1">
        <v>44047</v>
      </c>
      <c r="B149">
        <v>519.53</v>
      </c>
    </row>
    <row r="150" spans="1:2" x14ac:dyDescent="0.3">
      <c r="A150" s="1">
        <v>44048</v>
      </c>
      <c r="B150">
        <v>512.5</v>
      </c>
    </row>
    <row r="151" spans="1:2" x14ac:dyDescent="0.3">
      <c r="A151" s="1">
        <v>44049</v>
      </c>
      <c r="B151">
        <v>519.05999999999995</v>
      </c>
    </row>
    <row r="152" spans="1:2" x14ac:dyDescent="0.3">
      <c r="A152" s="1">
        <v>44050</v>
      </c>
      <c r="B152">
        <v>520.63</v>
      </c>
    </row>
    <row r="153" spans="1:2" x14ac:dyDescent="0.3">
      <c r="A153" s="1">
        <v>44053</v>
      </c>
      <c r="B153">
        <v>524.02</v>
      </c>
    </row>
    <row r="154" spans="1:2" x14ac:dyDescent="0.3">
      <c r="A154" s="1">
        <v>44054</v>
      </c>
      <c r="B154">
        <v>532</v>
      </c>
    </row>
    <row r="155" spans="1:2" x14ac:dyDescent="0.3">
      <c r="A155" s="1">
        <v>44055</v>
      </c>
      <c r="B155">
        <v>530.53</v>
      </c>
    </row>
    <row r="156" spans="1:2" x14ac:dyDescent="0.3">
      <c r="A156" s="1">
        <v>44056</v>
      </c>
      <c r="B156">
        <v>528.21</v>
      </c>
    </row>
    <row r="157" spans="1:2" x14ac:dyDescent="0.3">
      <c r="A157" s="1">
        <v>44057</v>
      </c>
      <c r="B157">
        <v>515.94000000000005</v>
      </c>
    </row>
    <row r="158" spans="1:2" x14ac:dyDescent="0.3">
      <c r="A158" s="1">
        <v>44060</v>
      </c>
      <c r="B158">
        <v>515.09</v>
      </c>
    </row>
    <row r="159" spans="1:2" x14ac:dyDescent="0.3">
      <c r="A159" s="1">
        <v>44061</v>
      </c>
      <c r="B159">
        <v>526.94000000000005</v>
      </c>
    </row>
    <row r="160" spans="1:2" x14ac:dyDescent="0.3">
      <c r="A160" s="1">
        <v>44062</v>
      </c>
      <c r="B160">
        <v>531.98</v>
      </c>
    </row>
    <row r="161" spans="1:2" x14ac:dyDescent="0.3">
      <c r="A161" s="1">
        <v>44063</v>
      </c>
      <c r="B161">
        <v>528.19000000000005</v>
      </c>
    </row>
    <row r="162" spans="1:2" x14ac:dyDescent="0.3">
      <c r="A162" s="1">
        <v>44064</v>
      </c>
      <c r="B162">
        <v>541.48</v>
      </c>
    </row>
    <row r="163" spans="1:2" x14ac:dyDescent="0.3">
      <c r="A163" s="1">
        <v>44067</v>
      </c>
      <c r="B163">
        <v>557.14</v>
      </c>
    </row>
    <row r="164" spans="1:2" x14ac:dyDescent="0.3">
      <c r="A164" s="1">
        <v>44068</v>
      </c>
      <c r="B164">
        <v>558.46</v>
      </c>
    </row>
    <row r="165" spans="1:2" x14ac:dyDescent="0.3">
      <c r="A165" s="1">
        <v>44069</v>
      </c>
      <c r="B165">
        <v>557.84</v>
      </c>
    </row>
    <row r="166" spans="1:2" x14ac:dyDescent="0.3">
      <c r="A166" s="1">
        <v>44070</v>
      </c>
      <c r="B166">
        <v>554.66999999999996</v>
      </c>
    </row>
    <row r="167" spans="1:2" x14ac:dyDescent="0.3">
      <c r="A167" s="1">
        <v>44071</v>
      </c>
      <c r="B167">
        <v>555.87</v>
      </c>
    </row>
    <row r="168" spans="1:2" x14ac:dyDescent="0.3">
      <c r="A168" s="1">
        <v>44074</v>
      </c>
      <c r="B168">
        <v>556.54</v>
      </c>
    </row>
    <row r="169" spans="1:2" x14ac:dyDescent="0.3">
      <c r="A169" s="1">
        <v>44075</v>
      </c>
      <c r="B169">
        <v>562.25</v>
      </c>
    </row>
    <row r="170" spans="1:2" x14ac:dyDescent="0.3">
      <c r="A170" s="1">
        <v>44076</v>
      </c>
      <c r="B170">
        <v>565.66999999999996</v>
      </c>
    </row>
    <row r="171" spans="1:2" x14ac:dyDescent="0.3">
      <c r="A171" s="1">
        <v>44077</v>
      </c>
      <c r="B171">
        <v>564.04999999999995</v>
      </c>
    </row>
    <row r="172" spans="1:2" x14ac:dyDescent="0.3">
      <c r="A172" s="1">
        <v>44078</v>
      </c>
      <c r="B172">
        <v>558.26</v>
      </c>
    </row>
    <row r="173" spans="1:2" x14ac:dyDescent="0.3">
      <c r="A173" s="1">
        <v>44081</v>
      </c>
      <c r="B173">
        <v>553.87</v>
      </c>
    </row>
    <row r="174" spans="1:2" x14ac:dyDescent="0.3">
      <c r="A174" s="1">
        <v>44082</v>
      </c>
      <c r="B174">
        <v>554.84</v>
      </c>
    </row>
    <row r="175" spans="1:2" x14ac:dyDescent="0.3">
      <c r="A175" s="1">
        <v>44083</v>
      </c>
      <c r="B175">
        <v>546.89</v>
      </c>
    </row>
    <row r="176" spans="1:2" x14ac:dyDescent="0.3">
      <c r="A176" s="1">
        <v>44084</v>
      </c>
      <c r="B176">
        <v>543.91999999999996</v>
      </c>
    </row>
    <row r="177" spans="1:2" x14ac:dyDescent="0.3">
      <c r="A177" s="1">
        <v>44085</v>
      </c>
      <c r="B177">
        <v>537.99</v>
      </c>
    </row>
    <row r="178" spans="1:2" x14ac:dyDescent="0.3">
      <c r="A178" s="1">
        <v>44088</v>
      </c>
      <c r="B178">
        <v>527.66</v>
      </c>
    </row>
    <row r="179" spans="1:2" x14ac:dyDescent="0.3">
      <c r="A179" s="1">
        <v>44089</v>
      </c>
      <c r="B179">
        <v>533.91999999999996</v>
      </c>
    </row>
    <row r="180" spans="1:2" x14ac:dyDescent="0.3">
      <c r="A180" s="1">
        <v>44090</v>
      </c>
      <c r="B180">
        <v>545.47</v>
      </c>
    </row>
    <row r="181" spans="1:2" x14ac:dyDescent="0.3">
      <c r="A181" s="1">
        <v>44091</v>
      </c>
      <c r="B181">
        <v>540.46</v>
      </c>
    </row>
    <row r="182" spans="1:2" x14ac:dyDescent="0.3">
      <c r="A182" s="1">
        <v>44092</v>
      </c>
      <c r="B182">
        <v>527.34</v>
      </c>
    </row>
    <row r="183" spans="1:2" x14ac:dyDescent="0.3">
      <c r="A183" s="1">
        <v>44095</v>
      </c>
      <c r="B183">
        <v>523.35</v>
      </c>
    </row>
    <row r="184" spans="1:2" x14ac:dyDescent="0.3">
      <c r="A184" s="1">
        <v>44096</v>
      </c>
      <c r="B184">
        <v>516.41999999999996</v>
      </c>
    </row>
    <row r="185" spans="1:2" x14ac:dyDescent="0.3">
      <c r="A185" s="1">
        <v>44097</v>
      </c>
      <c r="B185">
        <v>522.33000000000004</v>
      </c>
    </row>
    <row r="186" spans="1:2" x14ac:dyDescent="0.3">
      <c r="A186" s="1">
        <v>44098</v>
      </c>
      <c r="B186">
        <v>513.91999999999996</v>
      </c>
    </row>
    <row r="187" spans="1:2" x14ac:dyDescent="0.3">
      <c r="A187" s="1">
        <v>44099</v>
      </c>
      <c r="B187">
        <v>520.70000000000005</v>
      </c>
    </row>
    <row r="188" spans="1:2" x14ac:dyDescent="0.3">
      <c r="A188" s="1">
        <v>44102</v>
      </c>
      <c r="B188">
        <v>525.79</v>
      </c>
    </row>
    <row r="189" spans="1:2" x14ac:dyDescent="0.3">
      <c r="A189" s="1">
        <v>44103</v>
      </c>
      <c r="B189">
        <v>529.96</v>
      </c>
    </row>
    <row r="190" spans="1:2" x14ac:dyDescent="0.3">
      <c r="A190" s="1">
        <v>44104</v>
      </c>
      <c r="B190">
        <v>537.96</v>
      </c>
    </row>
    <row r="191" spans="1:2" x14ac:dyDescent="0.3">
      <c r="A191" s="1">
        <v>44105</v>
      </c>
      <c r="B191">
        <v>552.1</v>
      </c>
    </row>
    <row r="192" spans="1:2" x14ac:dyDescent="0.3">
      <c r="A192" s="1">
        <v>44109</v>
      </c>
      <c r="B192">
        <v>555.79</v>
      </c>
    </row>
    <row r="193" spans="1:2" x14ac:dyDescent="0.3">
      <c r="A193" s="1">
        <v>44110</v>
      </c>
      <c r="B193">
        <v>570.63</v>
      </c>
    </row>
    <row r="194" spans="1:2" x14ac:dyDescent="0.3">
      <c r="A194" s="1">
        <v>44111</v>
      </c>
      <c r="B194">
        <v>579.67999999999995</v>
      </c>
    </row>
    <row r="195" spans="1:2" x14ac:dyDescent="0.3">
      <c r="A195" s="1">
        <v>44112</v>
      </c>
      <c r="B195">
        <v>594.41999999999996</v>
      </c>
    </row>
    <row r="196" spans="1:2" x14ac:dyDescent="0.3">
      <c r="A196" s="1">
        <v>44113</v>
      </c>
      <c r="B196">
        <v>615.24</v>
      </c>
    </row>
    <row r="197" spans="1:2" x14ac:dyDescent="0.3">
      <c r="A197" s="1">
        <v>44116</v>
      </c>
      <c r="B197">
        <v>605.32000000000005</v>
      </c>
    </row>
    <row r="198" spans="1:2" x14ac:dyDescent="0.3">
      <c r="A198" s="1">
        <v>44117</v>
      </c>
      <c r="B198">
        <v>597.74</v>
      </c>
    </row>
    <row r="199" spans="1:2" x14ac:dyDescent="0.3">
      <c r="A199" s="1">
        <v>44118</v>
      </c>
      <c r="B199">
        <v>604.25</v>
      </c>
    </row>
    <row r="200" spans="1:2" x14ac:dyDescent="0.3">
      <c r="A200" s="1">
        <v>44119</v>
      </c>
      <c r="B200">
        <v>583.16999999999996</v>
      </c>
    </row>
    <row r="201" spans="1:2" x14ac:dyDescent="0.3">
      <c r="A201" s="1">
        <v>44120</v>
      </c>
      <c r="B201">
        <v>598.19000000000005</v>
      </c>
    </row>
    <row r="202" spans="1:2" x14ac:dyDescent="0.3">
      <c r="A202" s="1">
        <v>44123</v>
      </c>
      <c r="B202">
        <v>600.28</v>
      </c>
    </row>
    <row r="203" spans="1:2" x14ac:dyDescent="0.3">
      <c r="A203" s="1">
        <v>44124</v>
      </c>
      <c r="B203">
        <v>610.46</v>
      </c>
    </row>
    <row r="204" spans="1:2" x14ac:dyDescent="0.3">
      <c r="A204" s="1">
        <v>44125</v>
      </c>
      <c r="B204">
        <v>621.79999999999995</v>
      </c>
    </row>
    <row r="205" spans="1:2" x14ac:dyDescent="0.3">
      <c r="A205" s="1">
        <v>44126</v>
      </c>
      <c r="B205">
        <v>615.12</v>
      </c>
    </row>
    <row r="206" spans="1:2" x14ac:dyDescent="0.3">
      <c r="A206" s="1">
        <v>44127</v>
      </c>
      <c r="B206">
        <v>616.37</v>
      </c>
    </row>
    <row r="207" spans="1:2" x14ac:dyDescent="0.3">
      <c r="A207" s="1">
        <v>44130</v>
      </c>
      <c r="B207">
        <v>603.95000000000005</v>
      </c>
    </row>
    <row r="208" spans="1:2" x14ac:dyDescent="0.3">
      <c r="A208" s="1">
        <v>44131</v>
      </c>
      <c r="B208">
        <v>615.02</v>
      </c>
    </row>
    <row r="209" spans="1:2" x14ac:dyDescent="0.3">
      <c r="A209" s="1">
        <v>44132</v>
      </c>
      <c r="B209">
        <v>603.29999999999995</v>
      </c>
    </row>
    <row r="210" spans="1:2" x14ac:dyDescent="0.3">
      <c r="A210" s="1">
        <v>44133</v>
      </c>
      <c r="B210">
        <v>592.13</v>
      </c>
    </row>
    <row r="211" spans="1:2" x14ac:dyDescent="0.3">
      <c r="A211" s="1">
        <v>44134</v>
      </c>
      <c r="B211">
        <v>590.30999999999995</v>
      </c>
    </row>
    <row r="212" spans="1:2" x14ac:dyDescent="0.3">
      <c r="A212" s="1">
        <v>44137</v>
      </c>
      <c r="B212">
        <v>606.12</v>
      </c>
    </row>
    <row r="213" spans="1:2" x14ac:dyDescent="0.3">
      <c r="A213" s="1">
        <v>44138</v>
      </c>
      <c r="B213">
        <v>622.42999999999995</v>
      </c>
    </row>
    <row r="214" spans="1:2" x14ac:dyDescent="0.3">
      <c r="A214" s="1">
        <v>44139</v>
      </c>
      <c r="B214">
        <v>627.14</v>
      </c>
    </row>
    <row r="215" spans="1:2" x14ac:dyDescent="0.3">
      <c r="A215" s="1">
        <v>44140</v>
      </c>
      <c r="B215">
        <v>633.02</v>
      </c>
    </row>
    <row r="216" spans="1:2" x14ac:dyDescent="0.3">
      <c r="A216" s="1">
        <v>44141</v>
      </c>
      <c r="B216">
        <v>652.20000000000005</v>
      </c>
    </row>
    <row r="217" spans="1:2" x14ac:dyDescent="0.3">
      <c r="A217" s="1">
        <v>44144</v>
      </c>
      <c r="B217">
        <v>668.61</v>
      </c>
    </row>
    <row r="218" spans="1:2" x14ac:dyDescent="0.3">
      <c r="A218" s="1">
        <v>44145</v>
      </c>
      <c r="B218">
        <v>695.1</v>
      </c>
    </row>
    <row r="219" spans="1:2" x14ac:dyDescent="0.3">
      <c r="A219" s="1">
        <v>44146</v>
      </c>
      <c r="B219">
        <v>693.25</v>
      </c>
    </row>
    <row r="220" spans="1:2" x14ac:dyDescent="0.3">
      <c r="A220" s="1">
        <v>44147</v>
      </c>
      <c r="B220">
        <v>684.15</v>
      </c>
    </row>
    <row r="221" spans="1:2" x14ac:dyDescent="0.3">
      <c r="A221" s="1">
        <v>44148</v>
      </c>
      <c r="B221">
        <v>677.71</v>
      </c>
    </row>
    <row r="222" spans="1:2" x14ac:dyDescent="0.3">
      <c r="A222" s="1">
        <v>44149</v>
      </c>
      <c r="B222">
        <v>683.15</v>
      </c>
    </row>
    <row r="223" spans="1:2" x14ac:dyDescent="0.3">
      <c r="A223" s="1">
        <v>44152</v>
      </c>
      <c r="B223">
        <v>702.48</v>
      </c>
    </row>
    <row r="224" spans="1:2" x14ac:dyDescent="0.3">
      <c r="A224" s="1">
        <v>44153</v>
      </c>
      <c r="B224">
        <v>702.6</v>
      </c>
    </row>
    <row r="225" spans="1:2" x14ac:dyDescent="0.3">
      <c r="A225" s="1">
        <v>44154</v>
      </c>
      <c r="B225">
        <v>685.47</v>
      </c>
    </row>
    <row r="226" spans="1:2" x14ac:dyDescent="0.3">
      <c r="A226" s="1">
        <v>44155</v>
      </c>
      <c r="B226">
        <v>700.08</v>
      </c>
    </row>
    <row r="227" spans="1:2" x14ac:dyDescent="0.3">
      <c r="A227" s="1">
        <v>44158</v>
      </c>
      <c r="B227">
        <v>695.57</v>
      </c>
    </row>
    <row r="228" spans="1:2" x14ac:dyDescent="0.3">
      <c r="A228" s="1">
        <v>44159</v>
      </c>
      <c r="B228">
        <v>717.32</v>
      </c>
    </row>
    <row r="229" spans="1:2" x14ac:dyDescent="0.3">
      <c r="A229" s="1">
        <v>44160</v>
      </c>
      <c r="B229">
        <v>699.66</v>
      </c>
    </row>
    <row r="230" spans="1:2" x14ac:dyDescent="0.3">
      <c r="A230" s="1">
        <v>44161</v>
      </c>
      <c r="B230">
        <v>711.55</v>
      </c>
    </row>
    <row r="231" spans="1:2" x14ac:dyDescent="0.3">
      <c r="A231" s="1">
        <v>44162</v>
      </c>
      <c r="B231">
        <v>718.64</v>
      </c>
    </row>
    <row r="232" spans="1:2" x14ac:dyDescent="0.3">
      <c r="A232" s="1">
        <v>44166</v>
      </c>
      <c r="B232">
        <v>714.87</v>
      </c>
    </row>
    <row r="233" spans="1:2" x14ac:dyDescent="0.3">
      <c r="A233" s="1">
        <v>44167</v>
      </c>
      <c r="B233">
        <v>701.73</v>
      </c>
    </row>
    <row r="234" spans="1:2" x14ac:dyDescent="0.3">
      <c r="A234" s="1">
        <v>44168</v>
      </c>
      <c r="B234">
        <v>686.89</v>
      </c>
    </row>
    <row r="235" spans="1:2" x14ac:dyDescent="0.3">
      <c r="A235" s="1">
        <v>44169</v>
      </c>
      <c r="B235">
        <v>691.08</v>
      </c>
    </row>
    <row r="236" spans="1:2" x14ac:dyDescent="0.3">
      <c r="A236" s="1">
        <v>44172</v>
      </c>
      <c r="B236">
        <v>684.42</v>
      </c>
    </row>
    <row r="237" spans="1:2" x14ac:dyDescent="0.3">
      <c r="A237" s="1">
        <v>44173</v>
      </c>
      <c r="B237">
        <v>686.44</v>
      </c>
    </row>
    <row r="238" spans="1:2" x14ac:dyDescent="0.3">
      <c r="A238" s="1">
        <v>44174</v>
      </c>
      <c r="B238">
        <v>701.85</v>
      </c>
    </row>
    <row r="239" spans="1:2" x14ac:dyDescent="0.3">
      <c r="A239" s="1">
        <v>44175</v>
      </c>
      <c r="B239">
        <v>691.21</v>
      </c>
    </row>
    <row r="240" spans="1:2" x14ac:dyDescent="0.3">
      <c r="A240" s="1">
        <v>44176</v>
      </c>
      <c r="B240">
        <v>689.68</v>
      </c>
    </row>
    <row r="241" spans="1:2" x14ac:dyDescent="0.3">
      <c r="A241" s="1">
        <v>44179</v>
      </c>
      <c r="B241">
        <v>684.37</v>
      </c>
    </row>
    <row r="242" spans="1:2" x14ac:dyDescent="0.3">
      <c r="A242" s="1">
        <v>44180</v>
      </c>
      <c r="B242">
        <v>693.92</v>
      </c>
    </row>
    <row r="243" spans="1:2" x14ac:dyDescent="0.3">
      <c r="A243" s="1">
        <v>44181</v>
      </c>
      <c r="B243">
        <v>703.6</v>
      </c>
    </row>
    <row r="244" spans="1:2" x14ac:dyDescent="0.3">
      <c r="A244" s="1">
        <v>44182</v>
      </c>
      <c r="B244">
        <v>719.11</v>
      </c>
    </row>
    <row r="245" spans="1:2" x14ac:dyDescent="0.3">
      <c r="A245" s="1">
        <v>44183</v>
      </c>
      <c r="B245">
        <v>703.92</v>
      </c>
    </row>
    <row r="246" spans="1:2" x14ac:dyDescent="0.3">
      <c r="A246" s="1">
        <v>44186</v>
      </c>
      <c r="B246">
        <v>684.62</v>
      </c>
    </row>
    <row r="247" spans="1:2" x14ac:dyDescent="0.3">
      <c r="A247" s="1">
        <v>44187</v>
      </c>
      <c r="B247">
        <v>684.85</v>
      </c>
    </row>
    <row r="248" spans="1:2" x14ac:dyDescent="0.3">
      <c r="A248" s="1">
        <v>44188</v>
      </c>
      <c r="B248">
        <v>686.12</v>
      </c>
    </row>
    <row r="249" spans="1:2" x14ac:dyDescent="0.3">
      <c r="A249" s="1">
        <v>44189</v>
      </c>
      <c r="B249">
        <v>696.82</v>
      </c>
    </row>
    <row r="250" spans="1:2" x14ac:dyDescent="0.3">
      <c r="A250" s="1">
        <v>44193</v>
      </c>
      <c r="B250">
        <v>704.67</v>
      </c>
    </row>
    <row r="251" spans="1:2" x14ac:dyDescent="0.3">
      <c r="A251" s="1">
        <v>44194</v>
      </c>
      <c r="B251">
        <v>711.83</v>
      </c>
    </row>
    <row r="252" spans="1:2" x14ac:dyDescent="0.3">
      <c r="A252" s="1">
        <v>44195</v>
      </c>
      <c r="B252">
        <v>714.47</v>
      </c>
    </row>
    <row r="253" spans="1:2" x14ac:dyDescent="0.3">
      <c r="A253" s="1">
        <v>44196</v>
      </c>
      <c r="B253">
        <v>716.37</v>
      </c>
    </row>
    <row r="254" spans="1:2" x14ac:dyDescent="0.3">
      <c r="A254" s="1">
        <v>44197</v>
      </c>
      <c r="B254">
        <v>710.76</v>
      </c>
    </row>
    <row r="255" spans="1:2" x14ac:dyDescent="0.3">
      <c r="A255" s="1">
        <v>44200</v>
      </c>
      <c r="B255">
        <v>706.24</v>
      </c>
    </row>
    <row r="256" spans="1:2" x14ac:dyDescent="0.3">
      <c r="A256" s="1">
        <v>44201</v>
      </c>
      <c r="B256">
        <v>711.58</v>
      </c>
    </row>
    <row r="257" spans="1:2" x14ac:dyDescent="0.3">
      <c r="A257" s="1">
        <v>44202</v>
      </c>
      <c r="B257">
        <v>708.51</v>
      </c>
    </row>
    <row r="258" spans="1:2" x14ac:dyDescent="0.3">
      <c r="A258" s="1">
        <v>44203</v>
      </c>
      <c r="B258">
        <v>706.37</v>
      </c>
    </row>
    <row r="259" spans="1:2" x14ac:dyDescent="0.3">
      <c r="A259" s="1">
        <v>44204</v>
      </c>
      <c r="B259">
        <v>714.05</v>
      </c>
    </row>
    <row r="260" spans="1:2" x14ac:dyDescent="0.3">
      <c r="A260" s="1">
        <v>44207</v>
      </c>
      <c r="B260">
        <v>723.92</v>
      </c>
    </row>
    <row r="261" spans="1:2" x14ac:dyDescent="0.3">
      <c r="A261" s="1">
        <v>44208</v>
      </c>
      <c r="B261">
        <v>738.66</v>
      </c>
    </row>
    <row r="262" spans="1:2" x14ac:dyDescent="0.3">
      <c r="A262" s="1">
        <v>44209</v>
      </c>
      <c r="B262">
        <v>733.5</v>
      </c>
    </row>
    <row r="263" spans="1:2" x14ac:dyDescent="0.3">
      <c r="A263" s="1">
        <v>44210</v>
      </c>
      <c r="B263">
        <v>732.55</v>
      </c>
    </row>
    <row r="264" spans="1:2" x14ac:dyDescent="0.3">
      <c r="A264" s="1">
        <v>44211</v>
      </c>
      <c r="B264">
        <v>731.5</v>
      </c>
    </row>
    <row r="265" spans="1:2" x14ac:dyDescent="0.3">
      <c r="A265" s="1">
        <v>44214</v>
      </c>
      <c r="B265">
        <v>739.71</v>
      </c>
    </row>
    <row r="266" spans="1:2" x14ac:dyDescent="0.3">
      <c r="A266" s="1">
        <v>44215</v>
      </c>
      <c r="B266">
        <v>750.06</v>
      </c>
    </row>
    <row r="267" spans="1:2" x14ac:dyDescent="0.3">
      <c r="A267" s="1">
        <v>44216</v>
      </c>
      <c r="B267">
        <v>744.15</v>
      </c>
    </row>
    <row r="268" spans="1:2" x14ac:dyDescent="0.3">
      <c r="A268" s="1">
        <v>44217</v>
      </c>
      <c r="B268">
        <v>735.57</v>
      </c>
    </row>
    <row r="269" spans="1:2" x14ac:dyDescent="0.3">
      <c r="A269" s="1">
        <v>44218</v>
      </c>
      <c r="B269">
        <v>719.98</v>
      </c>
    </row>
    <row r="270" spans="1:2" x14ac:dyDescent="0.3">
      <c r="A270" s="1">
        <v>44221</v>
      </c>
      <c r="B270">
        <v>729.61</v>
      </c>
    </row>
    <row r="271" spans="1:2" x14ac:dyDescent="0.3">
      <c r="A271" s="1">
        <v>44223</v>
      </c>
      <c r="B271">
        <v>703.05</v>
      </c>
    </row>
    <row r="272" spans="1:2" x14ac:dyDescent="0.3">
      <c r="A272" s="1">
        <v>44224</v>
      </c>
      <c r="B272">
        <v>684.02</v>
      </c>
    </row>
    <row r="273" spans="1:2" x14ac:dyDescent="0.3">
      <c r="A273" s="1">
        <v>44225</v>
      </c>
      <c r="B273">
        <v>693.52</v>
      </c>
    </row>
    <row r="274" spans="1:2" x14ac:dyDescent="0.3">
      <c r="A274" s="1">
        <v>44228</v>
      </c>
      <c r="B274">
        <v>736.54</v>
      </c>
    </row>
    <row r="275" spans="1:2" x14ac:dyDescent="0.3">
      <c r="A275" s="1">
        <v>44229</v>
      </c>
      <c r="B275">
        <v>778.34</v>
      </c>
    </row>
    <row r="276" spans="1:2" x14ac:dyDescent="0.3">
      <c r="A276" s="1">
        <v>44230</v>
      </c>
      <c r="B276">
        <v>785.45</v>
      </c>
    </row>
    <row r="277" spans="1:2" x14ac:dyDescent="0.3">
      <c r="A277" s="1">
        <v>44231</v>
      </c>
      <c r="B277">
        <v>787.59</v>
      </c>
    </row>
    <row r="278" spans="1:2" x14ac:dyDescent="0.3">
      <c r="A278" s="1">
        <v>44232</v>
      </c>
      <c r="B278">
        <v>796.82</v>
      </c>
    </row>
    <row r="279" spans="1:2" x14ac:dyDescent="0.3">
      <c r="A279" s="1">
        <v>44235</v>
      </c>
      <c r="B279">
        <v>800.63</v>
      </c>
    </row>
    <row r="280" spans="1:2" x14ac:dyDescent="0.3">
      <c r="A280" s="1">
        <v>44236</v>
      </c>
      <c r="B280">
        <v>803.92</v>
      </c>
    </row>
    <row r="281" spans="1:2" x14ac:dyDescent="0.3">
      <c r="A281" s="1">
        <v>44237</v>
      </c>
      <c r="B281">
        <v>788.91</v>
      </c>
    </row>
    <row r="282" spans="1:2" x14ac:dyDescent="0.3">
      <c r="A282" s="1">
        <v>44238</v>
      </c>
      <c r="B282">
        <v>784.22</v>
      </c>
    </row>
    <row r="283" spans="1:2" x14ac:dyDescent="0.3">
      <c r="A283" s="1">
        <v>44239</v>
      </c>
      <c r="B283">
        <v>789.01</v>
      </c>
    </row>
    <row r="284" spans="1:2" x14ac:dyDescent="0.3">
      <c r="A284" s="1">
        <v>44242</v>
      </c>
      <c r="B284">
        <v>806.29</v>
      </c>
    </row>
    <row r="285" spans="1:2" x14ac:dyDescent="0.3">
      <c r="A285" s="1">
        <v>44243</v>
      </c>
      <c r="B285">
        <v>811.31</v>
      </c>
    </row>
    <row r="286" spans="1:2" x14ac:dyDescent="0.3">
      <c r="A286" s="1">
        <v>44244</v>
      </c>
      <c r="B286">
        <v>791.28</v>
      </c>
    </row>
    <row r="287" spans="1:2" x14ac:dyDescent="0.3">
      <c r="A287" s="1">
        <v>44245</v>
      </c>
      <c r="B287">
        <v>775.22</v>
      </c>
    </row>
    <row r="288" spans="1:2" x14ac:dyDescent="0.3">
      <c r="A288" s="1">
        <v>44246</v>
      </c>
      <c r="B288">
        <v>767.64</v>
      </c>
    </row>
    <row r="289" spans="1:2" x14ac:dyDescent="0.3">
      <c r="A289" s="1">
        <v>44249</v>
      </c>
      <c r="B289">
        <v>772.08</v>
      </c>
    </row>
    <row r="290" spans="1:2" x14ac:dyDescent="0.3">
      <c r="A290" s="1">
        <v>44250</v>
      </c>
      <c r="B290">
        <v>762.68</v>
      </c>
    </row>
    <row r="291" spans="1:2" x14ac:dyDescent="0.3">
      <c r="A291" s="1">
        <v>44251</v>
      </c>
      <c r="B291">
        <v>801.23</v>
      </c>
    </row>
    <row r="292" spans="1:2" x14ac:dyDescent="0.3">
      <c r="A292" s="1">
        <v>44252</v>
      </c>
      <c r="B292">
        <v>801.21</v>
      </c>
    </row>
    <row r="293" spans="1:2" x14ac:dyDescent="0.3">
      <c r="A293" s="1">
        <v>44253</v>
      </c>
      <c r="B293">
        <v>765.3</v>
      </c>
    </row>
    <row r="294" spans="1:2" x14ac:dyDescent="0.3">
      <c r="A294" s="1">
        <v>44256</v>
      </c>
      <c r="B294">
        <v>777.52</v>
      </c>
    </row>
    <row r="295" spans="1:2" x14ac:dyDescent="0.3">
      <c r="A295" s="1">
        <v>44257</v>
      </c>
      <c r="B295">
        <v>782.15</v>
      </c>
    </row>
    <row r="296" spans="1:2" x14ac:dyDescent="0.3">
      <c r="A296" s="1">
        <v>44258</v>
      </c>
      <c r="B296">
        <v>791.46</v>
      </c>
    </row>
    <row r="297" spans="1:2" x14ac:dyDescent="0.3">
      <c r="A297" s="1">
        <v>44259</v>
      </c>
      <c r="B297">
        <v>774.1</v>
      </c>
    </row>
    <row r="298" spans="1:2" x14ac:dyDescent="0.3">
      <c r="A298" s="1">
        <v>44260</v>
      </c>
      <c r="B298">
        <v>763.1</v>
      </c>
    </row>
    <row r="299" spans="1:2" x14ac:dyDescent="0.3">
      <c r="A299" s="1">
        <v>44263</v>
      </c>
      <c r="B299">
        <v>757.86</v>
      </c>
    </row>
    <row r="300" spans="1:2" x14ac:dyDescent="0.3">
      <c r="A300" s="1">
        <v>44264</v>
      </c>
      <c r="B300">
        <v>779.31</v>
      </c>
    </row>
    <row r="301" spans="1:2" x14ac:dyDescent="0.3">
      <c r="A301" s="1">
        <v>44265</v>
      </c>
      <c r="B301">
        <v>775.94</v>
      </c>
    </row>
    <row r="302" spans="1:2" x14ac:dyDescent="0.3">
      <c r="A302" s="1">
        <v>44267</v>
      </c>
      <c r="B302">
        <v>774.05</v>
      </c>
    </row>
    <row r="303" spans="1:2" x14ac:dyDescent="0.3">
      <c r="A303" s="1">
        <v>44270</v>
      </c>
      <c r="B303">
        <v>762.43</v>
      </c>
    </row>
    <row r="304" spans="1:2" x14ac:dyDescent="0.3">
      <c r="A304" s="1">
        <v>44271</v>
      </c>
      <c r="B304">
        <v>754.2</v>
      </c>
    </row>
    <row r="305" spans="1:2" x14ac:dyDescent="0.3">
      <c r="A305" s="1">
        <v>44272</v>
      </c>
      <c r="B305">
        <v>745.82</v>
      </c>
    </row>
    <row r="306" spans="1:2" x14ac:dyDescent="0.3">
      <c r="A306" s="1">
        <v>44273</v>
      </c>
      <c r="B306">
        <v>743.65</v>
      </c>
    </row>
    <row r="307" spans="1:2" x14ac:dyDescent="0.3">
      <c r="A307" s="1">
        <v>44274</v>
      </c>
      <c r="B307">
        <v>746.89</v>
      </c>
    </row>
    <row r="308" spans="1:2" x14ac:dyDescent="0.3">
      <c r="A308" s="1">
        <v>44277</v>
      </c>
      <c r="B308">
        <v>732.75</v>
      </c>
    </row>
    <row r="309" spans="1:2" x14ac:dyDescent="0.3">
      <c r="A309" s="1">
        <v>44278</v>
      </c>
      <c r="B309">
        <v>748.21</v>
      </c>
    </row>
    <row r="310" spans="1:2" x14ac:dyDescent="0.3">
      <c r="A310" s="1">
        <v>44279</v>
      </c>
      <c r="B310">
        <v>737.56</v>
      </c>
    </row>
    <row r="311" spans="1:2" x14ac:dyDescent="0.3">
      <c r="A311" s="1">
        <v>44280</v>
      </c>
      <c r="B311">
        <v>729.86</v>
      </c>
    </row>
    <row r="312" spans="1:2" x14ac:dyDescent="0.3">
      <c r="A312" s="1">
        <v>44281</v>
      </c>
      <c r="B312">
        <v>743.8</v>
      </c>
    </row>
    <row r="313" spans="1:2" x14ac:dyDescent="0.3">
      <c r="A313" s="1">
        <v>44285</v>
      </c>
      <c r="B313">
        <v>774.92</v>
      </c>
    </row>
    <row r="314" spans="1:2" x14ac:dyDescent="0.3">
      <c r="A314" s="1">
        <v>44286</v>
      </c>
      <c r="B314">
        <v>744.97</v>
      </c>
    </row>
    <row r="315" spans="1:2" x14ac:dyDescent="0.3">
      <c r="A315" s="1">
        <v>44287</v>
      </c>
      <c r="B315">
        <v>741.53</v>
      </c>
    </row>
    <row r="316" spans="1:2" x14ac:dyDescent="0.3">
      <c r="A316" s="1">
        <v>44291</v>
      </c>
      <c r="B316">
        <v>723</v>
      </c>
    </row>
    <row r="317" spans="1:2" x14ac:dyDescent="0.3">
      <c r="A317" s="1">
        <v>44292</v>
      </c>
      <c r="B317">
        <v>718.34</v>
      </c>
    </row>
    <row r="318" spans="1:2" x14ac:dyDescent="0.3">
      <c r="A318" s="1">
        <v>44293</v>
      </c>
      <c r="B318">
        <v>721.8</v>
      </c>
    </row>
    <row r="319" spans="1:2" x14ac:dyDescent="0.3">
      <c r="A319" s="1">
        <v>44294</v>
      </c>
      <c r="B319">
        <v>714.62</v>
      </c>
    </row>
    <row r="320" spans="1:2" x14ac:dyDescent="0.3">
      <c r="A320" s="1">
        <v>44295</v>
      </c>
      <c r="B320">
        <v>709.11</v>
      </c>
    </row>
    <row r="321" spans="1:2" x14ac:dyDescent="0.3">
      <c r="A321" s="1">
        <v>44298</v>
      </c>
      <c r="B321">
        <v>681.83</v>
      </c>
    </row>
    <row r="322" spans="1:2" x14ac:dyDescent="0.3">
      <c r="A322" s="1">
        <v>44299</v>
      </c>
      <c r="B322">
        <v>698.44</v>
      </c>
    </row>
    <row r="323" spans="1:2" x14ac:dyDescent="0.3">
      <c r="A323" s="1">
        <v>44301</v>
      </c>
      <c r="B323">
        <v>713.28</v>
      </c>
    </row>
    <row r="324" spans="1:2" x14ac:dyDescent="0.3">
      <c r="A324" s="1">
        <v>44302</v>
      </c>
      <c r="B324">
        <v>712.55</v>
      </c>
    </row>
    <row r="325" spans="1:2" x14ac:dyDescent="0.3">
      <c r="A325" s="1">
        <v>44305</v>
      </c>
      <c r="B325">
        <v>704.45</v>
      </c>
    </row>
    <row r="326" spans="1:2" x14ac:dyDescent="0.3">
      <c r="A326" s="1">
        <v>44306</v>
      </c>
      <c r="B326">
        <v>693.97</v>
      </c>
    </row>
    <row r="327" spans="1:2" x14ac:dyDescent="0.3">
      <c r="A327" s="1">
        <v>44308</v>
      </c>
      <c r="B327">
        <v>709.48</v>
      </c>
    </row>
    <row r="328" spans="1:2" x14ac:dyDescent="0.3">
      <c r="A328" s="1">
        <v>44309</v>
      </c>
      <c r="B328">
        <v>705.32</v>
      </c>
    </row>
    <row r="329" spans="1:2" x14ac:dyDescent="0.3">
      <c r="A329" s="1">
        <v>44312</v>
      </c>
      <c r="B329">
        <v>700.66</v>
      </c>
    </row>
    <row r="330" spans="1:2" x14ac:dyDescent="0.3">
      <c r="A330" s="1">
        <v>44313</v>
      </c>
      <c r="B330">
        <v>717.56</v>
      </c>
    </row>
    <row r="331" spans="1:2" x14ac:dyDescent="0.3">
      <c r="A331" s="1">
        <v>44314</v>
      </c>
      <c r="B331">
        <v>736.57</v>
      </c>
    </row>
    <row r="332" spans="1:2" x14ac:dyDescent="0.3">
      <c r="A332" s="1">
        <v>44315</v>
      </c>
      <c r="B332">
        <v>734.42</v>
      </c>
    </row>
    <row r="333" spans="1:2" x14ac:dyDescent="0.3">
      <c r="A333" s="1">
        <v>44316</v>
      </c>
      <c r="B333">
        <v>704.4</v>
      </c>
    </row>
    <row r="334" spans="1:2" x14ac:dyDescent="0.3">
      <c r="A334" s="1">
        <v>44319</v>
      </c>
      <c r="B334">
        <v>705.47</v>
      </c>
    </row>
    <row r="335" spans="1:2" x14ac:dyDescent="0.3">
      <c r="A335" s="1">
        <v>44320</v>
      </c>
      <c r="B335">
        <v>692.45</v>
      </c>
    </row>
    <row r="336" spans="1:2" x14ac:dyDescent="0.3">
      <c r="A336" s="1">
        <v>44321</v>
      </c>
      <c r="B336">
        <v>699.56</v>
      </c>
    </row>
    <row r="337" spans="1:2" x14ac:dyDescent="0.3">
      <c r="A337" s="1">
        <v>44322</v>
      </c>
      <c r="B337">
        <v>698.71</v>
      </c>
    </row>
    <row r="338" spans="1:2" x14ac:dyDescent="0.3">
      <c r="A338" s="1">
        <v>44323</v>
      </c>
      <c r="B338">
        <v>705.62</v>
      </c>
    </row>
    <row r="339" spans="1:2" x14ac:dyDescent="0.3">
      <c r="A339" s="1">
        <v>44326</v>
      </c>
      <c r="B339">
        <v>708.16</v>
      </c>
    </row>
    <row r="340" spans="1:2" x14ac:dyDescent="0.3">
      <c r="A340" s="1">
        <v>44327</v>
      </c>
      <c r="B340">
        <v>700.03</v>
      </c>
    </row>
    <row r="341" spans="1:2" x14ac:dyDescent="0.3">
      <c r="A341" s="1">
        <v>44328</v>
      </c>
      <c r="B341">
        <v>698.01</v>
      </c>
    </row>
    <row r="342" spans="1:2" x14ac:dyDescent="0.3">
      <c r="A342" s="1">
        <v>44330</v>
      </c>
      <c r="B342">
        <v>691.7</v>
      </c>
    </row>
    <row r="343" spans="1:2" x14ac:dyDescent="0.3">
      <c r="A343" s="1">
        <v>44333</v>
      </c>
      <c r="B343">
        <v>718.34</v>
      </c>
    </row>
    <row r="344" spans="1:2" x14ac:dyDescent="0.3">
      <c r="A344" s="1">
        <v>44334</v>
      </c>
      <c r="B344">
        <v>736.52</v>
      </c>
    </row>
    <row r="345" spans="1:2" x14ac:dyDescent="0.3">
      <c r="A345" s="1">
        <v>44335</v>
      </c>
      <c r="B345">
        <v>727.29</v>
      </c>
    </row>
    <row r="346" spans="1:2" x14ac:dyDescent="0.3">
      <c r="A346" s="1">
        <v>44336</v>
      </c>
      <c r="B346">
        <v>714.62</v>
      </c>
    </row>
    <row r="347" spans="1:2" x14ac:dyDescent="0.3">
      <c r="A347" s="1">
        <v>44337</v>
      </c>
      <c r="B347">
        <v>746.79</v>
      </c>
    </row>
    <row r="348" spans="1:2" x14ac:dyDescent="0.3">
      <c r="A348" s="1">
        <v>44340</v>
      </c>
      <c r="B348">
        <v>753.1</v>
      </c>
    </row>
    <row r="349" spans="1:2" x14ac:dyDescent="0.3">
      <c r="A349" s="1">
        <v>44341</v>
      </c>
      <c r="B349">
        <v>737.64</v>
      </c>
    </row>
    <row r="350" spans="1:2" x14ac:dyDescent="0.3">
      <c r="A350" s="1">
        <v>44342</v>
      </c>
      <c r="B350">
        <v>736.69</v>
      </c>
    </row>
    <row r="351" spans="1:2" x14ac:dyDescent="0.3">
      <c r="A351" s="1">
        <v>44343</v>
      </c>
      <c r="B351">
        <v>739.49</v>
      </c>
    </row>
    <row r="352" spans="1:2" x14ac:dyDescent="0.3">
      <c r="A352" s="1">
        <v>44344</v>
      </c>
      <c r="B352">
        <v>749.86</v>
      </c>
    </row>
    <row r="353" spans="1:2" x14ac:dyDescent="0.3">
      <c r="A353" s="1">
        <v>44347</v>
      </c>
      <c r="B353">
        <v>756.04</v>
      </c>
    </row>
    <row r="354" spans="1:2" x14ac:dyDescent="0.3">
      <c r="A354" s="1">
        <v>44348</v>
      </c>
      <c r="B354">
        <v>753.97</v>
      </c>
    </row>
    <row r="355" spans="1:2" x14ac:dyDescent="0.3">
      <c r="A355" s="1">
        <v>44349</v>
      </c>
      <c r="B355">
        <v>750.13</v>
      </c>
    </row>
    <row r="356" spans="1:2" x14ac:dyDescent="0.3">
      <c r="A356" s="1">
        <v>44350</v>
      </c>
      <c r="B356">
        <v>758.39</v>
      </c>
    </row>
    <row r="357" spans="1:2" x14ac:dyDescent="0.3">
      <c r="A357" s="1">
        <v>44351</v>
      </c>
      <c r="B357">
        <v>748.61</v>
      </c>
    </row>
    <row r="358" spans="1:2" x14ac:dyDescent="0.3">
      <c r="A358" s="1">
        <v>44354</v>
      </c>
      <c r="B358">
        <v>748.06</v>
      </c>
    </row>
    <row r="359" spans="1:2" x14ac:dyDescent="0.3">
      <c r="A359" s="1">
        <v>44355</v>
      </c>
      <c r="B359">
        <v>739.68</v>
      </c>
    </row>
    <row r="360" spans="1:2" x14ac:dyDescent="0.3">
      <c r="A360" s="1">
        <v>44356</v>
      </c>
      <c r="B360">
        <v>738.31</v>
      </c>
    </row>
    <row r="361" spans="1:2" x14ac:dyDescent="0.3">
      <c r="A361" s="1">
        <v>44357</v>
      </c>
      <c r="B361">
        <v>738.69</v>
      </c>
    </row>
    <row r="362" spans="1:2" x14ac:dyDescent="0.3">
      <c r="A362" s="1">
        <v>44358</v>
      </c>
      <c r="B362">
        <v>741.33</v>
      </c>
    </row>
    <row r="363" spans="1:2" x14ac:dyDescent="0.3">
      <c r="A363" s="1">
        <v>44361</v>
      </c>
      <c r="B363">
        <v>737.89</v>
      </c>
    </row>
    <row r="364" spans="1:2" x14ac:dyDescent="0.3">
      <c r="A364" s="1">
        <v>44362</v>
      </c>
      <c r="B364">
        <v>743.28</v>
      </c>
    </row>
    <row r="365" spans="1:2" x14ac:dyDescent="0.3">
      <c r="A365" s="1">
        <v>44363</v>
      </c>
      <c r="B365">
        <v>740.46</v>
      </c>
    </row>
    <row r="366" spans="1:2" x14ac:dyDescent="0.3">
      <c r="A366" s="1">
        <v>44364</v>
      </c>
      <c r="B366">
        <v>731.23</v>
      </c>
    </row>
    <row r="367" spans="1:2" x14ac:dyDescent="0.3">
      <c r="A367" s="1">
        <v>44365</v>
      </c>
      <c r="B367">
        <v>738.06</v>
      </c>
    </row>
    <row r="368" spans="1:2" x14ac:dyDescent="0.3">
      <c r="A368" s="1">
        <v>44368</v>
      </c>
      <c r="B368">
        <v>742.5</v>
      </c>
    </row>
    <row r="369" spans="1:2" x14ac:dyDescent="0.3">
      <c r="A369" s="1">
        <v>44369</v>
      </c>
      <c r="B369">
        <v>740.06</v>
      </c>
    </row>
    <row r="370" spans="1:2" x14ac:dyDescent="0.3">
      <c r="A370" s="1">
        <v>44370</v>
      </c>
      <c r="B370">
        <v>740.91</v>
      </c>
    </row>
    <row r="371" spans="1:2" x14ac:dyDescent="0.3">
      <c r="A371" s="1">
        <v>44371</v>
      </c>
      <c r="B371">
        <v>751.26</v>
      </c>
    </row>
    <row r="372" spans="1:2" x14ac:dyDescent="0.3">
      <c r="A372" s="1">
        <v>44372</v>
      </c>
      <c r="B372">
        <v>755.67</v>
      </c>
    </row>
    <row r="373" spans="1:2" x14ac:dyDescent="0.3">
      <c r="A373" s="1">
        <v>44375</v>
      </c>
      <c r="B373">
        <v>752.3</v>
      </c>
    </row>
    <row r="374" spans="1:2" x14ac:dyDescent="0.3">
      <c r="A374" s="1">
        <v>44376</v>
      </c>
      <c r="B374">
        <v>749.16</v>
      </c>
    </row>
    <row r="375" spans="1:2" x14ac:dyDescent="0.3">
      <c r="A375" s="1">
        <v>44377</v>
      </c>
      <c r="B375">
        <v>747.09</v>
      </c>
    </row>
    <row r="376" spans="1:2" x14ac:dyDescent="0.3">
      <c r="A376" s="1">
        <v>44378</v>
      </c>
      <c r="B376">
        <v>741.53</v>
      </c>
    </row>
    <row r="377" spans="1:2" x14ac:dyDescent="0.3">
      <c r="A377" s="1">
        <v>44379</v>
      </c>
      <c r="B377">
        <v>738.36</v>
      </c>
    </row>
    <row r="378" spans="1:2" x14ac:dyDescent="0.3">
      <c r="A378" s="1">
        <v>44382</v>
      </c>
      <c r="B378">
        <v>745.87</v>
      </c>
    </row>
    <row r="379" spans="1:2" x14ac:dyDescent="0.3">
      <c r="A379" s="1">
        <v>44383</v>
      </c>
      <c r="B379">
        <v>765.45</v>
      </c>
    </row>
    <row r="380" spans="1:2" x14ac:dyDescent="0.3">
      <c r="A380" s="1">
        <v>44384</v>
      </c>
      <c r="B380">
        <v>767.84</v>
      </c>
    </row>
    <row r="381" spans="1:2" x14ac:dyDescent="0.3">
      <c r="A381" s="1">
        <v>44385</v>
      </c>
      <c r="B381">
        <v>758.34</v>
      </c>
    </row>
    <row r="382" spans="1:2" x14ac:dyDescent="0.3">
      <c r="A382" s="1">
        <v>44386</v>
      </c>
      <c r="B382">
        <v>749.14</v>
      </c>
    </row>
    <row r="383" spans="1:2" x14ac:dyDescent="0.3">
      <c r="A383" s="1">
        <v>44389</v>
      </c>
      <c r="B383">
        <v>741.65</v>
      </c>
    </row>
    <row r="384" spans="1:2" x14ac:dyDescent="0.3">
      <c r="A384" s="1">
        <v>44390</v>
      </c>
      <c r="B384">
        <v>749.06</v>
      </c>
    </row>
    <row r="385" spans="1:2" x14ac:dyDescent="0.3">
      <c r="A385" s="1">
        <v>44391</v>
      </c>
      <c r="B385">
        <v>747.71</v>
      </c>
    </row>
    <row r="386" spans="1:2" x14ac:dyDescent="0.3">
      <c r="A386" s="1">
        <v>44392</v>
      </c>
      <c r="B386">
        <v>758.46</v>
      </c>
    </row>
    <row r="387" spans="1:2" x14ac:dyDescent="0.3">
      <c r="A387" s="1">
        <v>44393</v>
      </c>
      <c r="B387">
        <v>759.29</v>
      </c>
    </row>
    <row r="388" spans="1:2" x14ac:dyDescent="0.3">
      <c r="A388" s="1">
        <v>44396</v>
      </c>
      <c r="B388">
        <v>733.67</v>
      </c>
    </row>
    <row r="389" spans="1:2" x14ac:dyDescent="0.3">
      <c r="A389" s="1">
        <v>44397</v>
      </c>
      <c r="B389">
        <v>719.78</v>
      </c>
    </row>
    <row r="390" spans="1:2" x14ac:dyDescent="0.3">
      <c r="A390" s="1">
        <v>44399</v>
      </c>
      <c r="B390">
        <v>722.55</v>
      </c>
    </row>
    <row r="391" spans="1:2" x14ac:dyDescent="0.3">
      <c r="A391" s="1">
        <v>44400</v>
      </c>
      <c r="B391">
        <v>719.58</v>
      </c>
    </row>
    <row r="392" spans="1:2" x14ac:dyDescent="0.3">
      <c r="A392" s="1">
        <v>44403</v>
      </c>
      <c r="B392">
        <v>715.49</v>
      </c>
    </row>
    <row r="393" spans="1:2" x14ac:dyDescent="0.3">
      <c r="A393" s="1">
        <v>44404</v>
      </c>
      <c r="B393">
        <v>718.09</v>
      </c>
    </row>
    <row r="394" spans="1:2" x14ac:dyDescent="0.3">
      <c r="A394" s="1">
        <v>44405</v>
      </c>
      <c r="B394">
        <v>706.89</v>
      </c>
    </row>
    <row r="395" spans="1:2" x14ac:dyDescent="0.3">
      <c r="A395" s="1">
        <v>44406</v>
      </c>
      <c r="B395">
        <v>707.36</v>
      </c>
    </row>
    <row r="396" spans="1:2" x14ac:dyDescent="0.3">
      <c r="A396" s="1">
        <v>44407</v>
      </c>
      <c r="B396">
        <v>711.45</v>
      </c>
    </row>
    <row r="397" spans="1:2" x14ac:dyDescent="0.3">
      <c r="A397" s="1">
        <v>44410</v>
      </c>
      <c r="B397">
        <v>709.56</v>
      </c>
    </row>
    <row r="398" spans="1:2" x14ac:dyDescent="0.3">
      <c r="A398" s="1">
        <v>44411</v>
      </c>
      <c r="B398">
        <v>715.57</v>
      </c>
    </row>
    <row r="399" spans="1:2" x14ac:dyDescent="0.3">
      <c r="A399" s="1">
        <v>44412</v>
      </c>
      <c r="B399">
        <v>730.83</v>
      </c>
    </row>
    <row r="400" spans="1:2" x14ac:dyDescent="0.3">
      <c r="A400" s="1">
        <v>44413</v>
      </c>
      <c r="B400">
        <v>740.58</v>
      </c>
    </row>
    <row r="401" spans="1:2" x14ac:dyDescent="0.3">
      <c r="A401" s="1">
        <v>44414</v>
      </c>
      <c r="B401">
        <v>744.47</v>
      </c>
    </row>
    <row r="402" spans="1:2" x14ac:dyDescent="0.3">
      <c r="A402" s="1">
        <v>44417</v>
      </c>
      <c r="B402">
        <v>750.08</v>
      </c>
    </row>
    <row r="403" spans="1:2" x14ac:dyDescent="0.3">
      <c r="A403" s="1">
        <v>44418</v>
      </c>
      <c r="B403">
        <v>751.95</v>
      </c>
    </row>
    <row r="404" spans="1:2" x14ac:dyDescent="0.3">
      <c r="A404" s="1">
        <v>44419</v>
      </c>
      <c r="B404">
        <v>745.62</v>
      </c>
    </row>
    <row r="405" spans="1:2" x14ac:dyDescent="0.3">
      <c r="A405" s="1">
        <v>44420</v>
      </c>
      <c r="B405">
        <v>748.84</v>
      </c>
    </row>
    <row r="406" spans="1:2" x14ac:dyDescent="0.3">
      <c r="A406" s="1">
        <v>44421</v>
      </c>
      <c r="B406">
        <v>761.21</v>
      </c>
    </row>
    <row r="407" spans="1:2" x14ac:dyDescent="0.3">
      <c r="A407" s="1">
        <v>44424</v>
      </c>
      <c r="B407">
        <v>763.4</v>
      </c>
    </row>
    <row r="408" spans="1:2" x14ac:dyDescent="0.3">
      <c r="A408" s="1">
        <v>44425</v>
      </c>
      <c r="B408">
        <v>755.45</v>
      </c>
    </row>
    <row r="409" spans="1:2" x14ac:dyDescent="0.3">
      <c r="A409" s="1">
        <v>44426</v>
      </c>
      <c r="B409">
        <v>754.62</v>
      </c>
    </row>
    <row r="410" spans="1:2" x14ac:dyDescent="0.3">
      <c r="A410" s="1">
        <v>44428</v>
      </c>
      <c r="B410">
        <v>755.5</v>
      </c>
    </row>
    <row r="411" spans="1:2" x14ac:dyDescent="0.3">
      <c r="A411" s="1">
        <v>44431</v>
      </c>
      <c r="B411">
        <v>760.41</v>
      </c>
    </row>
    <row r="412" spans="1:2" x14ac:dyDescent="0.3">
      <c r="A412" s="1">
        <v>44432</v>
      </c>
      <c r="B412">
        <v>777.49</v>
      </c>
    </row>
    <row r="413" spans="1:2" x14ac:dyDescent="0.3">
      <c r="A413" s="1">
        <v>44433</v>
      </c>
      <c r="B413">
        <v>776.77</v>
      </c>
    </row>
    <row r="414" spans="1:2" x14ac:dyDescent="0.3">
      <c r="A414" s="1">
        <v>44434</v>
      </c>
      <c r="B414">
        <v>775.47</v>
      </c>
    </row>
    <row r="415" spans="1:2" x14ac:dyDescent="0.3">
      <c r="A415" s="1">
        <v>44435</v>
      </c>
      <c r="B415">
        <v>772.3</v>
      </c>
    </row>
    <row r="416" spans="1:2" x14ac:dyDescent="0.3">
      <c r="A416" s="1">
        <v>44438</v>
      </c>
      <c r="B416">
        <v>782.18</v>
      </c>
    </row>
    <row r="417" spans="1:2" x14ac:dyDescent="0.3">
      <c r="A417" s="1">
        <v>44439</v>
      </c>
      <c r="B417">
        <v>788.74</v>
      </c>
    </row>
    <row r="418" spans="1:2" x14ac:dyDescent="0.3">
      <c r="A418" s="1">
        <v>44440</v>
      </c>
      <c r="B418">
        <v>787.59</v>
      </c>
    </row>
    <row r="419" spans="1:2" x14ac:dyDescent="0.3">
      <c r="A419" s="1">
        <v>44441</v>
      </c>
      <c r="B419">
        <v>792.53</v>
      </c>
    </row>
    <row r="420" spans="1:2" x14ac:dyDescent="0.3">
      <c r="A420" s="1">
        <v>44442</v>
      </c>
      <c r="B420">
        <v>786.07</v>
      </c>
    </row>
    <row r="421" spans="1:2" x14ac:dyDescent="0.3">
      <c r="A421" s="1">
        <v>44445</v>
      </c>
      <c r="B421">
        <v>780.91</v>
      </c>
    </row>
    <row r="422" spans="1:2" x14ac:dyDescent="0.3">
      <c r="A422" s="1">
        <v>44446</v>
      </c>
      <c r="B422">
        <v>782.68</v>
      </c>
    </row>
    <row r="423" spans="1:2" x14ac:dyDescent="0.3">
      <c r="A423" s="1">
        <v>44447</v>
      </c>
      <c r="B423">
        <v>786.24</v>
      </c>
    </row>
    <row r="424" spans="1:2" x14ac:dyDescent="0.3">
      <c r="A424" s="1">
        <v>44448</v>
      </c>
      <c r="B424">
        <v>782.35</v>
      </c>
    </row>
    <row r="425" spans="1:2" x14ac:dyDescent="0.3">
      <c r="A425" s="1">
        <v>44452</v>
      </c>
      <c r="B425">
        <v>775.84</v>
      </c>
    </row>
    <row r="426" spans="1:2" x14ac:dyDescent="0.3">
      <c r="A426" s="1">
        <v>44453</v>
      </c>
      <c r="B426">
        <v>772.35</v>
      </c>
    </row>
    <row r="427" spans="1:2" x14ac:dyDescent="0.3">
      <c r="A427" s="1">
        <v>44454</v>
      </c>
      <c r="B427">
        <v>771.48</v>
      </c>
    </row>
    <row r="428" spans="1:2" x14ac:dyDescent="0.3">
      <c r="A428" s="1">
        <v>44455</v>
      </c>
      <c r="B428">
        <v>778.04</v>
      </c>
    </row>
    <row r="429" spans="1:2" x14ac:dyDescent="0.3">
      <c r="A429" s="1">
        <v>44456</v>
      </c>
      <c r="B429">
        <v>789.11</v>
      </c>
    </row>
    <row r="430" spans="1:2" x14ac:dyDescent="0.3">
      <c r="A430" s="1">
        <v>44459</v>
      </c>
      <c r="B430">
        <v>777.99</v>
      </c>
    </row>
    <row r="431" spans="1:2" x14ac:dyDescent="0.3">
      <c r="A431" s="1">
        <v>44460</v>
      </c>
      <c r="B431">
        <v>774.05</v>
      </c>
    </row>
    <row r="432" spans="1:2" x14ac:dyDescent="0.3">
      <c r="A432" s="1">
        <v>44461</v>
      </c>
      <c r="B432">
        <v>764.95</v>
      </c>
    </row>
    <row r="433" spans="1:2" x14ac:dyDescent="0.3">
      <c r="A433" s="1">
        <v>44462</v>
      </c>
      <c r="B433">
        <v>783.05</v>
      </c>
    </row>
    <row r="434" spans="1:2" x14ac:dyDescent="0.3">
      <c r="A434" s="1">
        <v>44463</v>
      </c>
      <c r="B434">
        <v>798.79</v>
      </c>
    </row>
    <row r="435" spans="1:2" x14ac:dyDescent="0.3">
      <c r="A435" s="1">
        <v>44466</v>
      </c>
      <c r="B435">
        <v>810.53</v>
      </c>
    </row>
    <row r="436" spans="1:2" x14ac:dyDescent="0.3">
      <c r="A436" s="1">
        <v>44467</v>
      </c>
      <c r="B436">
        <v>805.52</v>
      </c>
    </row>
    <row r="437" spans="1:2" x14ac:dyDescent="0.3">
      <c r="A437" s="1">
        <v>44468</v>
      </c>
      <c r="B437">
        <v>794.95</v>
      </c>
    </row>
    <row r="438" spans="1:2" x14ac:dyDescent="0.3">
      <c r="A438" s="1">
        <v>44469</v>
      </c>
      <c r="B438">
        <v>795.5</v>
      </c>
    </row>
    <row r="439" spans="1:2" x14ac:dyDescent="0.3">
      <c r="A439" s="1">
        <v>44470</v>
      </c>
      <c r="B439">
        <v>789.39</v>
      </c>
    </row>
    <row r="440" spans="1:2" x14ac:dyDescent="0.3">
      <c r="A440" s="1">
        <v>44473</v>
      </c>
      <c r="B440">
        <v>790.91</v>
      </c>
    </row>
    <row r="441" spans="1:2" x14ac:dyDescent="0.3">
      <c r="A441" s="1">
        <v>44474</v>
      </c>
      <c r="B441">
        <v>795.75</v>
      </c>
    </row>
    <row r="442" spans="1:2" x14ac:dyDescent="0.3">
      <c r="A442" s="1">
        <v>44475</v>
      </c>
      <c r="B442">
        <v>805.45</v>
      </c>
    </row>
    <row r="443" spans="1:2" x14ac:dyDescent="0.3">
      <c r="A443" s="1">
        <v>44476</v>
      </c>
      <c r="B443">
        <v>803.25</v>
      </c>
    </row>
    <row r="444" spans="1:2" x14ac:dyDescent="0.3">
      <c r="A444" s="1">
        <v>44477</v>
      </c>
      <c r="B444">
        <v>799.34</v>
      </c>
    </row>
    <row r="445" spans="1:2" x14ac:dyDescent="0.3">
      <c r="A445" s="1">
        <v>44480</v>
      </c>
      <c r="B445">
        <v>814.87</v>
      </c>
    </row>
    <row r="446" spans="1:2" x14ac:dyDescent="0.3">
      <c r="A446" s="1">
        <v>44481</v>
      </c>
      <c r="B446">
        <v>812.78</v>
      </c>
    </row>
    <row r="447" spans="1:2" x14ac:dyDescent="0.3">
      <c r="A447" s="1">
        <v>44482</v>
      </c>
      <c r="B447">
        <v>817.67</v>
      </c>
    </row>
    <row r="448" spans="1:2" x14ac:dyDescent="0.3">
      <c r="A448" s="1">
        <v>44483</v>
      </c>
      <c r="B448">
        <v>841.61</v>
      </c>
    </row>
    <row r="449" spans="1:2" x14ac:dyDescent="0.3">
      <c r="A449" s="1">
        <v>44487</v>
      </c>
      <c r="B449">
        <v>833.08</v>
      </c>
    </row>
    <row r="450" spans="1:2" x14ac:dyDescent="0.3">
      <c r="A450" s="1">
        <v>44488</v>
      </c>
      <c r="B450">
        <v>842.25</v>
      </c>
    </row>
    <row r="451" spans="1:2" x14ac:dyDescent="0.3">
      <c r="A451" s="1">
        <v>44489</v>
      </c>
      <c r="B451">
        <v>834.85</v>
      </c>
    </row>
    <row r="452" spans="1:2" x14ac:dyDescent="0.3">
      <c r="A452" s="1">
        <v>44490</v>
      </c>
      <c r="B452">
        <v>836.07</v>
      </c>
    </row>
    <row r="453" spans="1:2" x14ac:dyDescent="0.3">
      <c r="A453" s="1">
        <v>44491</v>
      </c>
      <c r="B453">
        <v>838.29</v>
      </c>
    </row>
    <row r="454" spans="1:2" x14ac:dyDescent="0.3">
      <c r="A454" s="1">
        <v>44494</v>
      </c>
      <c r="B454">
        <v>826.44</v>
      </c>
    </row>
    <row r="455" spans="1:2" x14ac:dyDescent="0.3">
      <c r="A455" s="1">
        <v>44495</v>
      </c>
      <c r="B455">
        <v>824.32</v>
      </c>
    </row>
    <row r="456" spans="1:2" x14ac:dyDescent="0.3">
      <c r="A456" s="1">
        <v>44496</v>
      </c>
      <c r="B456">
        <v>819.36</v>
      </c>
    </row>
    <row r="457" spans="1:2" x14ac:dyDescent="0.3">
      <c r="A457" s="1">
        <v>44497</v>
      </c>
      <c r="B457">
        <v>794.82</v>
      </c>
    </row>
    <row r="458" spans="1:2" x14ac:dyDescent="0.3">
      <c r="A458" s="1">
        <v>44498</v>
      </c>
      <c r="B458">
        <v>789.46</v>
      </c>
    </row>
    <row r="459" spans="1:2" x14ac:dyDescent="0.3">
      <c r="A459" s="1">
        <v>44501</v>
      </c>
      <c r="B459">
        <v>800.66</v>
      </c>
    </row>
    <row r="460" spans="1:2" x14ac:dyDescent="0.3">
      <c r="A460" s="1">
        <v>44502</v>
      </c>
      <c r="B460">
        <v>801.38</v>
      </c>
    </row>
    <row r="461" spans="1:2" x14ac:dyDescent="0.3">
      <c r="A461" s="1">
        <v>44503</v>
      </c>
      <c r="B461">
        <v>788.76</v>
      </c>
    </row>
    <row r="462" spans="1:2" x14ac:dyDescent="0.3">
      <c r="A462" s="1">
        <v>44504</v>
      </c>
      <c r="B462">
        <v>795</v>
      </c>
    </row>
    <row r="463" spans="1:2" x14ac:dyDescent="0.3">
      <c r="A463" s="1">
        <v>44508</v>
      </c>
      <c r="B463">
        <v>798.14</v>
      </c>
    </row>
    <row r="464" spans="1:2" x14ac:dyDescent="0.3">
      <c r="A464" s="1">
        <v>44509</v>
      </c>
      <c r="B464">
        <v>784.17</v>
      </c>
    </row>
    <row r="465" spans="1:2" x14ac:dyDescent="0.3">
      <c r="A465" s="1">
        <v>44510</v>
      </c>
      <c r="B465">
        <v>775.69</v>
      </c>
    </row>
    <row r="466" spans="1:2" x14ac:dyDescent="0.3">
      <c r="A466" s="1">
        <v>44511</v>
      </c>
      <c r="B466">
        <v>772.23</v>
      </c>
    </row>
    <row r="467" spans="1:2" x14ac:dyDescent="0.3">
      <c r="A467" s="1">
        <v>44512</v>
      </c>
      <c r="B467">
        <v>774.57</v>
      </c>
    </row>
    <row r="468" spans="1:2" x14ac:dyDescent="0.3">
      <c r="A468" s="1">
        <v>44515</v>
      </c>
      <c r="B468">
        <v>776.69</v>
      </c>
    </row>
    <row r="469" spans="1:2" x14ac:dyDescent="0.3">
      <c r="A469" s="1">
        <v>44516</v>
      </c>
      <c r="B469">
        <v>772.08</v>
      </c>
    </row>
    <row r="470" spans="1:2" x14ac:dyDescent="0.3">
      <c r="A470" s="1">
        <v>44517</v>
      </c>
      <c r="B470">
        <v>763.5</v>
      </c>
    </row>
    <row r="471" spans="1:2" x14ac:dyDescent="0.3">
      <c r="A471" s="1">
        <v>44518</v>
      </c>
      <c r="B471">
        <v>767.79</v>
      </c>
    </row>
    <row r="472" spans="1:2" x14ac:dyDescent="0.3">
      <c r="A472" s="1">
        <v>44522</v>
      </c>
      <c r="B472">
        <v>755.79</v>
      </c>
    </row>
    <row r="473" spans="1:2" x14ac:dyDescent="0.3">
      <c r="A473" s="1">
        <v>44523</v>
      </c>
      <c r="B473">
        <v>755.89</v>
      </c>
    </row>
    <row r="474" spans="1:2" x14ac:dyDescent="0.3">
      <c r="A474" s="1">
        <v>44524</v>
      </c>
      <c r="B474">
        <v>757.14</v>
      </c>
    </row>
    <row r="475" spans="1:2" x14ac:dyDescent="0.3">
      <c r="A475" s="1">
        <v>44525</v>
      </c>
      <c r="B475">
        <v>761.08</v>
      </c>
    </row>
    <row r="476" spans="1:2" x14ac:dyDescent="0.3">
      <c r="A476" s="1">
        <v>44526</v>
      </c>
      <c r="B476">
        <v>743.1</v>
      </c>
    </row>
    <row r="477" spans="1:2" x14ac:dyDescent="0.3">
      <c r="A477" s="1">
        <v>44529</v>
      </c>
      <c r="B477">
        <v>748.76</v>
      </c>
    </row>
    <row r="478" spans="1:2" x14ac:dyDescent="0.3">
      <c r="A478" s="1">
        <v>44530</v>
      </c>
      <c r="B478">
        <v>744.92</v>
      </c>
    </row>
    <row r="479" spans="1:2" x14ac:dyDescent="0.3">
      <c r="A479" s="1">
        <v>44531</v>
      </c>
      <c r="B479">
        <v>750.46</v>
      </c>
    </row>
    <row r="480" spans="1:2" x14ac:dyDescent="0.3">
      <c r="A480" s="1">
        <v>44532</v>
      </c>
      <c r="B480">
        <v>760.98</v>
      </c>
    </row>
    <row r="481" spans="1:2" x14ac:dyDescent="0.3">
      <c r="A481" s="1">
        <v>44533</v>
      </c>
      <c r="B481">
        <v>754.9</v>
      </c>
    </row>
    <row r="482" spans="1:2" x14ac:dyDescent="0.3">
      <c r="A482" s="1">
        <v>44536</v>
      </c>
      <c r="B482">
        <v>750.03</v>
      </c>
    </row>
    <row r="483" spans="1:2" x14ac:dyDescent="0.3">
      <c r="A483" s="1">
        <v>44537</v>
      </c>
      <c r="B483">
        <v>760.96</v>
      </c>
    </row>
    <row r="484" spans="1:2" x14ac:dyDescent="0.3">
      <c r="A484" s="1">
        <v>44538</v>
      </c>
      <c r="B484">
        <v>774.97</v>
      </c>
    </row>
    <row r="485" spans="1:2" x14ac:dyDescent="0.3">
      <c r="A485" s="1">
        <v>44539</v>
      </c>
      <c r="B485">
        <v>761.53</v>
      </c>
    </row>
    <row r="486" spans="1:2" x14ac:dyDescent="0.3">
      <c r="A486" s="1">
        <v>44540</v>
      </c>
      <c r="B486">
        <v>759.39</v>
      </c>
    </row>
    <row r="487" spans="1:2" x14ac:dyDescent="0.3">
      <c r="A487" s="1">
        <v>44543</v>
      </c>
      <c r="B487">
        <v>753.7</v>
      </c>
    </row>
    <row r="488" spans="1:2" x14ac:dyDescent="0.3">
      <c r="A488" s="1">
        <v>44544</v>
      </c>
      <c r="B488">
        <v>749.36</v>
      </c>
    </row>
    <row r="489" spans="1:2" x14ac:dyDescent="0.3">
      <c r="A489" s="1">
        <v>44545</v>
      </c>
      <c r="B489">
        <v>748.14</v>
      </c>
    </row>
    <row r="490" spans="1:2" x14ac:dyDescent="0.3">
      <c r="A490" s="1">
        <v>44546</v>
      </c>
      <c r="B490">
        <v>748.19</v>
      </c>
    </row>
    <row r="491" spans="1:2" x14ac:dyDescent="0.3">
      <c r="A491" s="1">
        <v>44547</v>
      </c>
      <c r="B491">
        <v>734.7</v>
      </c>
    </row>
    <row r="492" spans="1:2" x14ac:dyDescent="0.3">
      <c r="A492" s="1">
        <v>44550</v>
      </c>
      <c r="B492">
        <v>711.06</v>
      </c>
    </row>
    <row r="493" spans="1:2" x14ac:dyDescent="0.3">
      <c r="A493" s="1">
        <v>44551</v>
      </c>
      <c r="B493">
        <v>719.11</v>
      </c>
    </row>
    <row r="494" spans="1:2" x14ac:dyDescent="0.3">
      <c r="A494" s="1">
        <v>44552</v>
      </c>
      <c r="B494">
        <v>720.81</v>
      </c>
    </row>
    <row r="495" spans="1:2" x14ac:dyDescent="0.3">
      <c r="A495" s="1">
        <v>44553</v>
      </c>
      <c r="B495">
        <v>720.26</v>
      </c>
    </row>
    <row r="496" spans="1:2" x14ac:dyDescent="0.3">
      <c r="A496" s="1">
        <v>44554</v>
      </c>
      <c r="B496">
        <v>717.66</v>
      </c>
    </row>
    <row r="497" spans="1:2" x14ac:dyDescent="0.3">
      <c r="A497" s="1">
        <v>44557</v>
      </c>
      <c r="B497">
        <v>723.6</v>
      </c>
    </row>
    <row r="498" spans="1:2" x14ac:dyDescent="0.3">
      <c r="A498" s="1">
        <v>44558</v>
      </c>
      <c r="B498">
        <v>728.59</v>
      </c>
    </row>
    <row r="499" spans="1:2" x14ac:dyDescent="0.3">
      <c r="A499" s="1">
        <v>44559</v>
      </c>
      <c r="B499">
        <v>725.12</v>
      </c>
    </row>
    <row r="500" spans="1:2" x14ac:dyDescent="0.3">
      <c r="A500" s="1">
        <v>44560</v>
      </c>
      <c r="B500">
        <v>728.94</v>
      </c>
    </row>
    <row r="501" spans="1:2" x14ac:dyDescent="0.3">
      <c r="A501" s="1">
        <v>44561</v>
      </c>
      <c r="B501">
        <v>737.86</v>
      </c>
    </row>
    <row r="502" spans="1:2" x14ac:dyDescent="0.3">
      <c r="A502" s="1">
        <v>44564</v>
      </c>
      <c r="B502">
        <v>757.94</v>
      </c>
    </row>
    <row r="503" spans="1:2" x14ac:dyDescent="0.3">
      <c r="A503" s="1">
        <v>44565</v>
      </c>
      <c r="B503">
        <v>762.38</v>
      </c>
    </row>
    <row r="504" spans="1:2" x14ac:dyDescent="0.3">
      <c r="A504" s="1">
        <v>44566</v>
      </c>
      <c r="B504">
        <v>780.48</v>
      </c>
    </row>
    <row r="505" spans="1:2" x14ac:dyDescent="0.3">
      <c r="A505" s="1">
        <v>44567</v>
      </c>
      <c r="B505">
        <v>767.96</v>
      </c>
    </row>
    <row r="506" spans="1:2" x14ac:dyDescent="0.3">
      <c r="A506" s="1">
        <v>44568</v>
      </c>
      <c r="B506">
        <v>773.35</v>
      </c>
    </row>
    <row r="507" spans="1:2" x14ac:dyDescent="0.3">
      <c r="A507" s="1">
        <v>44571</v>
      </c>
      <c r="B507">
        <v>777.64</v>
      </c>
    </row>
    <row r="508" spans="1:2" x14ac:dyDescent="0.3">
      <c r="A508" s="1">
        <v>44572</v>
      </c>
      <c r="B508">
        <v>781.01</v>
      </c>
    </row>
    <row r="509" spans="1:2" x14ac:dyDescent="0.3">
      <c r="A509" s="1">
        <v>44573</v>
      </c>
      <c r="B509">
        <v>776.39</v>
      </c>
    </row>
    <row r="510" spans="1:2" x14ac:dyDescent="0.3">
      <c r="A510" s="1">
        <v>44574</v>
      </c>
      <c r="B510">
        <v>762.1</v>
      </c>
    </row>
    <row r="511" spans="1:2" x14ac:dyDescent="0.3">
      <c r="A511" s="1">
        <v>44575</v>
      </c>
      <c r="B511">
        <v>770.66</v>
      </c>
    </row>
    <row r="512" spans="1:2" x14ac:dyDescent="0.3">
      <c r="A512" s="1">
        <v>44578</v>
      </c>
      <c r="B512">
        <v>758.86</v>
      </c>
    </row>
    <row r="513" spans="1:2" x14ac:dyDescent="0.3">
      <c r="A513" s="1">
        <v>44579</v>
      </c>
      <c r="B513">
        <v>762.73</v>
      </c>
    </row>
    <row r="514" spans="1:2" x14ac:dyDescent="0.3">
      <c r="A514" s="1">
        <v>44580</v>
      </c>
      <c r="B514">
        <v>757.34</v>
      </c>
    </row>
    <row r="515" spans="1:2" x14ac:dyDescent="0.3">
      <c r="A515" s="1">
        <v>44581</v>
      </c>
      <c r="B515">
        <v>752.63</v>
      </c>
    </row>
    <row r="516" spans="1:2" x14ac:dyDescent="0.3">
      <c r="A516" s="1">
        <v>44582</v>
      </c>
      <c r="B516">
        <v>758.91</v>
      </c>
    </row>
    <row r="517" spans="1:2" x14ac:dyDescent="0.3">
      <c r="A517" s="1">
        <v>44585</v>
      </c>
      <c r="B517">
        <v>741.48</v>
      </c>
    </row>
    <row r="518" spans="1:2" x14ac:dyDescent="0.3">
      <c r="A518" s="1">
        <v>44586</v>
      </c>
      <c r="B518">
        <v>742.18</v>
      </c>
    </row>
    <row r="519" spans="1:2" x14ac:dyDescent="0.3">
      <c r="A519" s="1">
        <v>44588</v>
      </c>
      <c r="B519">
        <v>735.64</v>
      </c>
    </row>
    <row r="520" spans="1:2" x14ac:dyDescent="0.3">
      <c r="A520" s="1">
        <v>44589</v>
      </c>
      <c r="B520">
        <v>729.81</v>
      </c>
    </row>
    <row r="521" spans="1:2" x14ac:dyDescent="0.3">
      <c r="A521" s="1">
        <v>44592</v>
      </c>
      <c r="B521">
        <v>741.01</v>
      </c>
    </row>
    <row r="522" spans="1:2" x14ac:dyDescent="0.3">
      <c r="A522" s="1">
        <v>44593</v>
      </c>
      <c r="B522">
        <v>746.64</v>
      </c>
    </row>
    <row r="523" spans="1:2" x14ac:dyDescent="0.3">
      <c r="A523" s="1">
        <v>44594</v>
      </c>
      <c r="B523">
        <v>763.7</v>
      </c>
    </row>
    <row r="524" spans="1:2" x14ac:dyDescent="0.3">
      <c r="A524" s="1">
        <v>44595</v>
      </c>
      <c r="B524">
        <v>755.79</v>
      </c>
    </row>
    <row r="525" spans="1:2" x14ac:dyDescent="0.3">
      <c r="A525" s="1">
        <v>44596</v>
      </c>
      <c r="B525">
        <v>760.11</v>
      </c>
    </row>
    <row r="526" spans="1:2" x14ac:dyDescent="0.3">
      <c r="A526" s="1">
        <v>44599</v>
      </c>
      <c r="B526">
        <v>732.25</v>
      </c>
    </row>
    <row r="527" spans="1:2" x14ac:dyDescent="0.3">
      <c r="A527" s="1">
        <v>44600</v>
      </c>
      <c r="B527">
        <v>729.11</v>
      </c>
    </row>
    <row r="528" spans="1:2" x14ac:dyDescent="0.3">
      <c r="A528" s="1">
        <v>44601</v>
      </c>
      <c r="B528">
        <v>746.94</v>
      </c>
    </row>
    <row r="529" spans="1:2" x14ac:dyDescent="0.3">
      <c r="A529" s="1">
        <v>44602</v>
      </c>
      <c r="B529">
        <v>760.66</v>
      </c>
    </row>
    <row r="530" spans="1:2" x14ac:dyDescent="0.3">
      <c r="A530" s="1">
        <v>44603</v>
      </c>
      <c r="B530">
        <v>757.54</v>
      </c>
    </row>
    <row r="531" spans="1:2" x14ac:dyDescent="0.3">
      <c r="A531" s="1">
        <v>44606</v>
      </c>
      <c r="B531">
        <v>735.02</v>
      </c>
    </row>
    <row r="532" spans="1:2" x14ac:dyDescent="0.3">
      <c r="A532" s="1">
        <v>44607</v>
      </c>
      <c r="B532">
        <v>757.02</v>
      </c>
    </row>
    <row r="533" spans="1:2" x14ac:dyDescent="0.3">
      <c r="A533" s="1">
        <v>44608</v>
      </c>
      <c r="B533">
        <v>755.99</v>
      </c>
    </row>
    <row r="534" spans="1:2" x14ac:dyDescent="0.3">
      <c r="A534" s="1">
        <v>44609</v>
      </c>
      <c r="B534">
        <v>751.38</v>
      </c>
    </row>
    <row r="535" spans="1:2" x14ac:dyDescent="0.3">
      <c r="A535" s="1">
        <v>44610</v>
      </c>
      <c r="B535">
        <v>754.3</v>
      </c>
    </row>
    <row r="536" spans="1:2" x14ac:dyDescent="0.3">
      <c r="A536" s="1">
        <v>44613</v>
      </c>
      <c r="B536">
        <v>759.16</v>
      </c>
    </row>
    <row r="537" spans="1:2" x14ac:dyDescent="0.3">
      <c r="A537" s="1">
        <v>44614</v>
      </c>
      <c r="B537">
        <v>753.48</v>
      </c>
    </row>
    <row r="538" spans="1:2" x14ac:dyDescent="0.3">
      <c r="A538" s="1">
        <v>44615</v>
      </c>
      <c r="B538">
        <v>748.59</v>
      </c>
    </row>
    <row r="539" spans="1:2" x14ac:dyDescent="0.3">
      <c r="A539" s="1">
        <v>44616</v>
      </c>
      <c r="B539">
        <v>707.94</v>
      </c>
    </row>
    <row r="540" spans="1:2" x14ac:dyDescent="0.3">
      <c r="A540" s="1">
        <v>44617</v>
      </c>
      <c r="B540">
        <v>726.24</v>
      </c>
    </row>
    <row r="541" spans="1:2" x14ac:dyDescent="0.3">
      <c r="A541" s="1">
        <v>44620</v>
      </c>
      <c r="B541">
        <v>711.36</v>
      </c>
    </row>
    <row r="542" spans="1:2" x14ac:dyDescent="0.3">
      <c r="A542" s="1">
        <v>44622</v>
      </c>
      <c r="B542">
        <v>685.42</v>
      </c>
    </row>
    <row r="543" spans="1:2" x14ac:dyDescent="0.3">
      <c r="A543" s="1">
        <v>44623</v>
      </c>
      <c r="B543">
        <v>683.8</v>
      </c>
    </row>
    <row r="544" spans="1:2" x14ac:dyDescent="0.3">
      <c r="A544" s="1">
        <v>44624</v>
      </c>
      <c r="B544">
        <v>681.55</v>
      </c>
    </row>
    <row r="545" spans="1:2" x14ac:dyDescent="0.3">
      <c r="A545" s="1">
        <v>44627</v>
      </c>
      <c r="B545">
        <v>660.76</v>
      </c>
    </row>
    <row r="546" spans="1:2" x14ac:dyDescent="0.3">
      <c r="A546" s="1">
        <v>44628</v>
      </c>
      <c r="B546">
        <v>662.25</v>
      </c>
    </row>
    <row r="547" spans="1:2" x14ac:dyDescent="0.3">
      <c r="A547" s="1">
        <v>44629</v>
      </c>
      <c r="B547">
        <v>683.87</v>
      </c>
    </row>
    <row r="548" spans="1:2" x14ac:dyDescent="0.3">
      <c r="A548" s="1">
        <v>44630</v>
      </c>
      <c r="B548">
        <v>694.62</v>
      </c>
    </row>
    <row r="549" spans="1:2" x14ac:dyDescent="0.3">
      <c r="A549" s="1">
        <v>44631</v>
      </c>
      <c r="B549">
        <v>696.67</v>
      </c>
    </row>
    <row r="550" spans="1:2" x14ac:dyDescent="0.3">
      <c r="A550" s="1">
        <v>44634</v>
      </c>
      <c r="B550">
        <v>719.48</v>
      </c>
    </row>
    <row r="551" spans="1:2" x14ac:dyDescent="0.3">
      <c r="A551" s="1">
        <v>44635</v>
      </c>
      <c r="B551">
        <v>710.23</v>
      </c>
    </row>
    <row r="552" spans="1:2" x14ac:dyDescent="0.3">
      <c r="A552" s="1">
        <v>44636</v>
      </c>
      <c r="B552">
        <v>722.28</v>
      </c>
    </row>
    <row r="553" spans="1:2" x14ac:dyDescent="0.3">
      <c r="A553" s="1">
        <v>44637</v>
      </c>
      <c r="B553">
        <v>738.19</v>
      </c>
    </row>
    <row r="554" spans="1:2" x14ac:dyDescent="0.3">
      <c r="A554" s="1">
        <v>44641</v>
      </c>
      <c r="B554">
        <v>741.41</v>
      </c>
    </row>
    <row r="555" spans="1:2" x14ac:dyDescent="0.3">
      <c r="A555" s="1">
        <v>44642</v>
      </c>
      <c r="B555">
        <v>745.22</v>
      </c>
    </row>
    <row r="556" spans="1:2" x14ac:dyDescent="0.3">
      <c r="A556" s="1">
        <v>44643</v>
      </c>
      <c r="B556">
        <v>737.79</v>
      </c>
    </row>
    <row r="557" spans="1:2" x14ac:dyDescent="0.3">
      <c r="A557" s="1">
        <v>44644</v>
      </c>
      <c r="B557">
        <v>719.53</v>
      </c>
    </row>
    <row r="558" spans="1:2" x14ac:dyDescent="0.3">
      <c r="A558" s="1">
        <v>44645</v>
      </c>
      <c r="B558">
        <v>713.67</v>
      </c>
    </row>
    <row r="559" spans="1:2" x14ac:dyDescent="0.3">
      <c r="A559" s="1">
        <v>44648</v>
      </c>
      <c r="B559">
        <v>714.62</v>
      </c>
    </row>
    <row r="560" spans="1:2" x14ac:dyDescent="0.3">
      <c r="A560" s="1">
        <v>44649</v>
      </c>
      <c r="B560">
        <v>724.1</v>
      </c>
    </row>
    <row r="561" spans="1:2" x14ac:dyDescent="0.3">
      <c r="A561" s="1">
        <v>44650</v>
      </c>
      <c r="B561">
        <v>736.64</v>
      </c>
    </row>
    <row r="562" spans="1:2" x14ac:dyDescent="0.3">
      <c r="A562" s="1">
        <v>44651</v>
      </c>
      <c r="B562">
        <v>733.35</v>
      </c>
    </row>
    <row r="563" spans="1:2" x14ac:dyDescent="0.3">
      <c r="A563" s="1">
        <v>44652</v>
      </c>
      <c r="B563">
        <v>751.13</v>
      </c>
    </row>
    <row r="564" spans="1:2" x14ac:dyDescent="0.3">
      <c r="A564" s="1">
        <v>44655</v>
      </c>
      <c r="B564">
        <v>826.34</v>
      </c>
    </row>
    <row r="565" spans="1:2" x14ac:dyDescent="0.3">
      <c r="A565" s="1">
        <v>44656</v>
      </c>
      <c r="B565">
        <v>802.13</v>
      </c>
    </row>
    <row r="566" spans="1:2" x14ac:dyDescent="0.3">
      <c r="A566" s="1">
        <v>44657</v>
      </c>
      <c r="B566">
        <v>773.5</v>
      </c>
    </row>
    <row r="567" spans="1:2" x14ac:dyDescent="0.3">
      <c r="A567" s="1">
        <v>44658</v>
      </c>
      <c r="B567">
        <v>756.49</v>
      </c>
    </row>
    <row r="568" spans="1:2" x14ac:dyDescent="0.3">
      <c r="A568" s="1">
        <v>44659</v>
      </c>
      <c r="B568">
        <v>755.45</v>
      </c>
    </row>
    <row r="569" spans="1:2" x14ac:dyDescent="0.3">
      <c r="A569" s="1">
        <v>44662</v>
      </c>
      <c r="B569">
        <v>746.22</v>
      </c>
    </row>
    <row r="570" spans="1:2" x14ac:dyDescent="0.3">
      <c r="A570" s="1">
        <v>44663</v>
      </c>
      <c r="B570">
        <v>744.9</v>
      </c>
    </row>
    <row r="571" spans="1:2" x14ac:dyDescent="0.3">
      <c r="A571" s="1">
        <v>44664</v>
      </c>
      <c r="B571">
        <v>730.66</v>
      </c>
    </row>
    <row r="572" spans="1:2" x14ac:dyDescent="0.3">
      <c r="A572" s="1">
        <v>44669</v>
      </c>
      <c r="B572">
        <v>695.99</v>
      </c>
    </row>
    <row r="573" spans="1:2" x14ac:dyDescent="0.3">
      <c r="A573" s="1">
        <v>44670</v>
      </c>
      <c r="B573">
        <v>669.43</v>
      </c>
    </row>
    <row r="574" spans="1:2" x14ac:dyDescent="0.3">
      <c r="A574" s="1">
        <v>44671</v>
      </c>
      <c r="B574">
        <v>675.47</v>
      </c>
    </row>
    <row r="575" spans="1:2" x14ac:dyDescent="0.3">
      <c r="A575" s="1">
        <v>44672</v>
      </c>
      <c r="B575">
        <v>685.47</v>
      </c>
    </row>
    <row r="576" spans="1:2" x14ac:dyDescent="0.3">
      <c r="A576" s="1">
        <v>44673</v>
      </c>
      <c r="B576">
        <v>676.12</v>
      </c>
    </row>
    <row r="577" spans="1:2" x14ac:dyDescent="0.3">
      <c r="A577" s="1">
        <v>44676</v>
      </c>
      <c r="B577">
        <v>681.18</v>
      </c>
    </row>
    <row r="578" spans="1:2" x14ac:dyDescent="0.3">
      <c r="A578" s="1">
        <v>44677</v>
      </c>
      <c r="B578">
        <v>684.32</v>
      </c>
    </row>
    <row r="579" spans="1:2" x14ac:dyDescent="0.3">
      <c r="A579" s="1">
        <v>44678</v>
      </c>
      <c r="B579">
        <v>684.57</v>
      </c>
    </row>
    <row r="580" spans="1:2" x14ac:dyDescent="0.3">
      <c r="A580" s="1">
        <v>44679</v>
      </c>
      <c r="B580">
        <v>683.97</v>
      </c>
    </row>
    <row r="581" spans="1:2" x14ac:dyDescent="0.3">
      <c r="A581" s="1">
        <v>44680</v>
      </c>
      <c r="B581">
        <v>690.58</v>
      </c>
    </row>
    <row r="582" spans="1:2" x14ac:dyDescent="0.3">
      <c r="A582" s="1">
        <v>44683</v>
      </c>
      <c r="B582">
        <v>700.11</v>
      </c>
    </row>
    <row r="583" spans="1:2" x14ac:dyDescent="0.3">
      <c r="A583" s="1">
        <v>44685</v>
      </c>
      <c r="B583">
        <v>676.32</v>
      </c>
    </row>
    <row r="584" spans="1:2" x14ac:dyDescent="0.3">
      <c r="A584" s="1">
        <v>44686</v>
      </c>
      <c r="B584">
        <v>674.8</v>
      </c>
    </row>
    <row r="585" spans="1:2" x14ac:dyDescent="0.3">
      <c r="A585" s="1">
        <v>44687</v>
      </c>
      <c r="B585">
        <v>657.16</v>
      </c>
    </row>
    <row r="586" spans="1:2" x14ac:dyDescent="0.3">
      <c r="A586" s="1">
        <v>44690</v>
      </c>
      <c r="B586">
        <v>658.29</v>
      </c>
    </row>
    <row r="587" spans="1:2" x14ac:dyDescent="0.3">
      <c r="A587" s="1">
        <v>44691</v>
      </c>
      <c r="B587">
        <v>668.86</v>
      </c>
    </row>
    <row r="588" spans="1:2" x14ac:dyDescent="0.3">
      <c r="A588" s="1">
        <v>44692</v>
      </c>
      <c r="B588">
        <v>672.63</v>
      </c>
    </row>
    <row r="589" spans="1:2" x14ac:dyDescent="0.3">
      <c r="A589" s="1">
        <v>44693</v>
      </c>
      <c r="B589">
        <v>649.91</v>
      </c>
    </row>
    <row r="590" spans="1:2" x14ac:dyDescent="0.3">
      <c r="A590" s="1">
        <v>44694</v>
      </c>
      <c r="B590">
        <v>644.07000000000005</v>
      </c>
    </row>
    <row r="591" spans="1:2" x14ac:dyDescent="0.3">
      <c r="A591" s="1">
        <v>44697</v>
      </c>
      <c r="B591">
        <v>650.92999999999995</v>
      </c>
    </row>
    <row r="592" spans="1:2" x14ac:dyDescent="0.3">
      <c r="A592" s="1">
        <v>44698</v>
      </c>
      <c r="B592">
        <v>655.37</v>
      </c>
    </row>
    <row r="593" spans="1:2" x14ac:dyDescent="0.3">
      <c r="A593" s="1">
        <v>44699</v>
      </c>
      <c r="B593">
        <v>655.32000000000005</v>
      </c>
    </row>
    <row r="594" spans="1:2" x14ac:dyDescent="0.3">
      <c r="A594" s="1">
        <v>44700</v>
      </c>
      <c r="B594">
        <v>641.92999999999995</v>
      </c>
    </row>
    <row r="595" spans="1:2" x14ac:dyDescent="0.3">
      <c r="A595" s="1">
        <v>44701</v>
      </c>
      <c r="B595">
        <v>658.84</v>
      </c>
    </row>
    <row r="596" spans="1:2" x14ac:dyDescent="0.3">
      <c r="A596" s="1">
        <v>44704</v>
      </c>
      <c r="B596">
        <v>650.38</v>
      </c>
    </row>
    <row r="597" spans="1:2" x14ac:dyDescent="0.3">
      <c r="A597" s="1">
        <v>44705</v>
      </c>
      <c r="B597">
        <v>657.84</v>
      </c>
    </row>
    <row r="598" spans="1:2" x14ac:dyDescent="0.3">
      <c r="A598" s="1">
        <v>44706</v>
      </c>
      <c r="B598">
        <v>662.75</v>
      </c>
    </row>
    <row r="599" spans="1:2" x14ac:dyDescent="0.3">
      <c r="A599" s="1">
        <v>44707</v>
      </c>
      <c r="B599">
        <v>681.65</v>
      </c>
    </row>
    <row r="600" spans="1:2" x14ac:dyDescent="0.3">
      <c r="A600" s="1">
        <v>44708</v>
      </c>
      <c r="B600">
        <v>694.3</v>
      </c>
    </row>
    <row r="601" spans="1:2" x14ac:dyDescent="0.3">
      <c r="A601" s="1">
        <v>44711</v>
      </c>
      <c r="B601">
        <v>699.04</v>
      </c>
    </row>
    <row r="602" spans="1:2" x14ac:dyDescent="0.3">
      <c r="A602" s="1">
        <v>44712</v>
      </c>
      <c r="B602">
        <v>692.75</v>
      </c>
    </row>
    <row r="603" spans="1:2" x14ac:dyDescent="0.3">
      <c r="A603" s="1">
        <v>44713</v>
      </c>
      <c r="B603">
        <v>695.69</v>
      </c>
    </row>
    <row r="604" spans="1:2" x14ac:dyDescent="0.3">
      <c r="A604" s="1">
        <v>44714</v>
      </c>
      <c r="B604">
        <v>690.83</v>
      </c>
    </row>
    <row r="605" spans="1:2" x14ac:dyDescent="0.3">
      <c r="A605" s="1">
        <v>44715</v>
      </c>
      <c r="B605">
        <v>688.44</v>
      </c>
    </row>
    <row r="606" spans="1:2" x14ac:dyDescent="0.3">
      <c r="A606" s="1">
        <v>44718</v>
      </c>
      <c r="B606">
        <v>687.51</v>
      </c>
    </row>
    <row r="607" spans="1:2" x14ac:dyDescent="0.3">
      <c r="A607" s="1">
        <v>44719</v>
      </c>
      <c r="B607">
        <v>679.61</v>
      </c>
    </row>
    <row r="608" spans="1:2" x14ac:dyDescent="0.3">
      <c r="A608" s="1">
        <v>44720</v>
      </c>
      <c r="B608">
        <v>682</v>
      </c>
    </row>
    <row r="609" spans="1:2" x14ac:dyDescent="0.3">
      <c r="A609" s="1">
        <v>44721</v>
      </c>
      <c r="B609">
        <v>687.14</v>
      </c>
    </row>
    <row r="610" spans="1:2" x14ac:dyDescent="0.3">
      <c r="A610" s="1">
        <v>44722</v>
      </c>
      <c r="B610">
        <v>673.87</v>
      </c>
    </row>
    <row r="611" spans="1:2" x14ac:dyDescent="0.3">
      <c r="A611" s="1">
        <v>44725</v>
      </c>
      <c r="B611">
        <v>661.65</v>
      </c>
    </row>
    <row r="612" spans="1:2" x14ac:dyDescent="0.3">
      <c r="A612" s="1">
        <v>44726</v>
      </c>
      <c r="B612">
        <v>654.37</v>
      </c>
    </row>
    <row r="613" spans="1:2" x14ac:dyDescent="0.3">
      <c r="A613" s="1">
        <v>44727</v>
      </c>
      <c r="B613">
        <v>652.1</v>
      </c>
    </row>
    <row r="614" spans="1:2" x14ac:dyDescent="0.3">
      <c r="A614" s="1">
        <v>44728</v>
      </c>
      <c r="B614">
        <v>639.05999999999995</v>
      </c>
    </row>
    <row r="615" spans="1:2" x14ac:dyDescent="0.3">
      <c r="A615" s="1">
        <v>44729</v>
      </c>
      <c r="B615">
        <v>643.27</v>
      </c>
    </row>
    <row r="616" spans="1:2" x14ac:dyDescent="0.3">
      <c r="A616" s="1">
        <v>44732</v>
      </c>
      <c r="B616">
        <v>659.43</v>
      </c>
    </row>
    <row r="617" spans="1:2" x14ac:dyDescent="0.3">
      <c r="A617" s="1">
        <v>44733</v>
      </c>
      <c r="B617">
        <v>666.62</v>
      </c>
    </row>
    <row r="618" spans="1:2" x14ac:dyDescent="0.3">
      <c r="A618" s="1">
        <v>44734</v>
      </c>
      <c r="B618">
        <v>663.47</v>
      </c>
    </row>
    <row r="619" spans="1:2" x14ac:dyDescent="0.3">
      <c r="A619" s="1">
        <v>44735</v>
      </c>
      <c r="B619">
        <v>665.92</v>
      </c>
    </row>
    <row r="620" spans="1:2" x14ac:dyDescent="0.3">
      <c r="A620" s="1">
        <v>44736</v>
      </c>
      <c r="B620">
        <v>675.22</v>
      </c>
    </row>
    <row r="621" spans="1:2" x14ac:dyDescent="0.3">
      <c r="A621" s="1">
        <v>44739</v>
      </c>
      <c r="B621">
        <v>676.44</v>
      </c>
    </row>
    <row r="622" spans="1:2" x14ac:dyDescent="0.3">
      <c r="A622" s="1">
        <v>44740</v>
      </c>
      <c r="B622">
        <v>671.28</v>
      </c>
    </row>
    <row r="623" spans="1:2" x14ac:dyDescent="0.3">
      <c r="A623" s="1">
        <v>44741</v>
      </c>
      <c r="B623">
        <v>670.31</v>
      </c>
    </row>
    <row r="624" spans="1:2" x14ac:dyDescent="0.3">
      <c r="A624" s="1">
        <v>44742</v>
      </c>
      <c r="B624">
        <v>672.33</v>
      </c>
    </row>
    <row r="625" spans="1:2" x14ac:dyDescent="0.3">
      <c r="A625" s="1">
        <v>44743</v>
      </c>
      <c r="B625">
        <v>675.2</v>
      </c>
    </row>
    <row r="626" spans="1:2" x14ac:dyDescent="0.3">
      <c r="A626" s="1">
        <v>44746</v>
      </c>
      <c r="B626">
        <v>676.14</v>
      </c>
    </row>
    <row r="627" spans="1:2" x14ac:dyDescent="0.3">
      <c r="A627" s="1">
        <v>44747</v>
      </c>
      <c r="B627">
        <v>674.62</v>
      </c>
    </row>
    <row r="628" spans="1:2" x14ac:dyDescent="0.3">
      <c r="A628" s="1">
        <v>44748</v>
      </c>
      <c r="B628">
        <v>683.92</v>
      </c>
    </row>
    <row r="629" spans="1:2" x14ac:dyDescent="0.3">
      <c r="A629" s="1">
        <v>44749</v>
      </c>
      <c r="B629">
        <v>696.17</v>
      </c>
    </row>
    <row r="630" spans="1:2" x14ac:dyDescent="0.3">
      <c r="A630" s="1">
        <v>44750</v>
      </c>
      <c r="B630">
        <v>696.82</v>
      </c>
    </row>
    <row r="631" spans="1:2" x14ac:dyDescent="0.3">
      <c r="A631" s="1">
        <v>44753</v>
      </c>
      <c r="B631">
        <v>701.33</v>
      </c>
    </row>
    <row r="632" spans="1:2" x14ac:dyDescent="0.3">
      <c r="A632" s="1">
        <v>44754</v>
      </c>
      <c r="B632">
        <v>694.17</v>
      </c>
    </row>
    <row r="633" spans="1:2" x14ac:dyDescent="0.3">
      <c r="A633" s="1">
        <v>44755</v>
      </c>
      <c r="B633">
        <v>677.24</v>
      </c>
    </row>
    <row r="634" spans="1:2" x14ac:dyDescent="0.3">
      <c r="A634" s="1">
        <v>44756</v>
      </c>
      <c r="B634">
        <v>673.85</v>
      </c>
    </row>
    <row r="635" spans="1:2" x14ac:dyDescent="0.3">
      <c r="A635" s="1">
        <v>44757</v>
      </c>
      <c r="B635">
        <v>679.33</v>
      </c>
    </row>
    <row r="636" spans="1:2" x14ac:dyDescent="0.3">
      <c r="A636" s="1">
        <v>44760</v>
      </c>
      <c r="B636">
        <v>672.1</v>
      </c>
    </row>
    <row r="637" spans="1:2" x14ac:dyDescent="0.3">
      <c r="A637" s="1">
        <v>44761</v>
      </c>
      <c r="B637">
        <v>672.35</v>
      </c>
    </row>
    <row r="638" spans="1:2" x14ac:dyDescent="0.3">
      <c r="A638" s="1">
        <v>44762</v>
      </c>
      <c r="B638">
        <v>680.83</v>
      </c>
    </row>
    <row r="639" spans="1:2" x14ac:dyDescent="0.3">
      <c r="A639" s="1">
        <v>44763</v>
      </c>
      <c r="B639">
        <v>678.69</v>
      </c>
    </row>
    <row r="640" spans="1:2" x14ac:dyDescent="0.3">
      <c r="A640" s="1">
        <v>44764</v>
      </c>
      <c r="B640">
        <v>694.52</v>
      </c>
    </row>
    <row r="641" spans="1:2" x14ac:dyDescent="0.3">
      <c r="A641" s="1">
        <v>44767</v>
      </c>
      <c r="B641">
        <v>696.57</v>
      </c>
    </row>
    <row r="642" spans="1:2" x14ac:dyDescent="0.3">
      <c r="A642" s="1">
        <v>44768</v>
      </c>
      <c r="B642">
        <v>695.15</v>
      </c>
    </row>
    <row r="643" spans="1:2" x14ac:dyDescent="0.3">
      <c r="A643" s="1">
        <v>44769</v>
      </c>
      <c r="B643">
        <v>700.46</v>
      </c>
    </row>
    <row r="644" spans="1:2" x14ac:dyDescent="0.3">
      <c r="A644" s="1">
        <v>44770</v>
      </c>
      <c r="B644">
        <v>706.67</v>
      </c>
    </row>
    <row r="645" spans="1:2" x14ac:dyDescent="0.3">
      <c r="A645" s="1">
        <v>44771</v>
      </c>
      <c r="B645">
        <v>715.32</v>
      </c>
    </row>
    <row r="646" spans="1:2" x14ac:dyDescent="0.3">
      <c r="A646" s="1">
        <v>44774</v>
      </c>
      <c r="B646">
        <v>721.28</v>
      </c>
    </row>
    <row r="647" spans="1:2" x14ac:dyDescent="0.3">
      <c r="A647" s="1">
        <v>44775</v>
      </c>
      <c r="B647">
        <v>713.35</v>
      </c>
    </row>
    <row r="648" spans="1:2" x14ac:dyDescent="0.3">
      <c r="A648" s="1">
        <v>44776</v>
      </c>
      <c r="B648">
        <v>715.02</v>
      </c>
    </row>
    <row r="649" spans="1:2" x14ac:dyDescent="0.3">
      <c r="A649" s="1">
        <v>44777</v>
      </c>
      <c r="B649">
        <v>714.17</v>
      </c>
    </row>
    <row r="650" spans="1:2" x14ac:dyDescent="0.3">
      <c r="A650" s="1">
        <v>44778</v>
      </c>
      <c r="B650">
        <v>711.75</v>
      </c>
    </row>
    <row r="651" spans="1:2" x14ac:dyDescent="0.3">
      <c r="A651" s="1">
        <v>44781</v>
      </c>
      <c r="B651">
        <v>729.21</v>
      </c>
    </row>
    <row r="652" spans="1:2" x14ac:dyDescent="0.3">
      <c r="A652" s="1">
        <v>44783</v>
      </c>
      <c r="B652">
        <v>731.33</v>
      </c>
    </row>
    <row r="653" spans="1:2" x14ac:dyDescent="0.3">
      <c r="A653" s="1">
        <v>44784</v>
      </c>
      <c r="B653">
        <v>741.01</v>
      </c>
    </row>
    <row r="654" spans="1:2" x14ac:dyDescent="0.3">
      <c r="A654" s="1">
        <v>44785</v>
      </c>
      <c r="B654">
        <v>740.73</v>
      </c>
    </row>
    <row r="655" spans="1:2" x14ac:dyDescent="0.3">
      <c r="A655" s="1">
        <v>44789</v>
      </c>
      <c r="B655">
        <v>749.21</v>
      </c>
    </row>
    <row r="656" spans="1:2" x14ac:dyDescent="0.3">
      <c r="A656" s="1">
        <v>44790</v>
      </c>
      <c r="B656">
        <v>753.08</v>
      </c>
    </row>
    <row r="657" spans="1:2" x14ac:dyDescent="0.3">
      <c r="A657" s="1">
        <v>44791</v>
      </c>
      <c r="B657">
        <v>753.97</v>
      </c>
    </row>
    <row r="658" spans="1:2" x14ac:dyDescent="0.3">
      <c r="A658" s="1">
        <v>44792</v>
      </c>
      <c r="B658">
        <v>744.67</v>
      </c>
    </row>
    <row r="659" spans="1:2" x14ac:dyDescent="0.3">
      <c r="A659" s="1">
        <v>44795</v>
      </c>
      <c r="B659">
        <v>733.35</v>
      </c>
    </row>
    <row r="660" spans="1:2" x14ac:dyDescent="0.3">
      <c r="A660" s="1">
        <v>44796</v>
      </c>
      <c r="B660">
        <v>731.08</v>
      </c>
    </row>
    <row r="661" spans="1:2" x14ac:dyDescent="0.3">
      <c r="A661" s="1">
        <v>44797</v>
      </c>
      <c r="B661">
        <v>734.6</v>
      </c>
    </row>
    <row r="662" spans="1:2" x14ac:dyDescent="0.3">
      <c r="A662" s="1">
        <v>44798</v>
      </c>
      <c r="B662">
        <v>730.61</v>
      </c>
    </row>
    <row r="663" spans="1:2" x14ac:dyDescent="0.3">
      <c r="A663" s="1">
        <v>44799</v>
      </c>
      <c r="B663">
        <v>730.73</v>
      </c>
    </row>
    <row r="664" spans="1:2" x14ac:dyDescent="0.3">
      <c r="A664" s="1">
        <v>44802</v>
      </c>
      <c r="B664">
        <v>717.91</v>
      </c>
    </row>
    <row r="665" spans="1:2" x14ac:dyDescent="0.3">
      <c r="A665" s="1">
        <v>44803</v>
      </c>
      <c r="B665">
        <v>741.21</v>
      </c>
    </row>
    <row r="666" spans="1:2" x14ac:dyDescent="0.3">
      <c r="A666" s="1">
        <v>44805</v>
      </c>
      <c r="B666">
        <v>734.25</v>
      </c>
    </row>
    <row r="667" spans="1:2" x14ac:dyDescent="0.3">
      <c r="A667" s="1">
        <v>44806</v>
      </c>
      <c r="B667">
        <v>740.91</v>
      </c>
    </row>
    <row r="668" spans="1:2" x14ac:dyDescent="0.3">
      <c r="A668" s="1">
        <v>44809</v>
      </c>
      <c r="B668">
        <v>745.67</v>
      </c>
    </row>
    <row r="669" spans="1:2" x14ac:dyDescent="0.3">
      <c r="A669" s="1">
        <v>44810</v>
      </c>
      <c r="B669">
        <v>742.83</v>
      </c>
    </row>
    <row r="670" spans="1:2" x14ac:dyDescent="0.3">
      <c r="A670" s="1">
        <v>44811</v>
      </c>
      <c r="B670">
        <v>739.31</v>
      </c>
    </row>
    <row r="671" spans="1:2" x14ac:dyDescent="0.3">
      <c r="A671" s="1">
        <v>44812</v>
      </c>
      <c r="B671">
        <v>746.94</v>
      </c>
    </row>
    <row r="672" spans="1:2" x14ac:dyDescent="0.3">
      <c r="A672" s="1">
        <v>44813</v>
      </c>
      <c r="B672">
        <v>747.44</v>
      </c>
    </row>
    <row r="673" spans="1:2" x14ac:dyDescent="0.3">
      <c r="A673" s="1">
        <v>44816</v>
      </c>
      <c r="B673">
        <v>744.92</v>
      </c>
    </row>
    <row r="674" spans="1:2" x14ac:dyDescent="0.3">
      <c r="A674" s="1">
        <v>44817</v>
      </c>
      <c r="B674">
        <v>754.67</v>
      </c>
    </row>
    <row r="675" spans="1:2" x14ac:dyDescent="0.3">
      <c r="A675" s="1">
        <v>44818</v>
      </c>
      <c r="B675">
        <v>762.43</v>
      </c>
    </row>
    <row r="676" spans="1:2" x14ac:dyDescent="0.3">
      <c r="A676" s="1">
        <v>44819</v>
      </c>
      <c r="B676">
        <v>758.46</v>
      </c>
    </row>
    <row r="677" spans="1:2" x14ac:dyDescent="0.3">
      <c r="A677" s="1">
        <v>44820</v>
      </c>
      <c r="B677">
        <v>744.52</v>
      </c>
    </row>
    <row r="678" spans="1:2" x14ac:dyDescent="0.3">
      <c r="A678" s="1">
        <v>44823</v>
      </c>
      <c r="B678">
        <v>749.44</v>
      </c>
    </row>
    <row r="679" spans="1:2" x14ac:dyDescent="0.3">
      <c r="A679" s="1">
        <v>44824</v>
      </c>
      <c r="B679">
        <v>758.46</v>
      </c>
    </row>
    <row r="680" spans="1:2" x14ac:dyDescent="0.3">
      <c r="A680" s="1">
        <v>44825</v>
      </c>
      <c r="B680">
        <v>757.29</v>
      </c>
    </row>
    <row r="681" spans="1:2" x14ac:dyDescent="0.3">
      <c r="A681" s="1">
        <v>44826</v>
      </c>
      <c r="B681">
        <v>741.16</v>
      </c>
    </row>
    <row r="682" spans="1:2" x14ac:dyDescent="0.3">
      <c r="A682" s="1">
        <v>44827</v>
      </c>
      <c r="B682">
        <v>721.28</v>
      </c>
    </row>
    <row r="683" spans="1:2" x14ac:dyDescent="0.3">
      <c r="A683" s="1">
        <v>44830</v>
      </c>
      <c r="B683">
        <v>711.55</v>
      </c>
    </row>
    <row r="684" spans="1:2" x14ac:dyDescent="0.3">
      <c r="A684" s="1">
        <v>44831</v>
      </c>
      <c r="B684">
        <v>705.17</v>
      </c>
    </row>
    <row r="685" spans="1:2" x14ac:dyDescent="0.3">
      <c r="A685" s="1">
        <v>44832</v>
      </c>
      <c r="B685">
        <v>693.05</v>
      </c>
    </row>
    <row r="686" spans="1:2" x14ac:dyDescent="0.3">
      <c r="A686" s="1">
        <v>44833</v>
      </c>
      <c r="B686">
        <v>689.46</v>
      </c>
    </row>
    <row r="687" spans="1:2" x14ac:dyDescent="0.3">
      <c r="A687" s="1">
        <v>44834</v>
      </c>
      <c r="B687">
        <v>708.91</v>
      </c>
    </row>
    <row r="688" spans="1:2" x14ac:dyDescent="0.3">
      <c r="A688" s="1">
        <v>44837</v>
      </c>
      <c r="B688">
        <v>704.85</v>
      </c>
    </row>
    <row r="689" spans="1:2" x14ac:dyDescent="0.3">
      <c r="A689" s="1">
        <v>44838</v>
      </c>
      <c r="B689">
        <v>724.7</v>
      </c>
    </row>
    <row r="690" spans="1:2" x14ac:dyDescent="0.3">
      <c r="A690" s="1">
        <v>44840</v>
      </c>
      <c r="B690">
        <v>716.72</v>
      </c>
    </row>
    <row r="691" spans="1:2" x14ac:dyDescent="0.3">
      <c r="A691" s="1">
        <v>44841</v>
      </c>
      <c r="B691">
        <v>713.62</v>
      </c>
    </row>
    <row r="692" spans="1:2" x14ac:dyDescent="0.3">
      <c r="A692" s="1">
        <v>44844</v>
      </c>
      <c r="B692">
        <v>705.74</v>
      </c>
    </row>
    <row r="693" spans="1:2" x14ac:dyDescent="0.3">
      <c r="A693" s="1">
        <v>44845</v>
      </c>
      <c r="B693">
        <v>698.59</v>
      </c>
    </row>
    <row r="694" spans="1:2" x14ac:dyDescent="0.3">
      <c r="A694" s="1">
        <v>44846</v>
      </c>
      <c r="B694">
        <v>703.15</v>
      </c>
    </row>
    <row r="695" spans="1:2" x14ac:dyDescent="0.3">
      <c r="A695" s="1">
        <v>44847</v>
      </c>
      <c r="B695">
        <v>695.07</v>
      </c>
    </row>
    <row r="696" spans="1:2" x14ac:dyDescent="0.3">
      <c r="A696" s="1">
        <v>44848</v>
      </c>
      <c r="B696">
        <v>717.71</v>
      </c>
    </row>
    <row r="697" spans="1:2" x14ac:dyDescent="0.3">
      <c r="A697" s="1">
        <v>44851</v>
      </c>
      <c r="B697">
        <v>721.48</v>
      </c>
    </row>
    <row r="698" spans="1:2" x14ac:dyDescent="0.3">
      <c r="A698" s="1">
        <v>44852</v>
      </c>
      <c r="B698">
        <v>720.13</v>
      </c>
    </row>
    <row r="699" spans="1:2" x14ac:dyDescent="0.3">
      <c r="A699" s="1">
        <v>44853</v>
      </c>
      <c r="B699">
        <v>727.51</v>
      </c>
    </row>
    <row r="700" spans="1:2" x14ac:dyDescent="0.3">
      <c r="A700" s="1">
        <v>44854</v>
      </c>
      <c r="B700">
        <v>722.6</v>
      </c>
    </row>
    <row r="701" spans="1:2" x14ac:dyDescent="0.3">
      <c r="A701" s="1">
        <v>44855</v>
      </c>
      <c r="B701">
        <v>717.51</v>
      </c>
    </row>
    <row r="702" spans="1:2" x14ac:dyDescent="0.3">
      <c r="A702" s="1">
        <v>44858</v>
      </c>
      <c r="B702">
        <v>728.71</v>
      </c>
    </row>
    <row r="703" spans="1:2" x14ac:dyDescent="0.3">
      <c r="A703" s="1">
        <v>44859</v>
      </c>
      <c r="B703">
        <v>723.65</v>
      </c>
    </row>
    <row r="704" spans="1:2" x14ac:dyDescent="0.3">
      <c r="A704" s="1">
        <v>44861</v>
      </c>
      <c r="B704">
        <v>725.4</v>
      </c>
    </row>
    <row r="705" spans="1:2" x14ac:dyDescent="0.3">
      <c r="A705" s="1">
        <v>44862</v>
      </c>
      <c r="B705">
        <v>727.54</v>
      </c>
    </row>
    <row r="706" spans="1:2" x14ac:dyDescent="0.3">
      <c r="A706" s="1">
        <v>44865</v>
      </c>
      <c r="B706">
        <v>746.49</v>
      </c>
    </row>
    <row r="707" spans="1:2" x14ac:dyDescent="0.3">
      <c r="A707" s="1">
        <v>44866</v>
      </c>
      <c r="B707">
        <v>754.75</v>
      </c>
    </row>
    <row r="708" spans="1:2" x14ac:dyDescent="0.3">
      <c r="A708" s="1">
        <v>44867</v>
      </c>
      <c r="B708">
        <v>755.22</v>
      </c>
    </row>
    <row r="709" spans="1:2" x14ac:dyDescent="0.3">
      <c r="A709" s="1">
        <v>44868</v>
      </c>
      <c r="B709">
        <v>751.9</v>
      </c>
    </row>
    <row r="710" spans="1:2" x14ac:dyDescent="0.3">
      <c r="A710" s="1">
        <v>44869</v>
      </c>
      <c r="B710">
        <v>746.72</v>
      </c>
    </row>
    <row r="711" spans="1:2" x14ac:dyDescent="0.3">
      <c r="A711" s="1">
        <v>44872</v>
      </c>
      <c r="B711">
        <v>752.53</v>
      </c>
    </row>
    <row r="712" spans="1:2" x14ac:dyDescent="0.3">
      <c r="A712" s="1">
        <v>44874</v>
      </c>
      <c r="B712">
        <v>752.3</v>
      </c>
    </row>
    <row r="713" spans="1:2" x14ac:dyDescent="0.3">
      <c r="A713" s="1">
        <v>44875</v>
      </c>
      <c r="B713">
        <v>760.48</v>
      </c>
    </row>
    <row r="714" spans="1:2" x14ac:dyDescent="0.3">
      <c r="A714" s="1">
        <v>44876</v>
      </c>
      <c r="B714">
        <v>803.58</v>
      </c>
    </row>
    <row r="715" spans="1:2" x14ac:dyDescent="0.3">
      <c r="A715" s="1">
        <v>44879</v>
      </c>
      <c r="B715">
        <v>805.52</v>
      </c>
    </row>
    <row r="716" spans="1:2" x14ac:dyDescent="0.3">
      <c r="A716" s="1">
        <v>44880</v>
      </c>
      <c r="B716">
        <v>807.49</v>
      </c>
    </row>
    <row r="717" spans="1:2" x14ac:dyDescent="0.3">
      <c r="A717" s="1">
        <v>44881</v>
      </c>
      <c r="B717">
        <v>814.42</v>
      </c>
    </row>
    <row r="718" spans="1:2" x14ac:dyDescent="0.3">
      <c r="A718" s="1">
        <v>44882</v>
      </c>
      <c r="B718">
        <v>807.07</v>
      </c>
    </row>
    <row r="719" spans="1:2" x14ac:dyDescent="0.3">
      <c r="A719" s="1">
        <v>44883</v>
      </c>
      <c r="B719">
        <v>804.95</v>
      </c>
    </row>
    <row r="720" spans="1:2" x14ac:dyDescent="0.3">
      <c r="A720" s="1">
        <v>44886</v>
      </c>
      <c r="B720">
        <v>796.69</v>
      </c>
    </row>
    <row r="721" spans="1:2" x14ac:dyDescent="0.3">
      <c r="A721" s="1">
        <v>44887</v>
      </c>
      <c r="B721">
        <v>795.52</v>
      </c>
    </row>
    <row r="722" spans="1:2" x14ac:dyDescent="0.3">
      <c r="A722" s="1">
        <v>44888</v>
      </c>
      <c r="B722">
        <v>797.59</v>
      </c>
    </row>
    <row r="723" spans="1:2" x14ac:dyDescent="0.3">
      <c r="A723" s="1">
        <v>44889</v>
      </c>
      <c r="B723">
        <v>810.56</v>
      </c>
    </row>
    <row r="724" spans="1:2" x14ac:dyDescent="0.3">
      <c r="A724" s="1">
        <v>44890</v>
      </c>
      <c r="B724">
        <v>806.82</v>
      </c>
    </row>
    <row r="725" spans="1:2" x14ac:dyDescent="0.3">
      <c r="A725" s="1">
        <v>44893</v>
      </c>
      <c r="B725">
        <v>798.14</v>
      </c>
    </row>
    <row r="726" spans="1:2" x14ac:dyDescent="0.3">
      <c r="A726" s="1">
        <v>44894</v>
      </c>
      <c r="B726">
        <v>796.94</v>
      </c>
    </row>
    <row r="727" spans="1:2" x14ac:dyDescent="0.3">
      <c r="A727" s="1">
        <v>44895</v>
      </c>
      <c r="B727">
        <v>802.23</v>
      </c>
    </row>
    <row r="728" spans="1:2" x14ac:dyDescent="0.3">
      <c r="A728" s="1">
        <v>44896</v>
      </c>
      <c r="B728">
        <v>807.74</v>
      </c>
    </row>
    <row r="729" spans="1:2" x14ac:dyDescent="0.3">
      <c r="A729" s="1">
        <v>44897</v>
      </c>
      <c r="B729">
        <v>801.56</v>
      </c>
    </row>
    <row r="730" spans="1:2" x14ac:dyDescent="0.3">
      <c r="A730" s="1">
        <v>44900</v>
      </c>
      <c r="B730">
        <v>804.47</v>
      </c>
    </row>
    <row r="731" spans="1:2" x14ac:dyDescent="0.3">
      <c r="A731" s="1">
        <v>44901</v>
      </c>
      <c r="B731">
        <v>803.58</v>
      </c>
    </row>
    <row r="732" spans="1:2" x14ac:dyDescent="0.3">
      <c r="A732" s="1">
        <v>44902</v>
      </c>
      <c r="B732">
        <v>803.23</v>
      </c>
    </row>
    <row r="733" spans="1:2" x14ac:dyDescent="0.3">
      <c r="A733" s="1">
        <v>44903</v>
      </c>
      <c r="B733">
        <v>807.74</v>
      </c>
    </row>
    <row r="734" spans="1:2" x14ac:dyDescent="0.3">
      <c r="A734" s="1">
        <v>44904</v>
      </c>
      <c r="B734">
        <v>813.5</v>
      </c>
    </row>
    <row r="735" spans="1:2" x14ac:dyDescent="0.3">
      <c r="A735" s="1">
        <v>44907</v>
      </c>
      <c r="B735">
        <v>819.84</v>
      </c>
    </row>
    <row r="736" spans="1:2" x14ac:dyDescent="0.3">
      <c r="A736" s="1">
        <v>44908</v>
      </c>
      <c r="B736">
        <v>822.1</v>
      </c>
    </row>
    <row r="737" spans="1:2" x14ac:dyDescent="0.3">
      <c r="A737" s="1">
        <v>44909</v>
      </c>
      <c r="B737">
        <v>829.06</v>
      </c>
    </row>
    <row r="738" spans="1:2" x14ac:dyDescent="0.3">
      <c r="A738" s="1">
        <v>44910</v>
      </c>
      <c r="B738">
        <v>813.87</v>
      </c>
    </row>
    <row r="739" spans="1:2" x14ac:dyDescent="0.3">
      <c r="A739" s="1">
        <v>44911</v>
      </c>
      <c r="B739">
        <v>817.79</v>
      </c>
    </row>
    <row r="740" spans="1:2" x14ac:dyDescent="0.3">
      <c r="A740" s="1">
        <v>44914</v>
      </c>
      <c r="B740">
        <v>820.33</v>
      </c>
    </row>
    <row r="741" spans="1:2" x14ac:dyDescent="0.3">
      <c r="A741" s="1">
        <v>44915</v>
      </c>
      <c r="B741">
        <v>814.67</v>
      </c>
    </row>
    <row r="742" spans="1:2" x14ac:dyDescent="0.3">
      <c r="A742" s="1">
        <v>44916</v>
      </c>
      <c r="B742">
        <v>806.79</v>
      </c>
    </row>
    <row r="743" spans="1:2" x14ac:dyDescent="0.3">
      <c r="A743" s="1">
        <v>44917</v>
      </c>
      <c r="B743">
        <v>804.02</v>
      </c>
    </row>
    <row r="744" spans="1:2" x14ac:dyDescent="0.3">
      <c r="A744" s="1">
        <v>44918</v>
      </c>
      <c r="B744">
        <v>796.84</v>
      </c>
    </row>
    <row r="745" spans="1:2" x14ac:dyDescent="0.3">
      <c r="A745" s="1">
        <v>44921</v>
      </c>
      <c r="B745">
        <v>812.7</v>
      </c>
    </row>
    <row r="746" spans="1:2" x14ac:dyDescent="0.3">
      <c r="A746" s="1">
        <v>44922</v>
      </c>
      <c r="B746">
        <v>813.53</v>
      </c>
    </row>
    <row r="747" spans="1:2" x14ac:dyDescent="0.3">
      <c r="A747" s="1">
        <v>44923</v>
      </c>
      <c r="B747">
        <v>812.88</v>
      </c>
    </row>
    <row r="748" spans="1:2" x14ac:dyDescent="0.3">
      <c r="A748" s="1">
        <v>44924</v>
      </c>
      <c r="B748">
        <v>818.61</v>
      </c>
    </row>
    <row r="749" spans="1:2" x14ac:dyDescent="0.3">
      <c r="A749" s="1">
        <v>44925</v>
      </c>
      <c r="B749">
        <v>812.05</v>
      </c>
    </row>
    <row r="750" spans="1:2" x14ac:dyDescent="0.3">
      <c r="A750" s="1">
        <v>44928</v>
      </c>
      <c r="B750">
        <v>812.33</v>
      </c>
    </row>
    <row r="751" spans="1:2" x14ac:dyDescent="0.3">
      <c r="A751" s="1">
        <v>44929</v>
      </c>
      <c r="B751">
        <v>817.64</v>
      </c>
    </row>
    <row r="752" spans="1:2" x14ac:dyDescent="0.3">
      <c r="A752" s="1">
        <v>44930</v>
      </c>
      <c r="B752">
        <v>803.03</v>
      </c>
    </row>
    <row r="753" spans="1:2" x14ac:dyDescent="0.3">
      <c r="A753" s="1">
        <v>44931</v>
      </c>
      <c r="B753">
        <v>797.86</v>
      </c>
    </row>
    <row r="754" spans="1:2" x14ac:dyDescent="0.3">
      <c r="A754" s="1">
        <v>44932</v>
      </c>
      <c r="B754">
        <v>795.22</v>
      </c>
    </row>
    <row r="755" spans="1:2" x14ac:dyDescent="0.3">
      <c r="A755" s="1">
        <v>44935</v>
      </c>
      <c r="B755">
        <v>796.77</v>
      </c>
    </row>
    <row r="756" spans="1:2" x14ac:dyDescent="0.3">
      <c r="A756" s="1">
        <v>44936</v>
      </c>
      <c r="B756">
        <v>782.2</v>
      </c>
    </row>
    <row r="757" spans="1:2" x14ac:dyDescent="0.3">
      <c r="A757" s="1">
        <v>44937</v>
      </c>
      <c r="B757">
        <v>793.48</v>
      </c>
    </row>
    <row r="758" spans="1:2" x14ac:dyDescent="0.3">
      <c r="A758" s="1">
        <v>44938</v>
      </c>
      <c r="B758">
        <v>797.72</v>
      </c>
    </row>
    <row r="759" spans="1:2" x14ac:dyDescent="0.3">
      <c r="A759" s="1">
        <v>44939</v>
      </c>
      <c r="B759">
        <v>798.34</v>
      </c>
    </row>
    <row r="760" spans="1:2" x14ac:dyDescent="0.3">
      <c r="A760" s="1">
        <v>44942</v>
      </c>
      <c r="B760">
        <v>790.68</v>
      </c>
    </row>
    <row r="761" spans="1:2" x14ac:dyDescent="0.3">
      <c r="A761" s="1">
        <v>44943</v>
      </c>
      <c r="B761">
        <v>802.45</v>
      </c>
    </row>
    <row r="762" spans="1:2" x14ac:dyDescent="0.3">
      <c r="A762" s="1">
        <v>44944</v>
      </c>
      <c r="B762">
        <v>816.62</v>
      </c>
    </row>
    <row r="763" spans="1:2" x14ac:dyDescent="0.3">
      <c r="A763" s="1">
        <v>44945</v>
      </c>
      <c r="B763">
        <v>820.01</v>
      </c>
    </row>
    <row r="764" spans="1:2" x14ac:dyDescent="0.3">
      <c r="A764" s="1">
        <v>44946</v>
      </c>
      <c r="B764">
        <v>828.41</v>
      </c>
    </row>
    <row r="765" spans="1:2" x14ac:dyDescent="0.3">
      <c r="A765" s="1">
        <v>44949</v>
      </c>
      <c r="B765">
        <v>834.47</v>
      </c>
    </row>
    <row r="766" spans="1:2" x14ac:dyDescent="0.3">
      <c r="A766" s="1">
        <v>44950</v>
      </c>
      <c r="B766">
        <v>845.65</v>
      </c>
    </row>
    <row r="767" spans="1:2" x14ac:dyDescent="0.3">
      <c r="A767" s="1">
        <v>44951</v>
      </c>
      <c r="B767">
        <v>822.28</v>
      </c>
    </row>
    <row r="768" spans="1:2" x14ac:dyDescent="0.3">
      <c r="A768" s="1">
        <v>44953</v>
      </c>
      <c r="B768">
        <v>805.89</v>
      </c>
    </row>
    <row r="769" spans="1:2" x14ac:dyDescent="0.3">
      <c r="A769" s="1">
        <v>44956</v>
      </c>
      <c r="B769">
        <v>805.07</v>
      </c>
    </row>
    <row r="770" spans="1:2" x14ac:dyDescent="0.3">
      <c r="A770" s="1">
        <v>44957</v>
      </c>
      <c r="B770">
        <v>799.76</v>
      </c>
    </row>
    <row r="771" spans="1:2" x14ac:dyDescent="0.3">
      <c r="A771" s="1">
        <v>44958</v>
      </c>
      <c r="B771">
        <v>811.76</v>
      </c>
    </row>
    <row r="772" spans="1:2" x14ac:dyDescent="0.3">
      <c r="A772" s="1">
        <v>44959</v>
      </c>
      <c r="B772">
        <v>799.69</v>
      </c>
    </row>
    <row r="773" spans="1:2" x14ac:dyDescent="0.3">
      <c r="A773" s="1">
        <v>44960</v>
      </c>
      <c r="B773">
        <v>827.34</v>
      </c>
    </row>
    <row r="774" spans="1:2" x14ac:dyDescent="0.3">
      <c r="A774" s="1">
        <v>44963</v>
      </c>
      <c r="B774">
        <v>823.83</v>
      </c>
    </row>
    <row r="775" spans="1:2" x14ac:dyDescent="0.3">
      <c r="A775" s="1">
        <v>44964</v>
      </c>
      <c r="B775">
        <v>825.05</v>
      </c>
    </row>
    <row r="776" spans="1:2" x14ac:dyDescent="0.3">
      <c r="A776" s="1">
        <v>44965</v>
      </c>
      <c r="B776">
        <v>824.95</v>
      </c>
    </row>
    <row r="777" spans="1:2" x14ac:dyDescent="0.3">
      <c r="A777" s="1">
        <v>44966</v>
      </c>
      <c r="B777">
        <v>823.23</v>
      </c>
    </row>
    <row r="778" spans="1:2" x14ac:dyDescent="0.3">
      <c r="A778" s="1">
        <v>44967</v>
      </c>
      <c r="B778">
        <v>826.49</v>
      </c>
    </row>
    <row r="779" spans="1:2" x14ac:dyDescent="0.3">
      <c r="A779" s="1">
        <v>44970</v>
      </c>
      <c r="B779">
        <v>827.12</v>
      </c>
    </row>
    <row r="780" spans="1:2" x14ac:dyDescent="0.3">
      <c r="A780" s="1">
        <v>44971</v>
      </c>
      <c r="B780">
        <v>834.77</v>
      </c>
    </row>
    <row r="781" spans="1:2" x14ac:dyDescent="0.3">
      <c r="A781" s="1">
        <v>44972</v>
      </c>
      <c r="B781">
        <v>833.08</v>
      </c>
    </row>
    <row r="782" spans="1:2" x14ac:dyDescent="0.3">
      <c r="A782" s="1">
        <v>44973</v>
      </c>
      <c r="B782">
        <v>830.06</v>
      </c>
    </row>
    <row r="783" spans="1:2" x14ac:dyDescent="0.3">
      <c r="A783" s="1">
        <v>44974</v>
      </c>
      <c r="B783">
        <v>825.9</v>
      </c>
    </row>
    <row r="784" spans="1:2" x14ac:dyDescent="0.3">
      <c r="A784" s="1">
        <v>44977</v>
      </c>
      <c r="B784">
        <v>818.14</v>
      </c>
    </row>
    <row r="785" spans="1:2" x14ac:dyDescent="0.3">
      <c r="A785" s="1">
        <v>44978</v>
      </c>
      <c r="B785">
        <v>821.21</v>
      </c>
    </row>
    <row r="786" spans="1:2" x14ac:dyDescent="0.3">
      <c r="A786" s="1">
        <v>44979</v>
      </c>
      <c r="B786">
        <v>805.1</v>
      </c>
    </row>
    <row r="787" spans="1:2" x14ac:dyDescent="0.3">
      <c r="A787" s="1">
        <v>44980</v>
      </c>
      <c r="B787">
        <v>799.64</v>
      </c>
    </row>
    <row r="788" spans="1:2" x14ac:dyDescent="0.3">
      <c r="A788" s="1">
        <v>44981</v>
      </c>
      <c r="B788">
        <v>792.5</v>
      </c>
    </row>
    <row r="789" spans="1:2" x14ac:dyDescent="0.3">
      <c r="A789" s="1">
        <v>44984</v>
      </c>
      <c r="B789">
        <v>794.47</v>
      </c>
    </row>
    <row r="790" spans="1:2" x14ac:dyDescent="0.3">
      <c r="A790" s="1">
        <v>44985</v>
      </c>
      <c r="B790">
        <v>797.81</v>
      </c>
    </row>
    <row r="791" spans="1:2" x14ac:dyDescent="0.3">
      <c r="A791" s="1">
        <v>44986</v>
      </c>
      <c r="B791">
        <v>797.04</v>
      </c>
    </row>
    <row r="792" spans="1:2" x14ac:dyDescent="0.3">
      <c r="A792" s="1">
        <v>44987</v>
      </c>
      <c r="B792">
        <v>790.26</v>
      </c>
    </row>
    <row r="793" spans="1:2" x14ac:dyDescent="0.3">
      <c r="A793" s="1">
        <v>44988</v>
      </c>
      <c r="B793">
        <v>805.94</v>
      </c>
    </row>
    <row r="794" spans="1:2" x14ac:dyDescent="0.3">
      <c r="A794" s="1">
        <v>44991</v>
      </c>
      <c r="B794">
        <v>811.63</v>
      </c>
    </row>
    <row r="795" spans="1:2" x14ac:dyDescent="0.3">
      <c r="A795" s="1">
        <v>44993</v>
      </c>
      <c r="B795">
        <v>813.25</v>
      </c>
    </row>
    <row r="796" spans="1:2" x14ac:dyDescent="0.3">
      <c r="A796" s="1">
        <v>44994</v>
      </c>
      <c r="B796">
        <v>813.33</v>
      </c>
    </row>
    <row r="797" spans="1:2" x14ac:dyDescent="0.3">
      <c r="A797" s="1">
        <v>44995</v>
      </c>
      <c r="B797">
        <v>792.35</v>
      </c>
    </row>
    <row r="798" spans="1:2" x14ac:dyDescent="0.3">
      <c r="A798" s="1">
        <v>44998</v>
      </c>
      <c r="B798">
        <v>782.33</v>
      </c>
    </row>
    <row r="799" spans="1:2" x14ac:dyDescent="0.3">
      <c r="A799" s="1">
        <v>44999</v>
      </c>
      <c r="B799">
        <v>780.23</v>
      </c>
    </row>
    <row r="800" spans="1:2" x14ac:dyDescent="0.3">
      <c r="A800" s="1">
        <v>45000</v>
      </c>
      <c r="B800">
        <v>769.04</v>
      </c>
    </row>
    <row r="801" spans="1:2" x14ac:dyDescent="0.3">
      <c r="A801" s="1">
        <v>45001</v>
      </c>
      <c r="B801">
        <v>774.02</v>
      </c>
    </row>
    <row r="802" spans="1:2" x14ac:dyDescent="0.3">
      <c r="A802" s="1">
        <v>45002</v>
      </c>
      <c r="B802">
        <v>784.37</v>
      </c>
    </row>
    <row r="803" spans="1:2" x14ac:dyDescent="0.3">
      <c r="A803" s="1">
        <v>45005</v>
      </c>
      <c r="B803">
        <v>778.94</v>
      </c>
    </row>
    <row r="804" spans="1:2" x14ac:dyDescent="0.3">
      <c r="A804" s="1">
        <v>45006</v>
      </c>
      <c r="B804">
        <v>787.76</v>
      </c>
    </row>
    <row r="805" spans="1:2" x14ac:dyDescent="0.3">
      <c r="A805" s="1">
        <v>45007</v>
      </c>
      <c r="B805">
        <v>785.94</v>
      </c>
    </row>
    <row r="806" spans="1:2" x14ac:dyDescent="0.3">
      <c r="A806" s="1">
        <v>45008</v>
      </c>
      <c r="B806">
        <v>779.64</v>
      </c>
    </row>
    <row r="807" spans="1:2" x14ac:dyDescent="0.3">
      <c r="A807" s="1">
        <v>45009</v>
      </c>
      <c r="B807">
        <v>778.39</v>
      </c>
    </row>
    <row r="808" spans="1:2" x14ac:dyDescent="0.3">
      <c r="A808" s="1">
        <v>45012</v>
      </c>
      <c r="B808">
        <v>781.78</v>
      </c>
    </row>
    <row r="809" spans="1:2" x14ac:dyDescent="0.3">
      <c r="A809" s="1">
        <v>45013</v>
      </c>
      <c r="B809">
        <v>788.14</v>
      </c>
    </row>
    <row r="810" spans="1:2" x14ac:dyDescent="0.3">
      <c r="A810" s="1">
        <v>45014</v>
      </c>
      <c r="B810">
        <v>791.93</v>
      </c>
    </row>
    <row r="811" spans="1:2" x14ac:dyDescent="0.3">
      <c r="A811" s="1">
        <v>45016</v>
      </c>
      <c r="B811">
        <v>802.78</v>
      </c>
    </row>
    <row r="812" spans="1:2" x14ac:dyDescent="0.3">
      <c r="A812" s="1">
        <v>45019</v>
      </c>
      <c r="B812">
        <v>803.28</v>
      </c>
    </row>
    <row r="813" spans="1:2" x14ac:dyDescent="0.3">
      <c r="A813" s="1">
        <v>45021</v>
      </c>
      <c r="B813">
        <v>824.82</v>
      </c>
    </row>
    <row r="814" spans="1:2" x14ac:dyDescent="0.3">
      <c r="A814" s="1">
        <v>45022</v>
      </c>
      <c r="B814">
        <v>831.11</v>
      </c>
    </row>
    <row r="815" spans="1:2" x14ac:dyDescent="0.3">
      <c r="A815" s="1">
        <v>45026</v>
      </c>
      <c r="B815">
        <v>827.17</v>
      </c>
    </row>
    <row r="816" spans="1:2" x14ac:dyDescent="0.3">
      <c r="A816" s="1">
        <v>45027</v>
      </c>
      <c r="B816">
        <v>829.59</v>
      </c>
    </row>
    <row r="817" spans="1:2" x14ac:dyDescent="0.3">
      <c r="A817" s="1">
        <v>45028</v>
      </c>
      <c r="B817">
        <v>840.36</v>
      </c>
    </row>
    <row r="818" spans="1:2" x14ac:dyDescent="0.3">
      <c r="A818" s="1">
        <v>45029</v>
      </c>
      <c r="B818">
        <v>844.12</v>
      </c>
    </row>
    <row r="819" spans="1:2" x14ac:dyDescent="0.3">
      <c r="A819" s="1">
        <v>45033</v>
      </c>
      <c r="B819">
        <v>831.26</v>
      </c>
    </row>
    <row r="820" spans="1:2" x14ac:dyDescent="0.3">
      <c r="A820" s="1">
        <v>45034</v>
      </c>
      <c r="B820">
        <v>827.74</v>
      </c>
    </row>
    <row r="821" spans="1:2" x14ac:dyDescent="0.3">
      <c r="A821" s="1">
        <v>45035</v>
      </c>
      <c r="B821">
        <v>830.78</v>
      </c>
    </row>
    <row r="822" spans="1:2" x14ac:dyDescent="0.3">
      <c r="A822" s="1">
        <v>45036</v>
      </c>
      <c r="B822">
        <v>833.88</v>
      </c>
    </row>
    <row r="823" spans="1:2" x14ac:dyDescent="0.3">
      <c r="A823" s="1">
        <v>45037</v>
      </c>
      <c r="B823">
        <v>835.22</v>
      </c>
    </row>
    <row r="824" spans="1:2" x14ac:dyDescent="0.3">
      <c r="A824" s="1">
        <v>45040</v>
      </c>
      <c r="B824">
        <v>841.98</v>
      </c>
    </row>
    <row r="825" spans="1:2" x14ac:dyDescent="0.3">
      <c r="A825" s="1">
        <v>45041</v>
      </c>
      <c r="B825">
        <v>830.01</v>
      </c>
    </row>
    <row r="826" spans="1:2" x14ac:dyDescent="0.3">
      <c r="A826" s="1">
        <v>45042</v>
      </c>
      <c r="B826">
        <v>833.83</v>
      </c>
    </row>
    <row r="827" spans="1:2" x14ac:dyDescent="0.3">
      <c r="A827" s="1">
        <v>45043</v>
      </c>
      <c r="B827">
        <v>838.41</v>
      </c>
    </row>
    <row r="828" spans="1:2" x14ac:dyDescent="0.3">
      <c r="A828" s="1">
        <v>45044</v>
      </c>
      <c r="B828">
        <v>841.71</v>
      </c>
    </row>
    <row r="829" spans="1:2" x14ac:dyDescent="0.3">
      <c r="A829" s="1">
        <v>45048</v>
      </c>
      <c r="B829">
        <v>841.53</v>
      </c>
    </row>
    <row r="830" spans="1:2" x14ac:dyDescent="0.3">
      <c r="A830" s="1">
        <v>45049</v>
      </c>
      <c r="B830">
        <v>844.47</v>
      </c>
    </row>
    <row r="831" spans="1:2" x14ac:dyDescent="0.3">
      <c r="A831" s="1">
        <v>45050</v>
      </c>
      <c r="B831">
        <v>861.76</v>
      </c>
    </row>
    <row r="832" spans="1:2" x14ac:dyDescent="0.3">
      <c r="A832" s="1">
        <v>45051</v>
      </c>
      <c r="B832">
        <v>810.81</v>
      </c>
    </row>
    <row r="833" spans="1:2" x14ac:dyDescent="0.3">
      <c r="A833" s="1">
        <v>45054</v>
      </c>
      <c r="B833">
        <v>820.18</v>
      </c>
    </row>
    <row r="834" spans="1:2" x14ac:dyDescent="0.3">
      <c r="A834" s="1">
        <v>45055</v>
      </c>
      <c r="B834">
        <v>820.21</v>
      </c>
    </row>
    <row r="835" spans="1:2" x14ac:dyDescent="0.3">
      <c r="A835" s="1">
        <v>45056</v>
      </c>
      <c r="B835">
        <v>824</v>
      </c>
    </row>
    <row r="836" spans="1:2" x14ac:dyDescent="0.3">
      <c r="A836" s="1">
        <v>45057</v>
      </c>
      <c r="B836">
        <v>824.55</v>
      </c>
    </row>
    <row r="837" spans="1:2" x14ac:dyDescent="0.3">
      <c r="A837" s="1">
        <v>45058</v>
      </c>
      <c r="B837">
        <v>831.83</v>
      </c>
    </row>
    <row r="838" spans="1:2" x14ac:dyDescent="0.3">
      <c r="A838" s="1">
        <v>45061</v>
      </c>
      <c r="B838">
        <v>835.82</v>
      </c>
    </row>
    <row r="839" spans="1:2" x14ac:dyDescent="0.3">
      <c r="A839" s="1">
        <v>45062</v>
      </c>
      <c r="B839">
        <v>821.61</v>
      </c>
    </row>
    <row r="840" spans="1:2" x14ac:dyDescent="0.3">
      <c r="A840" s="1">
        <v>45063</v>
      </c>
      <c r="B840">
        <v>817.19</v>
      </c>
    </row>
    <row r="841" spans="1:2" x14ac:dyDescent="0.3">
      <c r="A841" s="1">
        <v>45064</v>
      </c>
      <c r="B841">
        <v>820.46</v>
      </c>
    </row>
    <row r="842" spans="1:2" x14ac:dyDescent="0.3">
      <c r="A842" s="1">
        <v>45065</v>
      </c>
      <c r="B842">
        <v>821.41</v>
      </c>
    </row>
    <row r="843" spans="1:2" x14ac:dyDescent="0.3">
      <c r="A843" s="1">
        <v>45068</v>
      </c>
      <c r="B843">
        <v>818.49</v>
      </c>
    </row>
    <row r="844" spans="1:2" x14ac:dyDescent="0.3">
      <c r="A844" s="1">
        <v>45069</v>
      </c>
      <c r="B844">
        <v>816.57</v>
      </c>
    </row>
    <row r="845" spans="1:2" x14ac:dyDescent="0.3">
      <c r="A845" s="1">
        <v>45070</v>
      </c>
      <c r="B845">
        <v>805.89</v>
      </c>
    </row>
    <row r="846" spans="1:2" x14ac:dyDescent="0.3">
      <c r="A846" s="1">
        <v>45071</v>
      </c>
      <c r="B846">
        <v>802.8</v>
      </c>
    </row>
    <row r="847" spans="1:2" x14ac:dyDescent="0.3">
      <c r="A847" s="1">
        <v>45072</v>
      </c>
      <c r="B847">
        <v>805.89</v>
      </c>
    </row>
    <row r="848" spans="1:2" x14ac:dyDescent="0.3">
      <c r="A848" s="1">
        <v>45075</v>
      </c>
      <c r="B848">
        <v>815.72</v>
      </c>
    </row>
    <row r="849" spans="1:2" x14ac:dyDescent="0.3">
      <c r="A849" s="1">
        <v>45076</v>
      </c>
      <c r="B849">
        <v>816.34</v>
      </c>
    </row>
    <row r="850" spans="1:2" x14ac:dyDescent="0.3">
      <c r="A850" s="1">
        <v>45077</v>
      </c>
      <c r="B850">
        <v>803.43</v>
      </c>
    </row>
    <row r="851" spans="1:2" x14ac:dyDescent="0.3">
      <c r="A851" s="1">
        <v>45078</v>
      </c>
      <c r="B851">
        <v>800.01</v>
      </c>
    </row>
    <row r="852" spans="1:2" x14ac:dyDescent="0.3">
      <c r="A852" s="1">
        <v>45079</v>
      </c>
      <c r="B852">
        <v>801.26</v>
      </c>
    </row>
    <row r="853" spans="1:2" x14ac:dyDescent="0.3">
      <c r="A853" s="1">
        <v>45082</v>
      </c>
      <c r="B853">
        <v>800.21</v>
      </c>
    </row>
    <row r="854" spans="1:2" x14ac:dyDescent="0.3">
      <c r="A854" s="1">
        <v>45083</v>
      </c>
      <c r="B854">
        <v>797.72</v>
      </c>
    </row>
    <row r="855" spans="1:2" x14ac:dyDescent="0.3">
      <c r="A855" s="1">
        <v>45084</v>
      </c>
      <c r="B855">
        <v>801.85</v>
      </c>
    </row>
    <row r="856" spans="1:2" x14ac:dyDescent="0.3">
      <c r="A856" s="1">
        <v>45085</v>
      </c>
      <c r="B856">
        <v>802.35</v>
      </c>
    </row>
    <row r="857" spans="1:2" x14ac:dyDescent="0.3">
      <c r="A857" s="1">
        <v>45086</v>
      </c>
      <c r="B857">
        <v>803.3</v>
      </c>
    </row>
    <row r="858" spans="1:2" x14ac:dyDescent="0.3">
      <c r="A858" s="1">
        <v>45089</v>
      </c>
      <c r="B858">
        <v>798.41</v>
      </c>
    </row>
    <row r="859" spans="1:2" x14ac:dyDescent="0.3">
      <c r="A859" s="1">
        <v>45090</v>
      </c>
      <c r="B859">
        <v>799.76</v>
      </c>
    </row>
    <row r="860" spans="1:2" x14ac:dyDescent="0.3">
      <c r="A860" s="1">
        <v>45091</v>
      </c>
      <c r="B860">
        <v>798.89</v>
      </c>
    </row>
    <row r="861" spans="1:2" x14ac:dyDescent="0.3">
      <c r="A861" s="1">
        <v>45092</v>
      </c>
      <c r="B861">
        <v>789.06</v>
      </c>
    </row>
    <row r="862" spans="1:2" x14ac:dyDescent="0.3">
      <c r="A862" s="1">
        <v>45093</v>
      </c>
      <c r="B862">
        <v>799.39</v>
      </c>
    </row>
    <row r="863" spans="1:2" x14ac:dyDescent="0.3">
      <c r="A863" s="1">
        <v>45096</v>
      </c>
      <c r="B863">
        <v>800.08</v>
      </c>
    </row>
    <row r="864" spans="1:2" x14ac:dyDescent="0.3">
      <c r="A864" s="1">
        <v>45097</v>
      </c>
      <c r="B864">
        <v>801.76</v>
      </c>
    </row>
    <row r="865" spans="1:2" x14ac:dyDescent="0.3">
      <c r="A865" s="1">
        <v>45098</v>
      </c>
      <c r="B865">
        <v>815.77</v>
      </c>
    </row>
    <row r="866" spans="1:2" x14ac:dyDescent="0.3">
      <c r="A866" s="1">
        <v>45099</v>
      </c>
      <c r="B866">
        <v>819.76</v>
      </c>
    </row>
    <row r="867" spans="1:2" x14ac:dyDescent="0.3">
      <c r="A867" s="1">
        <v>45100</v>
      </c>
      <c r="B867">
        <v>819.71</v>
      </c>
    </row>
    <row r="868" spans="1:2" x14ac:dyDescent="0.3">
      <c r="A868" s="1">
        <v>45103</v>
      </c>
      <c r="B868">
        <v>815.75</v>
      </c>
    </row>
    <row r="869" spans="1:2" x14ac:dyDescent="0.3">
      <c r="A869" s="1">
        <v>45104</v>
      </c>
      <c r="B869">
        <v>827.24</v>
      </c>
    </row>
    <row r="870" spans="1:2" x14ac:dyDescent="0.3">
      <c r="A870" s="1">
        <v>45105</v>
      </c>
      <c r="B870">
        <v>835.99</v>
      </c>
    </row>
    <row r="871" spans="1:2" x14ac:dyDescent="0.3">
      <c r="A871" s="1">
        <v>45107</v>
      </c>
      <c r="B871">
        <v>848.59</v>
      </c>
    </row>
    <row r="872" spans="1:2" x14ac:dyDescent="0.3">
      <c r="A872" s="1">
        <v>45110</v>
      </c>
      <c r="B872">
        <v>857.77</v>
      </c>
    </row>
    <row r="873" spans="1:2" x14ac:dyDescent="0.3">
      <c r="A873" s="1">
        <v>45111</v>
      </c>
      <c r="B873">
        <v>861.96</v>
      </c>
    </row>
    <row r="874" spans="1:2" x14ac:dyDescent="0.3">
      <c r="A874" s="1">
        <v>45112</v>
      </c>
      <c r="B874">
        <v>834.57</v>
      </c>
    </row>
    <row r="875" spans="1:2" x14ac:dyDescent="0.3">
      <c r="A875" s="1">
        <v>45113</v>
      </c>
      <c r="B875">
        <v>835.42</v>
      </c>
    </row>
    <row r="876" spans="1:2" x14ac:dyDescent="0.3">
      <c r="A876" s="1">
        <v>45114</v>
      </c>
      <c r="B876">
        <v>828.14</v>
      </c>
    </row>
    <row r="877" spans="1:2" x14ac:dyDescent="0.3">
      <c r="A877" s="1">
        <v>45117</v>
      </c>
      <c r="B877">
        <v>826.17</v>
      </c>
    </row>
    <row r="878" spans="1:2" x14ac:dyDescent="0.3">
      <c r="A878" s="1">
        <v>45118</v>
      </c>
      <c r="B878">
        <v>822.15</v>
      </c>
    </row>
    <row r="879" spans="1:2" x14ac:dyDescent="0.3">
      <c r="A879" s="1">
        <v>45119</v>
      </c>
      <c r="B879">
        <v>814.45</v>
      </c>
    </row>
    <row r="880" spans="1:2" x14ac:dyDescent="0.3">
      <c r="A880" s="1">
        <v>45120</v>
      </c>
      <c r="B880">
        <v>818.51</v>
      </c>
    </row>
    <row r="881" spans="1:2" x14ac:dyDescent="0.3">
      <c r="A881" s="1">
        <v>45121</v>
      </c>
      <c r="B881">
        <v>820.21</v>
      </c>
    </row>
    <row r="882" spans="1:2" x14ac:dyDescent="0.3">
      <c r="A882" s="1">
        <v>45124</v>
      </c>
      <c r="B882">
        <v>837.37</v>
      </c>
    </row>
    <row r="883" spans="1:2" x14ac:dyDescent="0.3">
      <c r="A883" s="1">
        <v>45125</v>
      </c>
      <c r="B883">
        <v>836.67</v>
      </c>
    </row>
    <row r="884" spans="1:2" x14ac:dyDescent="0.3">
      <c r="A884" s="1">
        <v>45126</v>
      </c>
      <c r="B884">
        <v>840.46</v>
      </c>
    </row>
    <row r="885" spans="1:2" x14ac:dyDescent="0.3">
      <c r="A885" s="1">
        <v>45127</v>
      </c>
      <c r="B885">
        <v>842.28</v>
      </c>
    </row>
    <row r="886" spans="1:2" x14ac:dyDescent="0.3">
      <c r="A886" s="1">
        <v>45128</v>
      </c>
      <c r="B886">
        <v>835.8</v>
      </c>
    </row>
    <row r="887" spans="1:2" x14ac:dyDescent="0.3">
      <c r="A887" s="1">
        <v>45131</v>
      </c>
      <c r="B887">
        <v>837.12</v>
      </c>
    </row>
    <row r="888" spans="1:2" x14ac:dyDescent="0.3">
      <c r="A888" s="1">
        <v>45132</v>
      </c>
      <c r="B888">
        <v>846.19</v>
      </c>
    </row>
    <row r="889" spans="1:2" x14ac:dyDescent="0.3">
      <c r="A889" s="1">
        <v>45133</v>
      </c>
      <c r="B889">
        <v>843.25</v>
      </c>
    </row>
    <row r="890" spans="1:2" x14ac:dyDescent="0.3">
      <c r="A890" s="1">
        <v>45134</v>
      </c>
      <c r="B890">
        <v>834.5</v>
      </c>
    </row>
    <row r="891" spans="1:2" x14ac:dyDescent="0.3">
      <c r="A891" s="1">
        <v>45135</v>
      </c>
      <c r="B891">
        <v>819.71</v>
      </c>
    </row>
    <row r="892" spans="1:2" x14ac:dyDescent="0.3">
      <c r="A892" s="1">
        <v>45138</v>
      </c>
      <c r="B892">
        <v>823.55</v>
      </c>
    </row>
    <row r="893" spans="1:2" x14ac:dyDescent="0.3">
      <c r="A893" s="1">
        <v>45139</v>
      </c>
      <c r="B893">
        <v>829.06</v>
      </c>
    </row>
    <row r="894" spans="1:2" x14ac:dyDescent="0.3">
      <c r="A894" s="1">
        <v>45140</v>
      </c>
      <c r="B894">
        <v>818.21</v>
      </c>
    </row>
    <row r="895" spans="1:2" x14ac:dyDescent="0.3">
      <c r="A895" s="1">
        <v>45141</v>
      </c>
      <c r="B895">
        <v>812.3</v>
      </c>
    </row>
    <row r="896" spans="1:2" x14ac:dyDescent="0.3">
      <c r="A896" s="1">
        <v>45142</v>
      </c>
      <c r="B896">
        <v>824.05</v>
      </c>
    </row>
    <row r="897" spans="1:2" x14ac:dyDescent="0.3">
      <c r="A897" s="1">
        <v>45145</v>
      </c>
      <c r="B897">
        <v>823.58</v>
      </c>
    </row>
    <row r="898" spans="1:2" x14ac:dyDescent="0.3">
      <c r="A898" s="1">
        <v>45146</v>
      </c>
      <c r="B898">
        <v>822.9</v>
      </c>
    </row>
    <row r="899" spans="1:2" x14ac:dyDescent="0.3">
      <c r="A899" s="1">
        <v>45147</v>
      </c>
      <c r="B899">
        <v>823.2</v>
      </c>
    </row>
    <row r="900" spans="1:2" x14ac:dyDescent="0.3">
      <c r="A900" s="1">
        <v>45148</v>
      </c>
      <c r="B900">
        <v>815.89</v>
      </c>
    </row>
    <row r="901" spans="1:2" x14ac:dyDescent="0.3">
      <c r="A901" s="1">
        <v>45149</v>
      </c>
      <c r="B901">
        <v>807.39</v>
      </c>
    </row>
    <row r="902" spans="1:2" x14ac:dyDescent="0.3">
      <c r="A902" s="1">
        <v>45152</v>
      </c>
      <c r="B902">
        <v>803.45</v>
      </c>
    </row>
    <row r="903" spans="1:2" x14ac:dyDescent="0.3">
      <c r="A903" s="1">
        <v>45154</v>
      </c>
      <c r="B903">
        <v>801.11</v>
      </c>
    </row>
    <row r="904" spans="1:2" x14ac:dyDescent="0.3">
      <c r="A904" s="1">
        <v>45155</v>
      </c>
      <c r="B904">
        <v>796.67</v>
      </c>
    </row>
    <row r="905" spans="1:2" x14ac:dyDescent="0.3">
      <c r="A905" s="1">
        <v>45156</v>
      </c>
      <c r="B905">
        <v>793.4</v>
      </c>
    </row>
    <row r="906" spans="1:2" x14ac:dyDescent="0.3">
      <c r="A906" s="1">
        <v>45159</v>
      </c>
      <c r="B906">
        <v>792.78</v>
      </c>
    </row>
    <row r="907" spans="1:2" x14ac:dyDescent="0.3">
      <c r="A907" s="1">
        <v>45160</v>
      </c>
      <c r="B907">
        <v>789.39</v>
      </c>
    </row>
    <row r="908" spans="1:2" x14ac:dyDescent="0.3">
      <c r="A908" s="1">
        <v>45161</v>
      </c>
      <c r="B908">
        <v>791.33</v>
      </c>
    </row>
    <row r="909" spans="1:2" x14ac:dyDescent="0.3">
      <c r="A909" s="1">
        <v>45162</v>
      </c>
      <c r="B909">
        <v>787.69</v>
      </c>
    </row>
    <row r="910" spans="1:2" x14ac:dyDescent="0.3">
      <c r="A910" s="1">
        <v>45163</v>
      </c>
      <c r="B910">
        <v>778.81</v>
      </c>
    </row>
    <row r="911" spans="1:2" x14ac:dyDescent="0.3">
      <c r="A911" s="1">
        <v>45166</v>
      </c>
      <c r="B911">
        <v>786.92</v>
      </c>
    </row>
    <row r="912" spans="1:2" x14ac:dyDescent="0.3">
      <c r="A912" s="1">
        <v>45167</v>
      </c>
      <c r="B912">
        <v>793.18</v>
      </c>
    </row>
    <row r="913" spans="1:2" x14ac:dyDescent="0.3">
      <c r="A913" s="1">
        <v>45168</v>
      </c>
      <c r="B913">
        <v>787.39</v>
      </c>
    </row>
    <row r="914" spans="1:2" x14ac:dyDescent="0.3">
      <c r="A914" s="1">
        <v>45169</v>
      </c>
      <c r="B914">
        <v>783.77</v>
      </c>
    </row>
    <row r="915" spans="1:2" x14ac:dyDescent="0.3">
      <c r="A915" s="1">
        <v>45170</v>
      </c>
      <c r="B915">
        <v>785.4</v>
      </c>
    </row>
    <row r="916" spans="1:2" x14ac:dyDescent="0.3">
      <c r="A916" s="1">
        <v>45173</v>
      </c>
      <c r="B916">
        <v>790.31</v>
      </c>
    </row>
    <row r="917" spans="1:2" x14ac:dyDescent="0.3">
      <c r="A917" s="1">
        <v>45174</v>
      </c>
      <c r="B917">
        <v>785.5</v>
      </c>
    </row>
    <row r="918" spans="1:2" x14ac:dyDescent="0.3">
      <c r="A918" s="1">
        <v>45175</v>
      </c>
      <c r="B918">
        <v>795.77</v>
      </c>
    </row>
    <row r="919" spans="1:2" x14ac:dyDescent="0.3">
      <c r="A919" s="1">
        <v>45176</v>
      </c>
      <c r="B919">
        <v>803.43</v>
      </c>
    </row>
    <row r="920" spans="1:2" x14ac:dyDescent="0.3">
      <c r="A920" s="1">
        <v>45177</v>
      </c>
      <c r="B920">
        <v>809.69</v>
      </c>
    </row>
    <row r="921" spans="1:2" x14ac:dyDescent="0.3">
      <c r="A921" s="1">
        <v>45180</v>
      </c>
      <c r="B921">
        <v>813.87</v>
      </c>
    </row>
    <row r="922" spans="1:2" x14ac:dyDescent="0.3">
      <c r="A922" s="1">
        <v>45181</v>
      </c>
      <c r="B922">
        <v>816.42</v>
      </c>
    </row>
    <row r="923" spans="1:2" x14ac:dyDescent="0.3">
      <c r="A923" s="1">
        <v>45182</v>
      </c>
      <c r="B923">
        <v>819.91</v>
      </c>
    </row>
    <row r="924" spans="1:2" x14ac:dyDescent="0.3">
      <c r="A924" s="1">
        <v>45183</v>
      </c>
      <c r="B924">
        <v>819.41</v>
      </c>
    </row>
    <row r="925" spans="1:2" x14ac:dyDescent="0.3">
      <c r="A925" s="1">
        <v>45184</v>
      </c>
      <c r="B925">
        <v>828.81</v>
      </c>
    </row>
    <row r="926" spans="1:2" x14ac:dyDescent="0.3">
      <c r="A926" s="1">
        <v>45187</v>
      </c>
      <c r="B926">
        <v>812.5</v>
      </c>
    </row>
    <row r="927" spans="1:2" x14ac:dyDescent="0.3">
      <c r="A927" s="1">
        <v>45189</v>
      </c>
      <c r="B927">
        <v>779.91</v>
      </c>
    </row>
    <row r="928" spans="1:2" x14ac:dyDescent="0.3">
      <c r="A928" s="1">
        <v>45190</v>
      </c>
      <c r="B928">
        <v>774.75</v>
      </c>
    </row>
    <row r="929" spans="1:2" x14ac:dyDescent="0.3">
      <c r="A929" s="1">
        <v>45191</v>
      </c>
      <c r="B929">
        <v>762.93</v>
      </c>
    </row>
    <row r="930" spans="1:2" x14ac:dyDescent="0.3">
      <c r="A930" s="1">
        <v>45194</v>
      </c>
      <c r="B930">
        <v>763.6</v>
      </c>
    </row>
    <row r="931" spans="1:2" x14ac:dyDescent="0.3">
      <c r="A931" s="1">
        <v>45195</v>
      </c>
      <c r="B931">
        <v>766.92</v>
      </c>
    </row>
    <row r="932" spans="1:2" x14ac:dyDescent="0.3">
      <c r="A932" s="1">
        <v>45196</v>
      </c>
      <c r="B932">
        <v>761.53</v>
      </c>
    </row>
    <row r="933" spans="1:2" x14ac:dyDescent="0.3">
      <c r="A933" s="1">
        <v>45197</v>
      </c>
      <c r="B933">
        <v>759.96</v>
      </c>
    </row>
    <row r="934" spans="1:2" x14ac:dyDescent="0.3">
      <c r="A934" s="1">
        <v>45198</v>
      </c>
      <c r="B934">
        <v>761.26</v>
      </c>
    </row>
    <row r="935" spans="1:2" x14ac:dyDescent="0.3">
      <c r="A935" s="1">
        <v>45202</v>
      </c>
      <c r="B935">
        <v>752.15</v>
      </c>
    </row>
    <row r="936" spans="1:2" x14ac:dyDescent="0.3">
      <c r="A936" s="1">
        <v>45203</v>
      </c>
      <c r="B936">
        <v>762.88</v>
      </c>
    </row>
    <row r="937" spans="1:2" x14ac:dyDescent="0.3">
      <c r="A937" s="1">
        <v>45204</v>
      </c>
      <c r="B937">
        <v>765.97</v>
      </c>
    </row>
    <row r="938" spans="1:2" x14ac:dyDescent="0.3">
      <c r="A938" s="1">
        <v>45205</v>
      </c>
      <c r="B938">
        <v>765.12</v>
      </c>
    </row>
    <row r="939" spans="1:2" x14ac:dyDescent="0.3">
      <c r="A939" s="1">
        <v>45208</v>
      </c>
      <c r="B939">
        <v>756.24</v>
      </c>
    </row>
    <row r="940" spans="1:2" x14ac:dyDescent="0.3">
      <c r="A940" s="1">
        <v>45209</v>
      </c>
      <c r="B940">
        <v>760.53</v>
      </c>
    </row>
    <row r="941" spans="1:2" x14ac:dyDescent="0.3">
      <c r="A941" s="1">
        <v>45210</v>
      </c>
      <c r="B941">
        <v>767.89</v>
      </c>
    </row>
    <row r="942" spans="1:2" x14ac:dyDescent="0.3">
      <c r="A942" s="1">
        <v>45211</v>
      </c>
      <c r="B942">
        <v>773</v>
      </c>
    </row>
    <row r="943" spans="1:2" x14ac:dyDescent="0.3">
      <c r="A943" s="1">
        <v>45212</v>
      </c>
      <c r="B943">
        <v>765.97</v>
      </c>
    </row>
    <row r="944" spans="1:2" x14ac:dyDescent="0.3">
      <c r="A944" s="1">
        <v>45215</v>
      </c>
      <c r="B944">
        <v>762.9</v>
      </c>
    </row>
    <row r="945" spans="1:2" x14ac:dyDescent="0.3">
      <c r="A945" s="1">
        <v>45216</v>
      </c>
      <c r="B945">
        <v>768.69</v>
      </c>
    </row>
    <row r="946" spans="1:2" x14ac:dyDescent="0.3">
      <c r="A946" s="1">
        <v>45217</v>
      </c>
      <c r="B946">
        <v>757.99</v>
      </c>
    </row>
    <row r="947" spans="1:2" x14ac:dyDescent="0.3">
      <c r="A947" s="1">
        <v>45218</v>
      </c>
      <c r="B947">
        <v>755.59</v>
      </c>
    </row>
    <row r="948" spans="1:2" x14ac:dyDescent="0.3">
      <c r="A948" s="1">
        <v>45219</v>
      </c>
      <c r="B948">
        <v>759.51</v>
      </c>
    </row>
    <row r="949" spans="1:2" x14ac:dyDescent="0.3">
      <c r="A949" s="1">
        <v>45222</v>
      </c>
      <c r="B949">
        <v>751.16</v>
      </c>
    </row>
    <row r="950" spans="1:2" x14ac:dyDescent="0.3">
      <c r="A950" s="1">
        <v>45224</v>
      </c>
      <c r="B950">
        <v>746.39</v>
      </c>
    </row>
    <row r="951" spans="1:2" x14ac:dyDescent="0.3">
      <c r="A951" s="1">
        <v>45225</v>
      </c>
      <c r="B951">
        <v>729.88</v>
      </c>
    </row>
    <row r="952" spans="1:2" x14ac:dyDescent="0.3">
      <c r="A952" s="1">
        <v>45226</v>
      </c>
      <c r="B952">
        <v>732.75</v>
      </c>
    </row>
    <row r="953" spans="1:2" x14ac:dyDescent="0.3">
      <c r="A953" s="1">
        <v>45229</v>
      </c>
      <c r="B953">
        <v>740.71</v>
      </c>
    </row>
    <row r="954" spans="1:2" x14ac:dyDescent="0.3">
      <c r="A954" s="1">
        <v>45230</v>
      </c>
      <c r="B954">
        <v>736.42</v>
      </c>
    </row>
    <row r="955" spans="1:2" x14ac:dyDescent="0.3">
      <c r="A955" s="1">
        <v>45231</v>
      </c>
      <c r="B955">
        <v>735.42</v>
      </c>
    </row>
    <row r="956" spans="1:2" x14ac:dyDescent="0.3">
      <c r="A956" s="1">
        <v>45232</v>
      </c>
      <c r="B956">
        <v>736.54</v>
      </c>
    </row>
    <row r="957" spans="1:2" x14ac:dyDescent="0.3">
      <c r="A957" s="1">
        <v>45233</v>
      </c>
      <c r="B957">
        <v>740.03</v>
      </c>
    </row>
    <row r="958" spans="1:2" x14ac:dyDescent="0.3">
      <c r="A958" s="1">
        <v>45236</v>
      </c>
      <c r="B958">
        <v>745.4</v>
      </c>
    </row>
    <row r="959" spans="1:2" x14ac:dyDescent="0.3">
      <c r="A959" s="1">
        <v>45237</v>
      </c>
      <c r="B959">
        <v>741.78</v>
      </c>
    </row>
    <row r="960" spans="1:2" x14ac:dyDescent="0.3">
      <c r="A960" s="1">
        <v>45238</v>
      </c>
      <c r="B960">
        <v>743.92</v>
      </c>
    </row>
    <row r="961" spans="1:2" x14ac:dyDescent="0.3">
      <c r="A961" s="1">
        <v>45239</v>
      </c>
      <c r="B961">
        <v>740.98</v>
      </c>
    </row>
    <row r="962" spans="1:2" x14ac:dyDescent="0.3">
      <c r="A962" s="1">
        <v>45240</v>
      </c>
      <c r="B962">
        <v>743.9</v>
      </c>
    </row>
    <row r="963" spans="1:2" x14ac:dyDescent="0.3">
      <c r="A963" s="1">
        <v>45242</v>
      </c>
      <c r="B963">
        <v>748.14</v>
      </c>
    </row>
    <row r="964" spans="1:2" x14ac:dyDescent="0.3">
      <c r="A964" s="1">
        <v>45243</v>
      </c>
      <c r="B964">
        <v>742.55</v>
      </c>
    </row>
    <row r="965" spans="1:2" x14ac:dyDescent="0.3">
      <c r="A965" s="1">
        <v>45245</v>
      </c>
      <c r="B965">
        <v>750.33</v>
      </c>
    </row>
    <row r="966" spans="1:2" x14ac:dyDescent="0.3">
      <c r="A966" s="1">
        <v>45246</v>
      </c>
      <c r="B966">
        <v>752.3</v>
      </c>
    </row>
    <row r="967" spans="1:2" x14ac:dyDescent="0.3">
      <c r="A967" s="1">
        <v>45247</v>
      </c>
      <c r="B967">
        <v>750.68</v>
      </c>
    </row>
    <row r="968" spans="1:2" x14ac:dyDescent="0.3">
      <c r="A968" s="1">
        <v>45250</v>
      </c>
      <c r="B968">
        <v>750.73</v>
      </c>
    </row>
    <row r="969" spans="1:2" x14ac:dyDescent="0.3">
      <c r="A969" s="1">
        <v>45251</v>
      </c>
      <c r="B969">
        <v>757.09</v>
      </c>
    </row>
    <row r="970" spans="1:2" x14ac:dyDescent="0.3">
      <c r="A970" s="1">
        <v>45252</v>
      </c>
      <c r="B970">
        <v>754.4</v>
      </c>
    </row>
    <row r="971" spans="1:2" x14ac:dyDescent="0.3">
      <c r="A971" s="1">
        <v>45253</v>
      </c>
      <c r="B971">
        <v>758.76</v>
      </c>
    </row>
    <row r="972" spans="1:2" x14ac:dyDescent="0.3">
      <c r="A972" s="1">
        <v>45254</v>
      </c>
      <c r="B972">
        <v>764.15</v>
      </c>
    </row>
    <row r="973" spans="1:2" x14ac:dyDescent="0.3">
      <c r="A973" s="1">
        <v>45258</v>
      </c>
      <c r="B973">
        <v>762.43</v>
      </c>
    </row>
    <row r="974" spans="1:2" x14ac:dyDescent="0.3">
      <c r="A974" s="1">
        <v>45259</v>
      </c>
      <c r="B974">
        <v>777.64</v>
      </c>
    </row>
    <row r="975" spans="1:2" x14ac:dyDescent="0.3">
      <c r="A975" s="1">
        <v>45260</v>
      </c>
      <c r="B975">
        <v>777.47</v>
      </c>
    </row>
    <row r="976" spans="1:2" x14ac:dyDescent="0.3">
      <c r="A976" s="1">
        <v>45261</v>
      </c>
      <c r="B976">
        <v>775.77</v>
      </c>
    </row>
    <row r="977" spans="1:2" x14ac:dyDescent="0.3">
      <c r="A977" s="1">
        <v>45264</v>
      </c>
      <c r="B977">
        <v>802.7</v>
      </c>
    </row>
    <row r="978" spans="1:2" x14ac:dyDescent="0.3">
      <c r="A978" s="1">
        <v>45265</v>
      </c>
      <c r="B978">
        <v>809.83</v>
      </c>
    </row>
    <row r="979" spans="1:2" x14ac:dyDescent="0.3">
      <c r="A979" s="1">
        <v>45266</v>
      </c>
      <c r="B979">
        <v>811.88</v>
      </c>
    </row>
    <row r="980" spans="1:2" x14ac:dyDescent="0.3">
      <c r="A980" s="1">
        <v>45267</v>
      </c>
      <c r="B980">
        <v>813.2</v>
      </c>
    </row>
    <row r="981" spans="1:2" x14ac:dyDescent="0.3">
      <c r="A981" s="1">
        <v>45268</v>
      </c>
      <c r="B981">
        <v>824.55</v>
      </c>
    </row>
    <row r="982" spans="1:2" x14ac:dyDescent="0.3">
      <c r="A982" s="1">
        <v>45271</v>
      </c>
      <c r="B982">
        <v>823.45</v>
      </c>
    </row>
    <row r="983" spans="1:2" x14ac:dyDescent="0.3">
      <c r="A983" s="1">
        <v>45272</v>
      </c>
      <c r="B983">
        <v>815.27</v>
      </c>
    </row>
    <row r="984" spans="1:2" x14ac:dyDescent="0.3">
      <c r="A984" s="1">
        <v>45273</v>
      </c>
      <c r="B984">
        <v>813.43</v>
      </c>
    </row>
    <row r="985" spans="1:2" x14ac:dyDescent="0.3">
      <c r="A985" s="1">
        <v>45274</v>
      </c>
      <c r="B985">
        <v>823.03</v>
      </c>
    </row>
    <row r="986" spans="1:2" x14ac:dyDescent="0.3">
      <c r="A986" s="1">
        <v>45275</v>
      </c>
      <c r="B986">
        <v>826.22</v>
      </c>
    </row>
    <row r="987" spans="1:2" x14ac:dyDescent="0.3">
      <c r="A987" s="1">
        <v>45278</v>
      </c>
      <c r="B987">
        <v>825.8</v>
      </c>
    </row>
    <row r="988" spans="1:2" x14ac:dyDescent="0.3">
      <c r="A988" s="1">
        <v>45279</v>
      </c>
      <c r="B988">
        <v>824.4</v>
      </c>
    </row>
    <row r="989" spans="1:2" x14ac:dyDescent="0.3">
      <c r="A989" s="1">
        <v>45280</v>
      </c>
      <c r="B989">
        <v>826.44</v>
      </c>
    </row>
    <row r="990" spans="1:2" x14ac:dyDescent="0.3">
      <c r="A990" s="1">
        <v>45281</v>
      </c>
      <c r="B990">
        <v>841.26</v>
      </c>
    </row>
    <row r="991" spans="1:2" x14ac:dyDescent="0.3">
      <c r="A991" s="1">
        <v>45282</v>
      </c>
      <c r="B991">
        <v>833.35</v>
      </c>
    </row>
    <row r="992" spans="1:2" x14ac:dyDescent="0.3">
      <c r="A992" s="1">
        <v>45286</v>
      </c>
      <c r="B992">
        <v>839.14</v>
      </c>
    </row>
    <row r="993" spans="1:2" x14ac:dyDescent="0.3">
      <c r="A993" s="1">
        <v>45287</v>
      </c>
      <c r="B993">
        <v>849.54</v>
      </c>
    </row>
    <row r="994" spans="1:2" x14ac:dyDescent="0.3">
      <c r="A994" s="1">
        <v>45288</v>
      </c>
      <c r="B994">
        <v>850.51</v>
      </c>
    </row>
    <row r="995" spans="1:2" x14ac:dyDescent="0.3">
      <c r="A995" s="1">
        <v>45289</v>
      </c>
      <c r="B995">
        <v>852.5</v>
      </c>
    </row>
    <row r="996" spans="1:2" x14ac:dyDescent="0.3">
      <c r="A996" s="1">
        <v>45292</v>
      </c>
      <c r="B996">
        <v>846.94</v>
      </c>
    </row>
    <row r="997" spans="1:2" x14ac:dyDescent="0.3">
      <c r="A997" s="1">
        <v>45293</v>
      </c>
      <c r="B997">
        <v>847.44</v>
      </c>
    </row>
    <row r="998" spans="1:2" x14ac:dyDescent="0.3">
      <c r="A998" s="1">
        <v>45294</v>
      </c>
      <c r="B998">
        <v>834.37</v>
      </c>
    </row>
    <row r="999" spans="1:2" x14ac:dyDescent="0.3">
      <c r="A999" s="1">
        <v>45295</v>
      </c>
      <c r="B999">
        <v>843.33</v>
      </c>
    </row>
    <row r="1000" spans="1:2" x14ac:dyDescent="0.3">
      <c r="A1000" s="1">
        <v>45296</v>
      </c>
      <c r="B1000">
        <v>839.01</v>
      </c>
    </row>
    <row r="1001" spans="1:2" x14ac:dyDescent="0.3">
      <c r="A1001" s="1">
        <v>45299</v>
      </c>
      <c r="B1001">
        <v>829.66</v>
      </c>
    </row>
    <row r="1002" spans="1:2" x14ac:dyDescent="0.3">
      <c r="A1002" s="1">
        <v>45300</v>
      </c>
      <c r="B1002">
        <v>823.2</v>
      </c>
    </row>
    <row r="1003" spans="1:2" x14ac:dyDescent="0.3">
      <c r="A1003" s="1">
        <v>45301</v>
      </c>
      <c r="B1003">
        <v>825.92</v>
      </c>
    </row>
    <row r="1004" spans="1:2" x14ac:dyDescent="0.3">
      <c r="A1004" s="1">
        <v>45302</v>
      </c>
      <c r="B1004">
        <v>822.45</v>
      </c>
    </row>
    <row r="1005" spans="1:2" x14ac:dyDescent="0.3">
      <c r="A1005" s="1">
        <v>45303</v>
      </c>
      <c r="B1005">
        <v>818.56</v>
      </c>
    </row>
    <row r="1006" spans="1:2" x14ac:dyDescent="0.3">
      <c r="A1006" s="1">
        <v>45306</v>
      </c>
      <c r="B1006">
        <v>834.32</v>
      </c>
    </row>
    <row r="1007" spans="1:2" x14ac:dyDescent="0.3">
      <c r="A1007" s="1">
        <v>45307</v>
      </c>
      <c r="B1007">
        <v>837.49</v>
      </c>
    </row>
    <row r="1008" spans="1:2" x14ac:dyDescent="0.3">
      <c r="A1008" s="1">
        <v>45308</v>
      </c>
      <c r="B1008">
        <v>766.84</v>
      </c>
    </row>
    <row r="1009" spans="1:2" x14ac:dyDescent="0.3">
      <c r="A1009" s="1">
        <v>45309</v>
      </c>
      <c r="B1009">
        <v>741.23</v>
      </c>
    </row>
    <row r="1010" spans="1:2" x14ac:dyDescent="0.3">
      <c r="A1010" s="1">
        <v>45310</v>
      </c>
      <c r="B1010">
        <v>733.5</v>
      </c>
    </row>
    <row r="1011" spans="1:2" x14ac:dyDescent="0.3">
      <c r="A1011" s="1">
        <v>45311</v>
      </c>
      <c r="B1011">
        <v>737.59</v>
      </c>
    </row>
    <row r="1012" spans="1:2" x14ac:dyDescent="0.3">
      <c r="A1012" s="1">
        <v>45314</v>
      </c>
      <c r="B1012">
        <v>711.9</v>
      </c>
    </row>
    <row r="1013" spans="1:2" x14ac:dyDescent="0.3">
      <c r="A1013" s="1">
        <v>45315</v>
      </c>
      <c r="B1013">
        <v>726.14</v>
      </c>
    </row>
    <row r="1014" spans="1:2" x14ac:dyDescent="0.3">
      <c r="A1014" s="1">
        <v>45316</v>
      </c>
      <c r="B1014">
        <v>715.67</v>
      </c>
    </row>
    <row r="1015" spans="1:2" x14ac:dyDescent="0.3">
      <c r="A1015" s="1">
        <v>45320</v>
      </c>
      <c r="B1015">
        <v>725.52</v>
      </c>
    </row>
    <row r="1016" spans="1:2" x14ac:dyDescent="0.3">
      <c r="A1016" s="1">
        <v>45321</v>
      </c>
      <c r="B1016">
        <v>720.36</v>
      </c>
    </row>
    <row r="1017" spans="1:2" x14ac:dyDescent="0.3">
      <c r="A1017" s="1">
        <v>45322</v>
      </c>
      <c r="B1017">
        <v>729.46</v>
      </c>
    </row>
    <row r="1018" spans="1:2" x14ac:dyDescent="0.3">
      <c r="A1018" s="1">
        <v>45323</v>
      </c>
      <c r="B1018">
        <v>731.36</v>
      </c>
    </row>
    <row r="1019" spans="1:2" x14ac:dyDescent="0.3">
      <c r="A1019" s="1">
        <v>45324</v>
      </c>
      <c r="B1019">
        <v>721.28</v>
      </c>
    </row>
    <row r="1020" spans="1:2" x14ac:dyDescent="0.3">
      <c r="A1020" s="1">
        <v>45327</v>
      </c>
      <c r="B1020">
        <v>720.63</v>
      </c>
    </row>
    <row r="1021" spans="1:2" x14ac:dyDescent="0.3">
      <c r="A1021" s="1">
        <v>45328</v>
      </c>
      <c r="B1021">
        <v>720.26</v>
      </c>
    </row>
    <row r="1022" spans="1:2" x14ac:dyDescent="0.3">
      <c r="A1022" s="1">
        <v>45329</v>
      </c>
      <c r="B1022">
        <v>713.2</v>
      </c>
    </row>
    <row r="1023" spans="1:2" x14ac:dyDescent="0.3">
      <c r="A1023" s="1">
        <v>45330</v>
      </c>
      <c r="B1023">
        <v>699.78</v>
      </c>
    </row>
    <row r="1024" spans="1:2" x14ac:dyDescent="0.3">
      <c r="A1024" s="1">
        <v>45331</v>
      </c>
      <c r="B1024">
        <v>700.06</v>
      </c>
    </row>
    <row r="1025" spans="1:2" x14ac:dyDescent="0.3">
      <c r="A1025" s="1">
        <v>45334</v>
      </c>
      <c r="B1025">
        <v>693.28</v>
      </c>
    </row>
    <row r="1026" spans="1:2" x14ac:dyDescent="0.3">
      <c r="A1026" s="1">
        <v>45335</v>
      </c>
      <c r="B1026">
        <v>695.49</v>
      </c>
    </row>
    <row r="1027" spans="1:2" x14ac:dyDescent="0.3">
      <c r="A1027" s="1">
        <v>45336</v>
      </c>
      <c r="B1027">
        <v>690.31</v>
      </c>
    </row>
    <row r="1028" spans="1:2" x14ac:dyDescent="0.3">
      <c r="A1028" s="1">
        <v>45337</v>
      </c>
      <c r="B1028">
        <v>705.27</v>
      </c>
    </row>
    <row r="1029" spans="1:2" x14ac:dyDescent="0.3">
      <c r="A1029" s="1">
        <v>45338</v>
      </c>
      <c r="B1029">
        <v>708.19</v>
      </c>
    </row>
    <row r="1030" spans="1:2" x14ac:dyDescent="0.3">
      <c r="A1030" s="1">
        <v>45341</v>
      </c>
      <c r="B1030">
        <v>706.79</v>
      </c>
    </row>
    <row r="1031" spans="1:2" x14ac:dyDescent="0.3">
      <c r="A1031" s="1">
        <v>45342</v>
      </c>
      <c r="B1031">
        <v>725.35</v>
      </c>
    </row>
    <row r="1032" spans="1:2" x14ac:dyDescent="0.3">
      <c r="A1032" s="1">
        <v>45343</v>
      </c>
      <c r="B1032">
        <v>717.79</v>
      </c>
    </row>
    <row r="1033" spans="1:2" x14ac:dyDescent="0.3">
      <c r="A1033" s="1">
        <v>45344</v>
      </c>
      <c r="B1033">
        <v>708.01</v>
      </c>
    </row>
    <row r="1034" spans="1:2" x14ac:dyDescent="0.3">
      <c r="A1034" s="1">
        <v>45345</v>
      </c>
      <c r="B1034">
        <v>708.54</v>
      </c>
    </row>
    <row r="1035" spans="1:2" x14ac:dyDescent="0.3">
      <c r="A1035" s="1">
        <v>45348</v>
      </c>
      <c r="B1035">
        <v>709.38</v>
      </c>
    </row>
    <row r="1036" spans="1:2" x14ac:dyDescent="0.3">
      <c r="A1036" s="1">
        <v>45349</v>
      </c>
      <c r="B1036">
        <v>708.31</v>
      </c>
    </row>
    <row r="1037" spans="1:2" x14ac:dyDescent="0.3">
      <c r="A1037" s="1">
        <v>45350</v>
      </c>
      <c r="B1037">
        <v>702.95</v>
      </c>
    </row>
    <row r="1038" spans="1:2" x14ac:dyDescent="0.3">
      <c r="A1038" s="1">
        <v>45351</v>
      </c>
      <c r="B1038">
        <v>699.96</v>
      </c>
    </row>
    <row r="1039" spans="1:2" x14ac:dyDescent="0.3">
      <c r="A1039" s="1">
        <v>45352</v>
      </c>
      <c r="B1039">
        <v>713.6</v>
      </c>
    </row>
    <row r="1040" spans="1:2" x14ac:dyDescent="0.3">
      <c r="A1040" s="1">
        <v>45353</v>
      </c>
      <c r="B1040">
        <v>713.6</v>
      </c>
    </row>
    <row r="1041" spans="1:2" x14ac:dyDescent="0.3">
      <c r="A1041" s="1">
        <v>45355</v>
      </c>
      <c r="B1041">
        <v>714.57</v>
      </c>
    </row>
    <row r="1042" spans="1:2" x14ac:dyDescent="0.3">
      <c r="A1042" s="1">
        <v>45356</v>
      </c>
      <c r="B1042">
        <v>718.64</v>
      </c>
    </row>
    <row r="1043" spans="1:2" x14ac:dyDescent="0.3">
      <c r="A1043" s="1">
        <v>45357</v>
      </c>
      <c r="B1043">
        <v>719.51</v>
      </c>
    </row>
    <row r="1044" spans="1:2" x14ac:dyDescent="0.3">
      <c r="A1044" s="1">
        <v>45358</v>
      </c>
      <c r="B1044">
        <v>721.26</v>
      </c>
    </row>
    <row r="1045" spans="1:2" x14ac:dyDescent="0.3">
      <c r="A1045" s="1">
        <v>45362</v>
      </c>
      <c r="B1045">
        <v>712.13</v>
      </c>
    </row>
    <row r="1046" spans="1:2" x14ac:dyDescent="0.3">
      <c r="A1046" s="1">
        <v>45363</v>
      </c>
      <c r="B1046">
        <v>727.96</v>
      </c>
    </row>
    <row r="1047" spans="1:2" x14ac:dyDescent="0.3">
      <c r="A1047" s="1">
        <v>45364</v>
      </c>
      <c r="B1047">
        <v>728.39</v>
      </c>
    </row>
    <row r="1048" spans="1:2" x14ac:dyDescent="0.3">
      <c r="A1048" s="1">
        <v>45365</v>
      </c>
      <c r="B1048">
        <v>725.92</v>
      </c>
    </row>
    <row r="1049" spans="1:2" x14ac:dyDescent="0.3">
      <c r="A1049" s="1">
        <v>45366</v>
      </c>
      <c r="B1049">
        <v>724.52</v>
      </c>
    </row>
    <row r="1050" spans="1:2" x14ac:dyDescent="0.3">
      <c r="A1050" s="1">
        <v>45369</v>
      </c>
      <c r="B1050">
        <v>721.23</v>
      </c>
    </row>
    <row r="1051" spans="1:2" x14ac:dyDescent="0.3">
      <c r="A1051" s="1">
        <v>45370</v>
      </c>
      <c r="B1051">
        <v>722.88</v>
      </c>
    </row>
    <row r="1052" spans="1:2" x14ac:dyDescent="0.3">
      <c r="A1052" s="1">
        <v>45371</v>
      </c>
      <c r="B1052">
        <v>713.75</v>
      </c>
    </row>
    <row r="1053" spans="1:2" x14ac:dyDescent="0.3">
      <c r="A1053" s="1">
        <v>45372</v>
      </c>
      <c r="B1053">
        <v>721.08</v>
      </c>
    </row>
    <row r="1054" spans="1:2" x14ac:dyDescent="0.3">
      <c r="A1054" s="1">
        <v>45373</v>
      </c>
      <c r="B1054">
        <v>719.63</v>
      </c>
    </row>
    <row r="1055" spans="1:2" x14ac:dyDescent="0.3">
      <c r="A1055" s="1">
        <v>45377</v>
      </c>
      <c r="B1055">
        <v>710.93</v>
      </c>
    </row>
    <row r="1056" spans="1:2" x14ac:dyDescent="0.3">
      <c r="A1056" s="1">
        <v>45378</v>
      </c>
      <c r="B1056">
        <v>718.56</v>
      </c>
    </row>
    <row r="1057" spans="1:2" x14ac:dyDescent="0.3">
      <c r="A1057" s="1">
        <v>45379</v>
      </c>
      <c r="B1057">
        <v>722.15</v>
      </c>
    </row>
    <row r="1058" spans="1:2" x14ac:dyDescent="0.3">
      <c r="A1058" s="1">
        <v>45383</v>
      </c>
      <c r="B1058">
        <v>733.43</v>
      </c>
    </row>
    <row r="1059" spans="1:2" x14ac:dyDescent="0.3">
      <c r="A1059" s="1">
        <v>45384</v>
      </c>
      <c r="B1059">
        <v>738.24</v>
      </c>
    </row>
    <row r="1060" spans="1:2" x14ac:dyDescent="0.3">
      <c r="A1060" s="1">
        <v>45385</v>
      </c>
      <c r="B1060">
        <v>739.31</v>
      </c>
    </row>
    <row r="1061" spans="1:2" x14ac:dyDescent="0.3">
      <c r="A1061" s="1">
        <v>45386</v>
      </c>
      <c r="B1061">
        <v>761.9</v>
      </c>
    </row>
    <row r="1062" spans="1:2" x14ac:dyDescent="0.3">
      <c r="A1062" s="1">
        <v>45387</v>
      </c>
      <c r="B1062">
        <v>772.85</v>
      </c>
    </row>
    <row r="1063" spans="1:2" x14ac:dyDescent="0.3">
      <c r="A1063" s="1">
        <v>45390</v>
      </c>
      <c r="B1063">
        <v>771.38</v>
      </c>
    </row>
    <row r="1064" spans="1:2" x14ac:dyDescent="0.3">
      <c r="A1064" s="1">
        <v>45391</v>
      </c>
      <c r="B1064">
        <v>772.35</v>
      </c>
    </row>
    <row r="1065" spans="1:2" x14ac:dyDescent="0.3">
      <c r="A1065" s="1">
        <v>45392</v>
      </c>
      <c r="B1065">
        <v>766.27</v>
      </c>
    </row>
    <row r="1066" spans="1:2" x14ac:dyDescent="0.3">
      <c r="A1066" s="1">
        <v>45394</v>
      </c>
      <c r="B1066">
        <v>757.59</v>
      </c>
    </row>
    <row r="1067" spans="1:2" x14ac:dyDescent="0.3">
      <c r="A1067" s="1">
        <v>45397</v>
      </c>
      <c r="B1067">
        <v>745.5</v>
      </c>
    </row>
    <row r="1068" spans="1:2" x14ac:dyDescent="0.3">
      <c r="A1068" s="1">
        <v>45398</v>
      </c>
      <c r="B1068">
        <v>752.75</v>
      </c>
    </row>
    <row r="1069" spans="1:2" x14ac:dyDescent="0.3">
      <c r="A1069" s="1">
        <v>45400</v>
      </c>
      <c r="B1069">
        <v>745.5</v>
      </c>
    </row>
    <row r="1070" spans="1:2" x14ac:dyDescent="0.3">
      <c r="A1070" s="1">
        <v>45401</v>
      </c>
      <c r="B1070">
        <v>763.75</v>
      </c>
    </row>
    <row r="1071" spans="1:2" x14ac:dyDescent="0.3">
      <c r="A1071" s="1">
        <v>45404</v>
      </c>
      <c r="B1071">
        <v>754.22</v>
      </c>
    </row>
    <row r="1072" spans="1:2" x14ac:dyDescent="0.3">
      <c r="A1072" s="1">
        <v>45405</v>
      </c>
      <c r="B1072">
        <v>751.93</v>
      </c>
    </row>
    <row r="1073" spans="1:2" x14ac:dyDescent="0.3">
      <c r="A1073" s="1">
        <v>45406</v>
      </c>
      <c r="B1073">
        <v>753.97</v>
      </c>
    </row>
    <row r="1074" spans="1:2" x14ac:dyDescent="0.3">
      <c r="A1074" s="1">
        <v>45407</v>
      </c>
      <c r="B1074">
        <v>753.5</v>
      </c>
    </row>
    <row r="1075" spans="1:2" x14ac:dyDescent="0.3">
      <c r="A1075" s="1">
        <v>45408</v>
      </c>
      <c r="B1075">
        <v>753.03</v>
      </c>
    </row>
    <row r="1076" spans="1:2" x14ac:dyDescent="0.3">
      <c r="A1076" s="1">
        <v>45411</v>
      </c>
      <c r="B1076">
        <v>762.85</v>
      </c>
    </row>
    <row r="1077" spans="1:2" x14ac:dyDescent="0.3">
      <c r="A1077" s="1">
        <v>45412</v>
      </c>
      <c r="B1077">
        <v>758.16</v>
      </c>
    </row>
    <row r="1078" spans="1:2" x14ac:dyDescent="0.3">
      <c r="A1078" s="1">
        <v>45414</v>
      </c>
      <c r="B1078">
        <v>764.22</v>
      </c>
    </row>
    <row r="1079" spans="1:2" x14ac:dyDescent="0.3">
      <c r="A1079" s="1">
        <v>45415</v>
      </c>
      <c r="B1079">
        <v>757.91</v>
      </c>
    </row>
    <row r="1080" spans="1:2" x14ac:dyDescent="0.3">
      <c r="A1080" s="1">
        <v>45418</v>
      </c>
      <c r="B1080">
        <v>759.44</v>
      </c>
    </row>
    <row r="1081" spans="1:2" x14ac:dyDescent="0.3">
      <c r="A1081" s="1">
        <v>45419</v>
      </c>
      <c r="B1081">
        <v>751.21</v>
      </c>
    </row>
    <row r="1082" spans="1:2" x14ac:dyDescent="0.3">
      <c r="A1082" s="1">
        <v>45420</v>
      </c>
      <c r="B1082">
        <v>739.49</v>
      </c>
    </row>
    <row r="1083" spans="1:2" x14ac:dyDescent="0.3">
      <c r="A1083" s="1">
        <v>45421</v>
      </c>
      <c r="B1083">
        <v>721.95</v>
      </c>
    </row>
    <row r="1084" spans="1:2" x14ac:dyDescent="0.3">
      <c r="A1084" s="1">
        <v>45422</v>
      </c>
      <c r="B1084">
        <v>717.17</v>
      </c>
    </row>
    <row r="1085" spans="1:2" x14ac:dyDescent="0.3">
      <c r="A1085" s="1">
        <v>45425</v>
      </c>
      <c r="B1085">
        <v>725.82</v>
      </c>
    </row>
    <row r="1086" spans="1:2" x14ac:dyDescent="0.3">
      <c r="A1086" s="1">
        <v>45426</v>
      </c>
      <c r="B1086">
        <v>728.66</v>
      </c>
    </row>
    <row r="1087" spans="1:2" x14ac:dyDescent="0.3">
      <c r="A1087" s="1">
        <v>45427</v>
      </c>
      <c r="B1087">
        <v>717.46</v>
      </c>
    </row>
    <row r="1088" spans="1:2" x14ac:dyDescent="0.3">
      <c r="A1088" s="1">
        <v>45428</v>
      </c>
      <c r="B1088">
        <v>728.31</v>
      </c>
    </row>
    <row r="1089" spans="1:2" x14ac:dyDescent="0.3">
      <c r="A1089" s="1">
        <v>45429</v>
      </c>
      <c r="B1089">
        <v>730.23</v>
      </c>
    </row>
    <row r="1090" spans="1:2" x14ac:dyDescent="0.3">
      <c r="A1090" s="1">
        <v>45430</v>
      </c>
      <c r="B1090">
        <v>731.21</v>
      </c>
    </row>
    <row r="1091" spans="1:2" x14ac:dyDescent="0.3">
      <c r="A1091" s="1">
        <v>45433</v>
      </c>
      <c r="B1091">
        <v>727.59</v>
      </c>
    </row>
    <row r="1092" spans="1:2" x14ac:dyDescent="0.3">
      <c r="A1092" s="1">
        <v>45434</v>
      </c>
      <c r="B1092">
        <v>727.79</v>
      </c>
    </row>
    <row r="1093" spans="1:2" x14ac:dyDescent="0.3">
      <c r="A1093" s="1">
        <v>45435</v>
      </c>
      <c r="B1093">
        <v>744.45</v>
      </c>
    </row>
    <row r="1094" spans="1:2" x14ac:dyDescent="0.3">
      <c r="A1094" s="1">
        <v>45436</v>
      </c>
      <c r="B1094">
        <v>756.72</v>
      </c>
    </row>
    <row r="1095" spans="1:2" x14ac:dyDescent="0.3">
      <c r="A1095" s="1">
        <v>45439</v>
      </c>
      <c r="B1095">
        <v>761.95</v>
      </c>
    </row>
    <row r="1096" spans="1:2" x14ac:dyDescent="0.3">
      <c r="A1096" s="1">
        <v>45440</v>
      </c>
      <c r="B1096">
        <v>763.35</v>
      </c>
    </row>
    <row r="1097" spans="1:2" x14ac:dyDescent="0.3">
      <c r="A1097" s="1">
        <v>45441</v>
      </c>
      <c r="B1097">
        <v>752.28</v>
      </c>
    </row>
    <row r="1098" spans="1:2" x14ac:dyDescent="0.3">
      <c r="A1098" s="1">
        <v>45442</v>
      </c>
      <c r="B1098">
        <v>755.55</v>
      </c>
    </row>
    <row r="1099" spans="1:2" x14ac:dyDescent="0.3">
      <c r="A1099" s="1">
        <v>45443</v>
      </c>
      <c r="B1099">
        <v>763.87</v>
      </c>
    </row>
    <row r="1100" spans="1:2" x14ac:dyDescent="0.3">
      <c r="A1100" s="1">
        <v>45446</v>
      </c>
      <c r="B1100">
        <v>784.15</v>
      </c>
    </row>
    <row r="1101" spans="1:2" x14ac:dyDescent="0.3">
      <c r="A1101" s="1">
        <v>45447</v>
      </c>
      <c r="B1101">
        <v>739.73</v>
      </c>
    </row>
    <row r="1102" spans="1:2" x14ac:dyDescent="0.3">
      <c r="A1102" s="1">
        <v>45448</v>
      </c>
      <c r="B1102">
        <v>773.97</v>
      </c>
    </row>
    <row r="1103" spans="1:2" x14ac:dyDescent="0.3">
      <c r="A1103" s="1">
        <v>45449</v>
      </c>
      <c r="B1103">
        <v>777.91</v>
      </c>
    </row>
    <row r="1104" spans="1:2" x14ac:dyDescent="0.3">
      <c r="A1104" s="1">
        <v>45450</v>
      </c>
      <c r="B1104">
        <v>784.72</v>
      </c>
    </row>
    <row r="1105" spans="1:2" x14ac:dyDescent="0.3">
      <c r="A1105" s="1">
        <v>45453</v>
      </c>
      <c r="B1105">
        <v>778.71</v>
      </c>
    </row>
    <row r="1106" spans="1:2" x14ac:dyDescent="0.3">
      <c r="A1106" s="1">
        <v>45454</v>
      </c>
      <c r="B1106">
        <v>780.46</v>
      </c>
    </row>
    <row r="1107" spans="1:2" x14ac:dyDescent="0.3">
      <c r="A1107" s="1">
        <v>45455</v>
      </c>
      <c r="B1107">
        <v>785.12</v>
      </c>
    </row>
    <row r="1108" spans="1:2" x14ac:dyDescent="0.3">
      <c r="A1108" s="1">
        <v>45456</v>
      </c>
      <c r="B1108">
        <v>788.41</v>
      </c>
    </row>
    <row r="1109" spans="1:2" x14ac:dyDescent="0.3">
      <c r="A1109" s="1">
        <v>45457</v>
      </c>
      <c r="B1109">
        <v>796.47</v>
      </c>
    </row>
    <row r="1110" spans="1:2" x14ac:dyDescent="0.3">
      <c r="A1110" s="1">
        <v>45461</v>
      </c>
      <c r="B1110">
        <v>801.9</v>
      </c>
    </row>
    <row r="1111" spans="1:2" x14ac:dyDescent="0.3">
      <c r="A1111" s="1">
        <v>45462</v>
      </c>
      <c r="B1111">
        <v>826.87</v>
      </c>
    </row>
    <row r="1112" spans="1:2" x14ac:dyDescent="0.3">
      <c r="A1112" s="1">
        <v>45463</v>
      </c>
      <c r="B1112">
        <v>832.6</v>
      </c>
    </row>
    <row r="1113" spans="1:2" x14ac:dyDescent="0.3">
      <c r="A1113" s="1">
        <v>45464</v>
      </c>
      <c r="B1113">
        <v>830.81</v>
      </c>
    </row>
    <row r="1114" spans="1:2" x14ac:dyDescent="0.3">
      <c r="A1114" s="1">
        <v>45467</v>
      </c>
      <c r="B1114">
        <v>834.12</v>
      </c>
    </row>
    <row r="1115" spans="1:2" x14ac:dyDescent="0.3">
      <c r="A1115" s="1">
        <v>45468</v>
      </c>
      <c r="B1115">
        <v>853.55</v>
      </c>
    </row>
    <row r="1116" spans="1:2" x14ac:dyDescent="0.3">
      <c r="A1116" s="1">
        <v>45469</v>
      </c>
      <c r="B1116">
        <v>848.64</v>
      </c>
    </row>
    <row r="1117" spans="1:2" x14ac:dyDescent="0.3">
      <c r="A1117" s="1">
        <v>45470</v>
      </c>
      <c r="B1117">
        <v>845.97</v>
      </c>
    </row>
    <row r="1118" spans="1:2" x14ac:dyDescent="0.3">
      <c r="A1118" s="1">
        <v>45471</v>
      </c>
      <c r="B1118">
        <v>839.81</v>
      </c>
    </row>
    <row r="1119" spans="1:2" x14ac:dyDescent="0.3">
      <c r="A1119" s="1">
        <v>45474</v>
      </c>
      <c r="B1119">
        <v>850.48</v>
      </c>
    </row>
    <row r="1120" spans="1:2" x14ac:dyDescent="0.3">
      <c r="A1120" s="1">
        <v>45475</v>
      </c>
      <c r="B1120">
        <v>863.15</v>
      </c>
    </row>
    <row r="1121" spans="1:2" x14ac:dyDescent="0.3">
      <c r="A1121" s="1">
        <v>45476</v>
      </c>
      <c r="B1121">
        <v>882.13</v>
      </c>
    </row>
    <row r="1122" spans="1:2" x14ac:dyDescent="0.3">
      <c r="A1122" s="1">
        <v>45477</v>
      </c>
      <c r="B1122">
        <v>861.43</v>
      </c>
    </row>
    <row r="1123" spans="1:2" x14ac:dyDescent="0.3">
      <c r="A1123" s="1">
        <v>45478</v>
      </c>
      <c r="B1123">
        <v>822</v>
      </c>
    </row>
    <row r="1124" spans="1:2" x14ac:dyDescent="0.3">
      <c r="A1124" s="1">
        <v>45481</v>
      </c>
      <c r="B1124">
        <v>815.65</v>
      </c>
    </row>
    <row r="1125" spans="1:2" x14ac:dyDescent="0.3">
      <c r="A1125" s="1">
        <v>45482</v>
      </c>
      <c r="B1125">
        <v>816.22</v>
      </c>
    </row>
    <row r="1126" spans="1:2" x14ac:dyDescent="0.3">
      <c r="A1126" s="1">
        <v>45483</v>
      </c>
      <c r="B1126">
        <v>811.03</v>
      </c>
    </row>
    <row r="1127" spans="1:2" x14ac:dyDescent="0.3">
      <c r="A1127" s="1">
        <v>45484</v>
      </c>
      <c r="B1127">
        <v>808.94</v>
      </c>
    </row>
    <row r="1128" spans="1:2" x14ac:dyDescent="0.3">
      <c r="A1128" s="1">
        <v>45485</v>
      </c>
      <c r="B1128">
        <v>809.34</v>
      </c>
    </row>
    <row r="1129" spans="1:2" x14ac:dyDescent="0.3">
      <c r="A1129" s="1">
        <v>45488</v>
      </c>
      <c r="B1129">
        <v>809.04</v>
      </c>
    </row>
    <row r="1130" spans="1:2" x14ac:dyDescent="0.3">
      <c r="A1130" s="1">
        <v>45489</v>
      </c>
      <c r="B1130">
        <v>807.86</v>
      </c>
    </row>
    <row r="1131" spans="1:2" x14ac:dyDescent="0.3">
      <c r="A1131" s="1">
        <v>45491</v>
      </c>
      <c r="B1131">
        <v>805.4</v>
      </c>
    </row>
    <row r="1132" spans="1:2" x14ac:dyDescent="0.3">
      <c r="A1132" s="1">
        <v>45492</v>
      </c>
      <c r="B1132">
        <v>801.66</v>
      </c>
    </row>
    <row r="1133" spans="1:2" x14ac:dyDescent="0.3">
      <c r="A1133" s="1">
        <v>45495</v>
      </c>
      <c r="B1133">
        <v>819.24</v>
      </c>
    </row>
    <row r="1134" spans="1:2" x14ac:dyDescent="0.3">
      <c r="A1134" s="1">
        <v>45496</v>
      </c>
      <c r="B1134">
        <v>807.19</v>
      </c>
    </row>
    <row r="1135" spans="1:2" x14ac:dyDescent="0.3">
      <c r="A1135" s="1">
        <v>45497</v>
      </c>
      <c r="B1135">
        <v>800.03</v>
      </c>
    </row>
    <row r="1136" spans="1:2" x14ac:dyDescent="0.3">
      <c r="A1136" s="1">
        <v>45498</v>
      </c>
      <c r="B1136">
        <v>806.29</v>
      </c>
    </row>
    <row r="1137" spans="1:2" x14ac:dyDescent="0.3">
      <c r="A1137" s="1">
        <v>45499</v>
      </c>
      <c r="B1137">
        <v>807.07</v>
      </c>
    </row>
    <row r="1138" spans="1:2" x14ac:dyDescent="0.3">
      <c r="A1138" s="1">
        <v>45502</v>
      </c>
      <c r="B1138">
        <v>800.53</v>
      </c>
    </row>
    <row r="1139" spans="1:2" x14ac:dyDescent="0.3">
      <c r="A1139" s="1">
        <v>45503</v>
      </c>
      <c r="B1139">
        <v>805.77</v>
      </c>
    </row>
    <row r="1140" spans="1:2" x14ac:dyDescent="0.3">
      <c r="A1140" s="1">
        <v>45504</v>
      </c>
      <c r="B1140">
        <v>805.87</v>
      </c>
    </row>
    <row r="1141" spans="1:2" x14ac:dyDescent="0.3">
      <c r="A1141" s="1">
        <v>45505</v>
      </c>
      <c r="B1141">
        <v>817.37</v>
      </c>
    </row>
    <row r="1142" spans="1:2" x14ac:dyDescent="0.3">
      <c r="A1142" s="1">
        <v>45506</v>
      </c>
      <c r="B1142">
        <v>827.52</v>
      </c>
    </row>
    <row r="1143" spans="1:2" x14ac:dyDescent="0.3">
      <c r="A1143" s="1">
        <v>45509</v>
      </c>
      <c r="B1143">
        <v>805.87</v>
      </c>
    </row>
    <row r="1144" spans="1:2" x14ac:dyDescent="0.3">
      <c r="A1144" s="1">
        <v>45510</v>
      </c>
      <c r="B1144">
        <v>798.61</v>
      </c>
    </row>
    <row r="1145" spans="1:2" x14ac:dyDescent="0.3">
      <c r="A1145" s="1">
        <v>45511</v>
      </c>
      <c r="B1145">
        <v>809.74</v>
      </c>
    </row>
    <row r="1146" spans="1:2" x14ac:dyDescent="0.3">
      <c r="A1146" s="1">
        <v>45512</v>
      </c>
      <c r="B1146">
        <v>819.31</v>
      </c>
    </row>
    <row r="1147" spans="1:2" x14ac:dyDescent="0.3">
      <c r="A1147" s="1">
        <v>45513</v>
      </c>
      <c r="B1147">
        <v>823.05</v>
      </c>
    </row>
    <row r="1148" spans="1:2" x14ac:dyDescent="0.3">
      <c r="A1148" s="1">
        <v>45516</v>
      </c>
      <c r="B1148">
        <v>827.99</v>
      </c>
    </row>
    <row r="1149" spans="1:2" x14ac:dyDescent="0.3">
      <c r="A1149" s="1">
        <v>45517</v>
      </c>
      <c r="B1149">
        <v>799.61</v>
      </c>
    </row>
    <row r="1150" spans="1:2" x14ac:dyDescent="0.3">
      <c r="A1150" s="1">
        <v>45518</v>
      </c>
      <c r="B1150">
        <v>801.9</v>
      </c>
    </row>
    <row r="1151" spans="1:2" x14ac:dyDescent="0.3">
      <c r="A1151" s="1">
        <v>45520</v>
      </c>
      <c r="B1151">
        <v>814.02</v>
      </c>
    </row>
    <row r="1152" spans="1:2" x14ac:dyDescent="0.3">
      <c r="A1152" s="1">
        <v>45523</v>
      </c>
      <c r="B1152">
        <v>813.75</v>
      </c>
    </row>
    <row r="1153" spans="1:2" x14ac:dyDescent="0.3">
      <c r="A1153" s="1">
        <v>45524</v>
      </c>
      <c r="B1153">
        <v>816.82</v>
      </c>
    </row>
    <row r="1154" spans="1:2" x14ac:dyDescent="0.3">
      <c r="A1154" s="1">
        <v>45525</v>
      </c>
      <c r="B1154">
        <v>810.88</v>
      </c>
    </row>
    <row r="1155" spans="1:2" x14ac:dyDescent="0.3">
      <c r="A1155" s="1">
        <v>45526</v>
      </c>
      <c r="B1155">
        <v>813.63</v>
      </c>
    </row>
    <row r="1156" spans="1:2" x14ac:dyDescent="0.3">
      <c r="A1156" s="1">
        <v>45527</v>
      </c>
      <c r="B1156">
        <v>810.51</v>
      </c>
    </row>
    <row r="1157" spans="1:2" x14ac:dyDescent="0.3">
      <c r="A1157" s="1">
        <v>45530</v>
      </c>
      <c r="B1157">
        <v>817.94</v>
      </c>
    </row>
    <row r="1158" spans="1:2" x14ac:dyDescent="0.3">
      <c r="A1158" s="1">
        <v>45531</v>
      </c>
      <c r="B1158">
        <v>816.84</v>
      </c>
    </row>
    <row r="1159" spans="1:2" x14ac:dyDescent="0.3">
      <c r="A1159" s="1">
        <v>45532</v>
      </c>
      <c r="B1159">
        <v>816.52</v>
      </c>
    </row>
    <row r="1160" spans="1:2" x14ac:dyDescent="0.3">
      <c r="A1160" s="1">
        <v>45533</v>
      </c>
      <c r="B1160">
        <v>817.24</v>
      </c>
    </row>
    <row r="1161" spans="1:2" x14ac:dyDescent="0.3">
      <c r="A1161" s="1">
        <v>45534</v>
      </c>
      <c r="B1161">
        <v>816.42</v>
      </c>
    </row>
    <row r="1162" spans="1:2" x14ac:dyDescent="0.3">
      <c r="A1162" s="1">
        <v>45537</v>
      </c>
      <c r="B1162">
        <v>811.46</v>
      </c>
    </row>
    <row r="1163" spans="1:2" x14ac:dyDescent="0.3">
      <c r="A1163" s="1">
        <v>45538</v>
      </c>
      <c r="B1163">
        <v>816.64</v>
      </c>
    </row>
    <row r="1164" spans="1:2" x14ac:dyDescent="0.3">
      <c r="A1164" s="1">
        <v>45539</v>
      </c>
      <c r="B1164">
        <v>818.86</v>
      </c>
    </row>
    <row r="1165" spans="1:2" x14ac:dyDescent="0.3">
      <c r="A1165" s="1">
        <v>45540</v>
      </c>
      <c r="B1165">
        <v>820.68</v>
      </c>
    </row>
    <row r="1166" spans="1:2" x14ac:dyDescent="0.3">
      <c r="A1166" s="1">
        <v>45541</v>
      </c>
      <c r="B1166">
        <v>816.44</v>
      </c>
    </row>
    <row r="1167" spans="1:2" x14ac:dyDescent="0.3">
      <c r="A1167" s="1">
        <v>45544</v>
      </c>
      <c r="B1167">
        <v>821.21</v>
      </c>
    </row>
    <row r="1168" spans="1:2" x14ac:dyDescent="0.3">
      <c r="A1168" s="1">
        <v>45545</v>
      </c>
      <c r="B1168">
        <v>823.13</v>
      </c>
    </row>
    <row r="1169" spans="1:2" x14ac:dyDescent="0.3">
      <c r="A1169" s="1">
        <v>45546</v>
      </c>
      <c r="B1169">
        <v>819.91</v>
      </c>
    </row>
    <row r="1170" spans="1:2" x14ac:dyDescent="0.3">
      <c r="A1170" s="1">
        <v>45547</v>
      </c>
      <c r="B1170">
        <v>831.23</v>
      </c>
    </row>
    <row r="1171" spans="1:2" x14ac:dyDescent="0.3">
      <c r="A1171" s="1">
        <v>45548</v>
      </c>
      <c r="B1171">
        <v>830.91</v>
      </c>
    </row>
    <row r="1172" spans="1:2" x14ac:dyDescent="0.3">
      <c r="A1172" s="1">
        <v>45551</v>
      </c>
      <c r="B1172">
        <v>833.4</v>
      </c>
    </row>
    <row r="1173" spans="1:2" x14ac:dyDescent="0.3">
      <c r="A1173" s="1">
        <v>45552</v>
      </c>
      <c r="B1173">
        <v>832.33</v>
      </c>
    </row>
    <row r="1174" spans="1:2" x14ac:dyDescent="0.3">
      <c r="A1174" s="1">
        <v>45553</v>
      </c>
      <c r="B1174">
        <v>845.3</v>
      </c>
    </row>
    <row r="1175" spans="1:2" x14ac:dyDescent="0.3">
      <c r="A1175" s="1">
        <v>45554</v>
      </c>
      <c r="B1175">
        <v>852.13</v>
      </c>
    </row>
    <row r="1176" spans="1:2" x14ac:dyDescent="0.3">
      <c r="A1176" s="1">
        <v>45555</v>
      </c>
      <c r="B1176">
        <v>868.44</v>
      </c>
    </row>
    <row r="1177" spans="1:2" x14ac:dyDescent="0.3">
      <c r="A1177" s="1">
        <v>45558</v>
      </c>
      <c r="B1177">
        <v>877.72</v>
      </c>
    </row>
    <row r="1178" spans="1:2" x14ac:dyDescent="0.3">
      <c r="A1178" s="1">
        <v>45559</v>
      </c>
      <c r="B1178">
        <v>881.83</v>
      </c>
    </row>
    <row r="1179" spans="1:2" x14ac:dyDescent="0.3">
      <c r="A1179" s="1">
        <v>45560</v>
      </c>
      <c r="B1179">
        <v>887.34</v>
      </c>
    </row>
    <row r="1180" spans="1:2" x14ac:dyDescent="0.3">
      <c r="A1180" s="1">
        <v>45561</v>
      </c>
      <c r="B1180">
        <v>889.51</v>
      </c>
    </row>
    <row r="1181" spans="1:2" x14ac:dyDescent="0.3">
      <c r="A1181" s="1">
        <v>45562</v>
      </c>
      <c r="B1181">
        <v>874.15</v>
      </c>
    </row>
    <row r="1182" spans="1:2" x14ac:dyDescent="0.3">
      <c r="A1182" s="1">
        <v>45565</v>
      </c>
      <c r="B1182">
        <v>863.88</v>
      </c>
    </row>
    <row r="1183" spans="1:2" x14ac:dyDescent="0.3">
      <c r="A1183" s="1">
        <v>45566</v>
      </c>
      <c r="B1183">
        <v>860.96</v>
      </c>
    </row>
    <row r="1184" spans="1:2" x14ac:dyDescent="0.3">
      <c r="A1184" s="1">
        <v>45568</v>
      </c>
      <c r="B1184">
        <v>838.91</v>
      </c>
    </row>
    <row r="1185" spans="1:2" x14ac:dyDescent="0.3">
      <c r="A1185" s="1">
        <v>45569</v>
      </c>
      <c r="B1185">
        <v>826.77</v>
      </c>
    </row>
    <row r="1186" spans="1:2" x14ac:dyDescent="0.3">
      <c r="A1186" s="1">
        <v>45572</v>
      </c>
      <c r="B1186">
        <v>806.89</v>
      </c>
    </row>
    <row r="1187" spans="1:2" x14ac:dyDescent="0.3">
      <c r="A1187" s="1">
        <v>45573</v>
      </c>
      <c r="B1187">
        <v>823.48</v>
      </c>
    </row>
    <row r="1188" spans="1:2" x14ac:dyDescent="0.3">
      <c r="A1188" s="1">
        <v>45574</v>
      </c>
      <c r="B1188">
        <v>814.55</v>
      </c>
    </row>
    <row r="1189" spans="1:2" x14ac:dyDescent="0.3">
      <c r="A1189" s="1">
        <v>45575</v>
      </c>
      <c r="B1189">
        <v>829.14</v>
      </c>
    </row>
    <row r="1190" spans="1:2" x14ac:dyDescent="0.3">
      <c r="A1190" s="1">
        <v>45576</v>
      </c>
      <c r="B1190">
        <v>823.45</v>
      </c>
    </row>
    <row r="1191" spans="1:2" x14ac:dyDescent="0.3">
      <c r="A1191" s="1">
        <v>45579</v>
      </c>
      <c r="B1191">
        <v>841.96</v>
      </c>
    </row>
    <row r="1192" spans="1:2" x14ac:dyDescent="0.3">
      <c r="A1192" s="1">
        <v>45580</v>
      </c>
      <c r="B1192">
        <v>839.96</v>
      </c>
    </row>
    <row r="1193" spans="1:2" x14ac:dyDescent="0.3">
      <c r="A1193" s="1">
        <v>45581</v>
      </c>
      <c r="B1193">
        <v>847.79</v>
      </c>
    </row>
    <row r="1194" spans="1:2" x14ac:dyDescent="0.3">
      <c r="A1194" s="1">
        <v>45582</v>
      </c>
      <c r="B1194">
        <v>834.5</v>
      </c>
    </row>
    <row r="1195" spans="1:2" x14ac:dyDescent="0.3">
      <c r="A1195" s="1">
        <v>45583</v>
      </c>
      <c r="B1195">
        <v>838.84</v>
      </c>
    </row>
    <row r="1196" spans="1:2" x14ac:dyDescent="0.3">
      <c r="A1196" s="1">
        <v>45586</v>
      </c>
      <c r="B1196">
        <v>862.2</v>
      </c>
    </row>
    <row r="1197" spans="1:2" x14ac:dyDescent="0.3">
      <c r="A1197" s="1">
        <v>45587</v>
      </c>
      <c r="B1197">
        <v>855.15</v>
      </c>
    </row>
    <row r="1198" spans="1:2" x14ac:dyDescent="0.3">
      <c r="A1198" s="1">
        <v>45588</v>
      </c>
      <c r="B1198">
        <v>865.75</v>
      </c>
    </row>
    <row r="1199" spans="1:2" x14ac:dyDescent="0.3">
      <c r="A1199" s="1">
        <v>45589</v>
      </c>
      <c r="B1199">
        <v>872.65</v>
      </c>
    </row>
    <row r="1200" spans="1:2" x14ac:dyDescent="0.3">
      <c r="A1200" s="1">
        <v>45590</v>
      </c>
      <c r="B1200">
        <v>869.54</v>
      </c>
    </row>
    <row r="1201" spans="1:2" x14ac:dyDescent="0.3">
      <c r="A1201" s="1">
        <v>45593</v>
      </c>
      <c r="B1201">
        <v>864.95</v>
      </c>
    </row>
    <row r="1202" spans="1:2" x14ac:dyDescent="0.3">
      <c r="A1202" s="1">
        <v>45594</v>
      </c>
      <c r="B1202">
        <v>873.75</v>
      </c>
    </row>
    <row r="1203" spans="1:2" x14ac:dyDescent="0.3">
      <c r="A1203" s="1">
        <v>45595</v>
      </c>
      <c r="B1203">
        <v>865.15</v>
      </c>
    </row>
    <row r="1204" spans="1:2" x14ac:dyDescent="0.3">
      <c r="A1204" s="1">
        <v>45596</v>
      </c>
      <c r="B1204">
        <v>865.7</v>
      </c>
    </row>
    <row r="1205" spans="1:2" x14ac:dyDescent="0.3">
      <c r="A1205" s="1">
        <v>45597</v>
      </c>
      <c r="B1205">
        <v>866.49</v>
      </c>
    </row>
    <row r="1206" spans="1:2" x14ac:dyDescent="0.3">
      <c r="A1206" s="1">
        <v>45600</v>
      </c>
      <c r="B1206">
        <v>854.92</v>
      </c>
    </row>
    <row r="1207" spans="1:2" x14ac:dyDescent="0.3">
      <c r="A1207" s="1">
        <v>45601</v>
      </c>
      <c r="B1207">
        <v>876.74</v>
      </c>
    </row>
    <row r="1208" spans="1:2" x14ac:dyDescent="0.3">
      <c r="A1208" s="1">
        <v>45602</v>
      </c>
      <c r="B1208">
        <v>875.45</v>
      </c>
    </row>
    <row r="1209" spans="1:2" x14ac:dyDescent="0.3">
      <c r="A1209" s="1">
        <v>45603</v>
      </c>
      <c r="B1209">
        <v>871.11</v>
      </c>
    </row>
    <row r="1210" spans="1:2" x14ac:dyDescent="0.3">
      <c r="A1210" s="1">
        <v>45604</v>
      </c>
      <c r="B1210">
        <v>875.05</v>
      </c>
    </row>
    <row r="1211" spans="1:2" x14ac:dyDescent="0.3">
      <c r="A1211" s="1">
        <v>45607</v>
      </c>
      <c r="B1211">
        <v>880.96</v>
      </c>
    </row>
    <row r="1212" spans="1:2" x14ac:dyDescent="0.3">
      <c r="A1212" s="1">
        <v>45608</v>
      </c>
      <c r="B1212">
        <v>856.97</v>
      </c>
    </row>
    <row r="1213" spans="1:2" x14ac:dyDescent="0.3">
      <c r="A1213" s="1">
        <v>45609</v>
      </c>
      <c r="B1213">
        <v>838.59</v>
      </c>
    </row>
    <row r="1214" spans="1:2" x14ac:dyDescent="0.3">
      <c r="A1214" s="1">
        <v>45610</v>
      </c>
      <c r="B1214">
        <v>844.27</v>
      </c>
    </row>
    <row r="1215" spans="1:2" x14ac:dyDescent="0.3">
      <c r="A1215" s="1">
        <v>45614</v>
      </c>
      <c r="B1215">
        <v>850.43</v>
      </c>
    </row>
    <row r="1216" spans="1:2" x14ac:dyDescent="0.3">
      <c r="A1216" s="1">
        <v>45615</v>
      </c>
      <c r="B1216">
        <v>868.96</v>
      </c>
    </row>
    <row r="1217" spans="1:2" x14ac:dyDescent="0.3">
      <c r="A1217" s="1">
        <v>45617</v>
      </c>
      <c r="B1217">
        <v>868.44</v>
      </c>
    </row>
    <row r="1218" spans="1:2" x14ac:dyDescent="0.3">
      <c r="A1218" s="1">
        <v>45618</v>
      </c>
      <c r="B1218">
        <v>870.63</v>
      </c>
    </row>
    <row r="1219" spans="1:2" x14ac:dyDescent="0.3">
      <c r="A1219" s="1">
        <v>45621</v>
      </c>
      <c r="B1219">
        <v>890.58</v>
      </c>
    </row>
    <row r="1220" spans="1:2" x14ac:dyDescent="0.3">
      <c r="A1220" s="1">
        <v>45622</v>
      </c>
      <c r="B1220">
        <v>890.56</v>
      </c>
    </row>
    <row r="1221" spans="1:2" x14ac:dyDescent="0.3">
      <c r="A1221" s="1">
        <v>45623</v>
      </c>
      <c r="B1221">
        <v>903.9</v>
      </c>
    </row>
    <row r="1222" spans="1:2" x14ac:dyDescent="0.3">
      <c r="A1222" s="1">
        <v>45624</v>
      </c>
      <c r="B1222">
        <v>894.35</v>
      </c>
    </row>
    <row r="1223" spans="1:2" x14ac:dyDescent="0.3">
      <c r="A1223" s="1">
        <v>45625</v>
      </c>
      <c r="B1223">
        <v>895.8</v>
      </c>
    </row>
    <row r="1224" spans="1:2" x14ac:dyDescent="0.3">
      <c r="A1224" s="1">
        <v>45628</v>
      </c>
      <c r="B1224">
        <v>900.11</v>
      </c>
    </row>
    <row r="1225" spans="1:2" x14ac:dyDescent="0.3">
      <c r="A1225" s="1">
        <v>45629</v>
      </c>
      <c r="B1225">
        <v>910.88</v>
      </c>
    </row>
    <row r="1226" spans="1:2" x14ac:dyDescent="0.3">
      <c r="A1226" s="1">
        <v>45630</v>
      </c>
      <c r="B1226">
        <v>927.74</v>
      </c>
    </row>
    <row r="1227" spans="1:2" x14ac:dyDescent="0.3">
      <c r="A1227" s="1">
        <v>45631</v>
      </c>
      <c r="B1227">
        <v>930.56</v>
      </c>
    </row>
    <row r="1228" spans="1:2" x14ac:dyDescent="0.3">
      <c r="A1228" s="1">
        <v>45632</v>
      </c>
      <c r="B1228">
        <v>925.62</v>
      </c>
    </row>
    <row r="1229" spans="1:2" x14ac:dyDescent="0.3">
      <c r="A1229" s="1">
        <v>45635</v>
      </c>
      <c r="B1229">
        <v>932.68</v>
      </c>
    </row>
    <row r="1230" spans="1:2" x14ac:dyDescent="0.3">
      <c r="A1230" s="1">
        <v>45636</v>
      </c>
      <c r="B1230">
        <v>931.73</v>
      </c>
    </row>
    <row r="1231" spans="1:2" x14ac:dyDescent="0.3">
      <c r="A1231" s="1">
        <v>45637</v>
      </c>
      <c r="B1231">
        <v>929.24</v>
      </c>
    </row>
    <row r="1232" spans="1:2" x14ac:dyDescent="0.3">
      <c r="A1232" s="1">
        <v>45638</v>
      </c>
      <c r="B1232">
        <v>927.32</v>
      </c>
    </row>
    <row r="1233" spans="1:2" x14ac:dyDescent="0.3">
      <c r="A1233" s="1">
        <v>45639</v>
      </c>
      <c r="B1233">
        <v>933.55</v>
      </c>
    </row>
    <row r="1234" spans="1:2" x14ac:dyDescent="0.3">
      <c r="A1234" s="1">
        <v>45642</v>
      </c>
      <c r="B1234">
        <v>930.29</v>
      </c>
    </row>
    <row r="1235" spans="1:2" x14ac:dyDescent="0.3">
      <c r="A1235" s="1">
        <v>45643</v>
      </c>
      <c r="B1235">
        <v>914.35</v>
      </c>
    </row>
    <row r="1236" spans="1:2" x14ac:dyDescent="0.3">
      <c r="A1236" s="1">
        <v>45644</v>
      </c>
      <c r="B1236">
        <v>903.1</v>
      </c>
    </row>
    <row r="1237" spans="1:2" x14ac:dyDescent="0.3">
      <c r="A1237" s="1">
        <v>45645</v>
      </c>
      <c r="B1237">
        <v>894.52</v>
      </c>
    </row>
    <row r="1238" spans="1:2" x14ac:dyDescent="0.3">
      <c r="A1238" s="1">
        <v>45646</v>
      </c>
      <c r="B1238">
        <v>883.55</v>
      </c>
    </row>
    <row r="1239" spans="1:2" x14ac:dyDescent="0.3">
      <c r="A1239" s="1">
        <v>45649</v>
      </c>
      <c r="B1239">
        <v>898.26</v>
      </c>
    </row>
    <row r="1240" spans="1:2" x14ac:dyDescent="0.3">
      <c r="A1240" s="1">
        <v>45650</v>
      </c>
      <c r="B1240">
        <v>896.82</v>
      </c>
    </row>
    <row r="1241" spans="1:2" x14ac:dyDescent="0.3">
      <c r="A1241" s="1">
        <v>45652</v>
      </c>
      <c r="B1241">
        <v>893.15</v>
      </c>
    </row>
    <row r="1242" spans="1:2" x14ac:dyDescent="0.3">
      <c r="A1242" s="1">
        <v>45653</v>
      </c>
      <c r="B1242">
        <v>896.89</v>
      </c>
    </row>
    <row r="1243" spans="1:2" x14ac:dyDescent="0.3">
      <c r="A1243" s="1">
        <v>45656</v>
      </c>
      <c r="B1243">
        <v>886.74</v>
      </c>
    </row>
    <row r="1244" spans="1:2" x14ac:dyDescent="0.3">
      <c r="A1244" s="1">
        <v>45657</v>
      </c>
      <c r="B1244">
        <v>884.22</v>
      </c>
    </row>
    <row r="1245" spans="1:2" x14ac:dyDescent="0.3">
      <c r="A1245" s="1">
        <v>45658</v>
      </c>
      <c r="B1245">
        <v>889.16</v>
      </c>
    </row>
    <row r="1246" spans="1:2" x14ac:dyDescent="0.3">
      <c r="A1246" s="1">
        <v>45659</v>
      </c>
      <c r="B1246">
        <v>894.65</v>
      </c>
    </row>
    <row r="1247" spans="1:2" x14ac:dyDescent="0.3">
      <c r="A1247" s="1">
        <v>45660</v>
      </c>
      <c r="B1247">
        <v>872.43</v>
      </c>
    </row>
    <row r="1248" spans="1:2" x14ac:dyDescent="0.3">
      <c r="A1248" s="1">
        <v>45663</v>
      </c>
      <c r="B1248">
        <v>853.13</v>
      </c>
    </row>
    <row r="1249" spans="1:2" x14ac:dyDescent="0.3">
      <c r="A1249" s="1">
        <v>45664</v>
      </c>
      <c r="B1249">
        <v>854.57</v>
      </c>
    </row>
    <row r="1250" spans="1:2" x14ac:dyDescent="0.3">
      <c r="A1250" s="1">
        <v>45665</v>
      </c>
      <c r="B1250">
        <v>845.05</v>
      </c>
    </row>
    <row r="1251" spans="1:2" x14ac:dyDescent="0.3">
      <c r="A1251" s="1">
        <v>45666</v>
      </c>
      <c r="B1251">
        <v>831.83</v>
      </c>
    </row>
    <row r="1252" spans="1:2" x14ac:dyDescent="0.3">
      <c r="A1252" s="1">
        <v>45667</v>
      </c>
      <c r="B1252">
        <v>826.32</v>
      </c>
    </row>
    <row r="1253" spans="1:2" x14ac:dyDescent="0.3">
      <c r="A1253" s="1">
        <v>45670</v>
      </c>
      <c r="B1253">
        <v>813.4</v>
      </c>
    </row>
    <row r="1254" spans="1:2" x14ac:dyDescent="0.3">
      <c r="A1254" s="1">
        <v>45671</v>
      </c>
      <c r="B1254">
        <v>821.26</v>
      </c>
    </row>
    <row r="1255" spans="1:2" x14ac:dyDescent="0.3">
      <c r="A1255" s="1">
        <v>45672</v>
      </c>
      <c r="B1255">
        <v>819.49</v>
      </c>
    </row>
    <row r="1256" spans="1:2" x14ac:dyDescent="0.3">
      <c r="A1256" s="1">
        <v>45673</v>
      </c>
      <c r="B1256">
        <v>823.97</v>
      </c>
    </row>
    <row r="1257" spans="1:2" x14ac:dyDescent="0.3">
      <c r="A1257" s="1">
        <v>45674</v>
      </c>
      <c r="B1257">
        <v>816.34</v>
      </c>
    </row>
    <row r="1258" spans="1:2" x14ac:dyDescent="0.3">
      <c r="A1258" s="1">
        <v>45677</v>
      </c>
      <c r="B1258">
        <v>823.58</v>
      </c>
    </row>
    <row r="1259" spans="1:2" x14ac:dyDescent="0.3">
      <c r="A1259" s="1">
        <v>45678</v>
      </c>
      <c r="B1259">
        <v>819.16</v>
      </c>
    </row>
    <row r="1260" spans="1:2" x14ac:dyDescent="0.3">
      <c r="A1260" s="1">
        <v>45679</v>
      </c>
      <c r="B1260">
        <v>830.96</v>
      </c>
    </row>
    <row r="1261" spans="1:2" x14ac:dyDescent="0.3">
      <c r="A1261" s="1">
        <v>45680</v>
      </c>
      <c r="B1261">
        <v>830.38</v>
      </c>
    </row>
    <row r="1262" spans="1:2" x14ac:dyDescent="0.3">
      <c r="A1262" s="1">
        <v>45681</v>
      </c>
      <c r="B1262">
        <v>822.85</v>
      </c>
    </row>
    <row r="1263" spans="1:2" x14ac:dyDescent="0.3">
      <c r="A1263" s="1">
        <v>45684</v>
      </c>
      <c r="B1263">
        <v>812.88</v>
      </c>
    </row>
    <row r="1264" spans="1:2" x14ac:dyDescent="0.3">
      <c r="A1264" s="1">
        <v>45685</v>
      </c>
      <c r="B1264">
        <v>833.13</v>
      </c>
    </row>
    <row r="1265" spans="1:2" x14ac:dyDescent="0.3">
      <c r="A1265" s="1">
        <v>45686</v>
      </c>
      <c r="B1265">
        <v>836.57</v>
      </c>
    </row>
    <row r="1266" spans="1:2" x14ac:dyDescent="0.3">
      <c r="A1266" s="1">
        <v>45687</v>
      </c>
      <c r="B1266">
        <v>843.65</v>
      </c>
    </row>
    <row r="1267" spans="1:2" x14ac:dyDescent="0.3">
      <c r="A1267" s="1">
        <v>45688</v>
      </c>
      <c r="B1267">
        <v>847.27</v>
      </c>
    </row>
    <row r="1268" spans="1:2" x14ac:dyDescent="0.3">
      <c r="A1268" s="1">
        <v>45689</v>
      </c>
      <c r="B1268">
        <v>843.38</v>
      </c>
    </row>
    <row r="1269" spans="1:2" x14ac:dyDescent="0.3">
      <c r="A1269" s="1">
        <v>45691</v>
      </c>
      <c r="B1269">
        <v>836.92</v>
      </c>
    </row>
    <row r="1270" spans="1:2" x14ac:dyDescent="0.3">
      <c r="A1270" s="1">
        <v>45692</v>
      </c>
      <c r="B1270">
        <v>858.31</v>
      </c>
    </row>
    <row r="1271" spans="1:2" x14ac:dyDescent="0.3">
      <c r="A1271" s="1">
        <v>45693</v>
      </c>
      <c r="B1271">
        <v>866.74</v>
      </c>
    </row>
    <row r="1272" spans="1:2" x14ac:dyDescent="0.3">
      <c r="A1272" s="1">
        <v>45694</v>
      </c>
      <c r="B1272">
        <v>869.76</v>
      </c>
    </row>
    <row r="1273" spans="1:2" x14ac:dyDescent="0.3">
      <c r="A1273" s="1">
        <v>45695</v>
      </c>
      <c r="B1273">
        <v>864.22</v>
      </c>
    </row>
    <row r="1274" spans="1:2" x14ac:dyDescent="0.3">
      <c r="A1274" s="1">
        <v>45698</v>
      </c>
      <c r="B1274">
        <v>855.75</v>
      </c>
    </row>
    <row r="1275" spans="1:2" x14ac:dyDescent="0.3">
      <c r="A1275" s="1">
        <v>45699</v>
      </c>
      <c r="B1275">
        <v>848.59</v>
      </c>
    </row>
    <row r="1276" spans="1:2" x14ac:dyDescent="0.3">
      <c r="A1276" s="1">
        <v>45700</v>
      </c>
      <c r="B1276">
        <v>851.28</v>
      </c>
    </row>
    <row r="1277" spans="1:2" x14ac:dyDescent="0.3">
      <c r="A1277" s="1">
        <v>45701</v>
      </c>
      <c r="B1277">
        <v>846.74</v>
      </c>
    </row>
    <row r="1278" spans="1:2" x14ac:dyDescent="0.3">
      <c r="A1278" s="1">
        <v>45702</v>
      </c>
      <c r="B1278">
        <v>845.32</v>
      </c>
    </row>
    <row r="1279" spans="1:2" x14ac:dyDescent="0.3">
      <c r="A1279" s="1">
        <v>45705</v>
      </c>
      <c r="B1279">
        <v>856.54</v>
      </c>
    </row>
    <row r="1280" spans="1:2" x14ac:dyDescent="0.3">
      <c r="A1280" s="1">
        <v>45706</v>
      </c>
      <c r="B1280">
        <v>859.39</v>
      </c>
    </row>
    <row r="1281" spans="1:2" x14ac:dyDescent="0.3">
      <c r="A1281" s="1">
        <v>45707</v>
      </c>
      <c r="B1281">
        <v>861.46</v>
      </c>
    </row>
    <row r="1282" spans="1:2" x14ac:dyDescent="0.3">
      <c r="A1282" s="1">
        <v>45708</v>
      </c>
      <c r="B1282">
        <v>841.46</v>
      </c>
    </row>
    <row r="1283" spans="1:2" x14ac:dyDescent="0.3">
      <c r="A1283" s="1">
        <v>45709</v>
      </c>
      <c r="B1283">
        <v>844.15</v>
      </c>
    </row>
    <row r="1284" spans="1:2" x14ac:dyDescent="0.3">
      <c r="A1284" s="1">
        <v>45712</v>
      </c>
      <c r="B1284">
        <v>836.47</v>
      </c>
    </row>
    <row r="1285" spans="1:2" x14ac:dyDescent="0.3">
      <c r="A1285" s="1">
        <v>45713</v>
      </c>
      <c r="B1285">
        <v>839.09</v>
      </c>
    </row>
    <row r="1286" spans="1:2" x14ac:dyDescent="0.3">
      <c r="A1286" s="1">
        <v>45715</v>
      </c>
      <c r="B1286">
        <v>848.24</v>
      </c>
    </row>
    <row r="1287" spans="1:2" x14ac:dyDescent="0.3">
      <c r="A1287" s="1">
        <v>45716</v>
      </c>
      <c r="B1287">
        <v>864.05</v>
      </c>
    </row>
    <row r="1288" spans="1:2" x14ac:dyDescent="0.3">
      <c r="A1288" s="1">
        <v>45719</v>
      </c>
      <c r="B1288">
        <v>848.66</v>
      </c>
    </row>
    <row r="1289" spans="1:2" x14ac:dyDescent="0.3">
      <c r="A1289" s="1">
        <v>45720</v>
      </c>
      <c r="B1289">
        <v>852.88</v>
      </c>
    </row>
    <row r="1290" spans="1:2" x14ac:dyDescent="0.3">
      <c r="A1290" s="1">
        <v>45721</v>
      </c>
      <c r="B1290">
        <v>842.9</v>
      </c>
    </row>
    <row r="1291" spans="1:2" x14ac:dyDescent="0.3">
      <c r="A1291" s="1">
        <v>45722</v>
      </c>
      <c r="B1291">
        <v>843.5</v>
      </c>
    </row>
    <row r="1292" spans="1:2" x14ac:dyDescent="0.3">
      <c r="A1292" s="1">
        <v>45723</v>
      </c>
      <c r="B1292">
        <v>842.53</v>
      </c>
    </row>
    <row r="1293" spans="1:2" x14ac:dyDescent="0.3">
      <c r="A1293" s="1">
        <v>45726</v>
      </c>
      <c r="B1293">
        <v>841.66</v>
      </c>
    </row>
    <row r="1294" spans="1:2" x14ac:dyDescent="0.3">
      <c r="A1294" s="1">
        <v>45727</v>
      </c>
      <c r="B1294">
        <v>840.66</v>
      </c>
    </row>
    <row r="1295" spans="1:2" x14ac:dyDescent="0.3">
      <c r="A1295" s="1">
        <v>45728</v>
      </c>
      <c r="B1295">
        <v>853.45</v>
      </c>
    </row>
    <row r="1296" spans="1:2" x14ac:dyDescent="0.3">
      <c r="A1296" s="1">
        <v>45729</v>
      </c>
      <c r="B1296">
        <v>851.18</v>
      </c>
    </row>
    <row r="1297" spans="1:2" x14ac:dyDescent="0.3">
      <c r="A1297" s="1">
        <v>45733</v>
      </c>
      <c r="B1297">
        <v>853.08</v>
      </c>
    </row>
    <row r="1298" spans="1:2" x14ac:dyDescent="0.3">
      <c r="A1298" s="1">
        <v>45734</v>
      </c>
      <c r="B1298">
        <v>863.95</v>
      </c>
    </row>
    <row r="1299" spans="1:2" x14ac:dyDescent="0.3">
      <c r="A1299" s="1">
        <v>45735</v>
      </c>
      <c r="B1299">
        <v>869.89</v>
      </c>
    </row>
    <row r="1300" spans="1:2" x14ac:dyDescent="0.3">
      <c r="A1300" s="1">
        <v>45736</v>
      </c>
      <c r="B1300">
        <v>882.18</v>
      </c>
    </row>
    <row r="1301" spans="1:2" x14ac:dyDescent="0.3">
      <c r="A1301" s="1">
        <v>45737</v>
      </c>
      <c r="B1301">
        <v>882.98</v>
      </c>
    </row>
    <row r="1302" spans="1:2" x14ac:dyDescent="0.3">
      <c r="A1302" s="1">
        <v>45740</v>
      </c>
      <c r="B1302">
        <v>897.77</v>
      </c>
    </row>
    <row r="1303" spans="1:2" x14ac:dyDescent="0.3">
      <c r="A1303" s="1">
        <v>45741</v>
      </c>
      <c r="B1303">
        <v>908.46</v>
      </c>
    </row>
    <row r="1304" spans="1:2" x14ac:dyDescent="0.3">
      <c r="A1304" s="1">
        <v>45742</v>
      </c>
      <c r="B1304">
        <v>901.03</v>
      </c>
    </row>
    <row r="1305" spans="1:2" x14ac:dyDescent="0.3">
      <c r="A1305" s="1">
        <v>45743</v>
      </c>
      <c r="B1305">
        <v>910.41</v>
      </c>
    </row>
    <row r="1306" spans="1:2" x14ac:dyDescent="0.3">
      <c r="A1306" s="1">
        <v>45744</v>
      </c>
      <c r="B1306">
        <v>911.83</v>
      </c>
    </row>
    <row r="1307" spans="1:2" x14ac:dyDescent="0.3">
      <c r="A1307" s="1">
        <v>45748</v>
      </c>
      <c r="B1307">
        <v>881.73</v>
      </c>
    </row>
    <row r="1308" spans="1:2" x14ac:dyDescent="0.3">
      <c r="A1308" s="1">
        <v>45749</v>
      </c>
      <c r="B1308">
        <v>896.22</v>
      </c>
    </row>
    <row r="1309" spans="1:2" x14ac:dyDescent="0.3">
      <c r="A1309" s="1">
        <v>45750</v>
      </c>
      <c r="B1309">
        <v>895.2</v>
      </c>
    </row>
    <row r="1310" spans="1:2" x14ac:dyDescent="0.3">
      <c r="A1310" s="1">
        <v>45751</v>
      </c>
      <c r="B1310">
        <v>906.39</v>
      </c>
    </row>
    <row r="1311" spans="1:2" x14ac:dyDescent="0.3">
      <c r="A1311" s="1">
        <v>45754</v>
      </c>
      <c r="B1311">
        <v>876.67</v>
      </c>
    </row>
    <row r="1312" spans="1:2" x14ac:dyDescent="0.3">
      <c r="A1312" s="1">
        <v>45755</v>
      </c>
      <c r="B1312">
        <v>882.38</v>
      </c>
    </row>
    <row r="1313" spans="1:2" x14ac:dyDescent="0.3">
      <c r="A1313" s="1">
        <v>45756</v>
      </c>
      <c r="B1313">
        <v>880.31</v>
      </c>
    </row>
    <row r="1314" spans="1:2" x14ac:dyDescent="0.3">
      <c r="A1314" s="1">
        <v>45758</v>
      </c>
      <c r="B1314">
        <v>901.13</v>
      </c>
    </row>
    <row r="1315" spans="1:2" x14ac:dyDescent="0.3">
      <c r="A1315" s="1">
        <v>45762</v>
      </c>
      <c r="B1315">
        <v>930.14</v>
      </c>
    </row>
    <row r="1316" spans="1:2" x14ac:dyDescent="0.3">
      <c r="A1316" s="1">
        <v>45763</v>
      </c>
      <c r="B1316">
        <v>936.67</v>
      </c>
    </row>
    <row r="1317" spans="1:2" x14ac:dyDescent="0.3">
      <c r="A1317" s="1">
        <v>45764</v>
      </c>
      <c r="B1317">
        <v>950.98</v>
      </c>
    </row>
    <row r="1318" spans="1:2" x14ac:dyDescent="0.3">
      <c r="A1318" s="1">
        <v>45768</v>
      </c>
      <c r="B1318">
        <v>961.16</v>
      </c>
    </row>
    <row r="1319" spans="1:2" x14ac:dyDescent="0.3">
      <c r="A1319" s="1">
        <v>45769</v>
      </c>
      <c r="B1319">
        <v>978.42</v>
      </c>
    </row>
    <row r="1320" spans="1:2" x14ac:dyDescent="0.3">
      <c r="A1320" s="1">
        <v>45770</v>
      </c>
      <c r="B1320">
        <v>959.56</v>
      </c>
    </row>
    <row r="1321" spans="1:2" x14ac:dyDescent="0.3">
      <c r="A1321" s="1">
        <v>45771</v>
      </c>
      <c r="B1321">
        <v>956.02</v>
      </c>
    </row>
    <row r="1322" spans="1:2" x14ac:dyDescent="0.3">
      <c r="A1322" s="1">
        <v>45772</v>
      </c>
      <c r="B1322">
        <v>953.23</v>
      </c>
    </row>
    <row r="1323" spans="1:2" x14ac:dyDescent="0.3">
      <c r="A1323" s="1">
        <v>45775</v>
      </c>
      <c r="B1323">
        <v>957.72</v>
      </c>
    </row>
    <row r="1324" spans="1:2" x14ac:dyDescent="0.3">
      <c r="A1324" s="1">
        <v>45776</v>
      </c>
      <c r="B1324">
        <v>952.03</v>
      </c>
    </row>
    <row r="1325" spans="1:2" x14ac:dyDescent="0.3">
      <c r="A1325" s="1">
        <v>45777</v>
      </c>
      <c r="B1325">
        <v>960.11</v>
      </c>
    </row>
    <row r="1326" spans="1:2" x14ac:dyDescent="0.3">
      <c r="A1326" s="1">
        <v>45779</v>
      </c>
      <c r="B1326">
        <v>960.11</v>
      </c>
    </row>
    <row r="1327" spans="1:2" x14ac:dyDescent="0.3">
      <c r="A1327" s="1">
        <v>45782</v>
      </c>
      <c r="B1327">
        <v>966</v>
      </c>
    </row>
    <row r="1328" spans="1:2" x14ac:dyDescent="0.3">
      <c r="A1328" s="1">
        <v>45783</v>
      </c>
      <c r="B1328">
        <v>963.45</v>
      </c>
    </row>
    <row r="1329" spans="1:2" x14ac:dyDescent="0.3">
      <c r="A1329" s="1">
        <v>45784</v>
      </c>
      <c r="B1329">
        <v>970.39</v>
      </c>
    </row>
    <row r="1330" spans="1:2" x14ac:dyDescent="0.3">
      <c r="A1330" s="1">
        <v>45785</v>
      </c>
      <c r="B1330">
        <v>961.86</v>
      </c>
    </row>
    <row r="1331" spans="1:2" x14ac:dyDescent="0.3">
      <c r="A1331" s="1">
        <v>45786</v>
      </c>
      <c r="B1331">
        <v>942.5</v>
      </c>
    </row>
    <row r="1332" spans="1:2" x14ac:dyDescent="0.3">
      <c r="A1332" s="1">
        <v>45789</v>
      </c>
      <c r="B1332">
        <v>976.17</v>
      </c>
    </row>
    <row r="1333" spans="1:2" x14ac:dyDescent="0.3">
      <c r="A1333" s="1">
        <v>45790</v>
      </c>
      <c r="B1333">
        <v>958.91</v>
      </c>
    </row>
    <row r="1334" spans="1:2" x14ac:dyDescent="0.3">
      <c r="A1334" s="1">
        <v>45791</v>
      </c>
      <c r="B1334">
        <v>952.93</v>
      </c>
    </row>
    <row r="1335" spans="1:2" x14ac:dyDescent="0.3">
      <c r="A1335" s="1">
        <v>45792</v>
      </c>
      <c r="B1335">
        <v>964.5</v>
      </c>
    </row>
    <row r="1336" spans="1:2" x14ac:dyDescent="0.3">
      <c r="A1336" s="1">
        <v>45793</v>
      </c>
      <c r="B1336">
        <v>964.95</v>
      </c>
    </row>
    <row r="1337" spans="1:2" x14ac:dyDescent="0.3">
      <c r="A1337" s="1">
        <v>45796</v>
      </c>
      <c r="B1337">
        <v>966.94</v>
      </c>
    </row>
    <row r="1338" spans="1:2" x14ac:dyDescent="0.3">
      <c r="A1338" s="1">
        <v>45797</v>
      </c>
      <c r="B1338">
        <v>955.07</v>
      </c>
    </row>
    <row r="1339" spans="1:2" x14ac:dyDescent="0.3">
      <c r="A1339" s="1">
        <v>45798</v>
      </c>
      <c r="B1339">
        <v>961.01</v>
      </c>
    </row>
    <row r="1340" spans="1:2" x14ac:dyDescent="0.3">
      <c r="A1340" s="1">
        <v>45799</v>
      </c>
      <c r="B1340">
        <v>957.57</v>
      </c>
    </row>
    <row r="1341" spans="1:2" x14ac:dyDescent="0.3">
      <c r="A1341" s="1">
        <v>45800</v>
      </c>
      <c r="B1341">
        <v>964.4</v>
      </c>
    </row>
    <row r="1342" spans="1:2" x14ac:dyDescent="0.3">
      <c r="A1342" s="1">
        <v>45803</v>
      </c>
      <c r="B1342">
        <v>967.69</v>
      </c>
    </row>
    <row r="1343" spans="1:2" x14ac:dyDescent="0.3">
      <c r="A1343" s="1">
        <v>45804</v>
      </c>
      <c r="B1343">
        <v>960.76</v>
      </c>
    </row>
    <row r="1344" spans="1:2" x14ac:dyDescent="0.3">
      <c r="A1344" s="1">
        <v>45805</v>
      </c>
      <c r="B1344">
        <v>959.36</v>
      </c>
    </row>
    <row r="1345" spans="1:2" x14ac:dyDescent="0.3">
      <c r="A1345" s="1">
        <v>45806</v>
      </c>
      <c r="B1345">
        <v>961.36</v>
      </c>
    </row>
    <row r="1346" spans="1:2" x14ac:dyDescent="0.3">
      <c r="A1346" s="1">
        <v>45807</v>
      </c>
      <c r="B1346">
        <v>970.04</v>
      </c>
    </row>
    <row r="1347" spans="1:2" x14ac:dyDescent="0.3">
      <c r="A1347" s="1">
        <v>45810</v>
      </c>
      <c r="B1347">
        <v>963.65</v>
      </c>
    </row>
    <row r="1348" spans="1:2" x14ac:dyDescent="0.3">
      <c r="A1348" s="1">
        <v>45811</v>
      </c>
      <c r="B1348">
        <v>959.91</v>
      </c>
    </row>
    <row r="1349" spans="1:2" x14ac:dyDescent="0.3">
      <c r="A1349" s="1">
        <v>45812</v>
      </c>
      <c r="B1349">
        <v>968.19</v>
      </c>
    </row>
    <row r="1350" spans="1:2" x14ac:dyDescent="0.3">
      <c r="A1350" s="1">
        <v>45813</v>
      </c>
      <c r="B1350">
        <v>972.38</v>
      </c>
    </row>
    <row r="1351" spans="1:2" x14ac:dyDescent="0.3">
      <c r="A1351" s="1">
        <v>45814</v>
      </c>
      <c r="B1351">
        <v>986.89</v>
      </c>
    </row>
    <row r="1352" spans="1:2" x14ac:dyDescent="0.3">
      <c r="A1352" s="1">
        <v>45817</v>
      </c>
      <c r="B1352">
        <v>986.99</v>
      </c>
    </row>
    <row r="1353" spans="1:2" x14ac:dyDescent="0.3">
      <c r="A1353" s="1">
        <v>45818</v>
      </c>
      <c r="B1353">
        <v>980.21</v>
      </c>
    </row>
    <row r="1354" spans="1:2" x14ac:dyDescent="0.3">
      <c r="A1354" s="1">
        <v>45819</v>
      </c>
      <c r="B1354">
        <v>972.78</v>
      </c>
    </row>
    <row r="1355" spans="1:2" x14ac:dyDescent="0.3">
      <c r="A1355" s="1">
        <v>45820</v>
      </c>
      <c r="B1355">
        <v>969.29</v>
      </c>
    </row>
    <row r="1356" spans="1:2" x14ac:dyDescent="0.3">
      <c r="A1356" s="1">
        <v>45821</v>
      </c>
      <c r="B1356">
        <v>956.42</v>
      </c>
    </row>
    <row r="1357" spans="1:2" x14ac:dyDescent="0.3">
      <c r="A1357" s="1">
        <v>45824</v>
      </c>
      <c r="B1357">
        <v>965.3</v>
      </c>
    </row>
    <row r="1358" spans="1:2" x14ac:dyDescent="0.3">
      <c r="A1358" s="1">
        <v>45825</v>
      </c>
      <c r="B1358">
        <v>962.41</v>
      </c>
    </row>
    <row r="1359" spans="1:2" x14ac:dyDescent="0.3">
      <c r="A1359" s="1">
        <v>45826</v>
      </c>
      <c r="B1359">
        <v>964.55</v>
      </c>
    </row>
    <row r="1360" spans="1:2" x14ac:dyDescent="0.3">
      <c r="A1360" s="1">
        <v>45827</v>
      </c>
      <c r="B1360">
        <v>965.25</v>
      </c>
    </row>
    <row r="1361" spans="1:2" x14ac:dyDescent="0.3">
      <c r="A1361" s="1">
        <v>45828</v>
      </c>
      <c r="B1361">
        <v>979.91</v>
      </c>
    </row>
    <row r="1362" spans="1:2" x14ac:dyDescent="0.3">
      <c r="A1362" s="1">
        <v>45831</v>
      </c>
      <c r="B1362">
        <v>971.78</v>
      </c>
    </row>
    <row r="1363" spans="1:2" x14ac:dyDescent="0.3">
      <c r="A1363" s="1">
        <v>45832</v>
      </c>
      <c r="B1363">
        <v>978.02</v>
      </c>
    </row>
    <row r="1364" spans="1:2" x14ac:dyDescent="0.3">
      <c r="A1364" s="1">
        <v>45833</v>
      </c>
      <c r="B1364">
        <v>987.64</v>
      </c>
    </row>
    <row r="1365" spans="1:2" x14ac:dyDescent="0.3">
      <c r="A1365" s="1">
        <v>45834</v>
      </c>
      <c r="B1365" s="2">
        <v>1008.39</v>
      </c>
    </row>
    <row r="1366" spans="1:2" x14ac:dyDescent="0.3">
      <c r="A1366" s="1">
        <v>45835</v>
      </c>
      <c r="B1366" s="2">
        <v>1004.95</v>
      </c>
    </row>
    <row r="1367" spans="1:2" x14ac:dyDescent="0.3">
      <c r="A1367" s="1">
        <v>45838</v>
      </c>
      <c r="B1367">
        <v>998.27</v>
      </c>
    </row>
    <row r="1368" spans="1:2" x14ac:dyDescent="0.3">
      <c r="A1368" s="1">
        <v>45839</v>
      </c>
      <c r="B1368" s="2">
        <v>1003.55</v>
      </c>
    </row>
    <row r="1369" spans="1:2" x14ac:dyDescent="0.3">
      <c r="A1369" s="1">
        <v>45840</v>
      </c>
      <c r="B1369">
        <v>990.54</v>
      </c>
    </row>
    <row r="1370" spans="1:2" x14ac:dyDescent="0.3">
      <c r="A1370" s="1">
        <v>45841</v>
      </c>
      <c r="B1370">
        <v>991.08</v>
      </c>
    </row>
    <row r="1371" spans="1:2" x14ac:dyDescent="0.3">
      <c r="A1371" s="1">
        <v>45842</v>
      </c>
      <c r="B1371">
        <v>992.18</v>
      </c>
    </row>
    <row r="1372" spans="1:2" x14ac:dyDescent="0.3">
      <c r="A1372" s="1">
        <v>45845</v>
      </c>
      <c r="B1372">
        <v>991.23</v>
      </c>
    </row>
    <row r="1373" spans="1:2" x14ac:dyDescent="0.3">
      <c r="A1373" s="1">
        <v>45846</v>
      </c>
      <c r="B1373">
        <v>998.22</v>
      </c>
    </row>
    <row r="1374" spans="1:2" x14ac:dyDescent="0.3">
      <c r="A1374" s="1">
        <v>45847</v>
      </c>
      <c r="B1374" s="2">
        <v>1003.1</v>
      </c>
    </row>
    <row r="1375" spans="1:2" x14ac:dyDescent="0.3">
      <c r="A1375" s="1">
        <v>45848</v>
      </c>
      <c r="B1375" s="2">
        <v>1000.61</v>
      </c>
    </row>
    <row r="1376" spans="1:2" x14ac:dyDescent="0.3">
      <c r="A1376" s="1">
        <v>45849</v>
      </c>
      <c r="B1376">
        <v>989.39</v>
      </c>
    </row>
    <row r="1377" spans="1:2" x14ac:dyDescent="0.3">
      <c r="A1377" s="1">
        <v>45852</v>
      </c>
      <c r="B1377">
        <v>989.04</v>
      </c>
    </row>
    <row r="1378" spans="1:2" x14ac:dyDescent="0.3">
      <c r="A1378" s="1">
        <v>45853</v>
      </c>
      <c r="B1378">
        <v>995.27</v>
      </c>
    </row>
    <row r="1379" spans="1:2" x14ac:dyDescent="0.3">
      <c r="A1379" s="1">
        <v>45854</v>
      </c>
      <c r="B1379">
        <v>995.67</v>
      </c>
    </row>
    <row r="1380" spans="1:2" x14ac:dyDescent="0.3">
      <c r="A1380" s="1">
        <v>45855</v>
      </c>
      <c r="B1380">
        <v>990.98</v>
      </c>
    </row>
    <row r="1381" spans="1:2" x14ac:dyDescent="0.3">
      <c r="A1381" s="1">
        <v>45856</v>
      </c>
      <c r="B1381">
        <v>976.27</v>
      </c>
    </row>
    <row r="1382" spans="1:2" x14ac:dyDescent="0.3">
      <c r="A1382" s="1">
        <v>45859</v>
      </c>
      <c r="B1382">
        <v>997.77</v>
      </c>
    </row>
    <row r="1383" spans="1:2" x14ac:dyDescent="0.3">
      <c r="A1383" s="1">
        <v>45860</v>
      </c>
      <c r="B1383" s="2">
        <v>1001.06</v>
      </c>
    </row>
    <row r="1384" spans="1:2" x14ac:dyDescent="0.3">
      <c r="A1384" s="1">
        <v>45861</v>
      </c>
      <c r="B1384" s="2">
        <v>1009.64</v>
      </c>
    </row>
    <row r="1385" spans="1:2" x14ac:dyDescent="0.3">
      <c r="A1385" s="1">
        <v>45862</v>
      </c>
      <c r="B1385" s="2">
        <v>1004.6</v>
      </c>
    </row>
    <row r="1386" spans="1:2" x14ac:dyDescent="0.3">
      <c r="A1386" s="1">
        <v>45863</v>
      </c>
      <c r="B1386" s="2">
        <v>1002.3</v>
      </c>
    </row>
    <row r="1387" spans="1:2" x14ac:dyDescent="0.3">
      <c r="A1387" s="1">
        <v>45866</v>
      </c>
      <c r="B1387" s="2">
        <v>1004.25</v>
      </c>
    </row>
    <row r="1388" spans="1:2" x14ac:dyDescent="0.3">
      <c r="A1388" s="1">
        <v>45867</v>
      </c>
      <c r="B1388" s="2">
        <v>1010.8</v>
      </c>
    </row>
    <row r="1389" spans="1:2" x14ac:dyDescent="0.3">
      <c r="A1389" s="1">
        <v>45868</v>
      </c>
      <c r="B1389" s="2">
        <v>1012.9</v>
      </c>
    </row>
    <row r="1390" spans="1:2" x14ac:dyDescent="0.3">
      <c r="A1390" s="1">
        <v>45869</v>
      </c>
      <c r="B1390" s="2">
        <v>1009.1</v>
      </c>
    </row>
    <row r="1391" spans="1:2" x14ac:dyDescent="0.3">
      <c r="A1391" s="1">
        <v>45870</v>
      </c>
      <c r="B1391" s="2">
        <v>1006.1</v>
      </c>
    </row>
    <row r="1392" spans="1:2" x14ac:dyDescent="0.3">
      <c r="A1392" s="1">
        <v>45873</v>
      </c>
      <c r="B1392">
        <v>996</v>
      </c>
    </row>
    <row r="1393" spans="1:2" x14ac:dyDescent="0.3">
      <c r="A1393" s="1">
        <v>45874</v>
      </c>
      <c r="B1393">
        <v>988.8</v>
      </c>
    </row>
    <row r="1394" spans="1:2" x14ac:dyDescent="0.3">
      <c r="A1394" s="1">
        <v>45875</v>
      </c>
      <c r="B1394">
        <v>992.65</v>
      </c>
    </row>
    <row r="1395" spans="1:2" x14ac:dyDescent="0.3">
      <c r="A1395" s="1">
        <v>45876</v>
      </c>
      <c r="B1395">
        <v>997.7</v>
      </c>
    </row>
    <row r="1396" spans="1:2" x14ac:dyDescent="0.3">
      <c r="A1396" s="1">
        <v>45877</v>
      </c>
      <c r="B1396">
        <v>986.95</v>
      </c>
    </row>
    <row r="1397" spans="1:2" x14ac:dyDescent="0.3">
      <c r="A1397" s="1">
        <v>45880</v>
      </c>
      <c r="B1397">
        <v>997.8</v>
      </c>
    </row>
    <row r="1398" spans="1:2" x14ac:dyDescent="0.3">
      <c r="A1398" s="1">
        <v>45881</v>
      </c>
      <c r="B1398">
        <v>984.95</v>
      </c>
    </row>
    <row r="1399" spans="1:2" x14ac:dyDescent="0.3">
      <c r="A1399" s="1">
        <v>45882</v>
      </c>
      <c r="B1399">
        <v>990.15</v>
      </c>
    </row>
    <row r="1400" spans="1:2" x14ac:dyDescent="0.3">
      <c r="A1400" s="1">
        <v>45883</v>
      </c>
      <c r="B1400">
        <v>995.55</v>
      </c>
    </row>
    <row r="1401" spans="1:2" x14ac:dyDescent="0.3">
      <c r="A1401" s="1">
        <v>45887</v>
      </c>
      <c r="B1401" s="2">
        <v>1001.8</v>
      </c>
    </row>
    <row r="1402" spans="1:2" x14ac:dyDescent="0.3">
      <c r="A1402" s="1">
        <v>45888</v>
      </c>
      <c r="B1402">
        <v>995.55</v>
      </c>
    </row>
    <row r="1403" spans="1:2" x14ac:dyDescent="0.3">
      <c r="A1403" s="1">
        <v>45889</v>
      </c>
      <c r="B1403">
        <v>994.1</v>
      </c>
    </row>
    <row r="1404" spans="1:2" x14ac:dyDescent="0.3">
      <c r="A1404" s="1">
        <v>45890</v>
      </c>
      <c r="B1404">
        <v>995.6</v>
      </c>
    </row>
    <row r="1405" spans="1:2" x14ac:dyDescent="0.3">
      <c r="A1405" s="1">
        <v>45891</v>
      </c>
      <c r="B1405">
        <v>982.3</v>
      </c>
    </row>
    <row r="1406" spans="1:2" x14ac:dyDescent="0.3">
      <c r="A1406" s="1">
        <v>45894</v>
      </c>
      <c r="B1406">
        <v>982.05</v>
      </c>
    </row>
    <row r="1407" spans="1:2" x14ac:dyDescent="0.3">
      <c r="A1407" s="1">
        <v>45895</v>
      </c>
      <c r="B1407">
        <v>973.4</v>
      </c>
    </row>
    <row r="1408" spans="1:2" x14ac:dyDescent="0.3">
      <c r="A1408" s="1">
        <v>45897</v>
      </c>
      <c r="B1408">
        <v>957.8</v>
      </c>
    </row>
    <row r="1409" spans="1:2" x14ac:dyDescent="0.3">
      <c r="A1409" s="1">
        <v>45898</v>
      </c>
      <c r="B1409">
        <v>951.6</v>
      </c>
    </row>
    <row r="1410" spans="1:2" x14ac:dyDescent="0.3">
      <c r="A1410" s="1">
        <v>45901</v>
      </c>
      <c r="B1410">
        <v>950.6</v>
      </c>
    </row>
    <row r="1411" spans="1:2" x14ac:dyDescent="0.3">
      <c r="A1411" s="1">
        <v>45902</v>
      </c>
      <c r="B1411">
        <v>944.5</v>
      </c>
    </row>
    <row r="1412" spans="1:2" x14ac:dyDescent="0.3">
      <c r="A1412" s="1">
        <v>45903</v>
      </c>
      <c r="B1412">
        <v>954.45</v>
      </c>
    </row>
    <row r="1413" spans="1:2" x14ac:dyDescent="0.3">
      <c r="A1413" s="1">
        <v>45904</v>
      </c>
      <c r="B1413">
        <v>961.25</v>
      </c>
    </row>
    <row r="1414" spans="1:2" x14ac:dyDescent="0.3">
      <c r="A1414" s="1">
        <v>45905</v>
      </c>
      <c r="B1414">
        <v>963.4</v>
      </c>
    </row>
    <row r="1415" spans="1:2" x14ac:dyDescent="0.3">
      <c r="A1415" s="1">
        <v>45908</v>
      </c>
      <c r="B1415">
        <v>966</v>
      </c>
    </row>
    <row r="1416" spans="1:2" x14ac:dyDescent="0.3">
      <c r="A1416" s="1">
        <v>45909</v>
      </c>
      <c r="B1416">
        <v>965.15</v>
      </c>
    </row>
    <row r="1417" spans="1:2" x14ac:dyDescent="0.3">
      <c r="A1417" s="1">
        <v>45910</v>
      </c>
      <c r="B1417">
        <v>965.9</v>
      </c>
    </row>
    <row r="1418" spans="1:2" x14ac:dyDescent="0.3">
      <c r="A1418" s="1">
        <v>45911</v>
      </c>
      <c r="B1418">
        <v>967.8</v>
      </c>
    </row>
    <row r="1419" spans="1:2" x14ac:dyDescent="0.3">
      <c r="A1419" s="1">
        <v>45912</v>
      </c>
      <c r="B1419">
        <v>967.3</v>
      </c>
    </row>
    <row r="1420" spans="1:2" x14ac:dyDescent="0.3">
      <c r="A1420" s="1">
        <v>45915</v>
      </c>
      <c r="B1420">
        <v>967.05</v>
      </c>
    </row>
    <row r="1421" spans="1:2" x14ac:dyDescent="0.3">
      <c r="A1421" s="1">
        <v>45916</v>
      </c>
      <c r="B1421">
        <v>966.85</v>
      </c>
    </row>
    <row r="1422" spans="1:2" x14ac:dyDescent="0.3">
      <c r="A1422" s="1">
        <v>45917</v>
      </c>
      <c r="B1422">
        <v>966.5</v>
      </c>
    </row>
    <row r="1423" spans="1:2" x14ac:dyDescent="0.3">
      <c r="A1423" s="1">
        <v>45918</v>
      </c>
      <c r="B1423">
        <v>976.9</v>
      </c>
    </row>
    <row r="1424" spans="1:2" x14ac:dyDescent="0.3">
      <c r="A1424" s="1">
        <v>45919</v>
      </c>
      <c r="B1424">
        <v>966.9</v>
      </c>
    </row>
    <row r="1425" spans="1:2" x14ac:dyDescent="0.3">
      <c r="A1425" s="1">
        <v>45922</v>
      </c>
      <c r="B1425">
        <v>964.2</v>
      </c>
    </row>
    <row r="1426" spans="1:2" x14ac:dyDescent="0.3">
      <c r="A1426" s="1">
        <v>45923</v>
      </c>
      <c r="B1426">
        <v>957.2</v>
      </c>
    </row>
    <row r="1427" spans="1:2" x14ac:dyDescent="0.3">
      <c r="A1427" s="1">
        <v>45924</v>
      </c>
      <c r="B1427">
        <v>951.05</v>
      </c>
    </row>
    <row r="1428" spans="1:2" x14ac:dyDescent="0.3">
      <c r="A1428" s="1">
        <v>45925</v>
      </c>
      <c r="B1428">
        <v>949.85</v>
      </c>
    </row>
    <row r="1429" spans="1:2" x14ac:dyDescent="0.3">
      <c r="A1429" s="1">
        <v>45926</v>
      </c>
      <c r="B1429">
        <v>945.05</v>
      </c>
    </row>
    <row r="1430" spans="1:2" x14ac:dyDescent="0.3">
      <c r="A1430" s="1">
        <v>45929</v>
      </c>
      <c r="B1430">
        <v>950.3</v>
      </c>
    </row>
    <row r="1431" spans="1:2" x14ac:dyDescent="0.3">
      <c r="A1431" s="1">
        <v>45930</v>
      </c>
      <c r="B1431">
        <v>951</v>
      </c>
    </row>
    <row r="1432" spans="1:2" x14ac:dyDescent="0.3">
      <c r="A1432" s="1">
        <v>45931</v>
      </c>
      <c r="B1432">
        <v>965.25</v>
      </c>
    </row>
    <row r="1433" spans="1:2" x14ac:dyDescent="0.3">
      <c r="A1433" s="1">
        <v>45933</v>
      </c>
      <c r="B1433">
        <v>965.15</v>
      </c>
    </row>
    <row r="1434" spans="1:2" x14ac:dyDescent="0.3">
      <c r="A1434" s="1">
        <v>45936</v>
      </c>
      <c r="B1434">
        <v>973.45</v>
      </c>
    </row>
    <row r="1435" spans="1:2" x14ac:dyDescent="0.3">
      <c r="A1435" s="1">
        <v>45937</v>
      </c>
      <c r="B1435">
        <v>982.5</v>
      </c>
    </row>
    <row r="1436" spans="1:2" x14ac:dyDescent="0.3">
      <c r="A1436" s="1">
        <v>45938</v>
      </c>
      <c r="B1436">
        <v>978.7</v>
      </c>
    </row>
    <row r="1437" spans="1:2" x14ac:dyDescent="0.3">
      <c r="A1437" s="1">
        <v>45939</v>
      </c>
      <c r="B1437">
        <v>977.1</v>
      </c>
    </row>
    <row r="1438" spans="1:2" x14ac:dyDescent="0.3">
      <c r="A1438" s="1">
        <v>45940</v>
      </c>
      <c r="B1438">
        <v>980.9</v>
      </c>
    </row>
    <row r="1439" spans="1:2" x14ac:dyDescent="0.3">
      <c r="A1439" s="1">
        <v>45943</v>
      </c>
      <c r="B1439">
        <v>977</v>
      </c>
    </row>
    <row r="1440" spans="1:2" x14ac:dyDescent="0.3">
      <c r="A1440" s="1">
        <v>45944</v>
      </c>
      <c r="B1440">
        <v>977.15</v>
      </c>
    </row>
    <row r="1441" spans="1:2" x14ac:dyDescent="0.3">
      <c r="A1441" s="1">
        <v>45945</v>
      </c>
      <c r="B1441">
        <v>978.25</v>
      </c>
    </row>
    <row r="1442" spans="1:2" x14ac:dyDescent="0.3">
      <c r="A1442" s="1">
        <v>45946</v>
      </c>
      <c r="B1442">
        <v>994.35</v>
      </c>
    </row>
    <row r="1443" spans="1:2" x14ac:dyDescent="0.3">
      <c r="A1443" s="1">
        <v>45947</v>
      </c>
      <c r="B1443" s="2">
        <v>1002.55</v>
      </c>
    </row>
    <row r="1444" spans="1:2" x14ac:dyDescent="0.3">
      <c r="A1444" s="1">
        <v>45950</v>
      </c>
      <c r="B1444" s="2">
        <v>1002.95</v>
      </c>
    </row>
    <row r="1445" spans="1:2" x14ac:dyDescent="0.3">
      <c r="A1445" s="1">
        <v>45951</v>
      </c>
      <c r="B1445" s="2">
        <v>1007.7</v>
      </c>
    </row>
    <row r="1446" spans="1:2" x14ac:dyDescent="0.3">
      <c r="A1446" s="1">
        <v>45953</v>
      </c>
      <c r="B1446" s="2">
        <v>1008.8</v>
      </c>
    </row>
    <row r="1447" spans="1:2" x14ac:dyDescent="0.3">
      <c r="A1447" s="1">
        <v>45954</v>
      </c>
      <c r="B1447">
        <v>994.75</v>
      </c>
    </row>
    <row r="1448" spans="1:2" x14ac:dyDescent="0.3">
      <c r="A1448" s="1">
        <v>45957</v>
      </c>
      <c r="B1448" s="2">
        <v>1002.95</v>
      </c>
    </row>
    <row r="1449" spans="1:2" x14ac:dyDescent="0.3">
      <c r="A1449" s="1">
        <v>45958</v>
      </c>
      <c r="B1449" s="2">
        <v>1003.55</v>
      </c>
    </row>
    <row r="1450" spans="1:2" x14ac:dyDescent="0.3">
      <c r="A1450" s="1">
        <v>45959</v>
      </c>
      <c r="B1450" s="2">
        <v>1007.85</v>
      </c>
    </row>
    <row r="1451" spans="1:2" x14ac:dyDescent="0.3">
      <c r="A1451" s="1">
        <v>45960</v>
      </c>
      <c r="B1451">
        <v>998.15</v>
      </c>
    </row>
    <row r="1452" spans="1:2" x14ac:dyDescent="0.3">
      <c r="A1452" s="1">
        <v>45961</v>
      </c>
      <c r="B1452">
        <v>987.3</v>
      </c>
    </row>
    <row r="1453" spans="1:2" x14ac:dyDescent="0.3">
      <c r="A1453" s="1">
        <v>45964</v>
      </c>
      <c r="B1453">
        <v>992.65</v>
      </c>
    </row>
    <row r="1454" spans="1:2" x14ac:dyDescent="0.3">
      <c r="A1454" s="1">
        <v>45965</v>
      </c>
      <c r="B1454">
        <v>985.25</v>
      </c>
    </row>
    <row r="1455" spans="1:2" x14ac:dyDescent="0.3">
      <c r="A1455" s="1">
        <v>45967</v>
      </c>
      <c r="B1455">
        <v>984.65</v>
      </c>
    </row>
    <row r="1456" spans="1:2" x14ac:dyDescent="0.3">
      <c r="A1456" s="1">
        <v>45968</v>
      </c>
      <c r="B1456">
        <v>982.3</v>
      </c>
    </row>
    <row r="1457" spans="1:2" x14ac:dyDescent="0.3">
      <c r="A1457" s="1">
        <v>45971</v>
      </c>
      <c r="B1457">
        <v>984.5</v>
      </c>
    </row>
    <row r="1458" spans="1:2" x14ac:dyDescent="0.3">
      <c r="A1458" s="1">
        <v>45972</v>
      </c>
      <c r="B1458">
        <v>991.7</v>
      </c>
    </row>
    <row r="1459" spans="1:2" x14ac:dyDescent="0.3">
      <c r="A1459" s="1">
        <v>45973</v>
      </c>
      <c r="B1459">
        <v>989.5</v>
      </c>
    </row>
    <row r="1460" spans="1:2" x14ac:dyDescent="0.3">
      <c r="A1460" s="1">
        <v>45974</v>
      </c>
      <c r="B1460">
        <v>986.65</v>
      </c>
    </row>
    <row r="1461" spans="1:2" x14ac:dyDescent="0.3">
      <c r="A1461" s="1">
        <v>45975</v>
      </c>
      <c r="B1461">
        <v>989.6</v>
      </c>
    </row>
    <row r="1462" spans="1:2" x14ac:dyDescent="0.3">
      <c r="A1462" s="1">
        <v>45978</v>
      </c>
      <c r="B1462">
        <v>996.55</v>
      </c>
    </row>
    <row r="1463" spans="1:2" x14ac:dyDescent="0.3">
      <c r="A1463" s="1">
        <v>45979</v>
      </c>
      <c r="B1463">
        <v>992.45</v>
      </c>
    </row>
    <row r="1464" spans="1:2" x14ac:dyDescent="0.3">
      <c r="A1464" s="1">
        <v>45980</v>
      </c>
      <c r="B1464">
        <v>994.6</v>
      </c>
    </row>
    <row r="1465" spans="1:2" x14ac:dyDescent="0.3">
      <c r="A1465" s="1">
        <v>45981</v>
      </c>
      <c r="B1465" s="2">
        <v>1008.85</v>
      </c>
    </row>
    <row r="1466" spans="1:2" x14ac:dyDescent="0.3">
      <c r="A1466" s="1">
        <v>45982</v>
      </c>
      <c r="B1466">
        <v>998.05</v>
      </c>
    </row>
    <row r="1467" spans="1:2" x14ac:dyDescent="0.3">
      <c r="A1467" s="1">
        <v>45985</v>
      </c>
      <c r="B1467">
        <v>999.15</v>
      </c>
    </row>
    <row r="1468" spans="1:2" x14ac:dyDescent="0.3">
      <c r="A1468" s="1">
        <v>45986</v>
      </c>
      <c r="B1468">
        <v>989.8</v>
      </c>
    </row>
    <row r="1469" spans="1:2" x14ac:dyDescent="0.3">
      <c r="A1469" s="1">
        <v>45987</v>
      </c>
      <c r="B1469" s="2">
        <v>1003.9</v>
      </c>
    </row>
    <row r="1470" spans="1:2" x14ac:dyDescent="0.3">
      <c r="A1470" s="1">
        <v>45988</v>
      </c>
      <c r="B1470" s="2">
        <v>1009.5</v>
      </c>
    </row>
    <row r="1471" spans="1:2" x14ac:dyDescent="0.3">
      <c r="A1471" s="1">
        <v>45989</v>
      </c>
      <c r="B1471" s="2">
        <v>1007.6</v>
      </c>
    </row>
    <row r="1472" spans="1:2" x14ac:dyDescent="0.3">
      <c r="A1472" s="1">
        <v>45992</v>
      </c>
      <c r="B1472" s="2">
        <v>1002.1</v>
      </c>
    </row>
    <row r="1473" spans="1:2" x14ac:dyDescent="0.3">
      <c r="A1473" s="1">
        <v>45993</v>
      </c>
      <c r="B1473">
        <v>989.8</v>
      </c>
    </row>
    <row r="1474" spans="1:2" x14ac:dyDescent="0.3">
      <c r="A1474" s="1">
        <v>45994</v>
      </c>
      <c r="B1474" s="2">
        <v>1000.5</v>
      </c>
    </row>
    <row r="1475" spans="1:2" x14ac:dyDescent="0.3">
      <c r="A1475" s="1">
        <v>45995</v>
      </c>
      <c r="B1475">
        <v>997.2</v>
      </c>
    </row>
    <row r="1476" spans="1:2" x14ac:dyDescent="0.3">
      <c r="A1476" s="1">
        <v>45996</v>
      </c>
      <c r="B1476" s="2">
        <v>1003.3</v>
      </c>
    </row>
    <row r="1477" spans="1:2" x14ac:dyDescent="0.3">
      <c r="A1477" s="1">
        <v>45999</v>
      </c>
      <c r="B1477" s="2">
        <v>1003.1</v>
      </c>
    </row>
    <row r="1478" spans="1:2" x14ac:dyDescent="0.3">
      <c r="A1478" s="1">
        <v>46000</v>
      </c>
      <c r="B1478">
        <v>997.1</v>
      </c>
    </row>
    <row r="1479" spans="1:2" x14ac:dyDescent="0.3">
      <c r="A1479" s="1">
        <v>46001</v>
      </c>
      <c r="B1479">
        <v>989.8</v>
      </c>
    </row>
    <row r="1480" spans="1:2" x14ac:dyDescent="0.3">
      <c r="A1480" s="1">
        <v>46002</v>
      </c>
      <c r="B1480" s="2">
        <v>1000.3</v>
      </c>
    </row>
    <row r="1481" spans="1:2" x14ac:dyDescent="0.3">
      <c r="A1481" s="1">
        <v>46003</v>
      </c>
      <c r="B1481" s="2">
        <v>1001.5</v>
      </c>
    </row>
    <row r="1482" spans="1:2" x14ac:dyDescent="0.3">
      <c r="A1482" s="1">
        <v>46006</v>
      </c>
      <c r="B1482">
        <v>996.1</v>
      </c>
    </row>
    <row r="1483" spans="1:2" x14ac:dyDescent="0.3">
      <c r="A1483" s="1">
        <v>46007</v>
      </c>
      <c r="B1483">
        <v>994.3</v>
      </c>
    </row>
    <row r="1484" spans="1:2" x14ac:dyDescent="0.3">
      <c r="A1484" s="1">
        <v>46008</v>
      </c>
      <c r="B1484">
        <v>984</v>
      </c>
    </row>
    <row r="1485" spans="1:2" x14ac:dyDescent="0.3">
      <c r="A1485" s="1">
        <v>46009</v>
      </c>
      <c r="B1485">
        <v>979.7</v>
      </c>
    </row>
    <row r="1486" spans="1:2" x14ac:dyDescent="0.3">
      <c r="A1486" s="1">
        <v>46010</v>
      </c>
      <c r="B1486">
        <v>985.5</v>
      </c>
    </row>
    <row r="1487" spans="1:2" x14ac:dyDescent="0.3">
      <c r="A1487" s="1">
        <v>46013</v>
      </c>
      <c r="B1487">
        <v>987.7</v>
      </c>
    </row>
    <row r="1488" spans="1:2" x14ac:dyDescent="0.3">
      <c r="A1488" s="1">
        <v>46014</v>
      </c>
      <c r="B1488">
        <v>996.6</v>
      </c>
    </row>
    <row r="1489" spans="1:2" x14ac:dyDescent="0.3">
      <c r="A1489" s="1">
        <v>46015</v>
      </c>
      <c r="B1489">
        <v>997.2</v>
      </c>
    </row>
    <row r="1490" spans="1:2" x14ac:dyDescent="0.3">
      <c r="A1490" s="1">
        <v>46017</v>
      </c>
      <c r="B1490">
        <v>992.1</v>
      </c>
    </row>
    <row r="1491" spans="1:2" x14ac:dyDescent="0.3">
      <c r="A1491" s="1">
        <v>46020</v>
      </c>
      <c r="B1491">
        <v>991.7</v>
      </c>
    </row>
    <row r="1492" spans="1:2" x14ac:dyDescent="0.3">
      <c r="A1492" s="1">
        <v>46021</v>
      </c>
      <c r="B1492">
        <v>990.9</v>
      </c>
    </row>
    <row r="1493" spans="1:2" x14ac:dyDescent="0.3">
      <c r="A1493" s="1">
        <v>46022</v>
      </c>
      <c r="B1493">
        <v>991.2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88DD-3AFF-4DF2-8AA0-9A763F61A0F7}">
  <dimension ref="A1:B1493"/>
  <sheetViews>
    <sheetView workbookViewId="0">
      <selection activeCell="D7" sqref="D7"/>
    </sheetView>
  </sheetViews>
  <sheetFormatPr defaultRowHeight="14.4" x14ac:dyDescent="0.3"/>
  <cols>
    <col min="1" max="1" width="10.33203125" bestFit="1" customWidth="1"/>
    <col min="2" max="2" width="8.33203125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 s="4">
        <v>238.1</v>
      </c>
    </row>
    <row r="3" spans="1:2" x14ac:dyDescent="0.3">
      <c r="A3" s="1">
        <v>43832</v>
      </c>
      <c r="B3" s="4">
        <v>239.85</v>
      </c>
    </row>
    <row r="4" spans="1:2" x14ac:dyDescent="0.3">
      <c r="A4" s="1">
        <v>43833</v>
      </c>
      <c r="B4" s="4">
        <v>238.5</v>
      </c>
    </row>
    <row r="5" spans="1:2" x14ac:dyDescent="0.3">
      <c r="A5" s="1">
        <v>43836</v>
      </c>
      <c r="B5" s="4">
        <v>235.1</v>
      </c>
    </row>
    <row r="6" spans="1:2" x14ac:dyDescent="0.3">
      <c r="A6" s="1">
        <v>43837</v>
      </c>
      <c r="B6" s="4">
        <v>235.35</v>
      </c>
    </row>
    <row r="7" spans="1:2" x14ac:dyDescent="0.3">
      <c r="A7" s="1">
        <v>43838</v>
      </c>
      <c r="B7" s="4">
        <v>234.2</v>
      </c>
    </row>
    <row r="8" spans="1:2" x14ac:dyDescent="0.3">
      <c r="A8" s="1">
        <v>43839</v>
      </c>
      <c r="B8" s="4">
        <v>235.8</v>
      </c>
    </row>
    <row r="9" spans="1:2" x14ac:dyDescent="0.3">
      <c r="A9" s="1">
        <v>43840</v>
      </c>
      <c r="B9" s="4">
        <v>238</v>
      </c>
    </row>
    <row r="10" spans="1:2" x14ac:dyDescent="0.3">
      <c r="A10" s="1">
        <v>43843</v>
      </c>
      <c r="B10" s="4">
        <v>239.25</v>
      </c>
    </row>
    <row r="11" spans="1:2" x14ac:dyDescent="0.3">
      <c r="A11" s="1">
        <v>43844</v>
      </c>
      <c r="B11" s="4">
        <v>243.25</v>
      </c>
    </row>
    <row r="12" spans="1:2" x14ac:dyDescent="0.3">
      <c r="A12" s="1">
        <v>43845</v>
      </c>
      <c r="B12" s="4">
        <v>242.4</v>
      </c>
    </row>
    <row r="13" spans="1:2" x14ac:dyDescent="0.3">
      <c r="A13" s="1">
        <v>43846</v>
      </c>
      <c r="B13" s="4">
        <v>240.75</v>
      </c>
    </row>
    <row r="14" spans="1:2" x14ac:dyDescent="0.3">
      <c r="A14" s="1">
        <v>43847</v>
      </c>
      <c r="B14" s="4">
        <v>239.95</v>
      </c>
    </row>
    <row r="15" spans="1:2" x14ac:dyDescent="0.3">
      <c r="A15" s="1">
        <v>43850</v>
      </c>
      <c r="B15" s="4">
        <v>241.9</v>
      </c>
    </row>
    <row r="16" spans="1:2" x14ac:dyDescent="0.3">
      <c r="A16" s="1">
        <v>43851</v>
      </c>
      <c r="B16" s="4">
        <v>238.45</v>
      </c>
    </row>
    <row r="17" spans="1:2" x14ac:dyDescent="0.3">
      <c r="A17" s="1">
        <v>43852</v>
      </c>
      <c r="B17" s="4">
        <v>238.05</v>
      </c>
    </row>
    <row r="18" spans="1:2" x14ac:dyDescent="0.3">
      <c r="A18" s="1">
        <v>43853</v>
      </c>
      <c r="B18" s="4">
        <v>237.9</v>
      </c>
    </row>
    <row r="19" spans="1:2" x14ac:dyDescent="0.3">
      <c r="A19" s="1">
        <v>43854</v>
      </c>
      <c r="B19" s="4">
        <v>238.15</v>
      </c>
    </row>
    <row r="20" spans="1:2" x14ac:dyDescent="0.3">
      <c r="A20" s="1">
        <v>43857</v>
      </c>
      <c r="B20" s="4">
        <v>234.6</v>
      </c>
    </row>
    <row r="21" spans="1:2" x14ac:dyDescent="0.3">
      <c r="A21" s="1">
        <v>43858</v>
      </c>
      <c r="B21" s="4">
        <v>230.75</v>
      </c>
    </row>
    <row r="22" spans="1:2" x14ac:dyDescent="0.3">
      <c r="A22" s="1">
        <v>43859</v>
      </c>
      <c r="B22" s="4">
        <v>236.65</v>
      </c>
    </row>
    <row r="23" spans="1:2" x14ac:dyDescent="0.3">
      <c r="A23" s="1">
        <v>43860</v>
      </c>
      <c r="B23" s="4">
        <v>234.05</v>
      </c>
    </row>
    <row r="24" spans="1:2" x14ac:dyDescent="0.3">
      <c r="A24" s="1">
        <v>43861</v>
      </c>
      <c r="B24" s="4">
        <v>235.15</v>
      </c>
    </row>
    <row r="25" spans="1:2" x14ac:dyDescent="0.3">
      <c r="A25" s="1">
        <v>43862</v>
      </c>
      <c r="B25" s="4">
        <v>219</v>
      </c>
    </row>
    <row r="26" spans="1:2" x14ac:dyDescent="0.3">
      <c r="A26" s="1">
        <v>43864</v>
      </c>
      <c r="B26" s="4">
        <v>207.6</v>
      </c>
    </row>
    <row r="27" spans="1:2" x14ac:dyDescent="0.3">
      <c r="A27" s="1">
        <v>43865</v>
      </c>
      <c r="B27" s="4">
        <v>215.65</v>
      </c>
    </row>
    <row r="28" spans="1:2" x14ac:dyDescent="0.3">
      <c r="A28" s="1">
        <v>43866</v>
      </c>
      <c r="B28" s="4">
        <v>216.45</v>
      </c>
    </row>
    <row r="29" spans="1:2" x14ac:dyDescent="0.3">
      <c r="A29" s="1">
        <v>43867</v>
      </c>
      <c r="B29" s="4">
        <v>213.55</v>
      </c>
    </row>
    <row r="30" spans="1:2" x14ac:dyDescent="0.3">
      <c r="A30" s="1">
        <v>43868</v>
      </c>
      <c r="B30" s="4">
        <v>213.4</v>
      </c>
    </row>
    <row r="31" spans="1:2" x14ac:dyDescent="0.3">
      <c r="A31" s="1">
        <v>43871</v>
      </c>
      <c r="B31" s="4">
        <v>210.55</v>
      </c>
    </row>
    <row r="32" spans="1:2" x14ac:dyDescent="0.3">
      <c r="A32" s="1">
        <v>43872</v>
      </c>
      <c r="B32" s="4">
        <v>212.6</v>
      </c>
    </row>
    <row r="33" spans="1:2" x14ac:dyDescent="0.3">
      <c r="A33" s="1">
        <v>43873</v>
      </c>
      <c r="B33" s="4">
        <v>213.05</v>
      </c>
    </row>
    <row r="34" spans="1:2" x14ac:dyDescent="0.3">
      <c r="A34" s="1">
        <v>43874</v>
      </c>
      <c r="B34" s="4">
        <v>211.9</v>
      </c>
    </row>
    <row r="35" spans="1:2" x14ac:dyDescent="0.3">
      <c r="A35" s="1">
        <v>43875</v>
      </c>
      <c r="B35" s="4">
        <v>207.7</v>
      </c>
    </row>
    <row r="36" spans="1:2" x14ac:dyDescent="0.3">
      <c r="A36" s="1">
        <v>43878</v>
      </c>
      <c r="B36" s="4">
        <v>204.8</v>
      </c>
    </row>
    <row r="37" spans="1:2" x14ac:dyDescent="0.3">
      <c r="A37" s="1">
        <v>43879</v>
      </c>
      <c r="B37" s="4">
        <v>203.85</v>
      </c>
    </row>
    <row r="38" spans="1:2" x14ac:dyDescent="0.3">
      <c r="A38" s="1">
        <v>43880</v>
      </c>
      <c r="B38" s="4">
        <v>206.7</v>
      </c>
    </row>
    <row r="39" spans="1:2" x14ac:dyDescent="0.3">
      <c r="A39" s="1">
        <v>43881</v>
      </c>
      <c r="B39" s="4">
        <v>207.45</v>
      </c>
    </row>
    <row r="40" spans="1:2" x14ac:dyDescent="0.3">
      <c r="A40" s="1">
        <v>43885</v>
      </c>
      <c r="B40" s="4">
        <v>203</v>
      </c>
    </row>
    <row r="41" spans="1:2" x14ac:dyDescent="0.3">
      <c r="A41" s="1">
        <v>43886</v>
      </c>
      <c r="B41" s="4">
        <v>201.8</v>
      </c>
    </row>
    <row r="42" spans="1:2" x14ac:dyDescent="0.3">
      <c r="A42" s="1">
        <v>43887</v>
      </c>
      <c r="B42" s="4">
        <v>198.6</v>
      </c>
    </row>
    <row r="43" spans="1:2" x14ac:dyDescent="0.3">
      <c r="A43" s="1">
        <v>43888</v>
      </c>
      <c r="B43" s="4">
        <v>197.55</v>
      </c>
    </row>
    <row r="44" spans="1:2" x14ac:dyDescent="0.3">
      <c r="A44" s="1">
        <v>43889</v>
      </c>
      <c r="B44" s="4">
        <v>197.55</v>
      </c>
    </row>
    <row r="45" spans="1:2" x14ac:dyDescent="0.3">
      <c r="A45" s="1">
        <v>43892</v>
      </c>
      <c r="B45" s="4">
        <v>195.3</v>
      </c>
    </row>
    <row r="46" spans="1:2" x14ac:dyDescent="0.3">
      <c r="A46" s="1">
        <v>43893</v>
      </c>
      <c r="B46" s="4">
        <v>193.85</v>
      </c>
    </row>
    <row r="47" spans="1:2" x14ac:dyDescent="0.3">
      <c r="A47" s="1">
        <v>43894</v>
      </c>
      <c r="B47" s="4">
        <v>187.5</v>
      </c>
    </row>
    <row r="48" spans="1:2" x14ac:dyDescent="0.3">
      <c r="A48" s="1">
        <v>43895</v>
      </c>
      <c r="B48" s="4">
        <v>188.05</v>
      </c>
    </row>
    <row r="49" spans="1:2" x14ac:dyDescent="0.3">
      <c r="A49" s="1">
        <v>43896</v>
      </c>
      <c r="B49" s="4">
        <v>181.75</v>
      </c>
    </row>
    <row r="50" spans="1:2" x14ac:dyDescent="0.3">
      <c r="A50" s="1">
        <v>43899</v>
      </c>
      <c r="B50" s="4">
        <v>177.2</v>
      </c>
    </row>
    <row r="51" spans="1:2" x14ac:dyDescent="0.3">
      <c r="A51" s="1">
        <v>43901</v>
      </c>
      <c r="B51" s="4">
        <v>175.65</v>
      </c>
    </row>
    <row r="52" spans="1:2" x14ac:dyDescent="0.3">
      <c r="A52" s="1">
        <v>43902</v>
      </c>
      <c r="B52" s="4">
        <v>155.80000000000001</v>
      </c>
    </row>
    <row r="53" spans="1:2" x14ac:dyDescent="0.3">
      <c r="A53" s="1">
        <v>43903</v>
      </c>
      <c r="B53" s="4">
        <v>162.25</v>
      </c>
    </row>
    <row r="54" spans="1:2" x14ac:dyDescent="0.3">
      <c r="A54" s="1">
        <v>43906</v>
      </c>
      <c r="B54" s="4">
        <v>147.25</v>
      </c>
    </row>
    <row r="55" spans="1:2" x14ac:dyDescent="0.3">
      <c r="A55" s="1">
        <v>43907</v>
      </c>
      <c r="B55" s="4">
        <v>149.15</v>
      </c>
    </row>
    <row r="56" spans="1:2" x14ac:dyDescent="0.3">
      <c r="A56" s="1">
        <v>43908</v>
      </c>
      <c r="B56" s="4">
        <v>150.69999999999999</v>
      </c>
    </row>
    <row r="57" spans="1:2" x14ac:dyDescent="0.3">
      <c r="A57" s="1">
        <v>43909</v>
      </c>
      <c r="B57" s="4">
        <v>161.85</v>
      </c>
    </row>
    <row r="58" spans="1:2" x14ac:dyDescent="0.3">
      <c r="A58" s="1">
        <v>43910</v>
      </c>
      <c r="B58" s="4">
        <v>175.5</v>
      </c>
    </row>
    <row r="59" spans="1:2" x14ac:dyDescent="0.3">
      <c r="A59" s="1">
        <v>43913</v>
      </c>
      <c r="B59" s="4">
        <v>154.30000000000001</v>
      </c>
    </row>
    <row r="60" spans="1:2" x14ac:dyDescent="0.3">
      <c r="A60" s="1">
        <v>43914</v>
      </c>
      <c r="B60" s="4">
        <v>149.69999999999999</v>
      </c>
    </row>
    <row r="61" spans="1:2" x14ac:dyDescent="0.3">
      <c r="A61" s="1">
        <v>43915</v>
      </c>
      <c r="B61" s="4">
        <v>147.35</v>
      </c>
    </row>
    <row r="62" spans="1:2" x14ac:dyDescent="0.3">
      <c r="A62" s="1">
        <v>43916</v>
      </c>
      <c r="B62" s="4">
        <v>156.4</v>
      </c>
    </row>
    <row r="63" spans="1:2" x14ac:dyDescent="0.3">
      <c r="A63" s="1">
        <v>43917</v>
      </c>
      <c r="B63" s="4">
        <v>163.19999999999999</v>
      </c>
    </row>
    <row r="64" spans="1:2" x14ac:dyDescent="0.3">
      <c r="A64" s="1">
        <v>43920</v>
      </c>
      <c r="B64" s="4">
        <v>159.19999999999999</v>
      </c>
    </row>
    <row r="65" spans="1:2" x14ac:dyDescent="0.3">
      <c r="A65" s="1">
        <v>43921</v>
      </c>
      <c r="B65" s="4">
        <v>171.7</v>
      </c>
    </row>
    <row r="66" spans="1:2" x14ac:dyDescent="0.3">
      <c r="A66" s="1">
        <v>43922</v>
      </c>
      <c r="B66" s="4">
        <v>166.4</v>
      </c>
    </row>
    <row r="67" spans="1:2" x14ac:dyDescent="0.3">
      <c r="A67" s="1">
        <v>43924</v>
      </c>
      <c r="B67" s="4">
        <v>177.9</v>
      </c>
    </row>
    <row r="68" spans="1:2" x14ac:dyDescent="0.3">
      <c r="A68" s="1">
        <v>43928</v>
      </c>
      <c r="B68" s="4">
        <v>181.55</v>
      </c>
    </row>
    <row r="69" spans="1:2" x14ac:dyDescent="0.3">
      <c r="A69" s="1">
        <v>43929</v>
      </c>
      <c r="B69" s="4">
        <v>178.65</v>
      </c>
    </row>
    <row r="70" spans="1:2" x14ac:dyDescent="0.3">
      <c r="A70" s="1">
        <v>43930</v>
      </c>
      <c r="B70" s="4">
        <v>185.25</v>
      </c>
    </row>
    <row r="71" spans="1:2" x14ac:dyDescent="0.3">
      <c r="A71" s="1">
        <v>43934</v>
      </c>
      <c r="B71" s="4">
        <v>181.6</v>
      </c>
    </row>
    <row r="72" spans="1:2" x14ac:dyDescent="0.3">
      <c r="A72" s="1">
        <v>43936</v>
      </c>
      <c r="B72" s="4">
        <v>189.35</v>
      </c>
    </row>
    <row r="73" spans="1:2" x14ac:dyDescent="0.3">
      <c r="A73" s="1">
        <v>43937</v>
      </c>
      <c r="B73" s="4">
        <v>186.35</v>
      </c>
    </row>
    <row r="74" spans="1:2" x14ac:dyDescent="0.3">
      <c r="A74" s="1">
        <v>43938</v>
      </c>
      <c r="B74" s="4">
        <v>188.1</v>
      </c>
    </row>
    <row r="75" spans="1:2" x14ac:dyDescent="0.3">
      <c r="A75" s="1">
        <v>43941</v>
      </c>
      <c r="B75" s="4">
        <v>180.7</v>
      </c>
    </row>
    <row r="76" spans="1:2" x14ac:dyDescent="0.3">
      <c r="A76" s="1">
        <v>43942</v>
      </c>
      <c r="B76" s="4">
        <v>179.6</v>
      </c>
    </row>
    <row r="77" spans="1:2" x14ac:dyDescent="0.3">
      <c r="A77" s="1">
        <v>43943</v>
      </c>
      <c r="B77" s="4">
        <v>182.25</v>
      </c>
    </row>
    <row r="78" spans="1:2" x14ac:dyDescent="0.3">
      <c r="A78" s="1">
        <v>43944</v>
      </c>
      <c r="B78" s="4">
        <v>180.55</v>
      </c>
    </row>
    <row r="79" spans="1:2" x14ac:dyDescent="0.3">
      <c r="A79" s="1">
        <v>43945</v>
      </c>
      <c r="B79" s="4">
        <v>180.05</v>
      </c>
    </row>
    <row r="80" spans="1:2" x14ac:dyDescent="0.3">
      <c r="A80" s="1">
        <v>43948</v>
      </c>
      <c r="B80" s="4">
        <v>179.85</v>
      </c>
    </row>
    <row r="81" spans="1:2" x14ac:dyDescent="0.3">
      <c r="A81" s="1">
        <v>43949</v>
      </c>
      <c r="B81" s="4">
        <v>179.45</v>
      </c>
    </row>
    <row r="82" spans="1:2" x14ac:dyDescent="0.3">
      <c r="A82" s="1">
        <v>43950</v>
      </c>
      <c r="B82" s="4">
        <v>182.15</v>
      </c>
    </row>
    <row r="83" spans="1:2" x14ac:dyDescent="0.3">
      <c r="A83" s="1">
        <v>43951</v>
      </c>
      <c r="B83" s="4">
        <v>182.05</v>
      </c>
    </row>
    <row r="84" spans="1:2" x14ac:dyDescent="0.3">
      <c r="A84" s="1">
        <v>43955</v>
      </c>
      <c r="B84" s="4">
        <v>174.05</v>
      </c>
    </row>
    <row r="85" spans="1:2" x14ac:dyDescent="0.3">
      <c r="A85" s="1">
        <v>43956</v>
      </c>
      <c r="B85" s="4">
        <v>173.9</v>
      </c>
    </row>
    <row r="86" spans="1:2" x14ac:dyDescent="0.3">
      <c r="A86" s="1">
        <v>43957</v>
      </c>
      <c r="B86" s="4">
        <v>163.9</v>
      </c>
    </row>
    <row r="87" spans="1:2" x14ac:dyDescent="0.3">
      <c r="A87" s="1">
        <v>43958</v>
      </c>
      <c r="B87" s="4">
        <v>161</v>
      </c>
    </row>
    <row r="88" spans="1:2" x14ac:dyDescent="0.3">
      <c r="A88" s="1">
        <v>43959</v>
      </c>
      <c r="B88" s="4">
        <v>158.25</v>
      </c>
    </row>
    <row r="89" spans="1:2" x14ac:dyDescent="0.3">
      <c r="A89" s="1">
        <v>43962</v>
      </c>
      <c r="B89" s="4">
        <v>158.44999999999999</v>
      </c>
    </row>
    <row r="90" spans="1:2" x14ac:dyDescent="0.3">
      <c r="A90" s="1">
        <v>43963</v>
      </c>
      <c r="B90" s="4">
        <v>165.05</v>
      </c>
    </row>
    <row r="91" spans="1:2" x14ac:dyDescent="0.3">
      <c r="A91" s="1">
        <v>43964</v>
      </c>
      <c r="B91" s="4">
        <v>165.4</v>
      </c>
    </row>
    <row r="92" spans="1:2" x14ac:dyDescent="0.3">
      <c r="A92" s="1">
        <v>43965</v>
      </c>
      <c r="B92" s="4">
        <v>163.80000000000001</v>
      </c>
    </row>
    <row r="93" spans="1:2" x14ac:dyDescent="0.3">
      <c r="A93" s="1">
        <v>43966</v>
      </c>
      <c r="B93" s="4">
        <v>164.65</v>
      </c>
    </row>
    <row r="94" spans="1:2" x14ac:dyDescent="0.3">
      <c r="A94" s="1">
        <v>43969</v>
      </c>
      <c r="B94" s="4">
        <v>164.75</v>
      </c>
    </row>
    <row r="95" spans="1:2" x14ac:dyDescent="0.3">
      <c r="A95" s="1">
        <v>43970</v>
      </c>
      <c r="B95" s="4">
        <v>170.75</v>
      </c>
    </row>
    <row r="96" spans="1:2" x14ac:dyDescent="0.3">
      <c r="A96" s="1">
        <v>43971</v>
      </c>
      <c r="B96" s="4">
        <v>175.75</v>
      </c>
    </row>
    <row r="97" spans="1:2" x14ac:dyDescent="0.3">
      <c r="A97" s="1">
        <v>43972</v>
      </c>
      <c r="B97" s="4">
        <v>188.95</v>
      </c>
    </row>
    <row r="98" spans="1:2" x14ac:dyDescent="0.3">
      <c r="A98" s="1">
        <v>43973</v>
      </c>
      <c r="B98" s="4">
        <v>186.35</v>
      </c>
    </row>
    <row r="99" spans="1:2" x14ac:dyDescent="0.3">
      <c r="A99" s="1">
        <v>43977</v>
      </c>
      <c r="B99" s="4">
        <v>191.7</v>
      </c>
    </row>
    <row r="100" spans="1:2" x14ac:dyDescent="0.3">
      <c r="A100" s="1">
        <v>43978</v>
      </c>
      <c r="B100" s="4">
        <v>192.15</v>
      </c>
    </row>
    <row r="101" spans="1:2" x14ac:dyDescent="0.3">
      <c r="A101" s="1">
        <v>43979</v>
      </c>
      <c r="B101" s="4">
        <v>190.65</v>
      </c>
    </row>
    <row r="102" spans="1:2" x14ac:dyDescent="0.3">
      <c r="A102" s="1">
        <v>43980</v>
      </c>
      <c r="B102" s="4">
        <v>197.35</v>
      </c>
    </row>
    <row r="103" spans="1:2" x14ac:dyDescent="0.3">
      <c r="A103" s="1">
        <v>43983</v>
      </c>
      <c r="B103" s="4">
        <v>200.55</v>
      </c>
    </row>
    <row r="104" spans="1:2" x14ac:dyDescent="0.3">
      <c r="A104" s="1">
        <v>43984</v>
      </c>
      <c r="B104" s="4">
        <v>197.25</v>
      </c>
    </row>
    <row r="105" spans="1:2" x14ac:dyDescent="0.3">
      <c r="A105" s="1">
        <v>43985</v>
      </c>
      <c r="B105" s="4">
        <v>196.7</v>
      </c>
    </row>
    <row r="106" spans="1:2" x14ac:dyDescent="0.3">
      <c r="A106" s="1">
        <v>43986</v>
      </c>
      <c r="B106" s="4">
        <v>200.15</v>
      </c>
    </row>
    <row r="107" spans="1:2" x14ac:dyDescent="0.3">
      <c r="A107" s="1">
        <v>43987</v>
      </c>
      <c r="B107" s="4">
        <v>200</v>
      </c>
    </row>
    <row r="108" spans="1:2" x14ac:dyDescent="0.3">
      <c r="A108" s="1">
        <v>43990</v>
      </c>
      <c r="B108" s="4">
        <v>197.65</v>
      </c>
    </row>
    <row r="109" spans="1:2" x14ac:dyDescent="0.3">
      <c r="A109" s="1">
        <v>43991</v>
      </c>
      <c r="B109" s="4">
        <v>198.5</v>
      </c>
    </row>
    <row r="110" spans="1:2" x14ac:dyDescent="0.3">
      <c r="A110" s="1">
        <v>43992</v>
      </c>
      <c r="B110" s="4">
        <v>199.05</v>
      </c>
    </row>
    <row r="111" spans="1:2" x14ac:dyDescent="0.3">
      <c r="A111" s="1">
        <v>43993</v>
      </c>
      <c r="B111" s="4">
        <v>194.25</v>
      </c>
    </row>
    <row r="112" spans="1:2" x14ac:dyDescent="0.3">
      <c r="A112" s="1">
        <v>43994</v>
      </c>
      <c r="B112" s="4">
        <v>193.9</v>
      </c>
    </row>
    <row r="113" spans="1:2" x14ac:dyDescent="0.3">
      <c r="A113" s="1">
        <v>43997</v>
      </c>
      <c r="B113" s="4">
        <v>187.2</v>
      </c>
    </row>
    <row r="114" spans="1:2" x14ac:dyDescent="0.3">
      <c r="A114" s="1">
        <v>43998</v>
      </c>
      <c r="B114" s="4">
        <v>185</v>
      </c>
    </row>
    <row r="115" spans="1:2" x14ac:dyDescent="0.3">
      <c r="A115" s="1">
        <v>43999</v>
      </c>
      <c r="B115" s="4">
        <v>181.2</v>
      </c>
    </row>
    <row r="116" spans="1:2" x14ac:dyDescent="0.3">
      <c r="A116" s="1">
        <v>44000</v>
      </c>
      <c r="B116" s="4">
        <v>186.6</v>
      </c>
    </row>
    <row r="117" spans="1:2" x14ac:dyDescent="0.3">
      <c r="A117" s="1">
        <v>44001</v>
      </c>
      <c r="B117" s="4">
        <v>184.05</v>
      </c>
    </row>
    <row r="118" spans="1:2" x14ac:dyDescent="0.3">
      <c r="A118" s="1">
        <v>44004</v>
      </c>
      <c r="B118" s="4">
        <v>185</v>
      </c>
    </row>
    <row r="119" spans="1:2" x14ac:dyDescent="0.3">
      <c r="A119" s="1">
        <v>44005</v>
      </c>
      <c r="B119" s="4">
        <v>185.85</v>
      </c>
    </row>
    <row r="120" spans="1:2" x14ac:dyDescent="0.3">
      <c r="A120" s="1">
        <v>44006</v>
      </c>
      <c r="B120" s="4">
        <v>191.85</v>
      </c>
    </row>
    <row r="121" spans="1:2" x14ac:dyDescent="0.3">
      <c r="A121" s="1">
        <v>44007</v>
      </c>
      <c r="B121" s="4">
        <v>202.1</v>
      </c>
    </row>
    <row r="122" spans="1:2" x14ac:dyDescent="0.3">
      <c r="A122" s="1">
        <v>44008</v>
      </c>
      <c r="B122" s="4">
        <v>195.2</v>
      </c>
    </row>
    <row r="123" spans="1:2" x14ac:dyDescent="0.3">
      <c r="A123" s="1">
        <v>44011</v>
      </c>
      <c r="B123" s="4">
        <v>197.25</v>
      </c>
    </row>
    <row r="124" spans="1:2" x14ac:dyDescent="0.3">
      <c r="A124" s="1">
        <v>44012</v>
      </c>
      <c r="B124" s="4">
        <v>194.65</v>
      </c>
    </row>
    <row r="125" spans="1:2" x14ac:dyDescent="0.3">
      <c r="A125" s="1">
        <v>44013</v>
      </c>
      <c r="B125" s="4">
        <v>202.9</v>
      </c>
    </row>
    <row r="126" spans="1:2" x14ac:dyDescent="0.3">
      <c r="A126" s="1">
        <v>44014</v>
      </c>
      <c r="B126" s="4">
        <v>205.85</v>
      </c>
    </row>
    <row r="127" spans="1:2" x14ac:dyDescent="0.3">
      <c r="A127" s="1">
        <v>44015</v>
      </c>
      <c r="B127" s="4">
        <v>207.55</v>
      </c>
    </row>
    <row r="128" spans="1:2" x14ac:dyDescent="0.3">
      <c r="A128" s="1">
        <v>44018</v>
      </c>
      <c r="B128" s="4">
        <v>199.8</v>
      </c>
    </row>
    <row r="129" spans="1:2" x14ac:dyDescent="0.3">
      <c r="A129" s="1">
        <v>44019</v>
      </c>
      <c r="B129" s="4">
        <v>194.25</v>
      </c>
    </row>
    <row r="130" spans="1:2" x14ac:dyDescent="0.3">
      <c r="A130" s="1">
        <v>44020</v>
      </c>
      <c r="B130" s="4">
        <v>196.3</v>
      </c>
    </row>
    <row r="131" spans="1:2" x14ac:dyDescent="0.3">
      <c r="A131" s="1">
        <v>44021</v>
      </c>
      <c r="B131" s="4">
        <v>195.45</v>
      </c>
    </row>
    <row r="132" spans="1:2" x14ac:dyDescent="0.3">
      <c r="A132" s="1">
        <v>44022</v>
      </c>
      <c r="B132" s="4">
        <v>194.35</v>
      </c>
    </row>
    <row r="133" spans="1:2" x14ac:dyDescent="0.3">
      <c r="A133" s="1">
        <v>44025</v>
      </c>
      <c r="B133" s="4">
        <v>197.55</v>
      </c>
    </row>
    <row r="134" spans="1:2" x14ac:dyDescent="0.3">
      <c r="A134" s="1">
        <v>44026</v>
      </c>
      <c r="B134" s="4">
        <v>195.9</v>
      </c>
    </row>
    <row r="135" spans="1:2" x14ac:dyDescent="0.3">
      <c r="A135" s="1">
        <v>44027</v>
      </c>
      <c r="B135" s="4">
        <v>198.7</v>
      </c>
    </row>
    <row r="136" spans="1:2" x14ac:dyDescent="0.3">
      <c r="A136" s="1">
        <v>44028</v>
      </c>
      <c r="B136" s="4">
        <v>193.85</v>
      </c>
    </row>
    <row r="137" spans="1:2" x14ac:dyDescent="0.3">
      <c r="A137" s="1">
        <v>44029</v>
      </c>
      <c r="B137" s="4">
        <v>194.05</v>
      </c>
    </row>
    <row r="138" spans="1:2" x14ac:dyDescent="0.3">
      <c r="A138" s="1">
        <v>44032</v>
      </c>
      <c r="B138" s="4">
        <v>192.7</v>
      </c>
    </row>
    <row r="139" spans="1:2" x14ac:dyDescent="0.3">
      <c r="A139" s="1">
        <v>44033</v>
      </c>
      <c r="B139" s="4">
        <v>192.25</v>
      </c>
    </row>
    <row r="140" spans="1:2" x14ac:dyDescent="0.3">
      <c r="A140" s="1">
        <v>44034</v>
      </c>
      <c r="B140" s="4">
        <v>196.55</v>
      </c>
    </row>
    <row r="141" spans="1:2" x14ac:dyDescent="0.3">
      <c r="A141" s="1">
        <v>44035</v>
      </c>
      <c r="B141" s="4">
        <v>200.7</v>
      </c>
    </row>
    <row r="142" spans="1:2" x14ac:dyDescent="0.3">
      <c r="A142" s="1">
        <v>44036</v>
      </c>
      <c r="B142" s="4">
        <v>199.6</v>
      </c>
    </row>
    <row r="143" spans="1:2" x14ac:dyDescent="0.3">
      <c r="A143" s="1">
        <v>44039</v>
      </c>
      <c r="B143" s="4">
        <v>196.4</v>
      </c>
    </row>
    <row r="144" spans="1:2" x14ac:dyDescent="0.3">
      <c r="A144" s="1">
        <v>44040</v>
      </c>
      <c r="B144" s="4">
        <v>195.4</v>
      </c>
    </row>
    <row r="145" spans="1:2" x14ac:dyDescent="0.3">
      <c r="A145" s="1">
        <v>44041</v>
      </c>
      <c r="B145" s="4">
        <v>196.7</v>
      </c>
    </row>
    <row r="146" spans="1:2" x14ac:dyDescent="0.3">
      <c r="A146" s="1">
        <v>44042</v>
      </c>
      <c r="B146" s="4">
        <v>193.35</v>
      </c>
    </row>
    <row r="147" spans="1:2" x14ac:dyDescent="0.3">
      <c r="A147" s="1">
        <v>44043</v>
      </c>
      <c r="B147" s="4">
        <v>194.15</v>
      </c>
    </row>
    <row r="148" spans="1:2" x14ac:dyDescent="0.3">
      <c r="A148" s="1">
        <v>44046</v>
      </c>
      <c r="B148" s="4">
        <v>192.6</v>
      </c>
    </row>
    <row r="149" spans="1:2" x14ac:dyDescent="0.3">
      <c r="A149" s="1">
        <v>44047</v>
      </c>
      <c r="B149" s="4">
        <v>193.65</v>
      </c>
    </row>
    <row r="150" spans="1:2" x14ac:dyDescent="0.3">
      <c r="A150" s="1">
        <v>44048</v>
      </c>
      <c r="B150" s="4">
        <v>192.8</v>
      </c>
    </row>
    <row r="151" spans="1:2" x14ac:dyDescent="0.3">
      <c r="A151" s="1">
        <v>44049</v>
      </c>
      <c r="B151" s="4">
        <v>195.35</v>
      </c>
    </row>
    <row r="152" spans="1:2" x14ac:dyDescent="0.3">
      <c r="A152" s="1">
        <v>44050</v>
      </c>
      <c r="B152" s="4">
        <v>196.05</v>
      </c>
    </row>
    <row r="153" spans="1:2" x14ac:dyDescent="0.3">
      <c r="A153" s="1">
        <v>44053</v>
      </c>
      <c r="B153" s="4">
        <v>198.85</v>
      </c>
    </row>
    <row r="154" spans="1:2" x14ac:dyDescent="0.3">
      <c r="A154" s="1">
        <v>44054</v>
      </c>
      <c r="B154" s="4">
        <v>203.05</v>
      </c>
    </row>
    <row r="155" spans="1:2" x14ac:dyDescent="0.3">
      <c r="A155" s="1">
        <v>44055</v>
      </c>
      <c r="B155" s="4">
        <v>204.2</v>
      </c>
    </row>
    <row r="156" spans="1:2" x14ac:dyDescent="0.3">
      <c r="A156" s="1">
        <v>44056</v>
      </c>
      <c r="B156" s="4">
        <v>201.45</v>
      </c>
    </row>
    <row r="157" spans="1:2" x14ac:dyDescent="0.3">
      <c r="A157" s="1">
        <v>44057</v>
      </c>
      <c r="B157" s="4">
        <v>196.4</v>
      </c>
    </row>
    <row r="158" spans="1:2" x14ac:dyDescent="0.3">
      <c r="A158" s="1">
        <v>44060</v>
      </c>
      <c r="B158" s="4">
        <v>198.75</v>
      </c>
    </row>
    <row r="159" spans="1:2" x14ac:dyDescent="0.3">
      <c r="A159" s="1">
        <v>44061</v>
      </c>
      <c r="B159" s="4">
        <v>198.55</v>
      </c>
    </row>
    <row r="160" spans="1:2" x14ac:dyDescent="0.3">
      <c r="A160" s="1">
        <v>44062</v>
      </c>
      <c r="B160" s="4">
        <v>198.45</v>
      </c>
    </row>
    <row r="161" spans="1:2" x14ac:dyDescent="0.3">
      <c r="A161" s="1">
        <v>44063</v>
      </c>
      <c r="B161" s="4">
        <v>195.8</v>
      </c>
    </row>
    <row r="162" spans="1:2" x14ac:dyDescent="0.3">
      <c r="A162" s="1">
        <v>44064</v>
      </c>
      <c r="B162" s="4">
        <v>196.8</v>
      </c>
    </row>
    <row r="163" spans="1:2" x14ac:dyDescent="0.3">
      <c r="A163" s="1">
        <v>44067</v>
      </c>
      <c r="B163" s="4">
        <v>196.7</v>
      </c>
    </row>
    <row r="164" spans="1:2" x14ac:dyDescent="0.3">
      <c r="A164" s="1">
        <v>44068</v>
      </c>
      <c r="B164" s="4">
        <v>195.4</v>
      </c>
    </row>
    <row r="165" spans="1:2" x14ac:dyDescent="0.3">
      <c r="A165" s="1">
        <v>44069</v>
      </c>
      <c r="B165" s="4">
        <v>194.95</v>
      </c>
    </row>
    <row r="166" spans="1:2" x14ac:dyDescent="0.3">
      <c r="A166" s="1">
        <v>44070</v>
      </c>
      <c r="B166" s="4">
        <v>194.25</v>
      </c>
    </row>
    <row r="167" spans="1:2" x14ac:dyDescent="0.3">
      <c r="A167" s="1">
        <v>44071</v>
      </c>
      <c r="B167" s="4">
        <v>195.55</v>
      </c>
    </row>
    <row r="168" spans="1:2" x14ac:dyDescent="0.3">
      <c r="A168" s="1">
        <v>44074</v>
      </c>
      <c r="B168" s="4">
        <v>191.1</v>
      </c>
    </row>
    <row r="169" spans="1:2" x14ac:dyDescent="0.3">
      <c r="A169" s="1">
        <v>44075</v>
      </c>
      <c r="B169" s="4">
        <v>190.2</v>
      </c>
    </row>
    <row r="170" spans="1:2" x14ac:dyDescent="0.3">
      <c r="A170" s="1">
        <v>44076</v>
      </c>
      <c r="B170" s="4">
        <v>191.35</v>
      </c>
    </row>
    <row r="171" spans="1:2" x14ac:dyDescent="0.3">
      <c r="A171" s="1">
        <v>44077</v>
      </c>
      <c r="B171" s="4">
        <v>191.6</v>
      </c>
    </row>
    <row r="172" spans="1:2" x14ac:dyDescent="0.3">
      <c r="A172" s="1">
        <v>44078</v>
      </c>
      <c r="B172" s="4">
        <v>186.7</v>
      </c>
    </row>
    <row r="173" spans="1:2" x14ac:dyDescent="0.3">
      <c r="A173" s="1">
        <v>44081</v>
      </c>
      <c r="B173" s="4">
        <v>189.1</v>
      </c>
    </row>
    <row r="174" spans="1:2" x14ac:dyDescent="0.3">
      <c r="A174" s="1">
        <v>44082</v>
      </c>
      <c r="B174" s="4">
        <v>188.15</v>
      </c>
    </row>
    <row r="175" spans="1:2" x14ac:dyDescent="0.3">
      <c r="A175" s="1">
        <v>44083</v>
      </c>
      <c r="B175" s="4">
        <v>183.8</v>
      </c>
    </row>
    <row r="176" spans="1:2" x14ac:dyDescent="0.3">
      <c r="A176" s="1">
        <v>44084</v>
      </c>
      <c r="B176" s="4">
        <v>184.9</v>
      </c>
    </row>
    <row r="177" spans="1:2" x14ac:dyDescent="0.3">
      <c r="A177" s="1">
        <v>44085</v>
      </c>
      <c r="B177" s="4">
        <v>183.95</v>
      </c>
    </row>
    <row r="178" spans="1:2" x14ac:dyDescent="0.3">
      <c r="A178" s="1">
        <v>44088</v>
      </c>
      <c r="B178" s="4">
        <v>183.35</v>
      </c>
    </row>
    <row r="179" spans="1:2" x14ac:dyDescent="0.3">
      <c r="A179" s="1">
        <v>44089</v>
      </c>
      <c r="B179" s="4">
        <v>181.8</v>
      </c>
    </row>
    <row r="180" spans="1:2" x14ac:dyDescent="0.3">
      <c r="A180" s="1">
        <v>44090</v>
      </c>
      <c r="B180" s="4">
        <v>180.65</v>
      </c>
    </row>
    <row r="181" spans="1:2" x14ac:dyDescent="0.3">
      <c r="A181" s="1">
        <v>44091</v>
      </c>
      <c r="B181" s="4">
        <v>178.6</v>
      </c>
    </row>
    <row r="182" spans="1:2" x14ac:dyDescent="0.3">
      <c r="A182" s="1">
        <v>44092</v>
      </c>
      <c r="B182" s="4">
        <v>179.1</v>
      </c>
    </row>
    <row r="183" spans="1:2" x14ac:dyDescent="0.3">
      <c r="A183" s="1">
        <v>44095</v>
      </c>
      <c r="B183" s="4">
        <v>175.75</v>
      </c>
    </row>
    <row r="184" spans="1:2" x14ac:dyDescent="0.3">
      <c r="A184" s="1">
        <v>44096</v>
      </c>
      <c r="B184" s="4">
        <v>174.2</v>
      </c>
    </row>
    <row r="185" spans="1:2" x14ac:dyDescent="0.3">
      <c r="A185" s="1">
        <v>44097</v>
      </c>
      <c r="B185" s="4">
        <v>172.5</v>
      </c>
    </row>
    <row r="186" spans="1:2" x14ac:dyDescent="0.3">
      <c r="A186" s="1">
        <v>44098</v>
      </c>
      <c r="B186" s="4">
        <v>166.55</v>
      </c>
    </row>
    <row r="187" spans="1:2" x14ac:dyDescent="0.3">
      <c r="A187" s="1">
        <v>44099</v>
      </c>
      <c r="B187" s="4">
        <v>170.75</v>
      </c>
    </row>
    <row r="188" spans="1:2" x14ac:dyDescent="0.3">
      <c r="A188" s="1">
        <v>44102</v>
      </c>
      <c r="B188" s="4">
        <v>173.3</v>
      </c>
    </row>
    <row r="189" spans="1:2" x14ac:dyDescent="0.3">
      <c r="A189" s="1">
        <v>44103</v>
      </c>
      <c r="B189" s="4">
        <v>169.4</v>
      </c>
    </row>
    <row r="190" spans="1:2" x14ac:dyDescent="0.3">
      <c r="A190" s="1">
        <v>44104</v>
      </c>
      <c r="B190" s="4">
        <v>171.7</v>
      </c>
    </row>
    <row r="191" spans="1:2" x14ac:dyDescent="0.3">
      <c r="A191" s="1">
        <v>44105</v>
      </c>
      <c r="B191" s="4">
        <v>170.85</v>
      </c>
    </row>
    <row r="192" spans="1:2" x14ac:dyDescent="0.3">
      <c r="A192" s="1">
        <v>44109</v>
      </c>
      <c r="B192" s="4">
        <v>169.25</v>
      </c>
    </row>
    <row r="193" spans="1:2" x14ac:dyDescent="0.3">
      <c r="A193" s="1">
        <v>44110</v>
      </c>
      <c r="B193" s="4">
        <v>169.9</v>
      </c>
    </row>
    <row r="194" spans="1:2" x14ac:dyDescent="0.3">
      <c r="A194" s="1">
        <v>44111</v>
      </c>
      <c r="B194" s="4">
        <v>169.5</v>
      </c>
    </row>
    <row r="195" spans="1:2" x14ac:dyDescent="0.3">
      <c r="A195" s="1">
        <v>44112</v>
      </c>
      <c r="B195" s="4">
        <v>167.15</v>
      </c>
    </row>
    <row r="196" spans="1:2" x14ac:dyDescent="0.3">
      <c r="A196" s="1">
        <v>44113</v>
      </c>
      <c r="B196" s="4">
        <v>167.85</v>
      </c>
    </row>
    <row r="197" spans="1:2" x14ac:dyDescent="0.3">
      <c r="A197" s="1">
        <v>44116</v>
      </c>
      <c r="B197" s="4">
        <v>172.2</v>
      </c>
    </row>
    <row r="198" spans="1:2" x14ac:dyDescent="0.3">
      <c r="A198" s="1">
        <v>44117</v>
      </c>
      <c r="B198" s="4">
        <v>170.15</v>
      </c>
    </row>
    <row r="199" spans="1:2" x14ac:dyDescent="0.3">
      <c r="A199" s="1">
        <v>44118</v>
      </c>
      <c r="B199" s="4">
        <v>167.8</v>
      </c>
    </row>
    <row r="200" spans="1:2" x14ac:dyDescent="0.3">
      <c r="A200" s="1">
        <v>44119</v>
      </c>
      <c r="B200" s="4">
        <v>165.05</v>
      </c>
    </row>
    <row r="201" spans="1:2" x14ac:dyDescent="0.3">
      <c r="A201" s="1">
        <v>44120</v>
      </c>
      <c r="B201" s="4">
        <v>165.7</v>
      </c>
    </row>
    <row r="202" spans="1:2" x14ac:dyDescent="0.3">
      <c r="A202" s="1">
        <v>44123</v>
      </c>
      <c r="B202" s="4">
        <v>168.25</v>
      </c>
    </row>
    <row r="203" spans="1:2" x14ac:dyDescent="0.3">
      <c r="A203" s="1">
        <v>44124</v>
      </c>
      <c r="B203" s="4">
        <v>167.45</v>
      </c>
    </row>
    <row r="204" spans="1:2" x14ac:dyDescent="0.3">
      <c r="A204" s="1">
        <v>44125</v>
      </c>
      <c r="B204" s="4">
        <v>167.65</v>
      </c>
    </row>
    <row r="205" spans="1:2" x14ac:dyDescent="0.3">
      <c r="A205" s="1">
        <v>44126</v>
      </c>
      <c r="B205" s="4">
        <v>168.55</v>
      </c>
    </row>
    <row r="206" spans="1:2" x14ac:dyDescent="0.3">
      <c r="A206" s="1">
        <v>44127</v>
      </c>
      <c r="B206" s="4">
        <v>170.75</v>
      </c>
    </row>
    <row r="207" spans="1:2" x14ac:dyDescent="0.3">
      <c r="A207" s="1">
        <v>44130</v>
      </c>
      <c r="B207" s="4">
        <v>168.55</v>
      </c>
    </row>
    <row r="208" spans="1:2" x14ac:dyDescent="0.3">
      <c r="A208" s="1">
        <v>44131</v>
      </c>
      <c r="B208" s="4">
        <v>167.2</v>
      </c>
    </row>
    <row r="209" spans="1:2" x14ac:dyDescent="0.3">
      <c r="A209" s="1">
        <v>44132</v>
      </c>
      <c r="B209" s="4">
        <v>165.5</v>
      </c>
    </row>
    <row r="210" spans="1:2" x14ac:dyDescent="0.3">
      <c r="A210" s="1">
        <v>44133</v>
      </c>
      <c r="B210" s="4">
        <v>163.85</v>
      </c>
    </row>
    <row r="211" spans="1:2" x14ac:dyDescent="0.3">
      <c r="A211" s="1">
        <v>44134</v>
      </c>
      <c r="B211" s="4">
        <v>165.25</v>
      </c>
    </row>
    <row r="212" spans="1:2" x14ac:dyDescent="0.3">
      <c r="A212" s="1">
        <v>44137</v>
      </c>
      <c r="B212" s="4">
        <v>166.75</v>
      </c>
    </row>
    <row r="213" spans="1:2" x14ac:dyDescent="0.3">
      <c r="A213" s="1">
        <v>44138</v>
      </c>
      <c r="B213" s="4">
        <v>170.1</v>
      </c>
    </row>
    <row r="214" spans="1:2" x14ac:dyDescent="0.3">
      <c r="A214" s="1">
        <v>44139</v>
      </c>
      <c r="B214" s="4">
        <v>169.8</v>
      </c>
    </row>
    <row r="215" spans="1:2" x14ac:dyDescent="0.3">
      <c r="A215" s="1">
        <v>44140</v>
      </c>
      <c r="B215" s="4">
        <v>174.75</v>
      </c>
    </row>
    <row r="216" spans="1:2" x14ac:dyDescent="0.3">
      <c r="A216" s="1">
        <v>44141</v>
      </c>
      <c r="B216" s="4">
        <v>173.95</v>
      </c>
    </row>
    <row r="217" spans="1:2" x14ac:dyDescent="0.3">
      <c r="A217" s="1">
        <v>44144</v>
      </c>
      <c r="B217" s="4">
        <v>172.8</v>
      </c>
    </row>
    <row r="218" spans="1:2" x14ac:dyDescent="0.3">
      <c r="A218" s="1">
        <v>44145</v>
      </c>
      <c r="B218" s="4">
        <v>178.35</v>
      </c>
    </row>
    <row r="219" spans="1:2" x14ac:dyDescent="0.3">
      <c r="A219" s="1">
        <v>44146</v>
      </c>
      <c r="B219" s="4">
        <v>185.3</v>
      </c>
    </row>
    <row r="220" spans="1:2" x14ac:dyDescent="0.3">
      <c r="A220" s="1">
        <v>44147</v>
      </c>
      <c r="B220" s="4">
        <v>188</v>
      </c>
    </row>
    <row r="221" spans="1:2" x14ac:dyDescent="0.3">
      <c r="A221" s="1">
        <v>44148</v>
      </c>
      <c r="B221" s="4">
        <v>187.1</v>
      </c>
    </row>
    <row r="222" spans="1:2" x14ac:dyDescent="0.3">
      <c r="A222" s="1">
        <v>44149</v>
      </c>
      <c r="B222" s="4">
        <v>188.6</v>
      </c>
    </row>
    <row r="223" spans="1:2" x14ac:dyDescent="0.3">
      <c r="A223" s="1">
        <v>44152</v>
      </c>
      <c r="B223" s="4">
        <v>187.35</v>
      </c>
    </row>
    <row r="224" spans="1:2" x14ac:dyDescent="0.3">
      <c r="A224" s="1">
        <v>44153</v>
      </c>
      <c r="B224" s="4">
        <v>184.05</v>
      </c>
    </row>
    <row r="225" spans="1:2" x14ac:dyDescent="0.3">
      <c r="A225" s="1">
        <v>44154</v>
      </c>
      <c r="B225" s="4">
        <v>187.9</v>
      </c>
    </row>
    <row r="226" spans="1:2" x14ac:dyDescent="0.3">
      <c r="A226" s="1">
        <v>44155</v>
      </c>
      <c r="B226" s="4">
        <v>191.7</v>
      </c>
    </row>
    <row r="227" spans="1:2" x14ac:dyDescent="0.3">
      <c r="A227" s="1">
        <v>44158</v>
      </c>
      <c r="B227" s="4">
        <v>190.85</v>
      </c>
    </row>
    <row r="228" spans="1:2" x14ac:dyDescent="0.3">
      <c r="A228" s="1">
        <v>44159</v>
      </c>
      <c r="B228" s="4">
        <v>195.55</v>
      </c>
    </row>
    <row r="229" spans="1:2" x14ac:dyDescent="0.3">
      <c r="A229" s="1">
        <v>44160</v>
      </c>
      <c r="B229" s="4">
        <v>193.85</v>
      </c>
    </row>
    <row r="230" spans="1:2" x14ac:dyDescent="0.3">
      <c r="A230" s="1">
        <v>44161</v>
      </c>
      <c r="B230" s="4">
        <v>194.8</v>
      </c>
    </row>
    <row r="231" spans="1:2" x14ac:dyDescent="0.3">
      <c r="A231" s="1">
        <v>44162</v>
      </c>
      <c r="B231" s="4">
        <v>193.65</v>
      </c>
    </row>
    <row r="232" spans="1:2" x14ac:dyDescent="0.3">
      <c r="A232" s="1">
        <v>44166</v>
      </c>
      <c r="B232" s="4">
        <v>194.4</v>
      </c>
    </row>
    <row r="233" spans="1:2" x14ac:dyDescent="0.3">
      <c r="A233" s="1">
        <v>44167</v>
      </c>
      <c r="B233" s="4">
        <v>195.95</v>
      </c>
    </row>
    <row r="234" spans="1:2" x14ac:dyDescent="0.3">
      <c r="A234" s="1">
        <v>44168</v>
      </c>
      <c r="B234" s="4">
        <v>196.2</v>
      </c>
    </row>
    <row r="235" spans="1:2" x14ac:dyDescent="0.3">
      <c r="A235" s="1">
        <v>44169</v>
      </c>
      <c r="B235" s="4">
        <v>198.2</v>
      </c>
    </row>
    <row r="236" spans="1:2" x14ac:dyDescent="0.3">
      <c r="A236" s="1">
        <v>44172</v>
      </c>
      <c r="B236" s="4">
        <v>203.15</v>
      </c>
    </row>
    <row r="237" spans="1:2" x14ac:dyDescent="0.3">
      <c r="A237" s="1">
        <v>44173</v>
      </c>
      <c r="B237" s="4">
        <v>202.45</v>
      </c>
    </row>
    <row r="238" spans="1:2" x14ac:dyDescent="0.3">
      <c r="A238" s="1">
        <v>44174</v>
      </c>
      <c r="B238" s="4">
        <v>205.4</v>
      </c>
    </row>
    <row r="239" spans="1:2" x14ac:dyDescent="0.3">
      <c r="A239" s="1">
        <v>44175</v>
      </c>
      <c r="B239" s="4">
        <v>212.7</v>
      </c>
    </row>
    <row r="240" spans="1:2" x14ac:dyDescent="0.3">
      <c r="A240" s="1">
        <v>44176</v>
      </c>
      <c r="B240" s="4">
        <v>216.3</v>
      </c>
    </row>
    <row r="241" spans="1:2" x14ac:dyDescent="0.3">
      <c r="A241" s="1">
        <v>44179</v>
      </c>
      <c r="B241" s="4">
        <v>215.9</v>
      </c>
    </row>
    <row r="242" spans="1:2" x14ac:dyDescent="0.3">
      <c r="A242" s="1">
        <v>44180</v>
      </c>
      <c r="B242" s="4">
        <v>213.55</v>
      </c>
    </row>
    <row r="243" spans="1:2" x14ac:dyDescent="0.3">
      <c r="A243" s="1">
        <v>44181</v>
      </c>
      <c r="B243" s="4">
        <v>214</v>
      </c>
    </row>
    <row r="244" spans="1:2" x14ac:dyDescent="0.3">
      <c r="A244" s="1">
        <v>44182</v>
      </c>
      <c r="B244" s="4">
        <v>213.05</v>
      </c>
    </row>
    <row r="245" spans="1:2" x14ac:dyDescent="0.3">
      <c r="A245" s="1">
        <v>44183</v>
      </c>
      <c r="B245" s="4">
        <v>214.5</v>
      </c>
    </row>
    <row r="246" spans="1:2" x14ac:dyDescent="0.3">
      <c r="A246" s="1">
        <v>44186</v>
      </c>
      <c r="B246" s="4">
        <v>202.95</v>
      </c>
    </row>
    <row r="247" spans="1:2" x14ac:dyDescent="0.3">
      <c r="A247" s="1">
        <v>44187</v>
      </c>
      <c r="B247" s="4">
        <v>203.4</v>
      </c>
    </row>
    <row r="248" spans="1:2" x14ac:dyDescent="0.3">
      <c r="A248" s="1">
        <v>44188</v>
      </c>
      <c r="B248" s="4">
        <v>207.75</v>
      </c>
    </row>
    <row r="249" spans="1:2" x14ac:dyDescent="0.3">
      <c r="A249" s="1">
        <v>44189</v>
      </c>
      <c r="B249" s="4">
        <v>208.6</v>
      </c>
    </row>
    <row r="250" spans="1:2" x14ac:dyDescent="0.3">
      <c r="A250" s="1">
        <v>44193</v>
      </c>
      <c r="B250" s="4">
        <v>209.5</v>
      </c>
    </row>
    <row r="251" spans="1:2" x14ac:dyDescent="0.3">
      <c r="A251" s="1">
        <v>44194</v>
      </c>
      <c r="B251" s="4">
        <v>211.55</v>
      </c>
    </row>
    <row r="252" spans="1:2" x14ac:dyDescent="0.3">
      <c r="A252" s="1">
        <v>44195</v>
      </c>
      <c r="B252" s="4">
        <v>211.15</v>
      </c>
    </row>
    <row r="253" spans="1:2" x14ac:dyDescent="0.3">
      <c r="A253" s="1">
        <v>44196</v>
      </c>
      <c r="B253" s="4">
        <v>209</v>
      </c>
    </row>
    <row r="254" spans="1:2" x14ac:dyDescent="0.3">
      <c r="A254" s="1">
        <v>44197</v>
      </c>
      <c r="B254" s="4">
        <v>213.85</v>
      </c>
    </row>
    <row r="255" spans="1:2" x14ac:dyDescent="0.3">
      <c r="A255" s="1">
        <v>44200</v>
      </c>
      <c r="B255" s="4">
        <v>213.4</v>
      </c>
    </row>
    <row r="256" spans="1:2" x14ac:dyDescent="0.3">
      <c r="A256" s="1">
        <v>44201</v>
      </c>
      <c r="B256" s="4">
        <v>211.45</v>
      </c>
    </row>
    <row r="257" spans="1:2" x14ac:dyDescent="0.3">
      <c r="A257" s="1">
        <v>44202</v>
      </c>
      <c r="B257" s="4">
        <v>205.4</v>
      </c>
    </row>
    <row r="258" spans="1:2" x14ac:dyDescent="0.3">
      <c r="A258" s="1">
        <v>44203</v>
      </c>
      <c r="B258" s="4">
        <v>202.8</v>
      </c>
    </row>
    <row r="259" spans="1:2" x14ac:dyDescent="0.3">
      <c r="A259" s="1">
        <v>44204</v>
      </c>
      <c r="B259" s="4">
        <v>201.5</v>
      </c>
    </row>
    <row r="260" spans="1:2" x14ac:dyDescent="0.3">
      <c r="A260" s="1">
        <v>44207</v>
      </c>
      <c r="B260" s="4">
        <v>202.5</v>
      </c>
    </row>
    <row r="261" spans="1:2" x14ac:dyDescent="0.3">
      <c r="A261" s="1">
        <v>44208</v>
      </c>
      <c r="B261" s="4">
        <v>206.45</v>
      </c>
    </row>
    <row r="262" spans="1:2" x14ac:dyDescent="0.3">
      <c r="A262" s="1">
        <v>44209</v>
      </c>
      <c r="B262" s="4">
        <v>211.25</v>
      </c>
    </row>
    <row r="263" spans="1:2" x14ac:dyDescent="0.3">
      <c r="A263" s="1">
        <v>44210</v>
      </c>
      <c r="B263" s="4">
        <v>214.15</v>
      </c>
    </row>
    <row r="264" spans="1:2" x14ac:dyDescent="0.3">
      <c r="A264" s="1">
        <v>44211</v>
      </c>
      <c r="B264" s="4">
        <v>217.85</v>
      </c>
    </row>
    <row r="265" spans="1:2" x14ac:dyDescent="0.3">
      <c r="A265" s="1">
        <v>44214</v>
      </c>
      <c r="B265" s="4">
        <v>219.75</v>
      </c>
    </row>
    <row r="266" spans="1:2" x14ac:dyDescent="0.3">
      <c r="A266" s="1">
        <v>44215</v>
      </c>
      <c r="B266" s="4">
        <v>218.85</v>
      </c>
    </row>
    <row r="267" spans="1:2" x14ac:dyDescent="0.3">
      <c r="A267" s="1">
        <v>44216</v>
      </c>
      <c r="B267" s="4">
        <v>217.65</v>
      </c>
    </row>
    <row r="268" spans="1:2" x14ac:dyDescent="0.3">
      <c r="A268" s="1">
        <v>44217</v>
      </c>
      <c r="B268" s="4">
        <v>213.7</v>
      </c>
    </row>
    <row r="269" spans="1:2" x14ac:dyDescent="0.3">
      <c r="A269" s="1">
        <v>44218</v>
      </c>
      <c r="B269" s="4">
        <v>210.7</v>
      </c>
    </row>
    <row r="270" spans="1:2" x14ac:dyDescent="0.3">
      <c r="A270" s="1">
        <v>44221</v>
      </c>
      <c r="B270" s="4">
        <v>207.8</v>
      </c>
    </row>
    <row r="271" spans="1:2" x14ac:dyDescent="0.3">
      <c r="A271" s="1">
        <v>44223</v>
      </c>
      <c r="B271" s="4">
        <v>210.65</v>
      </c>
    </row>
    <row r="272" spans="1:2" x14ac:dyDescent="0.3">
      <c r="A272" s="1">
        <v>44224</v>
      </c>
      <c r="B272" s="4">
        <v>206.6</v>
      </c>
    </row>
    <row r="273" spans="1:2" x14ac:dyDescent="0.3">
      <c r="A273" s="1">
        <v>44225</v>
      </c>
      <c r="B273" s="4">
        <v>203.25</v>
      </c>
    </row>
    <row r="274" spans="1:2" x14ac:dyDescent="0.3">
      <c r="A274" s="1">
        <v>44228</v>
      </c>
      <c r="B274" s="4">
        <v>215.95</v>
      </c>
    </row>
    <row r="275" spans="1:2" x14ac:dyDescent="0.3">
      <c r="A275" s="1">
        <v>44229</v>
      </c>
      <c r="B275" s="4">
        <v>218.2</v>
      </c>
    </row>
    <row r="276" spans="1:2" x14ac:dyDescent="0.3">
      <c r="A276" s="1">
        <v>44230</v>
      </c>
      <c r="B276" s="4">
        <v>216.75</v>
      </c>
    </row>
    <row r="277" spans="1:2" x14ac:dyDescent="0.3">
      <c r="A277" s="1">
        <v>44231</v>
      </c>
      <c r="B277" s="4">
        <v>229.95</v>
      </c>
    </row>
    <row r="278" spans="1:2" x14ac:dyDescent="0.3">
      <c r="A278" s="1">
        <v>44232</v>
      </c>
      <c r="B278" s="4">
        <v>234.35</v>
      </c>
    </row>
    <row r="279" spans="1:2" x14ac:dyDescent="0.3">
      <c r="A279" s="1">
        <v>44235</v>
      </c>
      <c r="B279" s="4">
        <v>233.1</v>
      </c>
    </row>
    <row r="280" spans="1:2" x14ac:dyDescent="0.3">
      <c r="A280" s="1">
        <v>44236</v>
      </c>
      <c r="B280" s="4">
        <v>229</v>
      </c>
    </row>
    <row r="281" spans="1:2" x14ac:dyDescent="0.3">
      <c r="A281" s="1">
        <v>44237</v>
      </c>
      <c r="B281" s="4">
        <v>227.55</v>
      </c>
    </row>
    <row r="282" spans="1:2" x14ac:dyDescent="0.3">
      <c r="A282" s="1">
        <v>44238</v>
      </c>
      <c r="B282" s="4">
        <v>226.45</v>
      </c>
    </row>
    <row r="283" spans="1:2" x14ac:dyDescent="0.3">
      <c r="A283" s="1">
        <v>44239</v>
      </c>
      <c r="B283" s="4">
        <v>217.45</v>
      </c>
    </row>
    <row r="284" spans="1:2" x14ac:dyDescent="0.3">
      <c r="A284" s="1">
        <v>44242</v>
      </c>
      <c r="B284" s="4">
        <v>218.6</v>
      </c>
    </row>
    <row r="285" spans="1:2" x14ac:dyDescent="0.3">
      <c r="A285" s="1">
        <v>44243</v>
      </c>
      <c r="B285" s="4">
        <v>218.25</v>
      </c>
    </row>
    <row r="286" spans="1:2" x14ac:dyDescent="0.3">
      <c r="A286" s="1">
        <v>44244</v>
      </c>
      <c r="B286" s="4">
        <v>217.75</v>
      </c>
    </row>
    <row r="287" spans="1:2" x14ac:dyDescent="0.3">
      <c r="A287" s="1">
        <v>44245</v>
      </c>
      <c r="B287" s="4">
        <v>218.85</v>
      </c>
    </row>
    <row r="288" spans="1:2" x14ac:dyDescent="0.3">
      <c r="A288" s="1">
        <v>44246</v>
      </c>
      <c r="B288" s="4">
        <v>215.95</v>
      </c>
    </row>
    <row r="289" spans="1:2" x14ac:dyDescent="0.3">
      <c r="A289" s="1">
        <v>44249</v>
      </c>
      <c r="B289" s="4">
        <v>207.05</v>
      </c>
    </row>
    <row r="290" spans="1:2" x14ac:dyDescent="0.3">
      <c r="A290" s="1">
        <v>44250</v>
      </c>
      <c r="B290" s="4">
        <v>208.5</v>
      </c>
    </row>
    <row r="291" spans="1:2" x14ac:dyDescent="0.3">
      <c r="A291" s="1">
        <v>44251</v>
      </c>
      <c r="B291" s="4">
        <v>208.85</v>
      </c>
    </row>
    <row r="292" spans="1:2" x14ac:dyDescent="0.3">
      <c r="A292" s="1">
        <v>44252</v>
      </c>
      <c r="B292" s="4">
        <v>209.15</v>
      </c>
    </row>
    <row r="293" spans="1:2" x14ac:dyDescent="0.3">
      <c r="A293" s="1">
        <v>44253</v>
      </c>
      <c r="B293" s="4">
        <v>203.85</v>
      </c>
    </row>
    <row r="294" spans="1:2" x14ac:dyDescent="0.3">
      <c r="A294" s="1">
        <v>44256</v>
      </c>
      <c r="B294" s="4">
        <v>206.9</v>
      </c>
    </row>
    <row r="295" spans="1:2" x14ac:dyDescent="0.3">
      <c r="A295" s="1">
        <v>44257</v>
      </c>
      <c r="B295" s="4">
        <v>209.9</v>
      </c>
    </row>
    <row r="296" spans="1:2" x14ac:dyDescent="0.3">
      <c r="A296" s="1">
        <v>44258</v>
      </c>
      <c r="B296" s="4">
        <v>209.95</v>
      </c>
    </row>
    <row r="297" spans="1:2" x14ac:dyDescent="0.3">
      <c r="A297" s="1">
        <v>44259</v>
      </c>
      <c r="B297" s="4">
        <v>209.7</v>
      </c>
    </row>
    <row r="298" spans="1:2" x14ac:dyDescent="0.3">
      <c r="A298" s="1">
        <v>44260</v>
      </c>
      <c r="B298" s="4">
        <v>208.55</v>
      </c>
    </row>
    <row r="299" spans="1:2" x14ac:dyDescent="0.3">
      <c r="A299" s="1">
        <v>44263</v>
      </c>
      <c r="B299" s="4">
        <v>208</v>
      </c>
    </row>
    <row r="300" spans="1:2" x14ac:dyDescent="0.3">
      <c r="A300" s="1">
        <v>44264</v>
      </c>
      <c r="B300" s="4">
        <v>207.8</v>
      </c>
    </row>
    <row r="301" spans="1:2" x14ac:dyDescent="0.3">
      <c r="A301" s="1">
        <v>44265</v>
      </c>
      <c r="B301" s="4">
        <v>206.5</v>
      </c>
    </row>
    <row r="302" spans="1:2" x14ac:dyDescent="0.3">
      <c r="A302" s="1">
        <v>44267</v>
      </c>
      <c r="B302" s="4">
        <v>205.2</v>
      </c>
    </row>
    <row r="303" spans="1:2" x14ac:dyDescent="0.3">
      <c r="A303" s="1">
        <v>44270</v>
      </c>
      <c r="B303" s="4">
        <v>205.45</v>
      </c>
    </row>
    <row r="304" spans="1:2" x14ac:dyDescent="0.3">
      <c r="A304" s="1">
        <v>44271</v>
      </c>
      <c r="B304" s="4">
        <v>207.85</v>
      </c>
    </row>
    <row r="305" spans="1:2" x14ac:dyDescent="0.3">
      <c r="A305" s="1">
        <v>44272</v>
      </c>
      <c r="B305" s="4">
        <v>210.6</v>
      </c>
    </row>
    <row r="306" spans="1:2" x14ac:dyDescent="0.3">
      <c r="A306" s="1">
        <v>44273</v>
      </c>
      <c r="B306" s="4">
        <v>217.65</v>
      </c>
    </row>
    <row r="307" spans="1:2" x14ac:dyDescent="0.3">
      <c r="A307" s="1">
        <v>44274</v>
      </c>
      <c r="B307" s="4">
        <v>222.95</v>
      </c>
    </row>
    <row r="308" spans="1:2" x14ac:dyDescent="0.3">
      <c r="A308" s="1">
        <v>44277</v>
      </c>
      <c r="B308" s="4">
        <v>226</v>
      </c>
    </row>
    <row r="309" spans="1:2" x14ac:dyDescent="0.3">
      <c r="A309" s="1">
        <v>44278</v>
      </c>
      <c r="B309" s="4">
        <v>222.2</v>
      </c>
    </row>
    <row r="310" spans="1:2" x14ac:dyDescent="0.3">
      <c r="A310" s="1">
        <v>44279</v>
      </c>
      <c r="B310" s="4">
        <v>215.95</v>
      </c>
    </row>
    <row r="311" spans="1:2" x14ac:dyDescent="0.3">
      <c r="A311" s="1">
        <v>44280</v>
      </c>
      <c r="B311" s="4">
        <v>211.6</v>
      </c>
    </row>
    <row r="312" spans="1:2" x14ac:dyDescent="0.3">
      <c r="A312" s="1">
        <v>44281</v>
      </c>
      <c r="B312" s="4">
        <v>210.9</v>
      </c>
    </row>
    <row r="313" spans="1:2" x14ac:dyDescent="0.3">
      <c r="A313" s="1">
        <v>44285</v>
      </c>
      <c r="B313" s="4">
        <v>214.55</v>
      </c>
    </row>
    <row r="314" spans="1:2" x14ac:dyDescent="0.3">
      <c r="A314" s="1">
        <v>44286</v>
      </c>
      <c r="B314" s="4">
        <v>218.5</v>
      </c>
    </row>
    <row r="315" spans="1:2" x14ac:dyDescent="0.3">
      <c r="A315" s="1">
        <v>44287</v>
      </c>
      <c r="B315" s="4">
        <v>220.05</v>
      </c>
    </row>
    <row r="316" spans="1:2" x14ac:dyDescent="0.3">
      <c r="A316" s="1">
        <v>44291</v>
      </c>
      <c r="B316" s="4">
        <v>212.55</v>
      </c>
    </row>
    <row r="317" spans="1:2" x14ac:dyDescent="0.3">
      <c r="A317" s="1">
        <v>44292</v>
      </c>
      <c r="B317" s="4">
        <v>212.65</v>
      </c>
    </row>
    <row r="318" spans="1:2" x14ac:dyDescent="0.3">
      <c r="A318" s="1">
        <v>44293</v>
      </c>
      <c r="B318" s="4">
        <v>213.8</v>
      </c>
    </row>
    <row r="319" spans="1:2" x14ac:dyDescent="0.3">
      <c r="A319" s="1">
        <v>44294</v>
      </c>
      <c r="B319" s="4">
        <v>213.25</v>
      </c>
    </row>
    <row r="320" spans="1:2" x14ac:dyDescent="0.3">
      <c r="A320" s="1">
        <v>44295</v>
      </c>
      <c r="B320" s="4">
        <v>213.1</v>
      </c>
    </row>
    <row r="321" spans="1:2" x14ac:dyDescent="0.3">
      <c r="A321" s="1">
        <v>44298</v>
      </c>
      <c r="B321" s="4">
        <v>205.3</v>
      </c>
    </row>
    <row r="322" spans="1:2" x14ac:dyDescent="0.3">
      <c r="A322" s="1">
        <v>44299</v>
      </c>
      <c r="B322" s="4">
        <v>208.7</v>
      </c>
    </row>
    <row r="323" spans="1:2" x14ac:dyDescent="0.3">
      <c r="A323" s="1">
        <v>44301</v>
      </c>
      <c r="B323" s="4">
        <v>206.7</v>
      </c>
    </row>
    <row r="324" spans="1:2" x14ac:dyDescent="0.3">
      <c r="A324" s="1">
        <v>44302</v>
      </c>
      <c r="B324" s="4">
        <v>207.95</v>
      </c>
    </row>
    <row r="325" spans="1:2" x14ac:dyDescent="0.3">
      <c r="A325" s="1">
        <v>44305</v>
      </c>
      <c r="B325" s="4">
        <v>205.6</v>
      </c>
    </row>
    <row r="326" spans="1:2" x14ac:dyDescent="0.3">
      <c r="A326" s="1">
        <v>44306</v>
      </c>
      <c r="B326" s="4">
        <v>203.55</v>
      </c>
    </row>
    <row r="327" spans="1:2" x14ac:dyDescent="0.3">
      <c r="A327" s="1">
        <v>44308</v>
      </c>
      <c r="B327" s="4">
        <v>205.9</v>
      </c>
    </row>
    <row r="328" spans="1:2" x14ac:dyDescent="0.3">
      <c r="A328" s="1">
        <v>44309</v>
      </c>
      <c r="B328" s="4">
        <v>205.35</v>
      </c>
    </row>
    <row r="329" spans="1:2" x14ac:dyDescent="0.3">
      <c r="A329" s="1">
        <v>44312</v>
      </c>
      <c r="B329" s="4">
        <v>205.3</v>
      </c>
    </row>
    <row r="330" spans="1:2" x14ac:dyDescent="0.3">
      <c r="A330" s="1">
        <v>44313</v>
      </c>
      <c r="B330" s="4">
        <v>205.4</v>
      </c>
    </row>
    <row r="331" spans="1:2" x14ac:dyDescent="0.3">
      <c r="A331" s="1">
        <v>44314</v>
      </c>
      <c r="B331" s="4">
        <v>205.5</v>
      </c>
    </row>
    <row r="332" spans="1:2" x14ac:dyDescent="0.3">
      <c r="A332" s="1">
        <v>44315</v>
      </c>
      <c r="B332" s="4">
        <v>204.3</v>
      </c>
    </row>
    <row r="333" spans="1:2" x14ac:dyDescent="0.3">
      <c r="A333" s="1">
        <v>44316</v>
      </c>
      <c r="B333" s="4">
        <v>202.6</v>
      </c>
    </row>
    <row r="334" spans="1:2" x14ac:dyDescent="0.3">
      <c r="A334" s="1">
        <v>44319</v>
      </c>
      <c r="B334" s="4">
        <v>200.95</v>
      </c>
    </row>
    <row r="335" spans="1:2" x14ac:dyDescent="0.3">
      <c r="A335" s="1">
        <v>44320</v>
      </c>
      <c r="B335" s="4">
        <v>199.6</v>
      </c>
    </row>
    <row r="336" spans="1:2" x14ac:dyDescent="0.3">
      <c r="A336" s="1">
        <v>44321</v>
      </c>
      <c r="B336" s="4">
        <v>201.4</v>
      </c>
    </row>
    <row r="337" spans="1:2" x14ac:dyDescent="0.3">
      <c r="A337" s="1">
        <v>44322</v>
      </c>
      <c r="B337" s="4">
        <v>202.75</v>
      </c>
    </row>
    <row r="338" spans="1:2" x14ac:dyDescent="0.3">
      <c r="A338" s="1">
        <v>44323</v>
      </c>
      <c r="B338" s="4">
        <v>205.35</v>
      </c>
    </row>
    <row r="339" spans="1:2" x14ac:dyDescent="0.3">
      <c r="A339" s="1">
        <v>44326</v>
      </c>
      <c r="B339" s="4">
        <v>205.55</v>
      </c>
    </row>
    <row r="340" spans="1:2" x14ac:dyDescent="0.3">
      <c r="A340" s="1">
        <v>44327</v>
      </c>
      <c r="B340" s="4">
        <v>204</v>
      </c>
    </row>
    <row r="341" spans="1:2" x14ac:dyDescent="0.3">
      <c r="A341" s="1">
        <v>44328</v>
      </c>
      <c r="B341" s="4">
        <v>203.25</v>
      </c>
    </row>
    <row r="342" spans="1:2" x14ac:dyDescent="0.3">
      <c r="A342" s="1">
        <v>44330</v>
      </c>
      <c r="B342" s="4">
        <v>212.25</v>
      </c>
    </row>
    <row r="343" spans="1:2" x14ac:dyDescent="0.3">
      <c r="A343" s="1">
        <v>44333</v>
      </c>
      <c r="B343" s="4">
        <v>212.6</v>
      </c>
    </row>
    <row r="344" spans="1:2" x14ac:dyDescent="0.3">
      <c r="A344" s="1">
        <v>44334</v>
      </c>
      <c r="B344" s="4">
        <v>210.05</v>
      </c>
    </row>
    <row r="345" spans="1:2" x14ac:dyDescent="0.3">
      <c r="A345" s="1">
        <v>44335</v>
      </c>
      <c r="B345" s="4">
        <v>207.75</v>
      </c>
    </row>
    <row r="346" spans="1:2" x14ac:dyDescent="0.3">
      <c r="A346" s="1">
        <v>44336</v>
      </c>
      <c r="B346" s="4">
        <v>207</v>
      </c>
    </row>
    <row r="347" spans="1:2" x14ac:dyDescent="0.3">
      <c r="A347" s="1">
        <v>44337</v>
      </c>
      <c r="B347" s="4">
        <v>209.05</v>
      </c>
    </row>
    <row r="348" spans="1:2" x14ac:dyDescent="0.3">
      <c r="A348" s="1">
        <v>44340</v>
      </c>
      <c r="B348" s="4">
        <v>211.5</v>
      </c>
    </row>
    <row r="349" spans="1:2" x14ac:dyDescent="0.3">
      <c r="A349" s="1">
        <v>44341</v>
      </c>
      <c r="B349" s="4">
        <v>210.9</v>
      </c>
    </row>
    <row r="350" spans="1:2" x14ac:dyDescent="0.3">
      <c r="A350" s="1">
        <v>44342</v>
      </c>
      <c r="B350" s="4">
        <v>210.6</v>
      </c>
    </row>
    <row r="351" spans="1:2" x14ac:dyDescent="0.3">
      <c r="A351" s="1">
        <v>44343</v>
      </c>
      <c r="B351" s="4">
        <v>211.15</v>
      </c>
    </row>
    <row r="352" spans="1:2" x14ac:dyDescent="0.3">
      <c r="A352" s="1">
        <v>44344</v>
      </c>
      <c r="B352" s="4">
        <v>212.9</v>
      </c>
    </row>
    <row r="353" spans="1:2" x14ac:dyDescent="0.3">
      <c r="A353" s="1">
        <v>44347</v>
      </c>
      <c r="B353" s="4">
        <v>216.6</v>
      </c>
    </row>
    <row r="354" spans="1:2" x14ac:dyDescent="0.3">
      <c r="A354" s="1">
        <v>44348</v>
      </c>
      <c r="B354" s="4">
        <v>215.25</v>
      </c>
    </row>
    <row r="355" spans="1:2" x14ac:dyDescent="0.3">
      <c r="A355" s="1">
        <v>44349</v>
      </c>
      <c r="B355" s="4">
        <v>209</v>
      </c>
    </row>
    <row r="356" spans="1:2" x14ac:dyDescent="0.3">
      <c r="A356" s="1">
        <v>44350</v>
      </c>
      <c r="B356" s="4">
        <v>209.05</v>
      </c>
    </row>
    <row r="357" spans="1:2" x14ac:dyDescent="0.3">
      <c r="A357" s="1">
        <v>44351</v>
      </c>
      <c r="B357" s="4">
        <v>208.75</v>
      </c>
    </row>
    <row r="358" spans="1:2" x14ac:dyDescent="0.3">
      <c r="A358" s="1">
        <v>44354</v>
      </c>
      <c r="B358" s="4">
        <v>211.45</v>
      </c>
    </row>
    <row r="359" spans="1:2" x14ac:dyDescent="0.3">
      <c r="A359" s="1">
        <v>44355</v>
      </c>
      <c r="B359" s="4">
        <v>213.65</v>
      </c>
    </row>
    <row r="360" spans="1:2" x14ac:dyDescent="0.3">
      <c r="A360" s="1">
        <v>44356</v>
      </c>
      <c r="B360" s="4">
        <v>212.5</v>
      </c>
    </row>
    <row r="361" spans="1:2" x14ac:dyDescent="0.3">
      <c r="A361" s="1">
        <v>44357</v>
      </c>
      <c r="B361" s="4">
        <v>209.3</v>
      </c>
    </row>
    <row r="362" spans="1:2" x14ac:dyDescent="0.3">
      <c r="A362" s="1">
        <v>44358</v>
      </c>
      <c r="B362" s="4">
        <v>207.9</v>
      </c>
    </row>
    <row r="363" spans="1:2" x14ac:dyDescent="0.3">
      <c r="A363" s="1">
        <v>44361</v>
      </c>
      <c r="B363" s="4">
        <v>207.3</v>
      </c>
    </row>
    <row r="364" spans="1:2" x14ac:dyDescent="0.3">
      <c r="A364" s="1">
        <v>44362</v>
      </c>
      <c r="B364" s="4">
        <v>207.05</v>
      </c>
    </row>
    <row r="365" spans="1:2" x14ac:dyDescent="0.3">
      <c r="A365" s="1">
        <v>44363</v>
      </c>
      <c r="B365" s="4">
        <v>207.85</v>
      </c>
    </row>
    <row r="366" spans="1:2" x14ac:dyDescent="0.3">
      <c r="A366" s="1">
        <v>44364</v>
      </c>
      <c r="B366" s="4">
        <v>205.65</v>
      </c>
    </row>
    <row r="367" spans="1:2" x14ac:dyDescent="0.3">
      <c r="A367" s="1">
        <v>44365</v>
      </c>
      <c r="B367" s="4">
        <v>204.55</v>
      </c>
    </row>
    <row r="368" spans="1:2" x14ac:dyDescent="0.3">
      <c r="A368" s="1">
        <v>44368</v>
      </c>
      <c r="B368" s="4">
        <v>204.45</v>
      </c>
    </row>
    <row r="369" spans="1:2" x14ac:dyDescent="0.3">
      <c r="A369" s="1">
        <v>44369</v>
      </c>
      <c r="B369" s="4">
        <v>205.1</v>
      </c>
    </row>
    <row r="370" spans="1:2" x14ac:dyDescent="0.3">
      <c r="A370" s="1">
        <v>44370</v>
      </c>
      <c r="B370" s="4">
        <v>203.95</v>
      </c>
    </row>
    <row r="371" spans="1:2" x14ac:dyDescent="0.3">
      <c r="A371" s="1">
        <v>44371</v>
      </c>
      <c r="B371" s="4">
        <v>203.25</v>
      </c>
    </row>
    <row r="372" spans="1:2" x14ac:dyDescent="0.3">
      <c r="A372" s="1">
        <v>44372</v>
      </c>
      <c r="B372" s="4">
        <v>205.05</v>
      </c>
    </row>
    <row r="373" spans="1:2" x14ac:dyDescent="0.3">
      <c r="A373" s="1">
        <v>44375</v>
      </c>
      <c r="B373" s="4">
        <v>203.6</v>
      </c>
    </row>
    <row r="374" spans="1:2" x14ac:dyDescent="0.3">
      <c r="A374" s="1">
        <v>44376</v>
      </c>
      <c r="B374" s="4">
        <v>203.3</v>
      </c>
    </row>
    <row r="375" spans="1:2" x14ac:dyDescent="0.3">
      <c r="A375" s="1">
        <v>44377</v>
      </c>
      <c r="B375" s="4">
        <v>202.7</v>
      </c>
    </row>
    <row r="376" spans="1:2" x14ac:dyDescent="0.3">
      <c r="A376" s="1">
        <v>44378</v>
      </c>
      <c r="B376" s="4">
        <v>203</v>
      </c>
    </row>
    <row r="377" spans="1:2" x14ac:dyDescent="0.3">
      <c r="A377" s="1">
        <v>44379</v>
      </c>
      <c r="B377" s="4">
        <v>202.4</v>
      </c>
    </row>
    <row r="378" spans="1:2" x14ac:dyDescent="0.3">
      <c r="A378" s="1">
        <v>44382</v>
      </c>
      <c r="B378" s="4">
        <v>203.65</v>
      </c>
    </row>
    <row r="379" spans="1:2" x14ac:dyDescent="0.3">
      <c r="A379" s="1">
        <v>44383</v>
      </c>
      <c r="B379" s="4">
        <v>202.5</v>
      </c>
    </row>
    <row r="380" spans="1:2" x14ac:dyDescent="0.3">
      <c r="A380" s="1">
        <v>44384</v>
      </c>
      <c r="B380" s="4">
        <v>203.75</v>
      </c>
    </row>
    <row r="381" spans="1:2" x14ac:dyDescent="0.3">
      <c r="A381" s="1">
        <v>44385</v>
      </c>
      <c r="B381" s="4">
        <v>202</v>
      </c>
    </row>
    <row r="382" spans="1:2" x14ac:dyDescent="0.3">
      <c r="A382" s="1">
        <v>44386</v>
      </c>
      <c r="B382" s="4">
        <v>201.35</v>
      </c>
    </row>
    <row r="383" spans="1:2" x14ac:dyDescent="0.3">
      <c r="A383" s="1">
        <v>44389</v>
      </c>
      <c r="B383" s="4">
        <v>201.1</v>
      </c>
    </row>
    <row r="384" spans="1:2" x14ac:dyDescent="0.3">
      <c r="A384" s="1">
        <v>44390</v>
      </c>
      <c r="B384" s="4">
        <v>201.85</v>
      </c>
    </row>
    <row r="385" spans="1:2" x14ac:dyDescent="0.3">
      <c r="A385" s="1">
        <v>44391</v>
      </c>
      <c r="B385" s="4">
        <v>204.1</v>
      </c>
    </row>
    <row r="386" spans="1:2" x14ac:dyDescent="0.3">
      <c r="A386" s="1">
        <v>44392</v>
      </c>
      <c r="B386" s="4">
        <v>206.25</v>
      </c>
    </row>
    <row r="387" spans="1:2" x14ac:dyDescent="0.3">
      <c r="A387" s="1">
        <v>44393</v>
      </c>
      <c r="B387" s="4">
        <v>207.9</v>
      </c>
    </row>
    <row r="388" spans="1:2" x14ac:dyDescent="0.3">
      <c r="A388" s="1">
        <v>44396</v>
      </c>
      <c r="B388" s="4">
        <v>207.75</v>
      </c>
    </row>
    <row r="389" spans="1:2" x14ac:dyDescent="0.3">
      <c r="A389" s="1">
        <v>44397</v>
      </c>
      <c r="B389" s="4">
        <v>206.8</v>
      </c>
    </row>
    <row r="390" spans="1:2" x14ac:dyDescent="0.3">
      <c r="A390" s="1">
        <v>44399</v>
      </c>
      <c r="B390" s="4">
        <v>207</v>
      </c>
    </row>
    <row r="391" spans="1:2" x14ac:dyDescent="0.3">
      <c r="A391" s="1">
        <v>44400</v>
      </c>
      <c r="B391" s="4">
        <v>212.4</v>
      </c>
    </row>
    <row r="392" spans="1:2" x14ac:dyDescent="0.3">
      <c r="A392" s="1">
        <v>44403</v>
      </c>
      <c r="B392" s="4">
        <v>211.15</v>
      </c>
    </row>
    <row r="393" spans="1:2" x14ac:dyDescent="0.3">
      <c r="A393" s="1">
        <v>44404</v>
      </c>
      <c r="B393" s="4">
        <v>208.65</v>
      </c>
    </row>
    <row r="394" spans="1:2" x14ac:dyDescent="0.3">
      <c r="A394" s="1">
        <v>44405</v>
      </c>
      <c r="B394" s="4">
        <v>209.1</v>
      </c>
    </row>
    <row r="395" spans="1:2" x14ac:dyDescent="0.3">
      <c r="A395" s="1">
        <v>44406</v>
      </c>
      <c r="B395" s="4">
        <v>206.05</v>
      </c>
    </row>
    <row r="396" spans="1:2" x14ac:dyDescent="0.3">
      <c r="A396" s="1">
        <v>44407</v>
      </c>
      <c r="B396" s="4">
        <v>204.95</v>
      </c>
    </row>
    <row r="397" spans="1:2" x14ac:dyDescent="0.3">
      <c r="A397" s="1">
        <v>44410</v>
      </c>
      <c r="B397" s="4">
        <v>207.3</v>
      </c>
    </row>
    <row r="398" spans="1:2" x14ac:dyDescent="0.3">
      <c r="A398" s="1">
        <v>44411</v>
      </c>
      <c r="B398" s="4">
        <v>209.9</v>
      </c>
    </row>
    <row r="399" spans="1:2" x14ac:dyDescent="0.3">
      <c r="A399" s="1">
        <v>44412</v>
      </c>
      <c r="B399" s="4">
        <v>208.6</v>
      </c>
    </row>
    <row r="400" spans="1:2" x14ac:dyDescent="0.3">
      <c r="A400" s="1">
        <v>44413</v>
      </c>
      <c r="B400" s="4">
        <v>215.25</v>
      </c>
    </row>
    <row r="401" spans="1:2" x14ac:dyDescent="0.3">
      <c r="A401" s="1">
        <v>44414</v>
      </c>
      <c r="B401" s="4">
        <v>214.25</v>
      </c>
    </row>
    <row r="402" spans="1:2" x14ac:dyDescent="0.3">
      <c r="A402" s="1">
        <v>44417</v>
      </c>
      <c r="B402" s="4">
        <v>213.8</v>
      </c>
    </row>
    <row r="403" spans="1:2" x14ac:dyDescent="0.3">
      <c r="A403" s="1">
        <v>44418</v>
      </c>
      <c r="B403" s="4">
        <v>209.85</v>
      </c>
    </row>
    <row r="404" spans="1:2" x14ac:dyDescent="0.3">
      <c r="A404" s="1">
        <v>44419</v>
      </c>
      <c r="B404" s="4">
        <v>208.65</v>
      </c>
    </row>
    <row r="405" spans="1:2" x14ac:dyDescent="0.3">
      <c r="A405" s="1">
        <v>44420</v>
      </c>
      <c r="B405" s="4">
        <v>208.9</v>
      </c>
    </row>
    <row r="406" spans="1:2" x14ac:dyDescent="0.3">
      <c r="A406" s="1">
        <v>44421</v>
      </c>
      <c r="B406" s="4">
        <v>211.45</v>
      </c>
    </row>
    <row r="407" spans="1:2" x14ac:dyDescent="0.3">
      <c r="A407" s="1">
        <v>44424</v>
      </c>
      <c r="B407" s="4">
        <v>210.9</v>
      </c>
    </row>
    <row r="408" spans="1:2" x14ac:dyDescent="0.3">
      <c r="A408" s="1">
        <v>44425</v>
      </c>
      <c r="B408" s="4">
        <v>209.2</v>
      </c>
    </row>
    <row r="409" spans="1:2" x14ac:dyDescent="0.3">
      <c r="A409" s="1">
        <v>44426</v>
      </c>
      <c r="B409" s="4">
        <v>208.95</v>
      </c>
    </row>
    <row r="410" spans="1:2" x14ac:dyDescent="0.3">
      <c r="A410" s="1">
        <v>44428</v>
      </c>
      <c r="B410" s="4">
        <v>208.9</v>
      </c>
    </row>
    <row r="411" spans="1:2" x14ac:dyDescent="0.3">
      <c r="A411" s="1">
        <v>44431</v>
      </c>
      <c r="B411" s="4">
        <v>206.3</v>
      </c>
    </row>
    <row r="412" spans="1:2" x14ac:dyDescent="0.3">
      <c r="A412" s="1">
        <v>44432</v>
      </c>
      <c r="B412" s="4">
        <v>205.75</v>
      </c>
    </row>
    <row r="413" spans="1:2" x14ac:dyDescent="0.3">
      <c r="A413" s="1">
        <v>44433</v>
      </c>
      <c r="B413" s="4">
        <v>206.4</v>
      </c>
    </row>
    <row r="414" spans="1:2" x14ac:dyDescent="0.3">
      <c r="A414" s="1">
        <v>44434</v>
      </c>
      <c r="B414" s="4">
        <v>204.6</v>
      </c>
    </row>
    <row r="415" spans="1:2" x14ac:dyDescent="0.3">
      <c r="A415" s="1">
        <v>44435</v>
      </c>
      <c r="B415" s="4">
        <v>205.9</v>
      </c>
    </row>
    <row r="416" spans="1:2" x14ac:dyDescent="0.3">
      <c r="A416" s="1">
        <v>44438</v>
      </c>
      <c r="B416" s="4">
        <v>208</v>
      </c>
    </row>
    <row r="417" spans="1:2" x14ac:dyDescent="0.3">
      <c r="A417" s="1">
        <v>44439</v>
      </c>
      <c r="B417" s="4">
        <v>211.3</v>
      </c>
    </row>
    <row r="418" spans="1:2" x14ac:dyDescent="0.3">
      <c r="A418" s="1">
        <v>44440</v>
      </c>
      <c r="B418" s="4">
        <v>209.5</v>
      </c>
    </row>
    <row r="419" spans="1:2" x14ac:dyDescent="0.3">
      <c r="A419" s="1">
        <v>44441</v>
      </c>
      <c r="B419" s="4">
        <v>209.75</v>
      </c>
    </row>
    <row r="420" spans="1:2" x14ac:dyDescent="0.3">
      <c r="A420" s="1">
        <v>44442</v>
      </c>
      <c r="B420" s="4">
        <v>210.6</v>
      </c>
    </row>
    <row r="421" spans="1:2" x14ac:dyDescent="0.3">
      <c r="A421" s="1">
        <v>44445</v>
      </c>
      <c r="B421" s="4">
        <v>209.3</v>
      </c>
    </row>
    <row r="422" spans="1:2" x14ac:dyDescent="0.3">
      <c r="A422" s="1">
        <v>44446</v>
      </c>
      <c r="B422" s="4">
        <v>211.75</v>
      </c>
    </row>
    <row r="423" spans="1:2" x14ac:dyDescent="0.3">
      <c r="A423" s="1">
        <v>44447</v>
      </c>
      <c r="B423" s="4">
        <v>211.25</v>
      </c>
    </row>
    <row r="424" spans="1:2" x14ac:dyDescent="0.3">
      <c r="A424" s="1">
        <v>44448</v>
      </c>
      <c r="B424" s="4">
        <v>212.65</v>
      </c>
    </row>
    <row r="425" spans="1:2" x14ac:dyDescent="0.3">
      <c r="A425" s="1">
        <v>44452</v>
      </c>
      <c r="B425" s="4">
        <v>214.15</v>
      </c>
    </row>
    <row r="426" spans="1:2" x14ac:dyDescent="0.3">
      <c r="A426" s="1">
        <v>44453</v>
      </c>
      <c r="B426" s="4">
        <v>216.1</v>
      </c>
    </row>
    <row r="427" spans="1:2" x14ac:dyDescent="0.3">
      <c r="A427" s="1">
        <v>44454</v>
      </c>
      <c r="B427" s="4">
        <v>216</v>
      </c>
    </row>
    <row r="428" spans="1:2" x14ac:dyDescent="0.3">
      <c r="A428" s="1">
        <v>44455</v>
      </c>
      <c r="B428" s="4">
        <v>230.75</v>
      </c>
    </row>
    <row r="429" spans="1:2" x14ac:dyDescent="0.3">
      <c r="A429" s="1">
        <v>44456</v>
      </c>
      <c r="B429" s="4">
        <v>231.15</v>
      </c>
    </row>
    <row r="430" spans="1:2" x14ac:dyDescent="0.3">
      <c r="A430" s="1">
        <v>44459</v>
      </c>
      <c r="B430" s="4">
        <v>233.75</v>
      </c>
    </row>
    <row r="431" spans="1:2" x14ac:dyDescent="0.3">
      <c r="A431" s="1">
        <v>44460</v>
      </c>
      <c r="B431" s="4">
        <v>241.5</v>
      </c>
    </row>
    <row r="432" spans="1:2" x14ac:dyDescent="0.3">
      <c r="A432" s="1">
        <v>44461</v>
      </c>
      <c r="B432" s="4">
        <v>243.5</v>
      </c>
    </row>
    <row r="433" spans="1:2" x14ac:dyDescent="0.3">
      <c r="A433" s="1">
        <v>44462</v>
      </c>
      <c r="B433" s="4">
        <v>242.5</v>
      </c>
    </row>
    <row r="434" spans="1:2" x14ac:dyDescent="0.3">
      <c r="A434" s="1">
        <v>44463</v>
      </c>
      <c r="B434" s="4">
        <v>238.45</v>
      </c>
    </row>
    <row r="435" spans="1:2" x14ac:dyDescent="0.3">
      <c r="A435" s="1">
        <v>44466</v>
      </c>
      <c r="B435" s="4">
        <v>238.7</v>
      </c>
    </row>
    <row r="436" spans="1:2" x14ac:dyDescent="0.3">
      <c r="A436" s="1">
        <v>44467</v>
      </c>
      <c r="B436" s="4">
        <v>237.75</v>
      </c>
    </row>
    <row r="437" spans="1:2" x14ac:dyDescent="0.3">
      <c r="A437" s="1">
        <v>44468</v>
      </c>
      <c r="B437" s="4">
        <v>238.1</v>
      </c>
    </row>
    <row r="438" spans="1:2" x14ac:dyDescent="0.3">
      <c r="A438" s="1">
        <v>44469</v>
      </c>
      <c r="B438" s="4">
        <v>236.15</v>
      </c>
    </row>
    <row r="439" spans="1:2" x14ac:dyDescent="0.3">
      <c r="A439" s="1">
        <v>44470</v>
      </c>
      <c r="B439" s="4">
        <v>235.35</v>
      </c>
    </row>
    <row r="440" spans="1:2" x14ac:dyDescent="0.3">
      <c r="A440" s="1">
        <v>44473</v>
      </c>
      <c r="B440" s="4">
        <v>236.6</v>
      </c>
    </row>
    <row r="441" spans="1:2" x14ac:dyDescent="0.3">
      <c r="A441" s="1">
        <v>44474</v>
      </c>
      <c r="B441" s="4">
        <v>234.7</v>
      </c>
    </row>
    <row r="442" spans="1:2" x14ac:dyDescent="0.3">
      <c r="A442" s="1">
        <v>44475</v>
      </c>
      <c r="B442" s="4">
        <v>231.25</v>
      </c>
    </row>
    <row r="443" spans="1:2" x14ac:dyDescent="0.3">
      <c r="A443" s="1">
        <v>44476</v>
      </c>
      <c r="B443" s="4">
        <v>232.95</v>
      </c>
    </row>
    <row r="444" spans="1:2" x14ac:dyDescent="0.3">
      <c r="A444" s="1">
        <v>44477</v>
      </c>
      <c r="B444" s="4">
        <v>231.7</v>
      </c>
    </row>
    <row r="445" spans="1:2" x14ac:dyDescent="0.3">
      <c r="A445" s="1">
        <v>44480</v>
      </c>
      <c r="B445" s="4">
        <v>238.05</v>
      </c>
    </row>
    <row r="446" spans="1:2" x14ac:dyDescent="0.3">
      <c r="A446" s="1">
        <v>44481</v>
      </c>
      <c r="B446" s="4">
        <v>241.3</v>
      </c>
    </row>
    <row r="447" spans="1:2" x14ac:dyDescent="0.3">
      <c r="A447" s="1">
        <v>44482</v>
      </c>
      <c r="B447" s="4">
        <v>249.2</v>
      </c>
    </row>
    <row r="448" spans="1:2" x14ac:dyDescent="0.3">
      <c r="A448" s="1">
        <v>44483</v>
      </c>
      <c r="B448" s="4">
        <v>256.55</v>
      </c>
    </row>
    <row r="449" spans="1:2" x14ac:dyDescent="0.3">
      <c r="A449" s="1">
        <v>44487</v>
      </c>
      <c r="B449" s="4">
        <v>262.55</v>
      </c>
    </row>
    <row r="450" spans="1:2" x14ac:dyDescent="0.3">
      <c r="A450" s="1">
        <v>44488</v>
      </c>
      <c r="B450" s="4">
        <v>245.95</v>
      </c>
    </row>
    <row r="451" spans="1:2" x14ac:dyDescent="0.3">
      <c r="A451" s="1">
        <v>44489</v>
      </c>
      <c r="B451" s="4">
        <v>246.6</v>
      </c>
    </row>
    <row r="452" spans="1:2" x14ac:dyDescent="0.3">
      <c r="A452" s="1">
        <v>44490</v>
      </c>
      <c r="B452" s="4">
        <v>244.7</v>
      </c>
    </row>
    <row r="453" spans="1:2" x14ac:dyDescent="0.3">
      <c r="A453" s="1">
        <v>44491</v>
      </c>
      <c r="B453" s="4">
        <v>236.6</v>
      </c>
    </row>
    <row r="454" spans="1:2" x14ac:dyDescent="0.3">
      <c r="A454" s="1">
        <v>44494</v>
      </c>
      <c r="B454" s="4">
        <v>233.4</v>
      </c>
    </row>
    <row r="455" spans="1:2" x14ac:dyDescent="0.3">
      <c r="A455" s="1">
        <v>44495</v>
      </c>
      <c r="B455" s="4">
        <v>236.7</v>
      </c>
    </row>
    <row r="456" spans="1:2" x14ac:dyDescent="0.3">
      <c r="A456" s="1">
        <v>44496</v>
      </c>
      <c r="B456" s="4">
        <v>238.45</v>
      </c>
    </row>
    <row r="457" spans="1:2" x14ac:dyDescent="0.3">
      <c r="A457" s="1">
        <v>44497</v>
      </c>
      <c r="B457" s="4">
        <v>225.1</v>
      </c>
    </row>
    <row r="458" spans="1:2" x14ac:dyDescent="0.3">
      <c r="A458" s="1">
        <v>44498</v>
      </c>
      <c r="B458" s="4">
        <v>223.2</v>
      </c>
    </row>
    <row r="459" spans="1:2" x14ac:dyDescent="0.3">
      <c r="A459" s="1">
        <v>44501</v>
      </c>
      <c r="B459" s="4">
        <v>226.85</v>
      </c>
    </row>
    <row r="460" spans="1:2" x14ac:dyDescent="0.3">
      <c r="A460" s="1">
        <v>44502</v>
      </c>
      <c r="B460" s="4">
        <v>225.6</v>
      </c>
    </row>
    <row r="461" spans="1:2" x14ac:dyDescent="0.3">
      <c r="A461" s="1">
        <v>44503</v>
      </c>
      <c r="B461" s="4">
        <v>222.45</v>
      </c>
    </row>
    <row r="462" spans="1:2" x14ac:dyDescent="0.3">
      <c r="A462" s="1">
        <v>44504</v>
      </c>
      <c r="B462" s="4">
        <v>226.55</v>
      </c>
    </row>
    <row r="463" spans="1:2" x14ac:dyDescent="0.3">
      <c r="A463" s="1">
        <v>44508</v>
      </c>
      <c r="B463" s="4">
        <v>229.8</v>
      </c>
    </row>
    <row r="464" spans="1:2" x14ac:dyDescent="0.3">
      <c r="A464" s="1">
        <v>44509</v>
      </c>
      <c r="B464" s="4">
        <v>228.75</v>
      </c>
    </row>
    <row r="465" spans="1:2" x14ac:dyDescent="0.3">
      <c r="A465" s="1">
        <v>44510</v>
      </c>
      <c r="B465" s="4">
        <v>230.85</v>
      </c>
    </row>
    <row r="466" spans="1:2" x14ac:dyDescent="0.3">
      <c r="A466" s="1">
        <v>44511</v>
      </c>
      <c r="B466" s="4">
        <v>230</v>
      </c>
    </row>
    <row r="467" spans="1:2" x14ac:dyDescent="0.3">
      <c r="A467" s="1">
        <v>44512</v>
      </c>
      <c r="B467" s="4">
        <v>232.9</v>
      </c>
    </row>
    <row r="468" spans="1:2" x14ac:dyDescent="0.3">
      <c r="A468" s="1">
        <v>44515</v>
      </c>
      <c r="B468" s="4">
        <v>238.1</v>
      </c>
    </row>
    <row r="469" spans="1:2" x14ac:dyDescent="0.3">
      <c r="A469" s="1">
        <v>44516</v>
      </c>
      <c r="B469" s="4">
        <v>235.45</v>
      </c>
    </row>
    <row r="470" spans="1:2" x14ac:dyDescent="0.3">
      <c r="A470" s="1">
        <v>44517</v>
      </c>
      <c r="B470" s="4">
        <v>239.5</v>
      </c>
    </row>
    <row r="471" spans="1:2" x14ac:dyDescent="0.3">
      <c r="A471" s="1">
        <v>44518</v>
      </c>
      <c r="B471" s="4">
        <v>237.5</v>
      </c>
    </row>
    <row r="472" spans="1:2" x14ac:dyDescent="0.3">
      <c r="A472" s="1">
        <v>44522</v>
      </c>
      <c r="B472" s="4">
        <v>230.9</v>
      </c>
    </row>
    <row r="473" spans="1:2" x14ac:dyDescent="0.3">
      <c r="A473" s="1">
        <v>44523</v>
      </c>
      <c r="B473" s="4">
        <v>231.6</v>
      </c>
    </row>
    <row r="474" spans="1:2" x14ac:dyDescent="0.3">
      <c r="A474" s="1">
        <v>44524</v>
      </c>
      <c r="B474" s="4">
        <v>227.7</v>
      </c>
    </row>
    <row r="475" spans="1:2" x14ac:dyDescent="0.3">
      <c r="A475" s="1">
        <v>44525</v>
      </c>
      <c r="B475" s="4">
        <v>231.3</v>
      </c>
    </row>
    <row r="476" spans="1:2" x14ac:dyDescent="0.3">
      <c r="A476" s="1">
        <v>44526</v>
      </c>
      <c r="B476" s="4">
        <v>224</v>
      </c>
    </row>
    <row r="477" spans="1:2" x14ac:dyDescent="0.3">
      <c r="A477" s="1">
        <v>44529</v>
      </c>
      <c r="B477" s="4">
        <v>221.5</v>
      </c>
    </row>
    <row r="478" spans="1:2" x14ac:dyDescent="0.3">
      <c r="A478" s="1">
        <v>44530</v>
      </c>
      <c r="B478" s="4">
        <v>221.15</v>
      </c>
    </row>
    <row r="479" spans="1:2" x14ac:dyDescent="0.3">
      <c r="A479" s="1">
        <v>44531</v>
      </c>
      <c r="B479" s="4">
        <v>221.9</v>
      </c>
    </row>
    <row r="480" spans="1:2" x14ac:dyDescent="0.3">
      <c r="A480" s="1">
        <v>44532</v>
      </c>
      <c r="B480" s="4">
        <v>225.45</v>
      </c>
    </row>
    <row r="481" spans="1:2" x14ac:dyDescent="0.3">
      <c r="A481" s="1">
        <v>44533</v>
      </c>
      <c r="B481" s="4">
        <v>221.65</v>
      </c>
    </row>
    <row r="482" spans="1:2" x14ac:dyDescent="0.3">
      <c r="A482" s="1">
        <v>44536</v>
      </c>
      <c r="B482" s="4">
        <v>217.9</v>
      </c>
    </row>
    <row r="483" spans="1:2" x14ac:dyDescent="0.3">
      <c r="A483" s="1">
        <v>44537</v>
      </c>
      <c r="B483" s="4">
        <v>220.65</v>
      </c>
    </row>
    <row r="484" spans="1:2" x14ac:dyDescent="0.3">
      <c r="A484" s="1">
        <v>44538</v>
      </c>
      <c r="B484" s="4">
        <v>224.95</v>
      </c>
    </row>
    <row r="485" spans="1:2" x14ac:dyDescent="0.3">
      <c r="A485" s="1">
        <v>44539</v>
      </c>
      <c r="B485" s="4">
        <v>235.4</v>
      </c>
    </row>
    <row r="486" spans="1:2" x14ac:dyDescent="0.3">
      <c r="A486" s="1">
        <v>44540</v>
      </c>
      <c r="B486" s="4">
        <v>236.1</v>
      </c>
    </row>
    <row r="487" spans="1:2" x14ac:dyDescent="0.3">
      <c r="A487" s="1">
        <v>44543</v>
      </c>
      <c r="B487" s="4">
        <v>234.6</v>
      </c>
    </row>
    <row r="488" spans="1:2" x14ac:dyDescent="0.3">
      <c r="A488" s="1">
        <v>44544</v>
      </c>
      <c r="B488" s="4">
        <v>228.6</v>
      </c>
    </row>
    <row r="489" spans="1:2" x14ac:dyDescent="0.3">
      <c r="A489" s="1">
        <v>44545</v>
      </c>
      <c r="B489" s="4">
        <v>224.05</v>
      </c>
    </row>
    <row r="490" spans="1:2" x14ac:dyDescent="0.3">
      <c r="A490" s="1">
        <v>44546</v>
      </c>
      <c r="B490" s="4">
        <v>222.9</v>
      </c>
    </row>
    <row r="491" spans="1:2" x14ac:dyDescent="0.3">
      <c r="A491" s="1">
        <v>44547</v>
      </c>
      <c r="B491" s="4">
        <v>217.95</v>
      </c>
    </row>
    <row r="492" spans="1:2" x14ac:dyDescent="0.3">
      <c r="A492" s="1">
        <v>44550</v>
      </c>
      <c r="B492" s="4">
        <v>212.4</v>
      </c>
    </row>
    <row r="493" spans="1:2" x14ac:dyDescent="0.3">
      <c r="A493" s="1">
        <v>44551</v>
      </c>
      <c r="B493" s="4">
        <v>212.5</v>
      </c>
    </row>
    <row r="494" spans="1:2" x14ac:dyDescent="0.3">
      <c r="A494" s="1">
        <v>44552</v>
      </c>
      <c r="B494" s="4">
        <v>212</v>
      </c>
    </row>
    <row r="495" spans="1:2" x14ac:dyDescent="0.3">
      <c r="A495" s="1">
        <v>44553</v>
      </c>
      <c r="B495" s="4">
        <v>217.3</v>
      </c>
    </row>
    <row r="496" spans="1:2" x14ac:dyDescent="0.3">
      <c r="A496" s="1">
        <v>44554</v>
      </c>
      <c r="B496" s="4">
        <v>218</v>
      </c>
    </row>
    <row r="497" spans="1:2" x14ac:dyDescent="0.3">
      <c r="A497" s="1">
        <v>44557</v>
      </c>
      <c r="B497" s="4">
        <v>217.55</v>
      </c>
    </row>
    <row r="498" spans="1:2" x14ac:dyDescent="0.3">
      <c r="A498" s="1">
        <v>44558</v>
      </c>
      <c r="B498" s="4">
        <v>220.05</v>
      </c>
    </row>
    <row r="499" spans="1:2" x14ac:dyDescent="0.3">
      <c r="A499" s="1">
        <v>44559</v>
      </c>
      <c r="B499" s="4">
        <v>216.75</v>
      </c>
    </row>
    <row r="500" spans="1:2" x14ac:dyDescent="0.3">
      <c r="A500" s="1">
        <v>44560</v>
      </c>
      <c r="B500" s="4">
        <v>216</v>
      </c>
    </row>
    <row r="501" spans="1:2" x14ac:dyDescent="0.3">
      <c r="A501" s="1">
        <v>44561</v>
      </c>
      <c r="B501" s="4">
        <v>218.05</v>
      </c>
    </row>
    <row r="502" spans="1:2" x14ac:dyDescent="0.3">
      <c r="A502" s="1">
        <v>44564</v>
      </c>
      <c r="B502" s="4">
        <v>219.1</v>
      </c>
    </row>
    <row r="503" spans="1:2" x14ac:dyDescent="0.3">
      <c r="A503" s="1">
        <v>44565</v>
      </c>
      <c r="B503" s="4">
        <v>220.25</v>
      </c>
    </row>
    <row r="504" spans="1:2" x14ac:dyDescent="0.3">
      <c r="A504" s="1">
        <v>44566</v>
      </c>
      <c r="B504" s="4">
        <v>220.55</v>
      </c>
    </row>
    <row r="505" spans="1:2" x14ac:dyDescent="0.3">
      <c r="A505" s="1">
        <v>44567</v>
      </c>
      <c r="B505" s="4">
        <v>218.7</v>
      </c>
    </row>
    <row r="506" spans="1:2" x14ac:dyDescent="0.3">
      <c r="A506" s="1">
        <v>44568</v>
      </c>
      <c r="B506" s="4">
        <v>218.4</v>
      </c>
    </row>
    <row r="507" spans="1:2" x14ac:dyDescent="0.3">
      <c r="A507" s="1">
        <v>44571</v>
      </c>
      <c r="B507" s="4">
        <v>223.3</v>
      </c>
    </row>
    <row r="508" spans="1:2" x14ac:dyDescent="0.3">
      <c r="A508" s="1">
        <v>44572</v>
      </c>
      <c r="B508" s="4">
        <v>221.95</v>
      </c>
    </row>
    <row r="509" spans="1:2" x14ac:dyDescent="0.3">
      <c r="A509" s="1">
        <v>44573</v>
      </c>
      <c r="B509" s="4">
        <v>222.75</v>
      </c>
    </row>
    <row r="510" spans="1:2" x14ac:dyDescent="0.3">
      <c r="A510" s="1">
        <v>44574</v>
      </c>
      <c r="B510" s="4">
        <v>223.95</v>
      </c>
    </row>
    <row r="511" spans="1:2" x14ac:dyDescent="0.3">
      <c r="A511" s="1">
        <v>44575</v>
      </c>
      <c r="B511" s="4">
        <v>222.6</v>
      </c>
    </row>
    <row r="512" spans="1:2" x14ac:dyDescent="0.3">
      <c r="A512" s="1">
        <v>44578</v>
      </c>
      <c r="B512" s="4">
        <v>224.6</v>
      </c>
    </row>
    <row r="513" spans="1:2" x14ac:dyDescent="0.3">
      <c r="A513" s="1">
        <v>44579</v>
      </c>
      <c r="B513" s="4">
        <v>220.75</v>
      </c>
    </row>
    <row r="514" spans="1:2" x14ac:dyDescent="0.3">
      <c r="A514" s="1">
        <v>44580</v>
      </c>
      <c r="B514" s="4">
        <v>220.35</v>
      </c>
    </row>
    <row r="515" spans="1:2" x14ac:dyDescent="0.3">
      <c r="A515" s="1">
        <v>44581</v>
      </c>
      <c r="B515" s="4">
        <v>218.75</v>
      </c>
    </row>
    <row r="516" spans="1:2" x14ac:dyDescent="0.3">
      <c r="A516" s="1">
        <v>44582</v>
      </c>
      <c r="B516" s="4">
        <v>217.05</v>
      </c>
    </row>
    <row r="517" spans="1:2" x14ac:dyDescent="0.3">
      <c r="A517" s="1">
        <v>44585</v>
      </c>
      <c r="B517" s="4">
        <v>211.8</v>
      </c>
    </row>
    <row r="518" spans="1:2" x14ac:dyDescent="0.3">
      <c r="A518" s="1">
        <v>44586</v>
      </c>
      <c r="B518" s="4">
        <v>214.3</v>
      </c>
    </row>
    <row r="519" spans="1:2" x14ac:dyDescent="0.3">
      <c r="A519" s="1">
        <v>44588</v>
      </c>
      <c r="B519" s="4">
        <v>214.6</v>
      </c>
    </row>
    <row r="520" spans="1:2" x14ac:dyDescent="0.3">
      <c r="A520" s="1">
        <v>44589</v>
      </c>
      <c r="B520" s="4">
        <v>217.6</v>
      </c>
    </row>
    <row r="521" spans="1:2" x14ac:dyDescent="0.3">
      <c r="A521" s="1">
        <v>44592</v>
      </c>
      <c r="B521" s="4">
        <v>220.2</v>
      </c>
    </row>
    <row r="522" spans="1:2" x14ac:dyDescent="0.3">
      <c r="A522" s="1">
        <v>44593</v>
      </c>
      <c r="B522" s="4">
        <v>227.75</v>
      </c>
    </row>
    <row r="523" spans="1:2" x14ac:dyDescent="0.3">
      <c r="A523" s="1">
        <v>44594</v>
      </c>
      <c r="B523" s="4">
        <v>232.15</v>
      </c>
    </row>
    <row r="524" spans="1:2" x14ac:dyDescent="0.3">
      <c r="A524" s="1">
        <v>44595</v>
      </c>
      <c r="B524" s="4">
        <v>234.45</v>
      </c>
    </row>
    <row r="525" spans="1:2" x14ac:dyDescent="0.3">
      <c r="A525" s="1">
        <v>44596</v>
      </c>
      <c r="B525" s="4">
        <v>234.3</v>
      </c>
    </row>
    <row r="526" spans="1:2" x14ac:dyDescent="0.3">
      <c r="A526" s="1">
        <v>44599</v>
      </c>
      <c r="B526" s="4">
        <v>230.2</v>
      </c>
    </row>
    <row r="527" spans="1:2" x14ac:dyDescent="0.3">
      <c r="A527" s="1">
        <v>44600</v>
      </c>
      <c r="B527" s="4">
        <v>231.25</v>
      </c>
    </row>
    <row r="528" spans="1:2" x14ac:dyDescent="0.3">
      <c r="A528" s="1">
        <v>44601</v>
      </c>
      <c r="B528" s="4">
        <v>230.15</v>
      </c>
    </row>
    <row r="529" spans="1:2" x14ac:dyDescent="0.3">
      <c r="A529" s="1">
        <v>44602</v>
      </c>
      <c r="B529" s="4">
        <v>232.25</v>
      </c>
    </row>
    <row r="530" spans="1:2" x14ac:dyDescent="0.3">
      <c r="A530" s="1">
        <v>44603</v>
      </c>
      <c r="B530" s="4">
        <v>232.45</v>
      </c>
    </row>
    <row r="531" spans="1:2" x14ac:dyDescent="0.3">
      <c r="A531" s="1">
        <v>44606</v>
      </c>
      <c r="B531" s="4">
        <v>219.45</v>
      </c>
    </row>
    <row r="532" spans="1:2" x14ac:dyDescent="0.3">
      <c r="A532" s="1">
        <v>44607</v>
      </c>
      <c r="B532" s="4">
        <v>223</v>
      </c>
    </row>
    <row r="533" spans="1:2" x14ac:dyDescent="0.3">
      <c r="A533" s="1">
        <v>44608</v>
      </c>
      <c r="B533" s="4">
        <v>222.75</v>
      </c>
    </row>
    <row r="534" spans="1:2" x14ac:dyDescent="0.3">
      <c r="A534" s="1">
        <v>44609</v>
      </c>
      <c r="B534" s="4">
        <v>222.65</v>
      </c>
    </row>
    <row r="535" spans="1:2" x14ac:dyDescent="0.3">
      <c r="A535" s="1">
        <v>44610</v>
      </c>
      <c r="B535" s="4">
        <v>221.9</v>
      </c>
    </row>
    <row r="536" spans="1:2" x14ac:dyDescent="0.3">
      <c r="A536" s="1">
        <v>44613</v>
      </c>
      <c r="B536" s="4">
        <v>218</v>
      </c>
    </row>
    <row r="537" spans="1:2" x14ac:dyDescent="0.3">
      <c r="A537" s="1">
        <v>44614</v>
      </c>
      <c r="B537" s="4">
        <v>214.85</v>
      </c>
    </row>
    <row r="538" spans="1:2" x14ac:dyDescent="0.3">
      <c r="A538" s="1">
        <v>44615</v>
      </c>
      <c r="B538" s="4">
        <v>215.95</v>
      </c>
    </row>
    <row r="539" spans="1:2" x14ac:dyDescent="0.3">
      <c r="A539" s="1">
        <v>44616</v>
      </c>
      <c r="B539" s="4">
        <v>208.5</v>
      </c>
    </row>
    <row r="540" spans="1:2" x14ac:dyDescent="0.3">
      <c r="A540" s="1">
        <v>44617</v>
      </c>
      <c r="B540" s="4">
        <v>213.95</v>
      </c>
    </row>
    <row r="541" spans="1:2" x14ac:dyDescent="0.3">
      <c r="A541" s="1">
        <v>44620</v>
      </c>
      <c r="B541" s="4">
        <v>215.85</v>
      </c>
    </row>
    <row r="542" spans="1:2" x14ac:dyDescent="0.3">
      <c r="A542" s="1">
        <v>44622</v>
      </c>
      <c r="B542" s="4">
        <v>215.3</v>
      </c>
    </row>
    <row r="543" spans="1:2" x14ac:dyDescent="0.3">
      <c r="A543" s="1">
        <v>44623</v>
      </c>
      <c r="B543" s="4">
        <v>219.4</v>
      </c>
    </row>
    <row r="544" spans="1:2" x14ac:dyDescent="0.3">
      <c r="A544" s="1">
        <v>44624</v>
      </c>
      <c r="B544" s="4">
        <v>225.5</v>
      </c>
    </row>
    <row r="545" spans="1:2" x14ac:dyDescent="0.3">
      <c r="A545" s="1">
        <v>44627</v>
      </c>
      <c r="B545" s="4">
        <v>224.95</v>
      </c>
    </row>
    <row r="546" spans="1:2" x14ac:dyDescent="0.3">
      <c r="A546" s="1">
        <v>44628</v>
      </c>
      <c r="B546" s="4">
        <v>226.9</v>
      </c>
    </row>
    <row r="547" spans="1:2" x14ac:dyDescent="0.3">
      <c r="A547" s="1">
        <v>44629</v>
      </c>
      <c r="B547" s="4">
        <v>229.25</v>
      </c>
    </row>
    <row r="548" spans="1:2" x14ac:dyDescent="0.3">
      <c r="A548" s="1">
        <v>44630</v>
      </c>
      <c r="B548" s="4">
        <v>232</v>
      </c>
    </row>
    <row r="549" spans="1:2" x14ac:dyDescent="0.3">
      <c r="A549" s="1">
        <v>44631</v>
      </c>
      <c r="B549" s="4">
        <v>236.35</v>
      </c>
    </row>
    <row r="550" spans="1:2" x14ac:dyDescent="0.3">
      <c r="A550" s="1">
        <v>44634</v>
      </c>
      <c r="B550" s="4">
        <v>239</v>
      </c>
    </row>
    <row r="551" spans="1:2" x14ac:dyDescent="0.3">
      <c r="A551" s="1">
        <v>44635</v>
      </c>
      <c r="B551" s="4">
        <v>237.85</v>
      </c>
    </row>
    <row r="552" spans="1:2" x14ac:dyDescent="0.3">
      <c r="A552" s="1">
        <v>44636</v>
      </c>
      <c r="B552" s="4">
        <v>242.6</v>
      </c>
    </row>
    <row r="553" spans="1:2" x14ac:dyDescent="0.3">
      <c r="A553" s="1">
        <v>44637</v>
      </c>
      <c r="B553" s="4">
        <v>244.9</v>
      </c>
    </row>
    <row r="554" spans="1:2" x14ac:dyDescent="0.3">
      <c r="A554" s="1">
        <v>44641</v>
      </c>
      <c r="B554" s="4">
        <v>244.5</v>
      </c>
    </row>
    <row r="555" spans="1:2" x14ac:dyDescent="0.3">
      <c r="A555" s="1">
        <v>44642</v>
      </c>
      <c r="B555" s="4">
        <v>249.75</v>
      </c>
    </row>
    <row r="556" spans="1:2" x14ac:dyDescent="0.3">
      <c r="A556" s="1">
        <v>44643</v>
      </c>
      <c r="B556" s="4">
        <v>252</v>
      </c>
    </row>
    <row r="557" spans="1:2" x14ac:dyDescent="0.3">
      <c r="A557" s="1">
        <v>44644</v>
      </c>
      <c r="B557" s="4">
        <v>254.85</v>
      </c>
    </row>
    <row r="558" spans="1:2" x14ac:dyDescent="0.3">
      <c r="A558" s="1">
        <v>44645</v>
      </c>
      <c r="B558" s="4">
        <v>253.35</v>
      </c>
    </row>
    <row r="559" spans="1:2" x14ac:dyDescent="0.3">
      <c r="A559" s="1">
        <v>44648</v>
      </c>
      <c r="B559" s="4">
        <v>257.05</v>
      </c>
    </row>
    <row r="560" spans="1:2" x14ac:dyDescent="0.3">
      <c r="A560" s="1">
        <v>44649</v>
      </c>
      <c r="B560" s="4">
        <v>254.6</v>
      </c>
    </row>
    <row r="561" spans="1:2" x14ac:dyDescent="0.3">
      <c r="A561" s="1">
        <v>44650</v>
      </c>
      <c r="B561" s="4">
        <v>249.2</v>
      </c>
    </row>
    <row r="562" spans="1:2" x14ac:dyDescent="0.3">
      <c r="A562" s="1">
        <v>44651</v>
      </c>
      <c r="B562" s="4">
        <v>250.65</v>
      </c>
    </row>
    <row r="563" spans="1:2" x14ac:dyDescent="0.3">
      <c r="A563" s="1">
        <v>44652</v>
      </c>
      <c r="B563" s="4">
        <v>253.3</v>
      </c>
    </row>
    <row r="564" spans="1:2" x14ac:dyDescent="0.3">
      <c r="A564" s="1">
        <v>44655</v>
      </c>
      <c r="B564" s="4">
        <v>255.45</v>
      </c>
    </row>
    <row r="565" spans="1:2" x14ac:dyDescent="0.3">
      <c r="A565" s="1">
        <v>44656</v>
      </c>
      <c r="B565" s="4">
        <v>259.45</v>
      </c>
    </row>
    <row r="566" spans="1:2" x14ac:dyDescent="0.3">
      <c r="A566" s="1">
        <v>44657</v>
      </c>
      <c r="B566" s="4">
        <v>259.60000000000002</v>
      </c>
    </row>
    <row r="567" spans="1:2" x14ac:dyDescent="0.3">
      <c r="A567" s="1">
        <v>44658</v>
      </c>
      <c r="B567" s="4">
        <v>256.64999999999998</v>
      </c>
    </row>
    <row r="568" spans="1:2" x14ac:dyDescent="0.3">
      <c r="A568" s="1">
        <v>44659</v>
      </c>
      <c r="B568" s="4">
        <v>266.16000000000003</v>
      </c>
    </row>
    <row r="569" spans="1:2" x14ac:dyDescent="0.3">
      <c r="A569" s="1">
        <v>44662</v>
      </c>
      <c r="B569" s="4">
        <v>267.5</v>
      </c>
    </row>
    <row r="570" spans="1:2" x14ac:dyDescent="0.3">
      <c r="A570" s="1">
        <v>44663</v>
      </c>
      <c r="B570" s="4">
        <v>263.18</v>
      </c>
    </row>
    <row r="571" spans="1:2" x14ac:dyDescent="0.3">
      <c r="A571" s="1">
        <v>44664</v>
      </c>
      <c r="B571" s="4">
        <v>269.55</v>
      </c>
    </row>
    <row r="572" spans="1:2" x14ac:dyDescent="0.3">
      <c r="A572" s="1">
        <v>44669</v>
      </c>
      <c r="B572" s="4">
        <v>268.45</v>
      </c>
    </row>
    <row r="573" spans="1:2" x14ac:dyDescent="0.3">
      <c r="A573" s="1">
        <v>44670</v>
      </c>
      <c r="B573" s="4">
        <v>261.55</v>
      </c>
    </row>
    <row r="574" spans="1:2" x14ac:dyDescent="0.3">
      <c r="A574" s="1">
        <v>44671</v>
      </c>
      <c r="B574" s="4">
        <v>259.55</v>
      </c>
    </row>
    <row r="575" spans="1:2" x14ac:dyDescent="0.3">
      <c r="A575" s="1">
        <v>44672</v>
      </c>
      <c r="B575" s="4">
        <v>260.39999999999998</v>
      </c>
    </row>
    <row r="576" spans="1:2" x14ac:dyDescent="0.3">
      <c r="A576" s="1">
        <v>44673</v>
      </c>
      <c r="B576" s="4">
        <v>261.10000000000002</v>
      </c>
    </row>
    <row r="577" spans="1:2" x14ac:dyDescent="0.3">
      <c r="A577" s="1">
        <v>44676</v>
      </c>
      <c r="B577" s="4">
        <v>255.25</v>
      </c>
    </row>
    <row r="578" spans="1:2" x14ac:dyDescent="0.3">
      <c r="A578" s="1">
        <v>44677</v>
      </c>
      <c r="B578" s="4">
        <v>258.95</v>
      </c>
    </row>
    <row r="579" spans="1:2" x14ac:dyDescent="0.3">
      <c r="A579" s="1">
        <v>44678</v>
      </c>
      <c r="B579" s="4">
        <v>257.5</v>
      </c>
    </row>
    <row r="580" spans="1:2" x14ac:dyDescent="0.3">
      <c r="A580" s="1">
        <v>44679</v>
      </c>
      <c r="B580" s="4">
        <v>261.10000000000002</v>
      </c>
    </row>
    <row r="581" spans="1:2" x14ac:dyDescent="0.3">
      <c r="A581" s="1">
        <v>44680</v>
      </c>
      <c r="B581" s="4">
        <v>259.55</v>
      </c>
    </row>
    <row r="582" spans="1:2" x14ac:dyDescent="0.3">
      <c r="A582" s="1">
        <v>44683</v>
      </c>
      <c r="B582" s="4">
        <v>263.14999999999998</v>
      </c>
    </row>
    <row r="583" spans="1:2" x14ac:dyDescent="0.3">
      <c r="A583" s="1">
        <v>44685</v>
      </c>
      <c r="B583" s="4">
        <v>259.75</v>
      </c>
    </row>
    <row r="584" spans="1:2" x14ac:dyDescent="0.3">
      <c r="A584" s="1">
        <v>44686</v>
      </c>
      <c r="B584" s="4">
        <v>262.05</v>
      </c>
    </row>
    <row r="585" spans="1:2" x14ac:dyDescent="0.3">
      <c r="A585" s="1">
        <v>44687</v>
      </c>
      <c r="B585" s="4">
        <v>266.64999999999998</v>
      </c>
    </row>
    <row r="586" spans="1:2" x14ac:dyDescent="0.3">
      <c r="A586" s="1">
        <v>44690</v>
      </c>
      <c r="B586" s="4">
        <v>261.33999999999997</v>
      </c>
    </row>
    <row r="587" spans="1:2" x14ac:dyDescent="0.3">
      <c r="A587" s="1">
        <v>44691</v>
      </c>
      <c r="B587" s="4">
        <v>259.75</v>
      </c>
    </row>
    <row r="588" spans="1:2" x14ac:dyDescent="0.3">
      <c r="A588" s="1">
        <v>44692</v>
      </c>
      <c r="B588" s="4">
        <v>254.09</v>
      </c>
    </row>
    <row r="589" spans="1:2" x14ac:dyDescent="0.3">
      <c r="A589" s="1">
        <v>44693</v>
      </c>
      <c r="B589" s="4">
        <v>251.35</v>
      </c>
    </row>
    <row r="590" spans="1:2" x14ac:dyDescent="0.3">
      <c r="A590" s="1">
        <v>44694</v>
      </c>
      <c r="B590" s="4">
        <v>258.60000000000002</v>
      </c>
    </row>
    <row r="591" spans="1:2" x14ac:dyDescent="0.3">
      <c r="A591" s="1">
        <v>44697</v>
      </c>
      <c r="B591" s="4">
        <v>254.1</v>
      </c>
    </row>
    <row r="592" spans="1:2" x14ac:dyDescent="0.3">
      <c r="A592" s="1">
        <v>44698</v>
      </c>
      <c r="B592" s="4">
        <v>264.7</v>
      </c>
    </row>
    <row r="593" spans="1:2" x14ac:dyDescent="0.3">
      <c r="A593" s="1">
        <v>44699</v>
      </c>
      <c r="B593" s="4">
        <v>266.8</v>
      </c>
    </row>
    <row r="594" spans="1:2" x14ac:dyDescent="0.3">
      <c r="A594" s="1">
        <v>44700</v>
      </c>
      <c r="B594" s="4">
        <v>273.95999999999998</v>
      </c>
    </row>
    <row r="595" spans="1:2" x14ac:dyDescent="0.3">
      <c r="A595" s="1">
        <v>44701</v>
      </c>
      <c r="B595" s="4">
        <v>278.29000000000002</v>
      </c>
    </row>
    <row r="596" spans="1:2" x14ac:dyDescent="0.3">
      <c r="A596" s="1">
        <v>44704</v>
      </c>
      <c r="B596" s="4">
        <v>272.82</v>
      </c>
    </row>
    <row r="597" spans="1:2" x14ac:dyDescent="0.3">
      <c r="A597" s="1">
        <v>44705</v>
      </c>
      <c r="B597" s="4">
        <v>269.19</v>
      </c>
    </row>
    <row r="598" spans="1:2" x14ac:dyDescent="0.3">
      <c r="A598" s="1">
        <v>44706</v>
      </c>
      <c r="B598" s="4">
        <v>271.02999999999997</v>
      </c>
    </row>
    <row r="599" spans="1:2" x14ac:dyDescent="0.3">
      <c r="A599" s="1">
        <v>44707</v>
      </c>
      <c r="B599" s="4">
        <v>265.07</v>
      </c>
    </row>
    <row r="600" spans="1:2" x14ac:dyDescent="0.3">
      <c r="A600" s="1">
        <v>44708</v>
      </c>
      <c r="B600" s="4">
        <v>267.55</v>
      </c>
    </row>
    <row r="601" spans="1:2" x14ac:dyDescent="0.3">
      <c r="A601" s="1">
        <v>44711</v>
      </c>
      <c r="B601" s="4">
        <v>267.39999999999998</v>
      </c>
    </row>
    <row r="602" spans="1:2" x14ac:dyDescent="0.3">
      <c r="A602" s="1">
        <v>44712</v>
      </c>
      <c r="B602" s="4">
        <v>268.99</v>
      </c>
    </row>
    <row r="603" spans="1:2" x14ac:dyDescent="0.3">
      <c r="A603" s="1">
        <v>44713</v>
      </c>
      <c r="B603" s="4">
        <v>270.18</v>
      </c>
    </row>
    <row r="604" spans="1:2" x14ac:dyDescent="0.3">
      <c r="A604" s="1">
        <v>44714</v>
      </c>
      <c r="B604" s="4">
        <v>271.83</v>
      </c>
    </row>
    <row r="605" spans="1:2" x14ac:dyDescent="0.3">
      <c r="A605" s="1">
        <v>44715</v>
      </c>
      <c r="B605" s="4">
        <v>271.02999999999997</v>
      </c>
    </row>
    <row r="606" spans="1:2" x14ac:dyDescent="0.3">
      <c r="A606" s="1">
        <v>44718</v>
      </c>
      <c r="B606" s="4">
        <v>273.12</v>
      </c>
    </row>
    <row r="607" spans="1:2" x14ac:dyDescent="0.3">
      <c r="A607" s="1">
        <v>44719</v>
      </c>
      <c r="B607" s="4">
        <v>272.22000000000003</v>
      </c>
    </row>
    <row r="608" spans="1:2" x14ac:dyDescent="0.3">
      <c r="A608" s="1">
        <v>44720</v>
      </c>
      <c r="B608" s="4">
        <v>266.26</v>
      </c>
    </row>
    <row r="609" spans="1:2" x14ac:dyDescent="0.3">
      <c r="A609" s="1">
        <v>44721</v>
      </c>
      <c r="B609" s="4">
        <v>269.19</v>
      </c>
    </row>
    <row r="610" spans="1:2" x14ac:dyDescent="0.3">
      <c r="A610" s="1">
        <v>44722</v>
      </c>
      <c r="B610" s="4">
        <v>268.5</v>
      </c>
    </row>
    <row r="611" spans="1:2" x14ac:dyDescent="0.3">
      <c r="A611" s="1">
        <v>44725</v>
      </c>
      <c r="B611" s="4">
        <v>263.02999999999997</v>
      </c>
    </row>
    <row r="612" spans="1:2" x14ac:dyDescent="0.3">
      <c r="A612" s="1">
        <v>44726</v>
      </c>
      <c r="B612" s="4">
        <v>263.83</v>
      </c>
    </row>
    <row r="613" spans="1:2" x14ac:dyDescent="0.3">
      <c r="A613" s="1">
        <v>44727</v>
      </c>
      <c r="B613" s="4">
        <v>261.79000000000002</v>
      </c>
    </row>
    <row r="614" spans="1:2" x14ac:dyDescent="0.3">
      <c r="A614" s="1">
        <v>44728</v>
      </c>
      <c r="B614" s="4">
        <v>259.10000000000002</v>
      </c>
    </row>
    <row r="615" spans="1:2" x14ac:dyDescent="0.3">
      <c r="A615" s="1">
        <v>44729</v>
      </c>
      <c r="B615" s="4">
        <v>261.69</v>
      </c>
    </row>
    <row r="616" spans="1:2" x14ac:dyDescent="0.3">
      <c r="A616" s="1">
        <v>44732</v>
      </c>
      <c r="B616" s="4">
        <v>262.48</v>
      </c>
    </row>
    <row r="617" spans="1:2" x14ac:dyDescent="0.3">
      <c r="A617" s="1">
        <v>44733</v>
      </c>
      <c r="B617" s="4">
        <v>268.25</v>
      </c>
    </row>
    <row r="618" spans="1:2" x14ac:dyDescent="0.3">
      <c r="A618" s="1">
        <v>44734</v>
      </c>
      <c r="B618" s="4">
        <v>263.68</v>
      </c>
    </row>
    <row r="619" spans="1:2" x14ac:dyDescent="0.3">
      <c r="A619" s="1">
        <v>44735</v>
      </c>
      <c r="B619" s="4">
        <v>263.87</v>
      </c>
    </row>
    <row r="620" spans="1:2" x14ac:dyDescent="0.3">
      <c r="A620" s="1">
        <v>44736</v>
      </c>
      <c r="B620" s="4">
        <v>264.22000000000003</v>
      </c>
    </row>
    <row r="621" spans="1:2" x14ac:dyDescent="0.3">
      <c r="A621" s="1">
        <v>44739</v>
      </c>
      <c r="B621" s="4">
        <v>268.3</v>
      </c>
    </row>
    <row r="622" spans="1:2" x14ac:dyDescent="0.3">
      <c r="A622" s="1">
        <v>44740</v>
      </c>
      <c r="B622" s="4">
        <v>270.18</v>
      </c>
    </row>
    <row r="623" spans="1:2" x14ac:dyDescent="0.3">
      <c r="A623" s="1">
        <v>44741</v>
      </c>
      <c r="B623" s="4">
        <v>272.37</v>
      </c>
    </row>
    <row r="624" spans="1:2" x14ac:dyDescent="0.3">
      <c r="A624" s="1">
        <v>44742</v>
      </c>
      <c r="B624" s="4">
        <v>271.83</v>
      </c>
    </row>
    <row r="625" spans="1:2" x14ac:dyDescent="0.3">
      <c r="A625" s="1">
        <v>44743</v>
      </c>
      <c r="B625" s="4">
        <v>282.61</v>
      </c>
    </row>
    <row r="626" spans="1:2" x14ac:dyDescent="0.3">
      <c r="A626" s="1">
        <v>44746</v>
      </c>
      <c r="B626" s="4">
        <v>290.11</v>
      </c>
    </row>
    <row r="627" spans="1:2" x14ac:dyDescent="0.3">
      <c r="A627" s="1">
        <v>44747</v>
      </c>
      <c r="B627" s="4">
        <v>285.14</v>
      </c>
    </row>
    <row r="628" spans="1:2" x14ac:dyDescent="0.3">
      <c r="A628" s="1">
        <v>44748</v>
      </c>
      <c r="B628" s="4">
        <v>287.52999999999997</v>
      </c>
    </row>
    <row r="629" spans="1:2" x14ac:dyDescent="0.3">
      <c r="A629" s="1">
        <v>44749</v>
      </c>
      <c r="B629" s="4">
        <v>290.16000000000003</v>
      </c>
    </row>
    <row r="630" spans="1:2" x14ac:dyDescent="0.3">
      <c r="A630" s="1">
        <v>44750</v>
      </c>
      <c r="B630" s="4">
        <v>291.26</v>
      </c>
    </row>
    <row r="631" spans="1:2" x14ac:dyDescent="0.3">
      <c r="A631" s="1">
        <v>44753</v>
      </c>
      <c r="B631" s="4">
        <v>293.19</v>
      </c>
    </row>
    <row r="632" spans="1:2" x14ac:dyDescent="0.3">
      <c r="A632" s="1">
        <v>44754</v>
      </c>
      <c r="B632" s="4">
        <v>290.91000000000003</v>
      </c>
    </row>
    <row r="633" spans="1:2" x14ac:dyDescent="0.3">
      <c r="A633" s="1">
        <v>44755</v>
      </c>
      <c r="B633" s="4">
        <v>292.25</v>
      </c>
    </row>
    <row r="634" spans="1:2" x14ac:dyDescent="0.3">
      <c r="A634" s="1">
        <v>44756</v>
      </c>
      <c r="B634" s="4">
        <v>289.07</v>
      </c>
    </row>
    <row r="635" spans="1:2" x14ac:dyDescent="0.3">
      <c r="A635" s="1">
        <v>44757</v>
      </c>
      <c r="B635" s="4">
        <v>291.75</v>
      </c>
    </row>
    <row r="636" spans="1:2" x14ac:dyDescent="0.3">
      <c r="A636" s="1">
        <v>44760</v>
      </c>
      <c r="B636" s="4">
        <v>293.49</v>
      </c>
    </row>
    <row r="637" spans="1:2" x14ac:dyDescent="0.3">
      <c r="A637" s="1">
        <v>44761</v>
      </c>
      <c r="B637" s="4">
        <v>292.8</v>
      </c>
    </row>
    <row r="638" spans="1:2" x14ac:dyDescent="0.3">
      <c r="A638" s="1">
        <v>44762</v>
      </c>
      <c r="B638" s="4">
        <v>296.37</v>
      </c>
    </row>
    <row r="639" spans="1:2" x14ac:dyDescent="0.3">
      <c r="A639" s="1">
        <v>44763</v>
      </c>
      <c r="B639" s="4">
        <v>297.72000000000003</v>
      </c>
    </row>
    <row r="640" spans="1:2" x14ac:dyDescent="0.3">
      <c r="A640" s="1">
        <v>44764</v>
      </c>
      <c r="B640" s="4">
        <v>298.70999999999998</v>
      </c>
    </row>
    <row r="641" spans="1:2" x14ac:dyDescent="0.3">
      <c r="A641" s="1">
        <v>44767</v>
      </c>
      <c r="B641" s="4">
        <v>299.26</v>
      </c>
    </row>
    <row r="642" spans="1:2" x14ac:dyDescent="0.3">
      <c r="A642" s="1">
        <v>44768</v>
      </c>
      <c r="B642" s="4">
        <v>300.60000000000002</v>
      </c>
    </row>
    <row r="643" spans="1:2" x14ac:dyDescent="0.3">
      <c r="A643" s="1">
        <v>44769</v>
      </c>
      <c r="B643" s="4">
        <v>302.29000000000002</v>
      </c>
    </row>
    <row r="644" spans="1:2" x14ac:dyDescent="0.3">
      <c r="A644" s="1">
        <v>44770</v>
      </c>
      <c r="B644" s="4">
        <v>301.58999999999997</v>
      </c>
    </row>
    <row r="645" spans="1:2" x14ac:dyDescent="0.3">
      <c r="A645" s="1">
        <v>44771</v>
      </c>
      <c r="B645" s="4">
        <v>301.19</v>
      </c>
    </row>
    <row r="646" spans="1:2" x14ac:dyDescent="0.3">
      <c r="A646" s="1">
        <v>44774</v>
      </c>
      <c r="B646" s="4">
        <v>305.62</v>
      </c>
    </row>
    <row r="647" spans="1:2" x14ac:dyDescent="0.3">
      <c r="A647" s="1">
        <v>44775</v>
      </c>
      <c r="B647" s="4">
        <v>308.05</v>
      </c>
    </row>
    <row r="648" spans="1:2" x14ac:dyDescent="0.3">
      <c r="A648" s="1">
        <v>44776</v>
      </c>
      <c r="B648" s="4">
        <v>306.26</v>
      </c>
    </row>
    <row r="649" spans="1:2" x14ac:dyDescent="0.3">
      <c r="A649" s="1">
        <v>44777</v>
      </c>
      <c r="B649" s="4">
        <v>307.61</v>
      </c>
    </row>
    <row r="650" spans="1:2" x14ac:dyDescent="0.3">
      <c r="A650" s="1">
        <v>44778</v>
      </c>
      <c r="B650" s="4">
        <v>308.95</v>
      </c>
    </row>
    <row r="651" spans="1:2" x14ac:dyDescent="0.3">
      <c r="A651" s="1">
        <v>44781</v>
      </c>
      <c r="B651" s="4">
        <v>311.23</v>
      </c>
    </row>
    <row r="652" spans="1:2" x14ac:dyDescent="0.3">
      <c r="A652" s="1">
        <v>44783</v>
      </c>
      <c r="B652" s="4">
        <v>309.3</v>
      </c>
    </row>
    <row r="653" spans="1:2" x14ac:dyDescent="0.3">
      <c r="A653" s="1">
        <v>44784</v>
      </c>
      <c r="B653" s="4">
        <v>304.38</v>
      </c>
    </row>
    <row r="654" spans="1:2" x14ac:dyDescent="0.3">
      <c r="A654" s="1">
        <v>44785</v>
      </c>
      <c r="B654" s="4">
        <v>306.66000000000003</v>
      </c>
    </row>
    <row r="655" spans="1:2" x14ac:dyDescent="0.3">
      <c r="A655" s="1">
        <v>44789</v>
      </c>
      <c r="B655" s="4">
        <v>308.64999999999998</v>
      </c>
    </row>
    <row r="656" spans="1:2" x14ac:dyDescent="0.3">
      <c r="A656" s="1">
        <v>44790</v>
      </c>
      <c r="B656" s="4">
        <v>310.64</v>
      </c>
    </row>
    <row r="657" spans="1:2" x14ac:dyDescent="0.3">
      <c r="A657" s="1">
        <v>44791</v>
      </c>
      <c r="B657" s="4">
        <v>313.72000000000003</v>
      </c>
    </row>
    <row r="658" spans="1:2" x14ac:dyDescent="0.3">
      <c r="A658" s="1">
        <v>44792</v>
      </c>
      <c r="B658" s="4">
        <v>310.08999999999997</v>
      </c>
    </row>
    <row r="659" spans="1:2" x14ac:dyDescent="0.3">
      <c r="A659" s="1">
        <v>44795</v>
      </c>
      <c r="B659" s="4">
        <v>312.48</v>
      </c>
    </row>
    <row r="660" spans="1:2" x14ac:dyDescent="0.3">
      <c r="A660" s="1">
        <v>44796</v>
      </c>
      <c r="B660" s="4">
        <v>313.97000000000003</v>
      </c>
    </row>
    <row r="661" spans="1:2" x14ac:dyDescent="0.3">
      <c r="A661" s="1">
        <v>44797</v>
      </c>
      <c r="B661" s="4">
        <v>312.18</v>
      </c>
    </row>
    <row r="662" spans="1:2" x14ac:dyDescent="0.3">
      <c r="A662" s="1">
        <v>44798</v>
      </c>
      <c r="B662" s="4">
        <v>310.44</v>
      </c>
    </row>
    <row r="663" spans="1:2" x14ac:dyDescent="0.3">
      <c r="A663" s="1">
        <v>44799</v>
      </c>
      <c r="B663" s="4">
        <v>310.98</v>
      </c>
    </row>
    <row r="664" spans="1:2" x14ac:dyDescent="0.3">
      <c r="A664" s="1">
        <v>44802</v>
      </c>
      <c r="B664" s="4">
        <v>311.63</v>
      </c>
    </row>
    <row r="665" spans="1:2" x14ac:dyDescent="0.3">
      <c r="A665" s="1">
        <v>44803</v>
      </c>
      <c r="B665" s="4">
        <v>318.54000000000002</v>
      </c>
    </row>
    <row r="666" spans="1:2" x14ac:dyDescent="0.3">
      <c r="A666" s="1">
        <v>44805</v>
      </c>
      <c r="B666" s="4">
        <v>315.64999999999998</v>
      </c>
    </row>
    <row r="667" spans="1:2" x14ac:dyDescent="0.3">
      <c r="A667" s="1">
        <v>44806</v>
      </c>
      <c r="B667" s="4">
        <v>321.17</v>
      </c>
    </row>
    <row r="668" spans="1:2" x14ac:dyDescent="0.3">
      <c r="A668" s="1">
        <v>44809</v>
      </c>
      <c r="B668" s="4">
        <v>326.83999999999997</v>
      </c>
    </row>
    <row r="669" spans="1:2" x14ac:dyDescent="0.3">
      <c r="A669" s="1">
        <v>44810</v>
      </c>
      <c r="B669" s="4">
        <v>325.14999999999998</v>
      </c>
    </row>
    <row r="670" spans="1:2" x14ac:dyDescent="0.3">
      <c r="A670" s="1">
        <v>44811</v>
      </c>
      <c r="B670" s="4">
        <v>324.10000000000002</v>
      </c>
    </row>
    <row r="671" spans="1:2" x14ac:dyDescent="0.3">
      <c r="A671" s="1">
        <v>44812</v>
      </c>
      <c r="B671" s="4">
        <v>327.88</v>
      </c>
    </row>
    <row r="672" spans="1:2" x14ac:dyDescent="0.3">
      <c r="A672" s="1">
        <v>44813</v>
      </c>
      <c r="B672" s="4">
        <v>328.48</v>
      </c>
    </row>
    <row r="673" spans="1:2" x14ac:dyDescent="0.3">
      <c r="A673" s="1">
        <v>44816</v>
      </c>
      <c r="B673" s="4">
        <v>328.87</v>
      </c>
    </row>
    <row r="674" spans="1:2" x14ac:dyDescent="0.3">
      <c r="A674" s="1">
        <v>44817</v>
      </c>
      <c r="B674" s="4">
        <v>332.35</v>
      </c>
    </row>
    <row r="675" spans="1:2" x14ac:dyDescent="0.3">
      <c r="A675" s="1">
        <v>44818</v>
      </c>
      <c r="B675" s="4">
        <v>333.3</v>
      </c>
    </row>
    <row r="676" spans="1:2" x14ac:dyDescent="0.3">
      <c r="A676" s="1">
        <v>44819</v>
      </c>
      <c r="B676" s="4">
        <v>332.05</v>
      </c>
    </row>
    <row r="677" spans="1:2" x14ac:dyDescent="0.3">
      <c r="A677" s="1">
        <v>44820</v>
      </c>
      <c r="B677" s="4">
        <v>329.27</v>
      </c>
    </row>
    <row r="678" spans="1:2" x14ac:dyDescent="0.3">
      <c r="A678" s="1">
        <v>44823</v>
      </c>
      <c r="B678" s="4">
        <v>333.55</v>
      </c>
    </row>
    <row r="679" spans="1:2" x14ac:dyDescent="0.3">
      <c r="A679" s="1">
        <v>44824</v>
      </c>
      <c r="B679" s="4">
        <v>333.94</v>
      </c>
    </row>
    <row r="680" spans="1:2" x14ac:dyDescent="0.3">
      <c r="A680" s="1">
        <v>44825</v>
      </c>
      <c r="B680" s="4">
        <v>338.86</v>
      </c>
    </row>
    <row r="681" spans="1:2" x14ac:dyDescent="0.3">
      <c r="A681" s="1">
        <v>44826</v>
      </c>
      <c r="B681" s="4">
        <v>342.94</v>
      </c>
    </row>
    <row r="682" spans="1:2" x14ac:dyDescent="0.3">
      <c r="A682" s="1">
        <v>44827</v>
      </c>
      <c r="B682" s="4">
        <v>344.28</v>
      </c>
    </row>
    <row r="683" spans="1:2" x14ac:dyDescent="0.3">
      <c r="A683" s="1">
        <v>44830</v>
      </c>
      <c r="B683" s="4">
        <v>330.56</v>
      </c>
    </row>
    <row r="684" spans="1:2" x14ac:dyDescent="0.3">
      <c r="A684" s="1">
        <v>44831</v>
      </c>
      <c r="B684" s="4">
        <v>332.8</v>
      </c>
    </row>
    <row r="685" spans="1:2" x14ac:dyDescent="0.3">
      <c r="A685" s="1">
        <v>44832</v>
      </c>
      <c r="B685" s="4">
        <v>322.95999999999998</v>
      </c>
    </row>
    <row r="686" spans="1:2" x14ac:dyDescent="0.3">
      <c r="A686" s="1">
        <v>44833</v>
      </c>
      <c r="B686" s="4">
        <v>331.01</v>
      </c>
    </row>
    <row r="687" spans="1:2" x14ac:dyDescent="0.3">
      <c r="A687" s="1">
        <v>44834</v>
      </c>
      <c r="B687" s="4">
        <v>330.17</v>
      </c>
    </row>
    <row r="688" spans="1:2" x14ac:dyDescent="0.3">
      <c r="A688" s="1">
        <v>44837</v>
      </c>
      <c r="B688" s="4">
        <v>322.41000000000003</v>
      </c>
    </row>
    <row r="689" spans="1:2" x14ac:dyDescent="0.3">
      <c r="A689" s="1">
        <v>44838</v>
      </c>
      <c r="B689" s="4">
        <v>330.81</v>
      </c>
    </row>
    <row r="690" spans="1:2" x14ac:dyDescent="0.3">
      <c r="A690" s="1">
        <v>44840</v>
      </c>
      <c r="B690" s="4">
        <v>334.59</v>
      </c>
    </row>
    <row r="691" spans="1:2" x14ac:dyDescent="0.3">
      <c r="A691" s="1">
        <v>44841</v>
      </c>
      <c r="B691" s="4">
        <v>332.05</v>
      </c>
    </row>
    <row r="692" spans="1:2" x14ac:dyDescent="0.3">
      <c r="A692" s="1">
        <v>44844</v>
      </c>
      <c r="B692" s="4">
        <v>325.83999999999997</v>
      </c>
    </row>
    <row r="693" spans="1:2" x14ac:dyDescent="0.3">
      <c r="A693" s="1">
        <v>44845</v>
      </c>
      <c r="B693" s="4">
        <v>324.3</v>
      </c>
    </row>
    <row r="694" spans="1:2" x14ac:dyDescent="0.3">
      <c r="A694" s="1">
        <v>44846</v>
      </c>
      <c r="B694" s="4">
        <v>328.08</v>
      </c>
    </row>
    <row r="695" spans="1:2" x14ac:dyDescent="0.3">
      <c r="A695" s="1">
        <v>44847</v>
      </c>
      <c r="B695" s="4">
        <v>326.64</v>
      </c>
    </row>
    <row r="696" spans="1:2" x14ac:dyDescent="0.3">
      <c r="A696" s="1">
        <v>44848</v>
      </c>
      <c r="B696" s="4">
        <v>330.07</v>
      </c>
    </row>
    <row r="697" spans="1:2" x14ac:dyDescent="0.3">
      <c r="A697" s="1">
        <v>44851</v>
      </c>
      <c r="B697" s="4">
        <v>330.22</v>
      </c>
    </row>
    <row r="698" spans="1:2" x14ac:dyDescent="0.3">
      <c r="A698" s="1">
        <v>44852</v>
      </c>
      <c r="B698" s="4">
        <v>338.22</v>
      </c>
    </row>
    <row r="699" spans="1:2" x14ac:dyDescent="0.3">
      <c r="A699" s="1">
        <v>44853</v>
      </c>
      <c r="B699" s="4">
        <v>344.23</v>
      </c>
    </row>
    <row r="700" spans="1:2" x14ac:dyDescent="0.3">
      <c r="A700" s="1">
        <v>44854</v>
      </c>
      <c r="B700" s="4">
        <v>347.56</v>
      </c>
    </row>
    <row r="701" spans="1:2" x14ac:dyDescent="0.3">
      <c r="A701" s="1">
        <v>44855</v>
      </c>
      <c r="B701" s="4">
        <v>343.48</v>
      </c>
    </row>
    <row r="702" spans="1:2" x14ac:dyDescent="0.3">
      <c r="A702" s="1">
        <v>44858</v>
      </c>
      <c r="B702" s="4">
        <v>345.57</v>
      </c>
    </row>
    <row r="703" spans="1:2" x14ac:dyDescent="0.3">
      <c r="A703" s="1">
        <v>44859</v>
      </c>
      <c r="B703" s="4">
        <v>344.18</v>
      </c>
    </row>
    <row r="704" spans="1:2" x14ac:dyDescent="0.3">
      <c r="A704" s="1">
        <v>44861</v>
      </c>
      <c r="B704" s="4">
        <v>343.68</v>
      </c>
    </row>
    <row r="705" spans="1:2" x14ac:dyDescent="0.3">
      <c r="A705" s="1">
        <v>44862</v>
      </c>
      <c r="B705" s="4">
        <v>343.68</v>
      </c>
    </row>
    <row r="706" spans="1:2" x14ac:dyDescent="0.3">
      <c r="A706" s="1">
        <v>44865</v>
      </c>
      <c r="B706" s="4">
        <v>346.57</v>
      </c>
    </row>
    <row r="707" spans="1:2" x14ac:dyDescent="0.3">
      <c r="A707" s="1">
        <v>44866</v>
      </c>
      <c r="B707" s="4">
        <v>347.36</v>
      </c>
    </row>
    <row r="708" spans="1:2" x14ac:dyDescent="0.3">
      <c r="A708" s="1">
        <v>44867</v>
      </c>
      <c r="B708" s="4">
        <v>352.48</v>
      </c>
    </row>
    <row r="709" spans="1:2" x14ac:dyDescent="0.3">
      <c r="A709" s="1">
        <v>44868</v>
      </c>
      <c r="B709" s="4">
        <v>351.53</v>
      </c>
    </row>
    <row r="710" spans="1:2" x14ac:dyDescent="0.3">
      <c r="A710" s="1">
        <v>44869</v>
      </c>
      <c r="B710" s="4">
        <v>351.43</v>
      </c>
    </row>
    <row r="711" spans="1:2" x14ac:dyDescent="0.3">
      <c r="A711" s="1">
        <v>44872</v>
      </c>
      <c r="B711" s="4">
        <v>351.34</v>
      </c>
    </row>
    <row r="712" spans="1:2" x14ac:dyDescent="0.3">
      <c r="A712" s="1">
        <v>44874</v>
      </c>
      <c r="B712" s="4">
        <v>358.49</v>
      </c>
    </row>
    <row r="713" spans="1:2" x14ac:dyDescent="0.3">
      <c r="A713" s="1">
        <v>44875</v>
      </c>
      <c r="B713" s="4">
        <v>353.82</v>
      </c>
    </row>
    <row r="714" spans="1:2" x14ac:dyDescent="0.3">
      <c r="A714" s="1">
        <v>44876</v>
      </c>
      <c r="B714" s="4">
        <v>354.17</v>
      </c>
    </row>
    <row r="715" spans="1:2" x14ac:dyDescent="0.3">
      <c r="A715" s="1">
        <v>44879</v>
      </c>
      <c r="B715" s="4">
        <v>345.07</v>
      </c>
    </row>
    <row r="716" spans="1:2" x14ac:dyDescent="0.3">
      <c r="A716" s="1">
        <v>44880</v>
      </c>
      <c r="B716" s="4">
        <v>343.14</v>
      </c>
    </row>
    <row r="717" spans="1:2" x14ac:dyDescent="0.3">
      <c r="A717" s="1">
        <v>44881</v>
      </c>
      <c r="B717" s="4">
        <v>341.99</v>
      </c>
    </row>
    <row r="718" spans="1:2" x14ac:dyDescent="0.3">
      <c r="A718" s="1">
        <v>44882</v>
      </c>
      <c r="B718" s="4">
        <v>341.6</v>
      </c>
    </row>
    <row r="719" spans="1:2" x14ac:dyDescent="0.3">
      <c r="A719" s="1">
        <v>44883</v>
      </c>
      <c r="B719" s="4">
        <v>338.96</v>
      </c>
    </row>
    <row r="720" spans="1:2" x14ac:dyDescent="0.3">
      <c r="A720" s="1">
        <v>44886</v>
      </c>
      <c r="B720" s="4">
        <v>335.14</v>
      </c>
    </row>
    <row r="721" spans="1:2" x14ac:dyDescent="0.3">
      <c r="A721" s="1">
        <v>44887</v>
      </c>
      <c r="B721" s="4">
        <v>338.17</v>
      </c>
    </row>
    <row r="722" spans="1:2" x14ac:dyDescent="0.3">
      <c r="A722" s="1">
        <v>44888</v>
      </c>
      <c r="B722" s="4">
        <v>337.72</v>
      </c>
    </row>
    <row r="723" spans="1:2" x14ac:dyDescent="0.3">
      <c r="A723" s="1">
        <v>44889</v>
      </c>
      <c r="B723" s="4">
        <v>338.66</v>
      </c>
    </row>
    <row r="724" spans="1:2" x14ac:dyDescent="0.3">
      <c r="A724" s="1">
        <v>44890</v>
      </c>
      <c r="B724" s="4">
        <v>338.22</v>
      </c>
    </row>
    <row r="725" spans="1:2" x14ac:dyDescent="0.3">
      <c r="A725" s="1">
        <v>44893</v>
      </c>
      <c r="B725" s="4">
        <v>337.97</v>
      </c>
    </row>
    <row r="726" spans="1:2" x14ac:dyDescent="0.3">
      <c r="A726" s="1">
        <v>44894</v>
      </c>
      <c r="B726" s="4">
        <v>340.2</v>
      </c>
    </row>
    <row r="727" spans="1:2" x14ac:dyDescent="0.3">
      <c r="A727" s="1">
        <v>44895</v>
      </c>
      <c r="B727" s="4">
        <v>337.92</v>
      </c>
    </row>
    <row r="728" spans="1:2" x14ac:dyDescent="0.3">
      <c r="A728" s="1">
        <v>44896</v>
      </c>
      <c r="B728" s="4">
        <v>337.47</v>
      </c>
    </row>
    <row r="729" spans="1:2" x14ac:dyDescent="0.3">
      <c r="A729" s="1">
        <v>44897</v>
      </c>
      <c r="B729" s="4">
        <v>335.09</v>
      </c>
    </row>
    <row r="730" spans="1:2" x14ac:dyDescent="0.3">
      <c r="A730" s="1">
        <v>44900</v>
      </c>
      <c r="B730" s="4">
        <v>334.69</v>
      </c>
    </row>
    <row r="731" spans="1:2" x14ac:dyDescent="0.3">
      <c r="A731" s="1">
        <v>44901</v>
      </c>
      <c r="B731" s="4">
        <v>335.23</v>
      </c>
    </row>
    <row r="732" spans="1:2" x14ac:dyDescent="0.3">
      <c r="A732" s="1">
        <v>44902</v>
      </c>
      <c r="B732" s="4">
        <v>338.02</v>
      </c>
    </row>
    <row r="733" spans="1:2" x14ac:dyDescent="0.3">
      <c r="A733" s="1">
        <v>44903</v>
      </c>
      <c r="B733" s="4">
        <v>336.33</v>
      </c>
    </row>
    <row r="734" spans="1:2" x14ac:dyDescent="0.3">
      <c r="A734" s="1">
        <v>44904</v>
      </c>
      <c r="B734" s="4">
        <v>339.31</v>
      </c>
    </row>
    <row r="735" spans="1:2" x14ac:dyDescent="0.3">
      <c r="A735" s="1">
        <v>44907</v>
      </c>
      <c r="B735" s="4">
        <v>341.1</v>
      </c>
    </row>
    <row r="736" spans="1:2" x14ac:dyDescent="0.3">
      <c r="A736" s="1">
        <v>44908</v>
      </c>
      <c r="B736" s="4">
        <v>343.48</v>
      </c>
    </row>
    <row r="737" spans="1:2" x14ac:dyDescent="0.3">
      <c r="A737" s="1">
        <v>44909</v>
      </c>
      <c r="B737" s="4">
        <v>343.29</v>
      </c>
    </row>
    <row r="738" spans="1:2" x14ac:dyDescent="0.3">
      <c r="A738" s="1">
        <v>44910</v>
      </c>
      <c r="B738" s="4">
        <v>336.77</v>
      </c>
    </row>
    <row r="739" spans="1:2" x14ac:dyDescent="0.3">
      <c r="A739" s="1">
        <v>44911</v>
      </c>
      <c r="B739" s="4">
        <v>333.05</v>
      </c>
    </row>
    <row r="740" spans="1:2" x14ac:dyDescent="0.3">
      <c r="A740" s="1">
        <v>44914</v>
      </c>
      <c r="B740" s="4">
        <v>320.14</v>
      </c>
    </row>
    <row r="741" spans="1:2" x14ac:dyDescent="0.3">
      <c r="A741" s="1">
        <v>44915</v>
      </c>
      <c r="B741" s="4">
        <v>319.82</v>
      </c>
    </row>
    <row r="742" spans="1:2" x14ac:dyDescent="0.3">
      <c r="A742" s="1">
        <v>44916</v>
      </c>
      <c r="B742" s="4">
        <v>315.11</v>
      </c>
    </row>
    <row r="743" spans="1:2" x14ac:dyDescent="0.3">
      <c r="A743" s="1">
        <v>44917</v>
      </c>
      <c r="B743" s="4">
        <v>312.58</v>
      </c>
    </row>
    <row r="744" spans="1:2" x14ac:dyDescent="0.3">
      <c r="A744" s="1">
        <v>44918</v>
      </c>
      <c r="B744" s="4">
        <v>307.17</v>
      </c>
    </row>
    <row r="745" spans="1:2" x14ac:dyDescent="0.3">
      <c r="A745" s="1">
        <v>44921</v>
      </c>
      <c r="B745" s="4">
        <v>314.60000000000002</v>
      </c>
    </row>
    <row r="746" spans="1:2" x14ac:dyDescent="0.3">
      <c r="A746" s="1">
        <v>44922</v>
      </c>
      <c r="B746" s="4">
        <v>313.23</v>
      </c>
    </row>
    <row r="747" spans="1:2" x14ac:dyDescent="0.3">
      <c r="A747" s="1">
        <v>44923</v>
      </c>
      <c r="B747" s="4">
        <v>314.41000000000003</v>
      </c>
    </row>
    <row r="748" spans="1:2" x14ac:dyDescent="0.3">
      <c r="A748" s="1">
        <v>44924</v>
      </c>
      <c r="B748" s="4">
        <v>315.3</v>
      </c>
    </row>
    <row r="749" spans="1:2" x14ac:dyDescent="0.3">
      <c r="A749" s="1">
        <v>44925</v>
      </c>
      <c r="B749" s="4">
        <v>311.73</v>
      </c>
    </row>
    <row r="750" spans="1:2" x14ac:dyDescent="0.3">
      <c r="A750" s="1">
        <v>44928</v>
      </c>
      <c r="B750" s="4">
        <v>312.95</v>
      </c>
    </row>
    <row r="751" spans="1:2" x14ac:dyDescent="0.3">
      <c r="A751" s="1">
        <v>44929</v>
      </c>
      <c r="B751" s="4">
        <v>311.31</v>
      </c>
    </row>
    <row r="752" spans="1:2" x14ac:dyDescent="0.3">
      <c r="A752" s="1">
        <v>44930</v>
      </c>
      <c r="B752" s="4">
        <v>307.45</v>
      </c>
    </row>
    <row r="753" spans="1:2" x14ac:dyDescent="0.3">
      <c r="A753" s="1">
        <v>44931</v>
      </c>
      <c r="B753" s="4">
        <v>313.52</v>
      </c>
    </row>
    <row r="754" spans="1:2" x14ac:dyDescent="0.3">
      <c r="A754" s="1">
        <v>44932</v>
      </c>
      <c r="B754" s="4">
        <v>315.02</v>
      </c>
    </row>
    <row r="755" spans="1:2" x14ac:dyDescent="0.3">
      <c r="A755" s="1">
        <v>44935</v>
      </c>
      <c r="B755" s="4">
        <v>317.83999999999997</v>
      </c>
    </row>
    <row r="756" spans="1:2" x14ac:dyDescent="0.3">
      <c r="A756" s="1">
        <v>44936</v>
      </c>
      <c r="B756" s="4">
        <v>313.47000000000003</v>
      </c>
    </row>
    <row r="757" spans="1:2" x14ac:dyDescent="0.3">
      <c r="A757" s="1">
        <v>44937</v>
      </c>
      <c r="B757" s="4">
        <v>311.95999999999998</v>
      </c>
    </row>
    <row r="758" spans="1:2" x14ac:dyDescent="0.3">
      <c r="A758" s="1">
        <v>44938</v>
      </c>
      <c r="B758" s="4">
        <v>310.13</v>
      </c>
    </row>
    <row r="759" spans="1:2" x14ac:dyDescent="0.3">
      <c r="A759" s="1">
        <v>44939</v>
      </c>
      <c r="B759" s="4">
        <v>309.10000000000002</v>
      </c>
    </row>
    <row r="760" spans="1:2" x14ac:dyDescent="0.3">
      <c r="A760" s="1">
        <v>44942</v>
      </c>
      <c r="B760" s="4">
        <v>310.45999999999998</v>
      </c>
    </row>
    <row r="761" spans="1:2" x14ac:dyDescent="0.3">
      <c r="A761" s="1">
        <v>44943</v>
      </c>
      <c r="B761" s="4">
        <v>312.39</v>
      </c>
    </row>
    <row r="762" spans="1:2" x14ac:dyDescent="0.3">
      <c r="A762" s="1">
        <v>44944</v>
      </c>
      <c r="B762" s="4">
        <v>314.64</v>
      </c>
    </row>
    <row r="763" spans="1:2" x14ac:dyDescent="0.3">
      <c r="A763" s="1">
        <v>44945</v>
      </c>
      <c r="B763" s="4">
        <v>312.29000000000002</v>
      </c>
    </row>
    <row r="764" spans="1:2" x14ac:dyDescent="0.3">
      <c r="A764" s="1">
        <v>44946</v>
      </c>
      <c r="B764" s="4">
        <v>314.60000000000002</v>
      </c>
    </row>
    <row r="765" spans="1:2" x14ac:dyDescent="0.3">
      <c r="A765" s="1">
        <v>44949</v>
      </c>
      <c r="B765" s="4">
        <v>317.56</v>
      </c>
    </row>
    <row r="766" spans="1:2" x14ac:dyDescent="0.3">
      <c r="A766" s="1">
        <v>44950</v>
      </c>
      <c r="B766" s="4">
        <v>318.69</v>
      </c>
    </row>
    <row r="767" spans="1:2" x14ac:dyDescent="0.3">
      <c r="A767" s="1">
        <v>44951</v>
      </c>
      <c r="B767" s="4">
        <v>318.97000000000003</v>
      </c>
    </row>
    <row r="768" spans="1:2" x14ac:dyDescent="0.3">
      <c r="A768" s="1">
        <v>44953</v>
      </c>
      <c r="B768" s="4">
        <v>325.32</v>
      </c>
    </row>
    <row r="769" spans="1:2" x14ac:dyDescent="0.3">
      <c r="A769" s="1">
        <v>44956</v>
      </c>
      <c r="B769" s="4">
        <v>324.19</v>
      </c>
    </row>
    <row r="770" spans="1:2" x14ac:dyDescent="0.3">
      <c r="A770" s="1">
        <v>44957</v>
      </c>
      <c r="B770" s="4">
        <v>331.29</v>
      </c>
    </row>
    <row r="771" spans="1:2" x14ac:dyDescent="0.3">
      <c r="A771" s="1">
        <v>44958</v>
      </c>
      <c r="B771" s="4">
        <v>339.8</v>
      </c>
    </row>
    <row r="772" spans="1:2" x14ac:dyDescent="0.3">
      <c r="A772" s="1">
        <v>44959</v>
      </c>
      <c r="B772" s="4">
        <v>355.97</v>
      </c>
    </row>
    <row r="773" spans="1:2" x14ac:dyDescent="0.3">
      <c r="A773" s="1">
        <v>44960</v>
      </c>
      <c r="B773" s="4">
        <v>357.89</v>
      </c>
    </row>
    <row r="774" spans="1:2" x14ac:dyDescent="0.3">
      <c r="A774" s="1">
        <v>44963</v>
      </c>
      <c r="B774" s="4">
        <v>360.48</v>
      </c>
    </row>
    <row r="775" spans="1:2" x14ac:dyDescent="0.3">
      <c r="A775" s="1">
        <v>44964</v>
      </c>
      <c r="B775" s="4">
        <v>350.94</v>
      </c>
    </row>
    <row r="776" spans="1:2" x14ac:dyDescent="0.3">
      <c r="A776" s="1">
        <v>44965</v>
      </c>
      <c r="B776" s="4">
        <v>353.1</v>
      </c>
    </row>
    <row r="777" spans="1:2" x14ac:dyDescent="0.3">
      <c r="A777" s="1">
        <v>44966</v>
      </c>
      <c r="B777" s="4">
        <v>351.88</v>
      </c>
    </row>
    <row r="778" spans="1:2" x14ac:dyDescent="0.3">
      <c r="A778" s="1">
        <v>44967</v>
      </c>
      <c r="B778" s="4">
        <v>349.15</v>
      </c>
    </row>
    <row r="779" spans="1:2" x14ac:dyDescent="0.3">
      <c r="A779" s="1">
        <v>44970</v>
      </c>
      <c r="B779" s="4">
        <v>351.83</v>
      </c>
    </row>
    <row r="780" spans="1:2" x14ac:dyDescent="0.3">
      <c r="A780" s="1">
        <v>44971</v>
      </c>
      <c r="B780" s="4">
        <v>363.35</v>
      </c>
    </row>
    <row r="781" spans="1:2" x14ac:dyDescent="0.3">
      <c r="A781" s="1">
        <v>44972</v>
      </c>
      <c r="B781" s="4">
        <v>359.35</v>
      </c>
    </row>
    <row r="782" spans="1:2" x14ac:dyDescent="0.3">
      <c r="A782" s="1">
        <v>44973</v>
      </c>
      <c r="B782" s="4">
        <v>359.68</v>
      </c>
    </row>
    <row r="783" spans="1:2" x14ac:dyDescent="0.3">
      <c r="A783" s="1">
        <v>44974</v>
      </c>
      <c r="B783" s="4">
        <v>360.48</v>
      </c>
    </row>
    <row r="784" spans="1:2" x14ac:dyDescent="0.3">
      <c r="A784" s="1">
        <v>44977</v>
      </c>
      <c r="B784" s="4">
        <v>361.09</v>
      </c>
    </row>
    <row r="785" spans="1:2" x14ac:dyDescent="0.3">
      <c r="A785" s="1">
        <v>44978</v>
      </c>
      <c r="B785" s="4">
        <v>359.4</v>
      </c>
    </row>
    <row r="786" spans="1:2" x14ac:dyDescent="0.3">
      <c r="A786" s="1">
        <v>44979</v>
      </c>
      <c r="B786" s="4">
        <v>360.9</v>
      </c>
    </row>
    <row r="787" spans="1:2" x14ac:dyDescent="0.3">
      <c r="A787" s="1">
        <v>44980</v>
      </c>
      <c r="B787" s="4">
        <v>364.43</v>
      </c>
    </row>
    <row r="788" spans="1:2" x14ac:dyDescent="0.3">
      <c r="A788" s="1">
        <v>44981</v>
      </c>
      <c r="B788" s="4">
        <v>362.08</v>
      </c>
    </row>
    <row r="789" spans="1:2" x14ac:dyDescent="0.3">
      <c r="A789" s="1">
        <v>44984</v>
      </c>
      <c r="B789" s="4">
        <v>359.35</v>
      </c>
    </row>
    <row r="790" spans="1:2" x14ac:dyDescent="0.3">
      <c r="A790" s="1">
        <v>44985</v>
      </c>
      <c r="B790" s="4">
        <v>354.18</v>
      </c>
    </row>
    <row r="791" spans="1:2" x14ac:dyDescent="0.3">
      <c r="A791" s="1">
        <v>44986</v>
      </c>
      <c r="B791" s="4">
        <v>356.06</v>
      </c>
    </row>
    <row r="792" spans="1:2" x14ac:dyDescent="0.3">
      <c r="A792" s="1">
        <v>44987</v>
      </c>
      <c r="B792" s="4">
        <v>353.1</v>
      </c>
    </row>
    <row r="793" spans="1:2" x14ac:dyDescent="0.3">
      <c r="A793" s="1">
        <v>44988</v>
      </c>
      <c r="B793" s="4">
        <v>361.94</v>
      </c>
    </row>
    <row r="794" spans="1:2" x14ac:dyDescent="0.3">
      <c r="A794" s="1">
        <v>44991</v>
      </c>
      <c r="B794" s="4">
        <v>364.95</v>
      </c>
    </row>
    <row r="795" spans="1:2" x14ac:dyDescent="0.3">
      <c r="A795" s="1">
        <v>44993</v>
      </c>
      <c r="B795" s="4">
        <v>368.94</v>
      </c>
    </row>
    <row r="796" spans="1:2" x14ac:dyDescent="0.3">
      <c r="A796" s="1">
        <v>44994</v>
      </c>
      <c r="B796" s="4">
        <v>364.33</v>
      </c>
    </row>
    <row r="797" spans="1:2" x14ac:dyDescent="0.3">
      <c r="A797" s="1">
        <v>44995</v>
      </c>
      <c r="B797" s="4">
        <v>364.81</v>
      </c>
    </row>
    <row r="798" spans="1:2" x14ac:dyDescent="0.3">
      <c r="A798" s="1">
        <v>44998</v>
      </c>
      <c r="B798" s="4">
        <v>360.72</v>
      </c>
    </row>
    <row r="799" spans="1:2" x14ac:dyDescent="0.3">
      <c r="A799" s="1">
        <v>44999</v>
      </c>
      <c r="B799" s="4">
        <v>357</v>
      </c>
    </row>
    <row r="800" spans="1:2" x14ac:dyDescent="0.3">
      <c r="A800" s="1">
        <v>45000</v>
      </c>
      <c r="B800" s="4">
        <v>356.72</v>
      </c>
    </row>
    <row r="801" spans="1:2" x14ac:dyDescent="0.3">
      <c r="A801" s="1">
        <v>45001</v>
      </c>
      <c r="B801" s="4">
        <v>358.65</v>
      </c>
    </row>
    <row r="802" spans="1:2" x14ac:dyDescent="0.3">
      <c r="A802" s="1">
        <v>45002</v>
      </c>
      <c r="B802" s="4">
        <v>353.1</v>
      </c>
    </row>
    <row r="803" spans="1:2" x14ac:dyDescent="0.3">
      <c r="A803" s="1">
        <v>45005</v>
      </c>
      <c r="B803" s="4">
        <v>356.16</v>
      </c>
    </row>
    <row r="804" spans="1:2" x14ac:dyDescent="0.3">
      <c r="A804" s="1">
        <v>45006</v>
      </c>
      <c r="B804" s="4">
        <v>354.42</v>
      </c>
    </row>
    <row r="805" spans="1:2" x14ac:dyDescent="0.3">
      <c r="A805" s="1">
        <v>45007</v>
      </c>
      <c r="B805" s="4">
        <v>355.17</v>
      </c>
    </row>
    <row r="806" spans="1:2" x14ac:dyDescent="0.3">
      <c r="A806" s="1">
        <v>45008</v>
      </c>
      <c r="B806" s="4">
        <v>357.89</v>
      </c>
    </row>
    <row r="807" spans="1:2" x14ac:dyDescent="0.3">
      <c r="A807" s="1">
        <v>45009</v>
      </c>
      <c r="B807" s="4">
        <v>356.06</v>
      </c>
    </row>
    <row r="808" spans="1:2" x14ac:dyDescent="0.3">
      <c r="A808" s="1">
        <v>45012</v>
      </c>
      <c r="B808" s="4">
        <v>357.47</v>
      </c>
    </row>
    <row r="809" spans="1:2" x14ac:dyDescent="0.3">
      <c r="A809" s="1">
        <v>45013</v>
      </c>
      <c r="B809" s="4">
        <v>357.05</v>
      </c>
    </row>
    <row r="810" spans="1:2" x14ac:dyDescent="0.3">
      <c r="A810" s="1">
        <v>45014</v>
      </c>
      <c r="B810" s="4">
        <v>359.87</v>
      </c>
    </row>
    <row r="811" spans="1:2" x14ac:dyDescent="0.3">
      <c r="A811" s="1">
        <v>45016</v>
      </c>
      <c r="B811" s="4">
        <v>360.58</v>
      </c>
    </row>
    <row r="812" spans="1:2" x14ac:dyDescent="0.3">
      <c r="A812" s="1">
        <v>45019</v>
      </c>
      <c r="B812" s="4">
        <v>356.25</v>
      </c>
    </row>
    <row r="813" spans="1:2" x14ac:dyDescent="0.3">
      <c r="A813" s="1">
        <v>45021</v>
      </c>
      <c r="B813" s="4">
        <v>363.3</v>
      </c>
    </row>
    <row r="814" spans="1:2" x14ac:dyDescent="0.3">
      <c r="A814" s="1">
        <v>45022</v>
      </c>
      <c r="B814" s="4">
        <v>364.19</v>
      </c>
    </row>
    <row r="815" spans="1:2" x14ac:dyDescent="0.3">
      <c r="A815" s="1">
        <v>45026</v>
      </c>
      <c r="B815" s="4">
        <v>365.32</v>
      </c>
    </row>
    <row r="816" spans="1:2" x14ac:dyDescent="0.3">
      <c r="A816" s="1">
        <v>45027</v>
      </c>
      <c r="B816" s="4">
        <v>372.33</v>
      </c>
    </row>
    <row r="817" spans="1:2" x14ac:dyDescent="0.3">
      <c r="A817" s="1">
        <v>45028</v>
      </c>
      <c r="B817" s="4">
        <v>370.02</v>
      </c>
    </row>
    <row r="818" spans="1:2" x14ac:dyDescent="0.3">
      <c r="A818" s="1">
        <v>45029</v>
      </c>
      <c r="B818" s="4">
        <v>371.95</v>
      </c>
    </row>
    <row r="819" spans="1:2" x14ac:dyDescent="0.3">
      <c r="A819" s="1">
        <v>45033</v>
      </c>
      <c r="B819" s="4">
        <v>376.23</v>
      </c>
    </row>
    <row r="820" spans="1:2" x14ac:dyDescent="0.3">
      <c r="A820" s="1">
        <v>45034</v>
      </c>
      <c r="B820" s="4">
        <v>374.68</v>
      </c>
    </row>
    <row r="821" spans="1:2" x14ac:dyDescent="0.3">
      <c r="A821" s="1">
        <v>45035</v>
      </c>
      <c r="B821" s="4">
        <v>374.91</v>
      </c>
    </row>
    <row r="822" spans="1:2" x14ac:dyDescent="0.3">
      <c r="A822" s="1">
        <v>45036</v>
      </c>
      <c r="B822" s="4">
        <v>376.37</v>
      </c>
    </row>
    <row r="823" spans="1:2" x14ac:dyDescent="0.3">
      <c r="A823" s="1">
        <v>45037</v>
      </c>
      <c r="B823" s="4">
        <v>383.85</v>
      </c>
    </row>
    <row r="824" spans="1:2" x14ac:dyDescent="0.3">
      <c r="A824" s="1">
        <v>45040</v>
      </c>
      <c r="B824" s="4">
        <v>384.27</v>
      </c>
    </row>
    <row r="825" spans="1:2" x14ac:dyDescent="0.3">
      <c r="A825" s="1">
        <v>45041</v>
      </c>
      <c r="B825" s="4">
        <v>386.95</v>
      </c>
    </row>
    <row r="826" spans="1:2" x14ac:dyDescent="0.3">
      <c r="A826" s="1">
        <v>45042</v>
      </c>
      <c r="B826" s="4">
        <v>387.61</v>
      </c>
    </row>
    <row r="827" spans="1:2" x14ac:dyDescent="0.3">
      <c r="A827" s="1">
        <v>45043</v>
      </c>
      <c r="B827" s="4">
        <v>391.13</v>
      </c>
    </row>
    <row r="828" spans="1:2" x14ac:dyDescent="0.3">
      <c r="A828" s="1">
        <v>45044</v>
      </c>
      <c r="B828" s="4">
        <v>400.11</v>
      </c>
    </row>
    <row r="829" spans="1:2" x14ac:dyDescent="0.3">
      <c r="A829" s="1">
        <v>45048</v>
      </c>
      <c r="B829" s="4">
        <v>399.08</v>
      </c>
    </row>
    <row r="830" spans="1:2" x14ac:dyDescent="0.3">
      <c r="A830" s="1">
        <v>45049</v>
      </c>
      <c r="B830" s="4">
        <v>401.61</v>
      </c>
    </row>
    <row r="831" spans="1:2" x14ac:dyDescent="0.3">
      <c r="A831" s="1">
        <v>45050</v>
      </c>
      <c r="B831" s="4">
        <v>399.22</v>
      </c>
    </row>
    <row r="832" spans="1:2" x14ac:dyDescent="0.3">
      <c r="A832" s="1">
        <v>45051</v>
      </c>
      <c r="B832" s="4">
        <v>403.12</v>
      </c>
    </row>
    <row r="833" spans="1:2" x14ac:dyDescent="0.3">
      <c r="A833" s="1">
        <v>45054</v>
      </c>
      <c r="B833" s="4">
        <v>405.66</v>
      </c>
    </row>
    <row r="834" spans="1:2" x14ac:dyDescent="0.3">
      <c r="A834" s="1">
        <v>45055</v>
      </c>
      <c r="B834" s="4">
        <v>398.46</v>
      </c>
    </row>
    <row r="835" spans="1:2" x14ac:dyDescent="0.3">
      <c r="A835" s="1">
        <v>45056</v>
      </c>
      <c r="B835" s="4">
        <v>399.92</v>
      </c>
    </row>
    <row r="836" spans="1:2" x14ac:dyDescent="0.3">
      <c r="A836" s="1">
        <v>45057</v>
      </c>
      <c r="B836" s="4">
        <v>395.27</v>
      </c>
    </row>
    <row r="837" spans="1:2" x14ac:dyDescent="0.3">
      <c r="A837" s="1">
        <v>45058</v>
      </c>
      <c r="B837" s="4">
        <v>395.32</v>
      </c>
    </row>
    <row r="838" spans="1:2" x14ac:dyDescent="0.3">
      <c r="A838" s="1">
        <v>45061</v>
      </c>
      <c r="B838" s="4">
        <v>402.23</v>
      </c>
    </row>
    <row r="839" spans="1:2" x14ac:dyDescent="0.3">
      <c r="A839" s="1">
        <v>45062</v>
      </c>
      <c r="B839" s="4">
        <v>398.61</v>
      </c>
    </row>
    <row r="840" spans="1:2" x14ac:dyDescent="0.3">
      <c r="A840" s="1">
        <v>45063</v>
      </c>
      <c r="B840" s="4">
        <v>402.04</v>
      </c>
    </row>
    <row r="841" spans="1:2" x14ac:dyDescent="0.3">
      <c r="A841" s="1">
        <v>45064</v>
      </c>
      <c r="B841" s="4">
        <v>394.61</v>
      </c>
    </row>
    <row r="842" spans="1:2" x14ac:dyDescent="0.3">
      <c r="A842" s="1">
        <v>45065</v>
      </c>
      <c r="B842" s="4">
        <v>394.75</v>
      </c>
    </row>
    <row r="843" spans="1:2" x14ac:dyDescent="0.3">
      <c r="A843" s="1">
        <v>45068</v>
      </c>
      <c r="B843" s="4">
        <v>399.36</v>
      </c>
    </row>
    <row r="844" spans="1:2" x14ac:dyDescent="0.3">
      <c r="A844" s="1">
        <v>45069</v>
      </c>
      <c r="B844" s="4">
        <v>403.5</v>
      </c>
    </row>
    <row r="845" spans="1:2" x14ac:dyDescent="0.3">
      <c r="A845" s="1">
        <v>45070</v>
      </c>
      <c r="B845" s="4">
        <v>407.59</v>
      </c>
    </row>
    <row r="846" spans="1:2" x14ac:dyDescent="0.3">
      <c r="A846" s="1">
        <v>45071</v>
      </c>
      <c r="B846" s="4">
        <v>414.78</v>
      </c>
    </row>
    <row r="847" spans="1:2" x14ac:dyDescent="0.3">
      <c r="A847" s="1">
        <v>45072</v>
      </c>
      <c r="B847" s="4">
        <v>417.08</v>
      </c>
    </row>
    <row r="848" spans="1:2" x14ac:dyDescent="0.3">
      <c r="A848" s="1">
        <v>45075</v>
      </c>
      <c r="B848" s="4">
        <v>422.25</v>
      </c>
    </row>
    <row r="849" spans="1:2" x14ac:dyDescent="0.3">
      <c r="A849" s="1">
        <v>45076</v>
      </c>
      <c r="B849" s="4">
        <v>425.61</v>
      </c>
    </row>
    <row r="850" spans="1:2" x14ac:dyDescent="0.3">
      <c r="A850" s="1">
        <v>45077</v>
      </c>
      <c r="B850" s="4">
        <v>421.45</v>
      </c>
    </row>
    <row r="851" spans="1:2" x14ac:dyDescent="0.3">
      <c r="A851" s="1">
        <v>45078</v>
      </c>
      <c r="B851" s="4">
        <v>415.96</v>
      </c>
    </row>
    <row r="852" spans="1:2" x14ac:dyDescent="0.3">
      <c r="A852" s="1">
        <v>45079</v>
      </c>
      <c r="B852" s="4">
        <v>419.46</v>
      </c>
    </row>
    <row r="853" spans="1:2" x14ac:dyDescent="0.3">
      <c r="A853" s="1">
        <v>45082</v>
      </c>
      <c r="B853" s="4">
        <v>416.86</v>
      </c>
    </row>
    <row r="854" spans="1:2" x14ac:dyDescent="0.3">
      <c r="A854" s="1">
        <v>45083</v>
      </c>
      <c r="B854" s="4">
        <v>418.89</v>
      </c>
    </row>
    <row r="855" spans="1:2" x14ac:dyDescent="0.3">
      <c r="A855" s="1">
        <v>45084</v>
      </c>
      <c r="B855" s="4">
        <v>419.98</v>
      </c>
    </row>
    <row r="856" spans="1:2" x14ac:dyDescent="0.3">
      <c r="A856" s="1">
        <v>45085</v>
      </c>
      <c r="B856" s="4">
        <v>418.99</v>
      </c>
    </row>
    <row r="857" spans="1:2" x14ac:dyDescent="0.3">
      <c r="A857" s="1">
        <v>45086</v>
      </c>
      <c r="B857" s="4">
        <v>414.78</v>
      </c>
    </row>
    <row r="858" spans="1:2" x14ac:dyDescent="0.3">
      <c r="A858" s="1">
        <v>45089</v>
      </c>
      <c r="B858" s="4">
        <v>413.36</v>
      </c>
    </row>
    <row r="859" spans="1:2" x14ac:dyDescent="0.3">
      <c r="A859" s="1">
        <v>45090</v>
      </c>
      <c r="B859" s="4">
        <v>421.35</v>
      </c>
    </row>
    <row r="860" spans="1:2" x14ac:dyDescent="0.3">
      <c r="A860" s="1">
        <v>45091</v>
      </c>
      <c r="B860" s="4">
        <v>420.5</v>
      </c>
    </row>
    <row r="861" spans="1:2" x14ac:dyDescent="0.3">
      <c r="A861" s="1">
        <v>45092</v>
      </c>
      <c r="B861" s="4">
        <v>423.91</v>
      </c>
    </row>
    <row r="862" spans="1:2" x14ac:dyDescent="0.3">
      <c r="A862" s="1">
        <v>45093</v>
      </c>
      <c r="B862" s="4">
        <v>428.64</v>
      </c>
    </row>
    <row r="863" spans="1:2" x14ac:dyDescent="0.3">
      <c r="A863" s="1">
        <v>45096</v>
      </c>
      <c r="B863" s="4">
        <v>429.11</v>
      </c>
    </row>
    <row r="864" spans="1:2" x14ac:dyDescent="0.3">
      <c r="A864" s="1">
        <v>45097</v>
      </c>
      <c r="B864" s="4">
        <v>428.4</v>
      </c>
    </row>
    <row r="865" spans="1:2" x14ac:dyDescent="0.3">
      <c r="A865" s="1">
        <v>45098</v>
      </c>
      <c r="B865" s="4">
        <v>422.92</v>
      </c>
    </row>
    <row r="866" spans="1:2" x14ac:dyDescent="0.3">
      <c r="A866" s="1">
        <v>45099</v>
      </c>
      <c r="B866" s="4">
        <v>423.48</v>
      </c>
    </row>
    <row r="867" spans="1:2" x14ac:dyDescent="0.3">
      <c r="A867" s="1">
        <v>45100</v>
      </c>
      <c r="B867" s="4">
        <v>420.74</v>
      </c>
    </row>
    <row r="868" spans="1:2" x14ac:dyDescent="0.3">
      <c r="A868" s="1">
        <v>45103</v>
      </c>
      <c r="B868" s="4">
        <v>421.64</v>
      </c>
    </row>
    <row r="869" spans="1:2" x14ac:dyDescent="0.3">
      <c r="A869" s="1">
        <v>45104</v>
      </c>
      <c r="B869" s="4">
        <v>421.07</v>
      </c>
    </row>
    <row r="870" spans="1:2" x14ac:dyDescent="0.3">
      <c r="A870" s="1">
        <v>45105</v>
      </c>
      <c r="B870" s="4">
        <v>425.09</v>
      </c>
    </row>
    <row r="871" spans="1:2" x14ac:dyDescent="0.3">
      <c r="A871" s="1">
        <v>45107</v>
      </c>
      <c r="B871" s="4">
        <v>427.22</v>
      </c>
    </row>
    <row r="872" spans="1:2" x14ac:dyDescent="0.3">
      <c r="A872" s="1">
        <v>45110</v>
      </c>
      <c r="B872" s="4">
        <v>438.24</v>
      </c>
    </row>
    <row r="873" spans="1:2" x14ac:dyDescent="0.3">
      <c r="A873" s="1">
        <v>45111</v>
      </c>
      <c r="B873" s="4">
        <v>441.17</v>
      </c>
    </row>
    <row r="874" spans="1:2" x14ac:dyDescent="0.3">
      <c r="A874" s="1">
        <v>45112</v>
      </c>
      <c r="B874" s="4">
        <v>449.45</v>
      </c>
    </row>
    <row r="875" spans="1:2" x14ac:dyDescent="0.3">
      <c r="A875" s="1">
        <v>45113</v>
      </c>
      <c r="B875" s="4">
        <v>448.32</v>
      </c>
    </row>
    <row r="876" spans="1:2" x14ac:dyDescent="0.3">
      <c r="A876" s="1">
        <v>45114</v>
      </c>
      <c r="B876" s="4">
        <v>443.11</v>
      </c>
    </row>
    <row r="877" spans="1:2" x14ac:dyDescent="0.3">
      <c r="A877" s="1">
        <v>45117</v>
      </c>
      <c r="B877" s="4">
        <v>440.7</v>
      </c>
    </row>
    <row r="878" spans="1:2" x14ac:dyDescent="0.3">
      <c r="A878" s="1">
        <v>45118</v>
      </c>
      <c r="B878" s="4">
        <v>447.61</v>
      </c>
    </row>
    <row r="879" spans="1:2" x14ac:dyDescent="0.3">
      <c r="A879" s="1">
        <v>45119</v>
      </c>
      <c r="B879" s="4">
        <v>446.8</v>
      </c>
    </row>
    <row r="880" spans="1:2" x14ac:dyDescent="0.3">
      <c r="A880" s="1">
        <v>45120</v>
      </c>
      <c r="B880" s="4">
        <v>446.52</v>
      </c>
    </row>
    <row r="881" spans="1:2" x14ac:dyDescent="0.3">
      <c r="A881" s="1">
        <v>45121</v>
      </c>
      <c r="B881" s="4">
        <v>447.37</v>
      </c>
    </row>
    <row r="882" spans="1:2" x14ac:dyDescent="0.3">
      <c r="A882" s="1">
        <v>45124</v>
      </c>
      <c r="B882" s="4">
        <v>446.85</v>
      </c>
    </row>
    <row r="883" spans="1:2" x14ac:dyDescent="0.3">
      <c r="A883" s="1">
        <v>45125</v>
      </c>
      <c r="B883" s="4">
        <v>446.99</v>
      </c>
    </row>
    <row r="884" spans="1:2" x14ac:dyDescent="0.3">
      <c r="A884" s="1">
        <v>45126</v>
      </c>
      <c r="B884" s="4">
        <v>453</v>
      </c>
    </row>
    <row r="885" spans="1:2" x14ac:dyDescent="0.3">
      <c r="A885" s="1">
        <v>45127</v>
      </c>
      <c r="B885" s="4">
        <v>465.58</v>
      </c>
    </row>
    <row r="886" spans="1:2" x14ac:dyDescent="0.3">
      <c r="A886" s="1">
        <v>45128</v>
      </c>
      <c r="B886" s="4">
        <v>463.97</v>
      </c>
    </row>
    <row r="887" spans="1:2" x14ac:dyDescent="0.3">
      <c r="A887" s="1">
        <v>45131</v>
      </c>
      <c r="B887" s="4">
        <v>445.9</v>
      </c>
    </row>
    <row r="888" spans="1:2" x14ac:dyDescent="0.3">
      <c r="A888" s="1">
        <v>45132</v>
      </c>
      <c r="B888" s="4">
        <v>437.34</v>
      </c>
    </row>
    <row r="889" spans="1:2" x14ac:dyDescent="0.3">
      <c r="A889" s="1">
        <v>45133</v>
      </c>
      <c r="B889" s="4">
        <v>446.76</v>
      </c>
    </row>
    <row r="890" spans="1:2" x14ac:dyDescent="0.3">
      <c r="A890" s="1">
        <v>45134</v>
      </c>
      <c r="B890" s="4">
        <v>439.94</v>
      </c>
    </row>
    <row r="891" spans="1:2" x14ac:dyDescent="0.3">
      <c r="A891" s="1">
        <v>45135</v>
      </c>
      <c r="B891" s="4">
        <v>443.16</v>
      </c>
    </row>
    <row r="892" spans="1:2" x14ac:dyDescent="0.3">
      <c r="A892" s="1">
        <v>45138</v>
      </c>
      <c r="B892" s="4">
        <v>440.56</v>
      </c>
    </row>
    <row r="893" spans="1:2" x14ac:dyDescent="0.3">
      <c r="A893" s="1">
        <v>45139</v>
      </c>
      <c r="B893" s="4">
        <v>439.71</v>
      </c>
    </row>
    <row r="894" spans="1:2" x14ac:dyDescent="0.3">
      <c r="A894" s="1">
        <v>45140</v>
      </c>
      <c r="B894" s="4">
        <v>435.26</v>
      </c>
    </row>
    <row r="895" spans="1:2" x14ac:dyDescent="0.3">
      <c r="A895" s="1">
        <v>45141</v>
      </c>
      <c r="B895" s="4">
        <v>431.43</v>
      </c>
    </row>
    <row r="896" spans="1:2" x14ac:dyDescent="0.3">
      <c r="A896" s="1">
        <v>45142</v>
      </c>
      <c r="B896" s="4">
        <v>430.39</v>
      </c>
    </row>
    <row r="897" spans="1:2" x14ac:dyDescent="0.3">
      <c r="A897" s="1">
        <v>45145</v>
      </c>
      <c r="B897" s="4">
        <v>430.34</v>
      </c>
    </row>
    <row r="898" spans="1:2" x14ac:dyDescent="0.3">
      <c r="A898" s="1">
        <v>45146</v>
      </c>
      <c r="B898" s="4">
        <v>427.93</v>
      </c>
    </row>
    <row r="899" spans="1:2" x14ac:dyDescent="0.3">
      <c r="A899" s="1">
        <v>45147</v>
      </c>
      <c r="B899" s="4">
        <v>433.89</v>
      </c>
    </row>
    <row r="900" spans="1:2" x14ac:dyDescent="0.3">
      <c r="A900" s="1">
        <v>45148</v>
      </c>
      <c r="B900" s="4">
        <v>427.36</v>
      </c>
    </row>
    <row r="901" spans="1:2" x14ac:dyDescent="0.3">
      <c r="A901" s="1">
        <v>45149</v>
      </c>
      <c r="B901" s="4">
        <v>424.52</v>
      </c>
    </row>
    <row r="902" spans="1:2" x14ac:dyDescent="0.3">
      <c r="A902" s="1">
        <v>45152</v>
      </c>
      <c r="B902" s="4">
        <v>424.95</v>
      </c>
    </row>
    <row r="903" spans="1:2" x14ac:dyDescent="0.3">
      <c r="A903" s="1">
        <v>45154</v>
      </c>
      <c r="B903" s="4">
        <v>425.94</v>
      </c>
    </row>
    <row r="904" spans="1:2" x14ac:dyDescent="0.3">
      <c r="A904" s="1">
        <v>45155</v>
      </c>
      <c r="B904" s="4">
        <v>417.19</v>
      </c>
    </row>
    <row r="905" spans="1:2" x14ac:dyDescent="0.3">
      <c r="A905" s="1">
        <v>45156</v>
      </c>
      <c r="B905" s="4">
        <v>417.81</v>
      </c>
    </row>
    <row r="906" spans="1:2" x14ac:dyDescent="0.3">
      <c r="A906" s="1">
        <v>45159</v>
      </c>
      <c r="B906" s="4">
        <v>423.63</v>
      </c>
    </row>
    <row r="907" spans="1:2" x14ac:dyDescent="0.3">
      <c r="A907" s="1">
        <v>45160</v>
      </c>
      <c r="B907" s="4">
        <v>429.73</v>
      </c>
    </row>
    <row r="908" spans="1:2" x14ac:dyDescent="0.3">
      <c r="A908" s="1">
        <v>45161</v>
      </c>
      <c r="B908" s="4">
        <v>426.13</v>
      </c>
    </row>
    <row r="909" spans="1:2" x14ac:dyDescent="0.3">
      <c r="A909" s="1">
        <v>45162</v>
      </c>
      <c r="B909" s="4">
        <v>426.56</v>
      </c>
    </row>
    <row r="910" spans="1:2" x14ac:dyDescent="0.3">
      <c r="A910" s="1">
        <v>45163</v>
      </c>
      <c r="B910" s="4">
        <v>419.42</v>
      </c>
    </row>
    <row r="911" spans="1:2" x14ac:dyDescent="0.3">
      <c r="A911" s="1">
        <v>45166</v>
      </c>
      <c r="B911" s="4">
        <v>417.57</v>
      </c>
    </row>
    <row r="912" spans="1:2" x14ac:dyDescent="0.3">
      <c r="A912" s="1">
        <v>45167</v>
      </c>
      <c r="B912" s="4">
        <v>416.34</v>
      </c>
    </row>
    <row r="913" spans="1:2" x14ac:dyDescent="0.3">
      <c r="A913" s="1">
        <v>45168</v>
      </c>
      <c r="B913" s="4">
        <v>418.89</v>
      </c>
    </row>
    <row r="914" spans="1:2" x14ac:dyDescent="0.3">
      <c r="A914" s="1">
        <v>45169</v>
      </c>
      <c r="B914" s="4">
        <v>415.96</v>
      </c>
    </row>
    <row r="915" spans="1:2" x14ac:dyDescent="0.3">
      <c r="A915" s="1">
        <v>45170</v>
      </c>
      <c r="B915" s="4">
        <v>417.24</v>
      </c>
    </row>
    <row r="916" spans="1:2" x14ac:dyDescent="0.3">
      <c r="A916" s="1">
        <v>45173</v>
      </c>
      <c r="B916" s="4">
        <v>413.88</v>
      </c>
    </row>
    <row r="917" spans="1:2" x14ac:dyDescent="0.3">
      <c r="A917" s="1">
        <v>45174</v>
      </c>
      <c r="B917" s="4">
        <v>419.18</v>
      </c>
    </row>
    <row r="918" spans="1:2" x14ac:dyDescent="0.3">
      <c r="A918" s="1">
        <v>45175</v>
      </c>
      <c r="B918" s="4">
        <v>423.29</v>
      </c>
    </row>
    <row r="919" spans="1:2" x14ac:dyDescent="0.3">
      <c r="A919" s="1">
        <v>45176</v>
      </c>
      <c r="B919" s="4">
        <v>421.83</v>
      </c>
    </row>
    <row r="920" spans="1:2" x14ac:dyDescent="0.3">
      <c r="A920" s="1">
        <v>45177</v>
      </c>
      <c r="B920" s="4">
        <v>418.75</v>
      </c>
    </row>
    <row r="921" spans="1:2" x14ac:dyDescent="0.3">
      <c r="A921" s="1">
        <v>45180</v>
      </c>
      <c r="B921" s="4">
        <v>423.06</v>
      </c>
    </row>
    <row r="922" spans="1:2" x14ac:dyDescent="0.3">
      <c r="A922" s="1">
        <v>45181</v>
      </c>
      <c r="B922" s="4">
        <v>426.79</v>
      </c>
    </row>
    <row r="923" spans="1:2" x14ac:dyDescent="0.3">
      <c r="A923" s="1">
        <v>45182</v>
      </c>
      <c r="B923" s="4">
        <v>429.02</v>
      </c>
    </row>
    <row r="924" spans="1:2" x14ac:dyDescent="0.3">
      <c r="A924" s="1">
        <v>45183</v>
      </c>
      <c r="B924" s="4">
        <v>425.66</v>
      </c>
    </row>
    <row r="925" spans="1:2" x14ac:dyDescent="0.3">
      <c r="A925" s="1">
        <v>45184</v>
      </c>
      <c r="B925" s="4">
        <v>424.14</v>
      </c>
    </row>
    <row r="926" spans="1:2" x14ac:dyDescent="0.3">
      <c r="A926" s="1">
        <v>45187</v>
      </c>
      <c r="B926" s="4">
        <v>427.64</v>
      </c>
    </row>
    <row r="927" spans="1:2" x14ac:dyDescent="0.3">
      <c r="A927" s="1">
        <v>45189</v>
      </c>
      <c r="B927" s="4">
        <v>428.5</v>
      </c>
    </row>
    <row r="928" spans="1:2" x14ac:dyDescent="0.3">
      <c r="A928" s="1">
        <v>45190</v>
      </c>
      <c r="B928" s="4">
        <v>423.34</v>
      </c>
    </row>
    <row r="929" spans="1:2" x14ac:dyDescent="0.3">
      <c r="A929" s="1">
        <v>45191</v>
      </c>
      <c r="B929" s="4">
        <v>419.18</v>
      </c>
    </row>
    <row r="930" spans="1:2" x14ac:dyDescent="0.3">
      <c r="A930" s="1">
        <v>45194</v>
      </c>
      <c r="B930" s="4">
        <v>418.7</v>
      </c>
    </row>
    <row r="931" spans="1:2" x14ac:dyDescent="0.3">
      <c r="A931" s="1">
        <v>45195</v>
      </c>
      <c r="B931" s="4">
        <v>418.56</v>
      </c>
    </row>
    <row r="932" spans="1:2" x14ac:dyDescent="0.3">
      <c r="A932" s="1">
        <v>45196</v>
      </c>
      <c r="B932" s="4">
        <v>424.9</v>
      </c>
    </row>
    <row r="933" spans="1:2" x14ac:dyDescent="0.3">
      <c r="A933" s="1">
        <v>45197</v>
      </c>
      <c r="B933" s="4">
        <v>416.95</v>
      </c>
    </row>
    <row r="934" spans="1:2" x14ac:dyDescent="0.3">
      <c r="A934" s="1">
        <v>45198</v>
      </c>
      <c r="B934" s="4">
        <v>420.41</v>
      </c>
    </row>
    <row r="935" spans="1:2" x14ac:dyDescent="0.3">
      <c r="A935" s="1">
        <v>45202</v>
      </c>
      <c r="B935" s="4">
        <v>416.01</v>
      </c>
    </row>
    <row r="936" spans="1:2" x14ac:dyDescent="0.3">
      <c r="A936" s="1">
        <v>45203</v>
      </c>
      <c r="B936" s="4">
        <v>412.56</v>
      </c>
    </row>
    <row r="937" spans="1:2" x14ac:dyDescent="0.3">
      <c r="A937" s="1">
        <v>45204</v>
      </c>
      <c r="B937" s="4">
        <v>412.51</v>
      </c>
    </row>
    <row r="938" spans="1:2" x14ac:dyDescent="0.3">
      <c r="A938" s="1">
        <v>45205</v>
      </c>
      <c r="B938" s="4">
        <v>418.28</v>
      </c>
    </row>
    <row r="939" spans="1:2" x14ac:dyDescent="0.3">
      <c r="A939" s="1">
        <v>45208</v>
      </c>
      <c r="B939" s="4">
        <v>416.67</v>
      </c>
    </row>
    <row r="940" spans="1:2" x14ac:dyDescent="0.3">
      <c r="A940" s="1">
        <v>45209</v>
      </c>
      <c r="B940" s="4">
        <v>420.41</v>
      </c>
    </row>
    <row r="941" spans="1:2" x14ac:dyDescent="0.3">
      <c r="A941" s="1">
        <v>45210</v>
      </c>
      <c r="B941" s="4">
        <v>424.05</v>
      </c>
    </row>
    <row r="942" spans="1:2" x14ac:dyDescent="0.3">
      <c r="A942" s="1">
        <v>45211</v>
      </c>
      <c r="B942" s="4">
        <v>426.37</v>
      </c>
    </row>
    <row r="943" spans="1:2" x14ac:dyDescent="0.3">
      <c r="A943" s="1">
        <v>45212</v>
      </c>
      <c r="B943" s="4">
        <v>424.14</v>
      </c>
    </row>
    <row r="944" spans="1:2" x14ac:dyDescent="0.3">
      <c r="A944" s="1">
        <v>45215</v>
      </c>
      <c r="B944" s="4">
        <v>424.71</v>
      </c>
    </row>
    <row r="945" spans="1:2" x14ac:dyDescent="0.3">
      <c r="A945" s="1">
        <v>45216</v>
      </c>
      <c r="B945" s="4">
        <v>428.97</v>
      </c>
    </row>
    <row r="946" spans="1:2" x14ac:dyDescent="0.3">
      <c r="A946" s="1">
        <v>45217</v>
      </c>
      <c r="B946" s="4">
        <v>427.27</v>
      </c>
    </row>
    <row r="947" spans="1:2" x14ac:dyDescent="0.3">
      <c r="A947" s="1">
        <v>45218</v>
      </c>
      <c r="B947" s="4">
        <v>426.08</v>
      </c>
    </row>
    <row r="948" spans="1:2" x14ac:dyDescent="0.3">
      <c r="A948" s="1">
        <v>45219</v>
      </c>
      <c r="B948" s="4">
        <v>414.64</v>
      </c>
    </row>
    <row r="949" spans="1:2" x14ac:dyDescent="0.3">
      <c r="A949" s="1">
        <v>45222</v>
      </c>
      <c r="B949" s="4">
        <v>412.37</v>
      </c>
    </row>
    <row r="950" spans="1:2" x14ac:dyDescent="0.3">
      <c r="A950" s="1">
        <v>45224</v>
      </c>
      <c r="B950" s="4">
        <v>409.34</v>
      </c>
    </row>
    <row r="951" spans="1:2" x14ac:dyDescent="0.3">
      <c r="A951" s="1">
        <v>45225</v>
      </c>
      <c r="B951" s="4">
        <v>410.9</v>
      </c>
    </row>
    <row r="952" spans="1:2" x14ac:dyDescent="0.3">
      <c r="A952" s="1">
        <v>45226</v>
      </c>
      <c r="B952" s="4">
        <v>410.33</v>
      </c>
    </row>
    <row r="953" spans="1:2" x14ac:dyDescent="0.3">
      <c r="A953" s="1">
        <v>45229</v>
      </c>
      <c r="B953" s="4">
        <v>407.21</v>
      </c>
    </row>
    <row r="954" spans="1:2" x14ac:dyDescent="0.3">
      <c r="A954" s="1">
        <v>45230</v>
      </c>
      <c r="B954" s="4">
        <v>405.27</v>
      </c>
    </row>
    <row r="955" spans="1:2" x14ac:dyDescent="0.3">
      <c r="A955" s="1">
        <v>45231</v>
      </c>
      <c r="B955" s="4">
        <v>404.99</v>
      </c>
    </row>
    <row r="956" spans="1:2" x14ac:dyDescent="0.3">
      <c r="A956" s="1">
        <v>45232</v>
      </c>
      <c r="B956" s="4">
        <v>407.87</v>
      </c>
    </row>
    <row r="957" spans="1:2" x14ac:dyDescent="0.3">
      <c r="A957" s="1">
        <v>45233</v>
      </c>
      <c r="B957" s="4">
        <v>409.86</v>
      </c>
    </row>
    <row r="958" spans="1:2" x14ac:dyDescent="0.3">
      <c r="A958" s="1">
        <v>45236</v>
      </c>
      <c r="B958" s="4">
        <v>411.85</v>
      </c>
    </row>
    <row r="959" spans="1:2" x14ac:dyDescent="0.3">
      <c r="A959" s="1">
        <v>45237</v>
      </c>
      <c r="B959" s="4">
        <v>409.34</v>
      </c>
    </row>
    <row r="960" spans="1:2" x14ac:dyDescent="0.3">
      <c r="A960" s="1">
        <v>45238</v>
      </c>
      <c r="B960" s="4">
        <v>413.36</v>
      </c>
    </row>
    <row r="961" spans="1:2" x14ac:dyDescent="0.3">
      <c r="A961" s="1">
        <v>45239</v>
      </c>
      <c r="B961" s="4">
        <v>410.95</v>
      </c>
    </row>
    <row r="962" spans="1:2" x14ac:dyDescent="0.3">
      <c r="A962" s="1">
        <v>45240</v>
      </c>
      <c r="B962" s="4">
        <v>412.98</v>
      </c>
    </row>
    <row r="963" spans="1:2" x14ac:dyDescent="0.3">
      <c r="A963" s="1">
        <v>45242</v>
      </c>
      <c r="B963" s="4">
        <v>438.45</v>
      </c>
    </row>
    <row r="964" spans="1:2" x14ac:dyDescent="0.3">
      <c r="A964" s="1">
        <v>45243</v>
      </c>
      <c r="B964" s="4">
        <v>412.46</v>
      </c>
    </row>
    <row r="965" spans="1:2" x14ac:dyDescent="0.3">
      <c r="A965" s="1">
        <v>45245</v>
      </c>
      <c r="B965" s="4">
        <v>418.09</v>
      </c>
    </row>
    <row r="966" spans="1:2" x14ac:dyDescent="0.3">
      <c r="A966" s="1">
        <v>45246</v>
      </c>
      <c r="B966" s="4">
        <v>414.97</v>
      </c>
    </row>
    <row r="967" spans="1:2" x14ac:dyDescent="0.3">
      <c r="A967" s="1">
        <v>45247</v>
      </c>
      <c r="B967" s="4">
        <v>415.54</v>
      </c>
    </row>
    <row r="968" spans="1:2" x14ac:dyDescent="0.3">
      <c r="A968" s="1">
        <v>45250</v>
      </c>
      <c r="B968" s="4">
        <v>413.22</v>
      </c>
    </row>
    <row r="969" spans="1:2" x14ac:dyDescent="0.3">
      <c r="A969" s="1">
        <v>45251</v>
      </c>
      <c r="B969" s="4">
        <v>412.7</v>
      </c>
    </row>
    <row r="970" spans="1:2" x14ac:dyDescent="0.3">
      <c r="A970" s="1">
        <v>45252</v>
      </c>
      <c r="B970" s="4">
        <v>415.96</v>
      </c>
    </row>
    <row r="971" spans="1:2" x14ac:dyDescent="0.3">
      <c r="A971" s="1">
        <v>45253</v>
      </c>
      <c r="B971" s="4">
        <v>416.58</v>
      </c>
    </row>
    <row r="972" spans="1:2" x14ac:dyDescent="0.3">
      <c r="A972" s="1">
        <v>45254</v>
      </c>
      <c r="B972" s="4">
        <v>414.16</v>
      </c>
    </row>
    <row r="973" spans="1:2" x14ac:dyDescent="0.3">
      <c r="A973" s="1">
        <v>45258</v>
      </c>
      <c r="B973" s="4">
        <v>411.75</v>
      </c>
    </row>
    <row r="974" spans="1:2" x14ac:dyDescent="0.3">
      <c r="A974" s="1">
        <v>45259</v>
      </c>
      <c r="B974" s="4">
        <v>413.6</v>
      </c>
    </row>
    <row r="975" spans="1:2" x14ac:dyDescent="0.3">
      <c r="A975" s="1">
        <v>45260</v>
      </c>
      <c r="B975" s="4">
        <v>412.27</v>
      </c>
    </row>
    <row r="976" spans="1:2" x14ac:dyDescent="0.3">
      <c r="A976" s="1">
        <v>45261</v>
      </c>
      <c r="B976" s="4">
        <v>425.52</v>
      </c>
    </row>
    <row r="977" spans="1:2" x14ac:dyDescent="0.3">
      <c r="A977" s="1">
        <v>45264</v>
      </c>
      <c r="B977" s="4">
        <v>429.54</v>
      </c>
    </row>
    <row r="978" spans="1:2" x14ac:dyDescent="0.3">
      <c r="A978" s="1">
        <v>45265</v>
      </c>
      <c r="B978" s="4">
        <v>427.36</v>
      </c>
    </row>
    <row r="979" spans="1:2" x14ac:dyDescent="0.3">
      <c r="A979" s="1">
        <v>45266</v>
      </c>
      <c r="B979" s="4">
        <v>438.24</v>
      </c>
    </row>
    <row r="980" spans="1:2" x14ac:dyDescent="0.3">
      <c r="A980" s="1">
        <v>45267</v>
      </c>
      <c r="B980" s="4">
        <v>433.37</v>
      </c>
    </row>
    <row r="981" spans="1:2" x14ac:dyDescent="0.3">
      <c r="A981" s="1">
        <v>45268</v>
      </c>
      <c r="B981" s="4">
        <v>424.9</v>
      </c>
    </row>
    <row r="982" spans="1:2" x14ac:dyDescent="0.3">
      <c r="A982" s="1">
        <v>45271</v>
      </c>
      <c r="B982" s="4">
        <v>428.02</v>
      </c>
    </row>
    <row r="983" spans="1:2" x14ac:dyDescent="0.3">
      <c r="A983" s="1">
        <v>45272</v>
      </c>
      <c r="B983" s="4">
        <v>428.64</v>
      </c>
    </row>
    <row r="984" spans="1:2" x14ac:dyDescent="0.3">
      <c r="A984" s="1">
        <v>45273</v>
      </c>
      <c r="B984" s="4">
        <v>431.05</v>
      </c>
    </row>
    <row r="985" spans="1:2" x14ac:dyDescent="0.3">
      <c r="A985" s="1">
        <v>45274</v>
      </c>
      <c r="B985" s="4">
        <v>435.26</v>
      </c>
    </row>
    <row r="986" spans="1:2" x14ac:dyDescent="0.3">
      <c r="A986" s="1">
        <v>45275</v>
      </c>
      <c r="B986" s="4">
        <v>433.46</v>
      </c>
    </row>
    <row r="987" spans="1:2" x14ac:dyDescent="0.3">
      <c r="A987" s="1">
        <v>45278</v>
      </c>
      <c r="B987" s="4">
        <v>427.27</v>
      </c>
    </row>
    <row r="988" spans="1:2" x14ac:dyDescent="0.3">
      <c r="A988" s="1">
        <v>45279</v>
      </c>
      <c r="B988" s="4">
        <v>431.48</v>
      </c>
    </row>
    <row r="989" spans="1:2" x14ac:dyDescent="0.3">
      <c r="A989" s="1">
        <v>45280</v>
      </c>
      <c r="B989" s="4">
        <v>426.65</v>
      </c>
    </row>
    <row r="990" spans="1:2" x14ac:dyDescent="0.3">
      <c r="A990" s="1">
        <v>45281</v>
      </c>
      <c r="B990" s="4">
        <v>427.08</v>
      </c>
    </row>
    <row r="991" spans="1:2" x14ac:dyDescent="0.3">
      <c r="A991" s="1">
        <v>45282</v>
      </c>
      <c r="B991" s="4">
        <v>430.63</v>
      </c>
    </row>
    <row r="992" spans="1:2" x14ac:dyDescent="0.3">
      <c r="A992" s="1">
        <v>45286</v>
      </c>
      <c r="B992" s="4">
        <v>431.81</v>
      </c>
    </row>
    <row r="993" spans="1:2" x14ac:dyDescent="0.3">
      <c r="A993" s="1">
        <v>45287</v>
      </c>
      <c r="B993" s="4">
        <v>432.42</v>
      </c>
    </row>
    <row r="994" spans="1:2" x14ac:dyDescent="0.3">
      <c r="A994" s="1">
        <v>45288</v>
      </c>
      <c r="B994" s="4">
        <v>439.05</v>
      </c>
    </row>
    <row r="995" spans="1:2" x14ac:dyDescent="0.3">
      <c r="A995" s="1">
        <v>45289</v>
      </c>
      <c r="B995" s="4">
        <v>437.15</v>
      </c>
    </row>
    <row r="996" spans="1:2" x14ac:dyDescent="0.3">
      <c r="A996" s="1">
        <v>45292</v>
      </c>
      <c r="B996" s="4">
        <v>442.78</v>
      </c>
    </row>
    <row r="997" spans="1:2" x14ac:dyDescent="0.3">
      <c r="A997" s="1">
        <v>45293</v>
      </c>
      <c r="B997" s="4">
        <v>444.96</v>
      </c>
    </row>
    <row r="998" spans="1:2" x14ac:dyDescent="0.3">
      <c r="A998" s="1">
        <v>45294</v>
      </c>
      <c r="B998" s="4">
        <v>451.48</v>
      </c>
    </row>
    <row r="999" spans="1:2" x14ac:dyDescent="0.3">
      <c r="A999" s="1">
        <v>45295</v>
      </c>
      <c r="B999" s="4">
        <v>450.68</v>
      </c>
    </row>
    <row r="1000" spans="1:2" x14ac:dyDescent="0.3">
      <c r="A1000" s="1">
        <v>45296</v>
      </c>
      <c r="B1000" s="4">
        <v>448.36</v>
      </c>
    </row>
    <row r="1001" spans="1:2" x14ac:dyDescent="0.3">
      <c r="A1001" s="1">
        <v>45299</v>
      </c>
      <c r="B1001" s="4">
        <v>440.37</v>
      </c>
    </row>
    <row r="1002" spans="1:2" x14ac:dyDescent="0.3">
      <c r="A1002" s="1">
        <v>45300</v>
      </c>
      <c r="B1002" s="4">
        <v>439.47</v>
      </c>
    </row>
    <row r="1003" spans="1:2" x14ac:dyDescent="0.3">
      <c r="A1003" s="1">
        <v>45301</v>
      </c>
      <c r="B1003" s="4">
        <v>438.29</v>
      </c>
    </row>
    <row r="1004" spans="1:2" x14ac:dyDescent="0.3">
      <c r="A1004" s="1">
        <v>45302</v>
      </c>
      <c r="B1004" s="4">
        <v>437.67</v>
      </c>
    </row>
    <row r="1005" spans="1:2" x14ac:dyDescent="0.3">
      <c r="A1005" s="1">
        <v>45303</v>
      </c>
      <c r="B1005" s="4">
        <v>441.5</v>
      </c>
    </row>
    <row r="1006" spans="1:2" x14ac:dyDescent="0.3">
      <c r="A1006" s="1">
        <v>45306</v>
      </c>
      <c r="B1006" s="4">
        <v>442.36</v>
      </c>
    </row>
    <row r="1007" spans="1:2" x14ac:dyDescent="0.3">
      <c r="A1007" s="1">
        <v>45307</v>
      </c>
      <c r="B1007" s="4">
        <v>446.8</v>
      </c>
    </row>
    <row r="1008" spans="1:2" x14ac:dyDescent="0.3">
      <c r="A1008" s="1">
        <v>45308</v>
      </c>
      <c r="B1008" s="4">
        <v>441.41</v>
      </c>
    </row>
    <row r="1009" spans="1:2" x14ac:dyDescent="0.3">
      <c r="A1009" s="1">
        <v>45309</v>
      </c>
      <c r="B1009" s="4">
        <v>440.37</v>
      </c>
    </row>
    <row r="1010" spans="1:2" x14ac:dyDescent="0.3">
      <c r="A1010" s="1">
        <v>45310</v>
      </c>
      <c r="B1010" s="4">
        <v>446.05</v>
      </c>
    </row>
    <row r="1011" spans="1:2" x14ac:dyDescent="0.3">
      <c r="A1011" s="1">
        <v>45311</v>
      </c>
      <c r="B1011" s="4">
        <v>468.4</v>
      </c>
    </row>
    <row r="1012" spans="1:2" x14ac:dyDescent="0.3">
      <c r="A1012" s="1">
        <v>45314</v>
      </c>
      <c r="B1012" s="4">
        <v>434.5</v>
      </c>
    </row>
    <row r="1013" spans="1:2" x14ac:dyDescent="0.3">
      <c r="A1013" s="1">
        <v>45315</v>
      </c>
      <c r="B1013" s="4">
        <v>438.57</v>
      </c>
    </row>
    <row r="1014" spans="1:2" x14ac:dyDescent="0.3">
      <c r="A1014" s="1">
        <v>45316</v>
      </c>
      <c r="B1014" s="4">
        <v>431.05</v>
      </c>
    </row>
    <row r="1015" spans="1:2" x14ac:dyDescent="0.3">
      <c r="A1015" s="1">
        <v>45320</v>
      </c>
      <c r="B1015" s="4">
        <v>425.52</v>
      </c>
    </row>
    <row r="1016" spans="1:2" x14ac:dyDescent="0.3">
      <c r="A1016" s="1">
        <v>45321</v>
      </c>
      <c r="B1016" s="4">
        <v>414.4</v>
      </c>
    </row>
    <row r="1017" spans="1:2" x14ac:dyDescent="0.3">
      <c r="A1017" s="1">
        <v>45322</v>
      </c>
      <c r="B1017" s="4">
        <v>417.71</v>
      </c>
    </row>
    <row r="1018" spans="1:2" x14ac:dyDescent="0.3">
      <c r="A1018" s="1">
        <v>45323</v>
      </c>
      <c r="B1018" s="4">
        <v>418.99</v>
      </c>
    </row>
    <row r="1019" spans="1:2" x14ac:dyDescent="0.3">
      <c r="A1019" s="1">
        <v>45324</v>
      </c>
      <c r="B1019" s="4">
        <v>416.34</v>
      </c>
    </row>
    <row r="1020" spans="1:2" x14ac:dyDescent="0.3">
      <c r="A1020" s="1">
        <v>45327</v>
      </c>
      <c r="B1020" s="4">
        <v>414.4</v>
      </c>
    </row>
    <row r="1021" spans="1:2" x14ac:dyDescent="0.3">
      <c r="A1021" s="1">
        <v>45328</v>
      </c>
      <c r="B1021" s="4">
        <v>408.11</v>
      </c>
    </row>
    <row r="1022" spans="1:2" x14ac:dyDescent="0.3">
      <c r="A1022" s="1">
        <v>45329</v>
      </c>
      <c r="B1022" s="4">
        <v>408.49</v>
      </c>
    </row>
    <row r="1023" spans="1:2" x14ac:dyDescent="0.3">
      <c r="A1023" s="1">
        <v>45330</v>
      </c>
      <c r="B1023" s="4">
        <v>392.17</v>
      </c>
    </row>
    <row r="1024" spans="1:2" x14ac:dyDescent="0.3">
      <c r="A1024" s="1">
        <v>45331</v>
      </c>
      <c r="B1024" s="4">
        <v>393.07</v>
      </c>
    </row>
    <row r="1025" spans="1:2" x14ac:dyDescent="0.3">
      <c r="A1025" s="1">
        <v>45334</v>
      </c>
      <c r="B1025" s="4">
        <v>384.89</v>
      </c>
    </row>
    <row r="1026" spans="1:2" x14ac:dyDescent="0.3">
      <c r="A1026" s="1">
        <v>45335</v>
      </c>
      <c r="B1026" s="4">
        <v>384.79</v>
      </c>
    </row>
    <row r="1027" spans="1:2" x14ac:dyDescent="0.3">
      <c r="A1027" s="1">
        <v>45336</v>
      </c>
      <c r="B1027" s="4">
        <v>389.33</v>
      </c>
    </row>
    <row r="1028" spans="1:2" x14ac:dyDescent="0.3">
      <c r="A1028" s="1">
        <v>45337</v>
      </c>
      <c r="B1028" s="4">
        <v>382.1</v>
      </c>
    </row>
    <row r="1029" spans="1:2" x14ac:dyDescent="0.3">
      <c r="A1029" s="1">
        <v>45338</v>
      </c>
      <c r="B1029" s="4">
        <v>382.76</v>
      </c>
    </row>
    <row r="1030" spans="1:2" x14ac:dyDescent="0.3">
      <c r="A1030" s="1">
        <v>45341</v>
      </c>
      <c r="B1030" s="4">
        <v>387.16</v>
      </c>
    </row>
    <row r="1031" spans="1:2" x14ac:dyDescent="0.3">
      <c r="A1031" s="1">
        <v>45342</v>
      </c>
      <c r="B1031" s="4">
        <v>384.18</v>
      </c>
    </row>
    <row r="1032" spans="1:2" x14ac:dyDescent="0.3">
      <c r="A1032" s="1">
        <v>45343</v>
      </c>
      <c r="B1032" s="4">
        <v>381.57</v>
      </c>
    </row>
    <row r="1033" spans="1:2" x14ac:dyDescent="0.3">
      <c r="A1033" s="1">
        <v>45344</v>
      </c>
      <c r="B1033" s="4">
        <v>392.08</v>
      </c>
    </row>
    <row r="1034" spans="1:2" x14ac:dyDescent="0.3">
      <c r="A1034" s="1">
        <v>45345</v>
      </c>
      <c r="B1034" s="4">
        <v>389.19</v>
      </c>
    </row>
    <row r="1035" spans="1:2" x14ac:dyDescent="0.3">
      <c r="A1035" s="1">
        <v>45348</v>
      </c>
      <c r="B1035" s="4">
        <v>387.11</v>
      </c>
    </row>
    <row r="1036" spans="1:2" x14ac:dyDescent="0.3">
      <c r="A1036" s="1">
        <v>45349</v>
      </c>
      <c r="B1036" s="4">
        <v>388.95</v>
      </c>
    </row>
    <row r="1037" spans="1:2" x14ac:dyDescent="0.3">
      <c r="A1037" s="1">
        <v>45350</v>
      </c>
      <c r="B1037" s="4">
        <v>386.26</v>
      </c>
    </row>
    <row r="1038" spans="1:2" x14ac:dyDescent="0.3">
      <c r="A1038" s="1">
        <v>45351</v>
      </c>
      <c r="B1038" s="4">
        <v>384.36</v>
      </c>
    </row>
    <row r="1039" spans="1:2" x14ac:dyDescent="0.3">
      <c r="A1039" s="1">
        <v>45352</v>
      </c>
      <c r="B1039" s="4">
        <v>387.39</v>
      </c>
    </row>
    <row r="1040" spans="1:2" x14ac:dyDescent="0.3">
      <c r="A1040" s="1">
        <v>45353</v>
      </c>
      <c r="B1040" s="4">
        <v>412.05</v>
      </c>
    </row>
    <row r="1041" spans="1:2" x14ac:dyDescent="0.3">
      <c r="A1041" s="1">
        <v>45355</v>
      </c>
      <c r="B1041" s="4">
        <v>387.01</v>
      </c>
    </row>
    <row r="1042" spans="1:2" x14ac:dyDescent="0.3">
      <c r="A1042" s="1">
        <v>45356</v>
      </c>
      <c r="B1042" s="4">
        <v>384.22</v>
      </c>
    </row>
    <row r="1043" spans="1:2" x14ac:dyDescent="0.3">
      <c r="A1043" s="1">
        <v>45357</v>
      </c>
      <c r="B1043" s="4">
        <v>385.83</v>
      </c>
    </row>
    <row r="1044" spans="1:2" x14ac:dyDescent="0.3">
      <c r="A1044" s="1">
        <v>45358</v>
      </c>
      <c r="B1044" s="4">
        <v>391.22</v>
      </c>
    </row>
    <row r="1045" spans="1:2" x14ac:dyDescent="0.3">
      <c r="A1045" s="1">
        <v>45362</v>
      </c>
      <c r="B1045" s="4">
        <v>387.3</v>
      </c>
    </row>
    <row r="1046" spans="1:2" x14ac:dyDescent="0.3">
      <c r="A1046" s="1">
        <v>45363</v>
      </c>
      <c r="B1046" s="4">
        <v>382.61</v>
      </c>
    </row>
    <row r="1047" spans="1:2" x14ac:dyDescent="0.3">
      <c r="A1047" s="1">
        <v>45364</v>
      </c>
      <c r="B1047" s="4">
        <v>399.64</v>
      </c>
    </row>
    <row r="1048" spans="1:2" x14ac:dyDescent="0.3">
      <c r="A1048" s="1">
        <v>45365</v>
      </c>
      <c r="B1048" s="4">
        <v>396.99</v>
      </c>
    </row>
    <row r="1049" spans="1:2" x14ac:dyDescent="0.3">
      <c r="A1049" s="1">
        <v>45366</v>
      </c>
      <c r="B1049" s="4">
        <v>396.47</v>
      </c>
    </row>
    <row r="1050" spans="1:2" x14ac:dyDescent="0.3">
      <c r="A1050" s="1">
        <v>45369</v>
      </c>
      <c r="B1050" s="4">
        <v>394.91</v>
      </c>
    </row>
    <row r="1051" spans="1:2" x14ac:dyDescent="0.3">
      <c r="A1051" s="1">
        <v>45370</v>
      </c>
      <c r="B1051" s="4">
        <v>387.44</v>
      </c>
    </row>
    <row r="1052" spans="1:2" x14ac:dyDescent="0.3">
      <c r="A1052" s="1">
        <v>45371</v>
      </c>
      <c r="B1052" s="4">
        <v>393.26</v>
      </c>
    </row>
    <row r="1053" spans="1:2" x14ac:dyDescent="0.3">
      <c r="A1053" s="1">
        <v>45372</v>
      </c>
      <c r="B1053" s="4">
        <v>398.51</v>
      </c>
    </row>
    <row r="1054" spans="1:2" x14ac:dyDescent="0.3">
      <c r="A1054" s="1">
        <v>45373</v>
      </c>
      <c r="B1054" s="4">
        <v>405.46</v>
      </c>
    </row>
    <row r="1055" spans="1:2" x14ac:dyDescent="0.3">
      <c r="A1055" s="1">
        <v>45377</v>
      </c>
      <c r="B1055" s="4">
        <v>404.56</v>
      </c>
    </row>
    <row r="1056" spans="1:2" x14ac:dyDescent="0.3">
      <c r="A1056" s="1">
        <v>45378</v>
      </c>
      <c r="B1056" s="4">
        <v>404.89</v>
      </c>
    </row>
    <row r="1057" spans="1:2" x14ac:dyDescent="0.3">
      <c r="A1057" s="1">
        <v>45379</v>
      </c>
      <c r="B1057" s="4">
        <v>405.23</v>
      </c>
    </row>
    <row r="1058" spans="1:2" x14ac:dyDescent="0.3">
      <c r="A1058" s="1">
        <v>45383</v>
      </c>
      <c r="B1058" s="4">
        <v>403.66</v>
      </c>
    </row>
    <row r="1059" spans="1:2" x14ac:dyDescent="0.3">
      <c r="A1059" s="1">
        <v>45384</v>
      </c>
      <c r="B1059" s="4">
        <v>402.86</v>
      </c>
    </row>
    <row r="1060" spans="1:2" x14ac:dyDescent="0.3">
      <c r="A1060" s="1">
        <v>45385</v>
      </c>
      <c r="B1060" s="4">
        <v>402.24</v>
      </c>
    </row>
    <row r="1061" spans="1:2" x14ac:dyDescent="0.3">
      <c r="A1061" s="1">
        <v>45386</v>
      </c>
      <c r="B1061" s="4">
        <v>399.93</v>
      </c>
    </row>
    <row r="1062" spans="1:2" x14ac:dyDescent="0.3">
      <c r="A1062" s="1">
        <v>45387</v>
      </c>
      <c r="B1062" s="4">
        <v>404.47</v>
      </c>
    </row>
    <row r="1063" spans="1:2" x14ac:dyDescent="0.3">
      <c r="A1063" s="1">
        <v>45390</v>
      </c>
      <c r="B1063" s="4">
        <v>405.93</v>
      </c>
    </row>
    <row r="1064" spans="1:2" x14ac:dyDescent="0.3">
      <c r="A1064" s="1">
        <v>45391</v>
      </c>
      <c r="B1064" s="4">
        <v>403.33</v>
      </c>
    </row>
    <row r="1065" spans="1:2" x14ac:dyDescent="0.3">
      <c r="A1065" s="1">
        <v>45392</v>
      </c>
      <c r="B1065" s="4">
        <v>413.36</v>
      </c>
    </row>
    <row r="1066" spans="1:2" x14ac:dyDescent="0.3">
      <c r="A1066" s="1">
        <v>45394</v>
      </c>
      <c r="B1066" s="4">
        <v>406.88</v>
      </c>
    </row>
    <row r="1067" spans="1:2" x14ac:dyDescent="0.3">
      <c r="A1067" s="1">
        <v>45397</v>
      </c>
      <c r="B1067" s="4">
        <v>402.91</v>
      </c>
    </row>
    <row r="1068" spans="1:2" x14ac:dyDescent="0.3">
      <c r="A1068" s="1">
        <v>45398</v>
      </c>
      <c r="B1068" s="4">
        <v>402.91</v>
      </c>
    </row>
    <row r="1069" spans="1:2" x14ac:dyDescent="0.3">
      <c r="A1069" s="1">
        <v>45400</v>
      </c>
      <c r="B1069" s="4">
        <v>396.24</v>
      </c>
    </row>
    <row r="1070" spans="1:2" x14ac:dyDescent="0.3">
      <c r="A1070" s="1">
        <v>45401</v>
      </c>
      <c r="B1070" s="4">
        <v>401.82</v>
      </c>
    </row>
    <row r="1071" spans="1:2" x14ac:dyDescent="0.3">
      <c r="A1071" s="1">
        <v>45404</v>
      </c>
      <c r="B1071" s="4">
        <v>402.34</v>
      </c>
    </row>
    <row r="1072" spans="1:2" x14ac:dyDescent="0.3">
      <c r="A1072" s="1">
        <v>45405</v>
      </c>
      <c r="B1072" s="4">
        <v>406.03</v>
      </c>
    </row>
    <row r="1073" spans="1:2" x14ac:dyDescent="0.3">
      <c r="A1073" s="1">
        <v>45406</v>
      </c>
      <c r="B1073" s="4">
        <v>405.74</v>
      </c>
    </row>
    <row r="1074" spans="1:2" x14ac:dyDescent="0.3">
      <c r="A1074" s="1">
        <v>45407</v>
      </c>
      <c r="B1074" s="4">
        <v>413.93</v>
      </c>
    </row>
    <row r="1075" spans="1:2" x14ac:dyDescent="0.3">
      <c r="A1075" s="1">
        <v>45408</v>
      </c>
      <c r="B1075" s="4">
        <v>416.25</v>
      </c>
    </row>
    <row r="1076" spans="1:2" x14ac:dyDescent="0.3">
      <c r="A1076" s="1">
        <v>45411</v>
      </c>
      <c r="B1076" s="4">
        <v>414.54</v>
      </c>
    </row>
    <row r="1077" spans="1:2" x14ac:dyDescent="0.3">
      <c r="A1077" s="1">
        <v>45412</v>
      </c>
      <c r="B1077" s="4">
        <v>412.13</v>
      </c>
    </row>
    <row r="1078" spans="1:2" x14ac:dyDescent="0.3">
      <c r="A1078" s="1">
        <v>45414</v>
      </c>
      <c r="B1078" s="4">
        <v>415.3</v>
      </c>
    </row>
    <row r="1079" spans="1:2" x14ac:dyDescent="0.3">
      <c r="A1079" s="1">
        <v>45415</v>
      </c>
      <c r="B1079" s="4">
        <v>412.89</v>
      </c>
    </row>
    <row r="1080" spans="1:2" x14ac:dyDescent="0.3">
      <c r="A1080" s="1">
        <v>45418</v>
      </c>
      <c r="B1080" s="4">
        <v>411.28</v>
      </c>
    </row>
    <row r="1081" spans="1:2" x14ac:dyDescent="0.3">
      <c r="A1081" s="1">
        <v>45419</v>
      </c>
      <c r="B1081" s="4">
        <v>416.58</v>
      </c>
    </row>
    <row r="1082" spans="1:2" x14ac:dyDescent="0.3">
      <c r="A1082" s="1">
        <v>45420</v>
      </c>
      <c r="B1082" s="4">
        <v>417.19</v>
      </c>
    </row>
    <row r="1083" spans="1:2" x14ac:dyDescent="0.3">
      <c r="A1083" s="1">
        <v>45421</v>
      </c>
      <c r="B1083" s="4">
        <v>402.15</v>
      </c>
    </row>
    <row r="1084" spans="1:2" x14ac:dyDescent="0.3">
      <c r="A1084" s="1">
        <v>45422</v>
      </c>
      <c r="B1084" s="4">
        <v>409.95</v>
      </c>
    </row>
    <row r="1085" spans="1:2" x14ac:dyDescent="0.3">
      <c r="A1085" s="1">
        <v>45425</v>
      </c>
      <c r="B1085" s="4">
        <v>408.54</v>
      </c>
    </row>
    <row r="1086" spans="1:2" x14ac:dyDescent="0.3">
      <c r="A1086" s="1">
        <v>45426</v>
      </c>
      <c r="B1086" s="4">
        <v>406.5</v>
      </c>
    </row>
    <row r="1087" spans="1:2" x14ac:dyDescent="0.3">
      <c r="A1087" s="1">
        <v>45427</v>
      </c>
      <c r="B1087" s="4">
        <v>404.7</v>
      </c>
    </row>
    <row r="1088" spans="1:2" x14ac:dyDescent="0.3">
      <c r="A1088" s="1">
        <v>45428</v>
      </c>
      <c r="B1088" s="4">
        <v>408.16</v>
      </c>
    </row>
    <row r="1089" spans="1:2" x14ac:dyDescent="0.3">
      <c r="A1089" s="1">
        <v>45429</v>
      </c>
      <c r="B1089" s="4">
        <v>412.74</v>
      </c>
    </row>
    <row r="1090" spans="1:2" x14ac:dyDescent="0.3">
      <c r="A1090" s="1">
        <v>45430</v>
      </c>
      <c r="B1090" s="4">
        <v>436.65</v>
      </c>
    </row>
    <row r="1091" spans="1:2" x14ac:dyDescent="0.3">
      <c r="A1091" s="1">
        <v>45433</v>
      </c>
      <c r="B1091" s="4">
        <v>411.33</v>
      </c>
    </row>
    <row r="1092" spans="1:2" x14ac:dyDescent="0.3">
      <c r="A1092" s="1">
        <v>45434</v>
      </c>
      <c r="B1092" s="4">
        <v>416.15</v>
      </c>
    </row>
    <row r="1093" spans="1:2" x14ac:dyDescent="0.3">
      <c r="A1093" s="1">
        <v>45435</v>
      </c>
      <c r="B1093" s="4">
        <v>417.52</v>
      </c>
    </row>
    <row r="1094" spans="1:2" x14ac:dyDescent="0.3">
      <c r="A1094" s="1">
        <v>45436</v>
      </c>
      <c r="B1094" s="4">
        <v>412.65</v>
      </c>
    </row>
    <row r="1095" spans="1:2" x14ac:dyDescent="0.3">
      <c r="A1095" s="1">
        <v>45439</v>
      </c>
      <c r="B1095" s="4">
        <v>408.2</v>
      </c>
    </row>
    <row r="1096" spans="1:2" x14ac:dyDescent="0.3">
      <c r="A1096" s="1">
        <v>45440</v>
      </c>
      <c r="B1096" s="4">
        <v>405.84</v>
      </c>
    </row>
    <row r="1097" spans="1:2" x14ac:dyDescent="0.3">
      <c r="A1097" s="1">
        <v>45441</v>
      </c>
      <c r="B1097" s="4">
        <v>407.68</v>
      </c>
    </row>
    <row r="1098" spans="1:2" x14ac:dyDescent="0.3">
      <c r="A1098" s="1">
        <v>45442</v>
      </c>
      <c r="B1098" s="4">
        <v>400.97</v>
      </c>
    </row>
    <row r="1099" spans="1:2" x14ac:dyDescent="0.3">
      <c r="A1099" s="1">
        <v>45443</v>
      </c>
      <c r="B1099" s="4">
        <v>403.43</v>
      </c>
    </row>
    <row r="1100" spans="1:2" x14ac:dyDescent="0.3">
      <c r="A1100" s="1">
        <v>45446</v>
      </c>
      <c r="B1100" s="4">
        <v>407.12</v>
      </c>
    </row>
    <row r="1101" spans="1:2" x14ac:dyDescent="0.3">
      <c r="A1101" s="1">
        <v>45447</v>
      </c>
      <c r="B1101" s="4">
        <v>392.79</v>
      </c>
    </row>
    <row r="1102" spans="1:2" x14ac:dyDescent="0.3">
      <c r="A1102" s="1">
        <v>45448</v>
      </c>
      <c r="B1102" s="4">
        <v>407.07</v>
      </c>
    </row>
    <row r="1103" spans="1:2" x14ac:dyDescent="0.3">
      <c r="A1103" s="1">
        <v>45449</v>
      </c>
      <c r="B1103" s="4">
        <v>411.89</v>
      </c>
    </row>
    <row r="1104" spans="1:2" x14ac:dyDescent="0.3">
      <c r="A1104" s="1">
        <v>45450</v>
      </c>
      <c r="B1104" s="4">
        <v>415.44</v>
      </c>
    </row>
    <row r="1105" spans="1:2" x14ac:dyDescent="0.3">
      <c r="A1105" s="1">
        <v>45453</v>
      </c>
      <c r="B1105" s="4">
        <v>413.31</v>
      </c>
    </row>
    <row r="1106" spans="1:2" x14ac:dyDescent="0.3">
      <c r="A1106" s="1">
        <v>45454</v>
      </c>
      <c r="B1106" s="4">
        <v>409.62</v>
      </c>
    </row>
    <row r="1107" spans="1:2" x14ac:dyDescent="0.3">
      <c r="A1107" s="1">
        <v>45455</v>
      </c>
      <c r="B1107" s="4">
        <v>408.96</v>
      </c>
    </row>
    <row r="1108" spans="1:2" x14ac:dyDescent="0.3">
      <c r="A1108" s="1">
        <v>45456</v>
      </c>
      <c r="B1108" s="4">
        <v>407.07</v>
      </c>
    </row>
    <row r="1109" spans="1:2" x14ac:dyDescent="0.3">
      <c r="A1109" s="1">
        <v>45457</v>
      </c>
      <c r="B1109" s="4">
        <v>407.87</v>
      </c>
    </row>
    <row r="1110" spans="1:2" x14ac:dyDescent="0.3">
      <c r="A1110" s="1">
        <v>45461</v>
      </c>
      <c r="B1110" s="4">
        <v>405.6</v>
      </c>
    </row>
    <row r="1111" spans="1:2" x14ac:dyDescent="0.3">
      <c r="A1111" s="1">
        <v>45462</v>
      </c>
      <c r="B1111" s="4">
        <v>400.78</v>
      </c>
    </row>
    <row r="1112" spans="1:2" x14ac:dyDescent="0.3">
      <c r="A1112" s="1">
        <v>45463</v>
      </c>
      <c r="B1112" s="4">
        <v>400.45</v>
      </c>
    </row>
    <row r="1113" spans="1:2" x14ac:dyDescent="0.3">
      <c r="A1113" s="1">
        <v>45464</v>
      </c>
      <c r="B1113" s="4">
        <v>396.95</v>
      </c>
    </row>
    <row r="1114" spans="1:2" x14ac:dyDescent="0.3">
      <c r="A1114" s="1">
        <v>45467</v>
      </c>
      <c r="B1114" s="4">
        <v>400.45</v>
      </c>
    </row>
    <row r="1115" spans="1:2" x14ac:dyDescent="0.3">
      <c r="A1115" s="1">
        <v>45468</v>
      </c>
      <c r="B1115" s="4">
        <v>400.45</v>
      </c>
    </row>
    <row r="1116" spans="1:2" x14ac:dyDescent="0.3">
      <c r="A1116" s="1">
        <v>45469</v>
      </c>
      <c r="B1116" s="4">
        <v>401.06</v>
      </c>
    </row>
    <row r="1117" spans="1:2" x14ac:dyDescent="0.3">
      <c r="A1117" s="1">
        <v>45470</v>
      </c>
      <c r="B1117" s="4">
        <v>402.62</v>
      </c>
    </row>
    <row r="1118" spans="1:2" x14ac:dyDescent="0.3">
      <c r="A1118" s="1">
        <v>45471</v>
      </c>
      <c r="B1118" s="4">
        <v>401.96</v>
      </c>
    </row>
    <row r="1119" spans="1:2" x14ac:dyDescent="0.3">
      <c r="A1119" s="1">
        <v>45474</v>
      </c>
      <c r="B1119" s="4">
        <v>405.89</v>
      </c>
    </row>
    <row r="1120" spans="1:2" x14ac:dyDescent="0.3">
      <c r="A1120" s="1">
        <v>45475</v>
      </c>
      <c r="B1120" s="4">
        <v>402.53</v>
      </c>
    </row>
    <row r="1121" spans="1:2" x14ac:dyDescent="0.3">
      <c r="A1121" s="1">
        <v>45476</v>
      </c>
      <c r="B1121" s="4">
        <v>405.18</v>
      </c>
    </row>
    <row r="1122" spans="1:2" x14ac:dyDescent="0.3">
      <c r="A1122" s="1">
        <v>45477</v>
      </c>
      <c r="B1122" s="4">
        <v>405.89</v>
      </c>
    </row>
    <row r="1123" spans="1:2" x14ac:dyDescent="0.3">
      <c r="A1123" s="1">
        <v>45478</v>
      </c>
      <c r="B1123" s="4">
        <v>410.24</v>
      </c>
    </row>
    <row r="1124" spans="1:2" x14ac:dyDescent="0.3">
      <c r="A1124" s="1">
        <v>45481</v>
      </c>
      <c r="B1124" s="4">
        <v>419.65</v>
      </c>
    </row>
    <row r="1125" spans="1:2" x14ac:dyDescent="0.3">
      <c r="A1125" s="1">
        <v>45482</v>
      </c>
      <c r="B1125" s="4">
        <v>428.17</v>
      </c>
    </row>
    <row r="1126" spans="1:2" x14ac:dyDescent="0.3">
      <c r="A1126" s="1">
        <v>45483</v>
      </c>
      <c r="B1126" s="4">
        <v>427.08</v>
      </c>
    </row>
    <row r="1127" spans="1:2" x14ac:dyDescent="0.3">
      <c r="A1127" s="1">
        <v>45484</v>
      </c>
      <c r="B1127" s="4">
        <v>433.89</v>
      </c>
    </row>
    <row r="1128" spans="1:2" x14ac:dyDescent="0.3">
      <c r="A1128" s="1">
        <v>45485</v>
      </c>
      <c r="B1128" s="4">
        <v>434.27</v>
      </c>
    </row>
    <row r="1129" spans="1:2" x14ac:dyDescent="0.3">
      <c r="A1129" s="1">
        <v>45488</v>
      </c>
      <c r="B1129" s="4">
        <v>438.38</v>
      </c>
    </row>
    <row r="1130" spans="1:2" x14ac:dyDescent="0.3">
      <c r="A1130" s="1">
        <v>45489</v>
      </c>
      <c r="B1130" s="4">
        <v>440.42</v>
      </c>
    </row>
    <row r="1131" spans="1:2" x14ac:dyDescent="0.3">
      <c r="A1131" s="1">
        <v>45491</v>
      </c>
      <c r="B1131" s="4">
        <v>444.86</v>
      </c>
    </row>
    <row r="1132" spans="1:2" x14ac:dyDescent="0.3">
      <c r="A1132" s="1">
        <v>45492</v>
      </c>
      <c r="B1132" s="4">
        <v>448.93</v>
      </c>
    </row>
    <row r="1133" spans="1:2" x14ac:dyDescent="0.3">
      <c r="A1133" s="1">
        <v>45495</v>
      </c>
      <c r="B1133" s="4">
        <v>441.36</v>
      </c>
    </row>
    <row r="1134" spans="1:2" x14ac:dyDescent="0.3">
      <c r="A1134" s="1">
        <v>45496</v>
      </c>
      <c r="B1134" s="4">
        <v>465.63</v>
      </c>
    </row>
    <row r="1135" spans="1:2" x14ac:dyDescent="0.3">
      <c r="A1135" s="1">
        <v>45497</v>
      </c>
      <c r="B1135" s="4">
        <v>467.38</v>
      </c>
    </row>
    <row r="1136" spans="1:2" x14ac:dyDescent="0.3">
      <c r="A1136" s="1">
        <v>45498</v>
      </c>
      <c r="B1136" s="4">
        <v>463.5</v>
      </c>
    </row>
    <row r="1137" spans="1:2" x14ac:dyDescent="0.3">
      <c r="A1137" s="1">
        <v>45499</v>
      </c>
      <c r="B1137" s="4">
        <v>475.09</v>
      </c>
    </row>
    <row r="1138" spans="1:2" x14ac:dyDescent="0.3">
      <c r="A1138" s="1">
        <v>45502</v>
      </c>
      <c r="B1138" s="4">
        <v>469.27</v>
      </c>
    </row>
    <row r="1139" spans="1:2" x14ac:dyDescent="0.3">
      <c r="A1139" s="1">
        <v>45503</v>
      </c>
      <c r="B1139" s="4">
        <v>463.45</v>
      </c>
    </row>
    <row r="1140" spans="1:2" x14ac:dyDescent="0.3">
      <c r="A1140" s="1">
        <v>45504</v>
      </c>
      <c r="B1140" s="4">
        <v>468.61</v>
      </c>
    </row>
    <row r="1141" spans="1:2" x14ac:dyDescent="0.3">
      <c r="A1141" s="1">
        <v>45505</v>
      </c>
      <c r="B1141" s="4">
        <v>467.05</v>
      </c>
    </row>
    <row r="1142" spans="1:2" x14ac:dyDescent="0.3">
      <c r="A1142" s="1">
        <v>45506</v>
      </c>
      <c r="B1142" s="4">
        <v>462.7</v>
      </c>
    </row>
    <row r="1143" spans="1:2" x14ac:dyDescent="0.3">
      <c r="A1143" s="1">
        <v>45509</v>
      </c>
      <c r="B1143" s="4">
        <v>459.76</v>
      </c>
    </row>
    <row r="1144" spans="1:2" x14ac:dyDescent="0.3">
      <c r="A1144" s="1">
        <v>45510</v>
      </c>
      <c r="B1144" s="4">
        <v>460.05</v>
      </c>
    </row>
    <row r="1145" spans="1:2" x14ac:dyDescent="0.3">
      <c r="A1145" s="1">
        <v>45511</v>
      </c>
      <c r="B1145" s="4">
        <v>466.05</v>
      </c>
    </row>
    <row r="1146" spans="1:2" x14ac:dyDescent="0.3">
      <c r="A1146" s="1">
        <v>45512</v>
      </c>
      <c r="B1146" s="4">
        <v>468.04</v>
      </c>
    </row>
    <row r="1147" spans="1:2" x14ac:dyDescent="0.3">
      <c r="A1147" s="1">
        <v>45513</v>
      </c>
      <c r="B1147" s="4">
        <v>469.13</v>
      </c>
    </row>
    <row r="1148" spans="1:2" x14ac:dyDescent="0.3">
      <c r="A1148" s="1">
        <v>45516</v>
      </c>
      <c r="B1148" s="4">
        <v>467.9</v>
      </c>
    </row>
    <row r="1149" spans="1:2" x14ac:dyDescent="0.3">
      <c r="A1149" s="1">
        <v>45517</v>
      </c>
      <c r="B1149" s="4">
        <v>463.55</v>
      </c>
    </row>
    <row r="1150" spans="1:2" x14ac:dyDescent="0.3">
      <c r="A1150" s="1">
        <v>45518</v>
      </c>
      <c r="B1150" s="4">
        <v>465.63</v>
      </c>
    </row>
    <row r="1151" spans="1:2" x14ac:dyDescent="0.3">
      <c r="A1151" s="1">
        <v>45520</v>
      </c>
      <c r="B1151" s="4">
        <v>475.51</v>
      </c>
    </row>
    <row r="1152" spans="1:2" x14ac:dyDescent="0.3">
      <c r="A1152" s="1">
        <v>45523</v>
      </c>
      <c r="B1152" s="4">
        <v>474.38</v>
      </c>
    </row>
    <row r="1153" spans="1:2" x14ac:dyDescent="0.3">
      <c r="A1153" s="1">
        <v>45524</v>
      </c>
      <c r="B1153" s="4">
        <v>471.87</v>
      </c>
    </row>
    <row r="1154" spans="1:2" x14ac:dyDescent="0.3">
      <c r="A1154" s="1">
        <v>45525</v>
      </c>
      <c r="B1154" s="4">
        <v>478.11</v>
      </c>
    </row>
    <row r="1155" spans="1:2" x14ac:dyDescent="0.3">
      <c r="A1155" s="1">
        <v>45526</v>
      </c>
      <c r="B1155" s="4">
        <v>477.31</v>
      </c>
    </row>
    <row r="1156" spans="1:2" x14ac:dyDescent="0.3">
      <c r="A1156" s="1">
        <v>45527</v>
      </c>
      <c r="B1156" s="4">
        <v>478.49</v>
      </c>
    </row>
    <row r="1157" spans="1:2" x14ac:dyDescent="0.3">
      <c r="A1157" s="1">
        <v>45530</v>
      </c>
      <c r="B1157" s="4">
        <v>478.4</v>
      </c>
    </row>
    <row r="1158" spans="1:2" x14ac:dyDescent="0.3">
      <c r="A1158" s="1">
        <v>45531</v>
      </c>
      <c r="B1158" s="4">
        <v>473.57</v>
      </c>
    </row>
    <row r="1159" spans="1:2" x14ac:dyDescent="0.3">
      <c r="A1159" s="1">
        <v>45532</v>
      </c>
      <c r="B1159" s="4">
        <v>470.45</v>
      </c>
    </row>
    <row r="1160" spans="1:2" x14ac:dyDescent="0.3">
      <c r="A1160" s="1">
        <v>45533</v>
      </c>
      <c r="B1160" s="4">
        <v>477.83</v>
      </c>
    </row>
    <row r="1161" spans="1:2" x14ac:dyDescent="0.3">
      <c r="A1161" s="1">
        <v>45534</v>
      </c>
      <c r="B1161" s="4">
        <v>474.8</v>
      </c>
    </row>
    <row r="1162" spans="1:2" x14ac:dyDescent="0.3">
      <c r="A1162" s="1">
        <v>45537</v>
      </c>
      <c r="B1162" s="4">
        <v>482.51</v>
      </c>
    </row>
    <row r="1163" spans="1:2" x14ac:dyDescent="0.3">
      <c r="A1163" s="1">
        <v>45538</v>
      </c>
      <c r="B1163" s="4">
        <v>481.9</v>
      </c>
    </row>
    <row r="1164" spans="1:2" x14ac:dyDescent="0.3">
      <c r="A1164" s="1">
        <v>45539</v>
      </c>
      <c r="B1164" s="4">
        <v>479.01</v>
      </c>
    </row>
    <row r="1165" spans="1:2" x14ac:dyDescent="0.3">
      <c r="A1165" s="1">
        <v>45540</v>
      </c>
      <c r="B1165" s="4">
        <v>483.6</v>
      </c>
    </row>
    <row r="1166" spans="1:2" x14ac:dyDescent="0.3">
      <c r="A1166" s="1">
        <v>45541</v>
      </c>
      <c r="B1166" s="4">
        <v>474.61</v>
      </c>
    </row>
    <row r="1167" spans="1:2" x14ac:dyDescent="0.3">
      <c r="A1167" s="1">
        <v>45544</v>
      </c>
      <c r="B1167" s="4">
        <v>484.12</v>
      </c>
    </row>
    <row r="1168" spans="1:2" x14ac:dyDescent="0.3">
      <c r="A1168" s="1">
        <v>45545</v>
      </c>
      <c r="B1168" s="4">
        <v>485.87</v>
      </c>
    </row>
    <row r="1169" spans="1:2" x14ac:dyDescent="0.3">
      <c r="A1169" s="1">
        <v>45546</v>
      </c>
      <c r="B1169" s="4">
        <v>486.58</v>
      </c>
    </row>
    <row r="1170" spans="1:2" x14ac:dyDescent="0.3">
      <c r="A1170" s="1">
        <v>45547</v>
      </c>
      <c r="B1170" s="4">
        <v>491.45</v>
      </c>
    </row>
    <row r="1171" spans="1:2" x14ac:dyDescent="0.3">
      <c r="A1171" s="1">
        <v>45548</v>
      </c>
      <c r="B1171" s="4">
        <v>486.11</v>
      </c>
    </row>
    <row r="1172" spans="1:2" x14ac:dyDescent="0.3">
      <c r="A1172" s="1">
        <v>45551</v>
      </c>
      <c r="B1172" s="4">
        <v>483.51</v>
      </c>
    </row>
    <row r="1173" spans="1:2" x14ac:dyDescent="0.3">
      <c r="A1173" s="1">
        <v>45552</v>
      </c>
      <c r="B1173" s="4">
        <v>480.34</v>
      </c>
    </row>
    <row r="1174" spans="1:2" x14ac:dyDescent="0.3">
      <c r="A1174" s="1">
        <v>45553</v>
      </c>
      <c r="B1174" s="4">
        <v>479.96</v>
      </c>
    </row>
    <row r="1175" spans="1:2" x14ac:dyDescent="0.3">
      <c r="A1175" s="1">
        <v>45554</v>
      </c>
      <c r="B1175" s="4">
        <v>480.81</v>
      </c>
    </row>
    <row r="1176" spans="1:2" x14ac:dyDescent="0.3">
      <c r="A1176" s="1">
        <v>45555</v>
      </c>
      <c r="B1176" s="4">
        <v>486.63</v>
      </c>
    </row>
    <row r="1177" spans="1:2" x14ac:dyDescent="0.3">
      <c r="A1177" s="1">
        <v>45558</v>
      </c>
      <c r="B1177" s="4">
        <v>489.04</v>
      </c>
    </row>
    <row r="1178" spans="1:2" x14ac:dyDescent="0.3">
      <c r="A1178" s="1">
        <v>45559</v>
      </c>
      <c r="B1178" s="4">
        <v>487.43</v>
      </c>
    </row>
    <row r="1179" spans="1:2" x14ac:dyDescent="0.3">
      <c r="A1179" s="1">
        <v>45560</v>
      </c>
      <c r="B1179" s="4">
        <v>489.61</v>
      </c>
    </row>
    <row r="1180" spans="1:2" x14ac:dyDescent="0.3">
      <c r="A1180" s="1">
        <v>45561</v>
      </c>
      <c r="B1180" s="4">
        <v>494.53</v>
      </c>
    </row>
    <row r="1181" spans="1:2" x14ac:dyDescent="0.3">
      <c r="A1181" s="1">
        <v>45562</v>
      </c>
      <c r="B1181" s="4">
        <v>494.48</v>
      </c>
    </row>
    <row r="1182" spans="1:2" x14ac:dyDescent="0.3">
      <c r="A1182" s="1">
        <v>45565</v>
      </c>
      <c r="B1182" s="4">
        <v>490.18</v>
      </c>
    </row>
    <row r="1183" spans="1:2" x14ac:dyDescent="0.3">
      <c r="A1183" s="1">
        <v>45566</v>
      </c>
      <c r="B1183" s="4">
        <v>488.33</v>
      </c>
    </row>
    <row r="1184" spans="1:2" x14ac:dyDescent="0.3">
      <c r="A1184" s="1">
        <v>45568</v>
      </c>
      <c r="B1184" s="4">
        <v>485.07</v>
      </c>
    </row>
    <row r="1185" spans="1:2" x14ac:dyDescent="0.3">
      <c r="A1185" s="1">
        <v>45569</v>
      </c>
      <c r="B1185" s="4">
        <v>476.36</v>
      </c>
    </row>
    <row r="1186" spans="1:2" x14ac:dyDescent="0.3">
      <c r="A1186" s="1">
        <v>45572</v>
      </c>
      <c r="B1186" s="4">
        <v>482.66</v>
      </c>
    </row>
    <row r="1187" spans="1:2" x14ac:dyDescent="0.3">
      <c r="A1187" s="1">
        <v>45573</v>
      </c>
      <c r="B1187" s="4">
        <v>480.53</v>
      </c>
    </row>
    <row r="1188" spans="1:2" x14ac:dyDescent="0.3">
      <c r="A1188" s="1">
        <v>45574</v>
      </c>
      <c r="B1188" s="4">
        <v>465.15</v>
      </c>
    </row>
    <row r="1189" spans="1:2" x14ac:dyDescent="0.3">
      <c r="A1189" s="1">
        <v>45575</v>
      </c>
      <c r="B1189" s="4">
        <v>465.49</v>
      </c>
    </row>
    <row r="1190" spans="1:2" x14ac:dyDescent="0.3">
      <c r="A1190" s="1">
        <v>45576</v>
      </c>
      <c r="B1190" s="4">
        <v>461.84</v>
      </c>
    </row>
    <row r="1191" spans="1:2" x14ac:dyDescent="0.3">
      <c r="A1191" s="1">
        <v>45579</v>
      </c>
      <c r="B1191" s="4">
        <v>470.12</v>
      </c>
    </row>
    <row r="1192" spans="1:2" x14ac:dyDescent="0.3">
      <c r="A1192" s="1">
        <v>45580</v>
      </c>
      <c r="B1192" s="4">
        <v>471.64</v>
      </c>
    </row>
    <row r="1193" spans="1:2" x14ac:dyDescent="0.3">
      <c r="A1193" s="1">
        <v>45581</v>
      </c>
      <c r="B1193" s="4">
        <v>466.57</v>
      </c>
    </row>
    <row r="1194" spans="1:2" x14ac:dyDescent="0.3">
      <c r="A1194" s="1">
        <v>45582</v>
      </c>
      <c r="B1194" s="4">
        <v>462.51</v>
      </c>
    </row>
    <row r="1195" spans="1:2" x14ac:dyDescent="0.3">
      <c r="A1195" s="1">
        <v>45583</v>
      </c>
      <c r="B1195" s="4">
        <v>460.42</v>
      </c>
    </row>
    <row r="1196" spans="1:2" x14ac:dyDescent="0.3">
      <c r="A1196" s="1">
        <v>45586</v>
      </c>
      <c r="B1196" s="4">
        <v>457.54</v>
      </c>
    </row>
    <row r="1197" spans="1:2" x14ac:dyDescent="0.3">
      <c r="A1197" s="1">
        <v>45587</v>
      </c>
      <c r="B1197" s="4">
        <v>455.79</v>
      </c>
    </row>
    <row r="1198" spans="1:2" x14ac:dyDescent="0.3">
      <c r="A1198" s="1">
        <v>45588</v>
      </c>
      <c r="B1198" s="4">
        <v>454.42</v>
      </c>
    </row>
    <row r="1199" spans="1:2" x14ac:dyDescent="0.3">
      <c r="A1199" s="1">
        <v>45589</v>
      </c>
      <c r="B1199" s="4">
        <v>446.23</v>
      </c>
    </row>
    <row r="1200" spans="1:2" x14ac:dyDescent="0.3">
      <c r="A1200" s="1">
        <v>45590</v>
      </c>
      <c r="B1200" s="4">
        <v>456.26</v>
      </c>
    </row>
    <row r="1201" spans="1:2" x14ac:dyDescent="0.3">
      <c r="A1201" s="1">
        <v>45593</v>
      </c>
      <c r="B1201" s="4">
        <v>458.01</v>
      </c>
    </row>
    <row r="1202" spans="1:2" x14ac:dyDescent="0.3">
      <c r="A1202" s="1">
        <v>45594</v>
      </c>
      <c r="B1202" s="4">
        <v>461.61</v>
      </c>
    </row>
    <row r="1203" spans="1:2" x14ac:dyDescent="0.3">
      <c r="A1203" s="1">
        <v>45595</v>
      </c>
      <c r="B1203" s="4">
        <v>465.01</v>
      </c>
    </row>
    <row r="1204" spans="1:2" x14ac:dyDescent="0.3">
      <c r="A1204" s="1">
        <v>45596</v>
      </c>
      <c r="B1204" s="4">
        <v>462.41</v>
      </c>
    </row>
    <row r="1205" spans="1:2" x14ac:dyDescent="0.3">
      <c r="A1205" s="1">
        <v>45597</v>
      </c>
      <c r="B1205" s="4">
        <v>463.83</v>
      </c>
    </row>
    <row r="1206" spans="1:2" x14ac:dyDescent="0.3">
      <c r="A1206" s="1">
        <v>45600</v>
      </c>
      <c r="B1206" s="4">
        <v>458.44</v>
      </c>
    </row>
    <row r="1207" spans="1:2" x14ac:dyDescent="0.3">
      <c r="A1207" s="1">
        <v>45601</v>
      </c>
      <c r="B1207" s="4">
        <v>454.27</v>
      </c>
    </row>
    <row r="1208" spans="1:2" x14ac:dyDescent="0.3">
      <c r="A1208" s="1">
        <v>45602</v>
      </c>
      <c r="B1208" s="4">
        <v>455.13</v>
      </c>
    </row>
    <row r="1209" spans="1:2" x14ac:dyDescent="0.3">
      <c r="A1209" s="1">
        <v>45603</v>
      </c>
      <c r="B1209" s="4">
        <v>452.1</v>
      </c>
    </row>
    <row r="1210" spans="1:2" x14ac:dyDescent="0.3">
      <c r="A1210" s="1">
        <v>45604</v>
      </c>
      <c r="B1210" s="4">
        <v>452.24</v>
      </c>
    </row>
    <row r="1211" spans="1:2" x14ac:dyDescent="0.3">
      <c r="A1211" s="1">
        <v>45607</v>
      </c>
      <c r="B1211" s="4">
        <v>451.2</v>
      </c>
    </row>
    <row r="1212" spans="1:2" x14ac:dyDescent="0.3">
      <c r="A1212" s="1">
        <v>45608</v>
      </c>
      <c r="B1212" s="4">
        <v>447.32</v>
      </c>
    </row>
    <row r="1213" spans="1:2" x14ac:dyDescent="0.3">
      <c r="A1213" s="1">
        <v>45609</v>
      </c>
      <c r="B1213" s="4">
        <v>446.71</v>
      </c>
    </row>
    <row r="1214" spans="1:2" x14ac:dyDescent="0.3">
      <c r="A1214" s="1">
        <v>45610</v>
      </c>
      <c r="B1214" s="4">
        <v>440.8</v>
      </c>
    </row>
    <row r="1215" spans="1:2" x14ac:dyDescent="0.3">
      <c r="A1215" s="1">
        <v>45614</v>
      </c>
      <c r="B1215" s="4">
        <v>441.36</v>
      </c>
    </row>
    <row r="1216" spans="1:2" x14ac:dyDescent="0.3">
      <c r="A1216" s="1">
        <v>45615</v>
      </c>
      <c r="B1216" s="4">
        <v>442.12</v>
      </c>
    </row>
    <row r="1217" spans="1:2" x14ac:dyDescent="0.3">
      <c r="A1217" s="1">
        <v>45617</v>
      </c>
      <c r="B1217" s="4">
        <v>432.47</v>
      </c>
    </row>
    <row r="1218" spans="1:2" x14ac:dyDescent="0.3">
      <c r="A1218" s="1">
        <v>45618</v>
      </c>
      <c r="B1218" s="4">
        <v>449.02</v>
      </c>
    </row>
    <row r="1219" spans="1:2" x14ac:dyDescent="0.3">
      <c r="A1219" s="1">
        <v>45621</v>
      </c>
      <c r="B1219" s="4">
        <v>451.06</v>
      </c>
    </row>
    <row r="1220" spans="1:2" x14ac:dyDescent="0.3">
      <c r="A1220" s="1">
        <v>45622</v>
      </c>
      <c r="B1220" s="4">
        <v>451.25</v>
      </c>
    </row>
    <row r="1221" spans="1:2" x14ac:dyDescent="0.3">
      <c r="A1221" s="1">
        <v>45623</v>
      </c>
      <c r="B1221" s="4">
        <v>451.2</v>
      </c>
    </row>
    <row r="1222" spans="1:2" x14ac:dyDescent="0.3">
      <c r="A1222" s="1">
        <v>45624</v>
      </c>
      <c r="B1222" s="4">
        <v>449.26</v>
      </c>
    </row>
    <row r="1223" spans="1:2" x14ac:dyDescent="0.3">
      <c r="A1223" s="1">
        <v>45625</v>
      </c>
      <c r="B1223" s="4">
        <v>451.01</v>
      </c>
    </row>
    <row r="1224" spans="1:2" x14ac:dyDescent="0.3">
      <c r="A1224" s="1">
        <v>45628</v>
      </c>
      <c r="B1224" s="4">
        <v>451.44</v>
      </c>
    </row>
    <row r="1225" spans="1:2" x14ac:dyDescent="0.3">
      <c r="A1225" s="1">
        <v>45629</v>
      </c>
      <c r="B1225" s="4">
        <v>447.04</v>
      </c>
    </row>
    <row r="1226" spans="1:2" x14ac:dyDescent="0.3">
      <c r="A1226" s="1">
        <v>45630</v>
      </c>
      <c r="B1226" s="4">
        <v>441.88</v>
      </c>
    </row>
    <row r="1227" spans="1:2" x14ac:dyDescent="0.3">
      <c r="A1227" s="1">
        <v>45631</v>
      </c>
      <c r="B1227" s="4">
        <v>442.26</v>
      </c>
    </row>
    <row r="1228" spans="1:2" x14ac:dyDescent="0.3">
      <c r="A1228" s="1">
        <v>45632</v>
      </c>
      <c r="B1228" s="4">
        <v>445.71</v>
      </c>
    </row>
    <row r="1229" spans="1:2" x14ac:dyDescent="0.3">
      <c r="A1229" s="1">
        <v>45635</v>
      </c>
      <c r="B1229" s="4">
        <v>439.85</v>
      </c>
    </row>
    <row r="1230" spans="1:2" x14ac:dyDescent="0.3">
      <c r="A1230" s="1">
        <v>45636</v>
      </c>
      <c r="B1230" s="4">
        <v>440.32</v>
      </c>
    </row>
    <row r="1231" spans="1:2" x14ac:dyDescent="0.3">
      <c r="A1231" s="1">
        <v>45637</v>
      </c>
      <c r="B1231" s="4">
        <v>440.13</v>
      </c>
    </row>
    <row r="1232" spans="1:2" x14ac:dyDescent="0.3">
      <c r="A1232" s="1">
        <v>45638</v>
      </c>
      <c r="B1232" s="4">
        <v>435.73</v>
      </c>
    </row>
    <row r="1233" spans="1:2" x14ac:dyDescent="0.3">
      <c r="A1233" s="1">
        <v>45639</v>
      </c>
      <c r="B1233" s="4">
        <v>444.63</v>
      </c>
    </row>
    <row r="1234" spans="1:2" x14ac:dyDescent="0.3">
      <c r="A1234" s="1">
        <v>45642</v>
      </c>
      <c r="B1234" s="4">
        <v>444.72</v>
      </c>
    </row>
    <row r="1235" spans="1:2" x14ac:dyDescent="0.3">
      <c r="A1235" s="1">
        <v>45643</v>
      </c>
      <c r="B1235" s="4">
        <v>444.2</v>
      </c>
    </row>
    <row r="1236" spans="1:2" x14ac:dyDescent="0.3">
      <c r="A1236" s="1">
        <v>45644</v>
      </c>
      <c r="B1236" s="4">
        <v>445.1</v>
      </c>
    </row>
    <row r="1237" spans="1:2" x14ac:dyDescent="0.3">
      <c r="A1237" s="1">
        <v>45645</v>
      </c>
      <c r="B1237" s="4">
        <v>441.36</v>
      </c>
    </row>
    <row r="1238" spans="1:2" x14ac:dyDescent="0.3">
      <c r="A1238" s="1">
        <v>45646</v>
      </c>
      <c r="B1238" s="4">
        <v>439.57</v>
      </c>
    </row>
    <row r="1239" spans="1:2" x14ac:dyDescent="0.3">
      <c r="A1239" s="1">
        <v>45649</v>
      </c>
      <c r="B1239" s="4">
        <v>448.65</v>
      </c>
    </row>
    <row r="1240" spans="1:2" x14ac:dyDescent="0.3">
      <c r="A1240" s="1">
        <v>45650</v>
      </c>
      <c r="B1240" s="4">
        <v>452.62</v>
      </c>
    </row>
    <row r="1241" spans="1:2" x14ac:dyDescent="0.3">
      <c r="A1241" s="1">
        <v>45652</v>
      </c>
      <c r="B1241" s="4">
        <v>451.2</v>
      </c>
    </row>
    <row r="1242" spans="1:2" x14ac:dyDescent="0.3">
      <c r="A1242" s="1">
        <v>45653</v>
      </c>
      <c r="B1242" s="4">
        <v>452.76</v>
      </c>
    </row>
    <row r="1243" spans="1:2" x14ac:dyDescent="0.3">
      <c r="A1243" s="1">
        <v>45656</v>
      </c>
      <c r="B1243" s="4">
        <v>451.25</v>
      </c>
    </row>
    <row r="1244" spans="1:2" x14ac:dyDescent="0.3">
      <c r="A1244" s="1">
        <v>45657</v>
      </c>
      <c r="B1244" s="4">
        <v>457.54</v>
      </c>
    </row>
    <row r="1245" spans="1:2" x14ac:dyDescent="0.3">
      <c r="A1245" s="1">
        <v>45658</v>
      </c>
      <c r="B1245" s="4">
        <v>457.82</v>
      </c>
    </row>
    <row r="1246" spans="1:2" x14ac:dyDescent="0.3">
      <c r="A1246" s="1">
        <v>45659</v>
      </c>
      <c r="B1246" s="4">
        <v>462.65</v>
      </c>
    </row>
    <row r="1247" spans="1:2" x14ac:dyDescent="0.3">
      <c r="A1247" s="1">
        <v>45660</v>
      </c>
      <c r="B1247" s="4">
        <v>455.6</v>
      </c>
    </row>
    <row r="1248" spans="1:2" x14ac:dyDescent="0.3">
      <c r="A1248" s="1">
        <v>45663</v>
      </c>
      <c r="B1248" s="4">
        <v>442.65</v>
      </c>
    </row>
    <row r="1249" spans="1:2" x14ac:dyDescent="0.3">
      <c r="A1249" s="1">
        <v>45664</v>
      </c>
      <c r="B1249" s="4">
        <v>441.1</v>
      </c>
    </row>
    <row r="1250" spans="1:2" x14ac:dyDescent="0.3">
      <c r="A1250" s="1">
        <v>45665</v>
      </c>
      <c r="B1250" s="4">
        <v>449.55</v>
      </c>
    </row>
    <row r="1251" spans="1:2" x14ac:dyDescent="0.3">
      <c r="A1251" s="1">
        <v>45666</v>
      </c>
      <c r="B1251" s="4">
        <v>450.1</v>
      </c>
    </row>
    <row r="1252" spans="1:2" x14ac:dyDescent="0.3">
      <c r="A1252" s="1">
        <v>45667</v>
      </c>
      <c r="B1252" s="4">
        <v>444.9</v>
      </c>
    </row>
    <row r="1253" spans="1:2" x14ac:dyDescent="0.3">
      <c r="A1253" s="1">
        <v>45670</v>
      </c>
      <c r="B1253" s="4">
        <v>439.05</v>
      </c>
    </row>
    <row r="1254" spans="1:2" x14ac:dyDescent="0.3">
      <c r="A1254" s="1">
        <v>45671</v>
      </c>
      <c r="B1254" s="4">
        <v>436.6</v>
      </c>
    </row>
    <row r="1255" spans="1:2" x14ac:dyDescent="0.3">
      <c r="A1255" s="1">
        <v>45672</v>
      </c>
      <c r="B1255" s="4">
        <v>437.35</v>
      </c>
    </row>
    <row r="1256" spans="1:2" x14ac:dyDescent="0.3">
      <c r="A1256" s="1">
        <v>45673</v>
      </c>
      <c r="B1256" s="4">
        <v>432.85</v>
      </c>
    </row>
    <row r="1257" spans="1:2" x14ac:dyDescent="0.3">
      <c r="A1257" s="1">
        <v>45674</v>
      </c>
      <c r="B1257" s="4">
        <v>440.2</v>
      </c>
    </row>
    <row r="1258" spans="1:2" x14ac:dyDescent="0.3">
      <c r="A1258" s="1">
        <v>45677</v>
      </c>
      <c r="B1258" s="4">
        <v>437.7</v>
      </c>
    </row>
    <row r="1259" spans="1:2" x14ac:dyDescent="0.3">
      <c r="A1259" s="1">
        <v>45678</v>
      </c>
      <c r="B1259" s="4">
        <v>437.55</v>
      </c>
    </row>
    <row r="1260" spans="1:2" x14ac:dyDescent="0.3">
      <c r="A1260" s="1">
        <v>45679</v>
      </c>
      <c r="B1260" s="4">
        <v>437</v>
      </c>
    </row>
    <row r="1261" spans="1:2" x14ac:dyDescent="0.3">
      <c r="A1261" s="1">
        <v>45680</v>
      </c>
      <c r="B1261" s="4">
        <v>440.2</v>
      </c>
    </row>
    <row r="1262" spans="1:2" x14ac:dyDescent="0.3">
      <c r="A1262" s="1">
        <v>45681</v>
      </c>
      <c r="B1262" s="4">
        <v>441.6</v>
      </c>
    </row>
    <row r="1263" spans="1:2" x14ac:dyDescent="0.3">
      <c r="A1263" s="1">
        <v>45684</v>
      </c>
      <c r="B1263" s="4">
        <v>440.1</v>
      </c>
    </row>
    <row r="1264" spans="1:2" x14ac:dyDescent="0.3">
      <c r="A1264" s="1">
        <v>45685</v>
      </c>
      <c r="B1264" s="4">
        <v>435.45</v>
      </c>
    </row>
    <row r="1265" spans="1:2" x14ac:dyDescent="0.3">
      <c r="A1265" s="1">
        <v>45686</v>
      </c>
      <c r="B1265" s="4">
        <v>433.35</v>
      </c>
    </row>
    <row r="1266" spans="1:2" x14ac:dyDescent="0.3">
      <c r="A1266" s="1">
        <v>45687</v>
      </c>
      <c r="B1266" s="4">
        <v>436.2</v>
      </c>
    </row>
    <row r="1267" spans="1:2" x14ac:dyDescent="0.3">
      <c r="A1267" s="1">
        <v>45688</v>
      </c>
      <c r="B1267" s="4">
        <v>447.5</v>
      </c>
    </row>
    <row r="1268" spans="1:2" x14ac:dyDescent="0.3">
      <c r="A1268" s="1">
        <v>45689</v>
      </c>
      <c r="B1268" s="4">
        <v>462.55</v>
      </c>
    </row>
    <row r="1269" spans="1:2" x14ac:dyDescent="0.3">
      <c r="A1269" s="1">
        <v>45691</v>
      </c>
      <c r="B1269" s="4">
        <v>454.35</v>
      </c>
    </row>
    <row r="1270" spans="1:2" x14ac:dyDescent="0.3">
      <c r="A1270" s="1">
        <v>45692</v>
      </c>
      <c r="B1270" s="4">
        <v>455.15</v>
      </c>
    </row>
    <row r="1271" spans="1:2" x14ac:dyDescent="0.3">
      <c r="A1271" s="1">
        <v>45693</v>
      </c>
      <c r="B1271" s="4">
        <v>448.15</v>
      </c>
    </row>
    <row r="1272" spans="1:2" x14ac:dyDescent="0.3">
      <c r="A1272" s="1">
        <v>45694</v>
      </c>
      <c r="B1272" s="4">
        <v>441.1</v>
      </c>
    </row>
    <row r="1273" spans="1:2" x14ac:dyDescent="0.3">
      <c r="A1273" s="1">
        <v>45695</v>
      </c>
      <c r="B1273" s="4">
        <v>430.85</v>
      </c>
    </row>
    <row r="1274" spans="1:2" x14ac:dyDescent="0.3">
      <c r="A1274" s="1">
        <v>45698</v>
      </c>
      <c r="B1274" s="4">
        <v>427.2</v>
      </c>
    </row>
    <row r="1275" spans="1:2" x14ac:dyDescent="0.3">
      <c r="A1275" s="1">
        <v>45699</v>
      </c>
      <c r="B1275" s="4">
        <v>418.3</v>
      </c>
    </row>
    <row r="1276" spans="1:2" x14ac:dyDescent="0.3">
      <c r="A1276" s="1">
        <v>45700</v>
      </c>
      <c r="B1276" s="4">
        <v>409.9</v>
      </c>
    </row>
    <row r="1277" spans="1:2" x14ac:dyDescent="0.3">
      <c r="A1277" s="1">
        <v>45701</v>
      </c>
      <c r="B1277" s="4">
        <v>409.7</v>
      </c>
    </row>
    <row r="1278" spans="1:2" x14ac:dyDescent="0.3">
      <c r="A1278" s="1">
        <v>45702</v>
      </c>
      <c r="B1278" s="4">
        <v>410.25</v>
      </c>
    </row>
    <row r="1279" spans="1:2" x14ac:dyDescent="0.3">
      <c r="A1279" s="1">
        <v>45705</v>
      </c>
      <c r="B1279" s="4">
        <v>408.6</v>
      </c>
    </row>
    <row r="1280" spans="1:2" x14ac:dyDescent="0.3">
      <c r="A1280" s="1">
        <v>45706</v>
      </c>
      <c r="B1280" s="4">
        <v>405.25</v>
      </c>
    </row>
    <row r="1281" spans="1:2" x14ac:dyDescent="0.3">
      <c r="A1281" s="1">
        <v>45707</v>
      </c>
      <c r="B1281" s="4">
        <v>406.4</v>
      </c>
    </row>
    <row r="1282" spans="1:2" x14ac:dyDescent="0.3">
      <c r="A1282" s="1">
        <v>45708</v>
      </c>
      <c r="B1282" s="4">
        <v>402.05</v>
      </c>
    </row>
    <row r="1283" spans="1:2" x14ac:dyDescent="0.3">
      <c r="A1283" s="1">
        <v>45709</v>
      </c>
      <c r="B1283" s="4">
        <v>400.9</v>
      </c>
    </row>
    <row r="1284" spans="1:2" x14ac:dyDescent="0.3">
      <c r="A1284" s="1">
        <v>45712</v>
      </c>
      <c r="B1284" s="4">
        <v>401.9</v>
      </c>
    </row>
    <row r="1285" spans="1:2" x14ac:dyDescent="0.3">
      <c r="A1285" s="1">
        <v>45713</v>
      </c>
      <c r="B1285" s="4">
        <v>404.85</v>
      </c>
    </row>
    <row r="1286" spans="1:2" x14ac:dyDescent="0.3">
      <c r="A1286" s="1">
        <v>45715</v>
      </c>
      <c r="B1286" s="4">
        <v>401.6</v>
      </c>
    </row>
    <row r="1287" spans="1:2" x14ac:dyDescent="0.3">
      <c r="A1287" s="1">
        <v>45716</v>
      </c>
      <c r="B1287" s="4">
        <v>395</v>
      </c>
    </row>
    <row r="1288" spans="1:2" x14ac:dyDescent="0.3">
      <c r="A1288" s="1">
        <v>45719</v>
      </c>
      <c r="B1288" s="4">
        <v>397.45</v>
      </c>
    </row>
    <row r="1289" spans="1:2" x14ac:dyDescent="0.3">
      <c r="A1289" s="1">
        <v>45720</v>
      </c>
      <c r="B1289" s="4">
        <v>394.85</v>
      </c>
    </row>
    <row r="1290" spans="1:2" x14ac:dyDescent="0.3">
      <c r="A1290" s="1">
        <v>45721</v>
      </c>
      <c r="B1290" s="4">
        <v>405.05</v>
      </c>
    </row>
    <row r="1291" spans="1:2" x14ac:dyDescent="0.3">
      <c r="A1291" s="1">
        <v>45722</v>
      </c>
      <c r="B1291" s="4">
        <v>405.7</v>
      </c>
    </row>
    <row r="1292" spans="1:2" x14ac:dyDescent="0.3">
      <c r="A1292" s="1">
        <v>45723</v>
      </c>
      <c r="B1292" s="4">
        <v>403.9</v>
      </c>
    </row>
    <row r="1293" spans="1:2" x14ac:dyDescent="0.3">
      <c r="A1293" s="1">
        <v>45726</v>
      </c>
      <c r="B1293" s="4">
        <v>405</v>
      </c>
    </row>
    <row r="1294" spans="1:2" x14ac:dyDescent="0.3">
      <c r="A1294" s="1">
        <v>45727</v>
      </c>
      <c r="B1294" s="4">
        <v>406.2</v>
      </c>
    </row>
    <row r="1295" spans="1:2" x14ac:dyDescent="0.3">
      <c r="A1295" s="1">
        <v>45728</v>
      </c>
      <c r="B1295" s="4">
        <v>412.4</v>
      </c>
    </row>
    <row r="1296" spans="1:2" x14ac:dyDescent="0.3">
      <c r="A1296" s="1">
        <v>45729</v>
      </c>
      <c r="B1296" s="4">
        <v>412.05</v>
      </c>
    </row>
    <row r="1297" spans="1:2" x14ac:dyDescent="0.3">
      <c r="A1297" s="1">
        <v>45733</v>
      </c>
      <c r="B1297" s="4">
        <v>407.95</v>
      </c>
    </row>
    <row r="1298" spans="1:2" x14ac:dyDescent="0.3">
      <c r="A1298" s="1">
        <v>45734</v>
      </c>
      <c r="B1298" s="4">
        <v>409.1</v>
      </c>
    </row>
    <row r="1299" spans="1:2" x14ac:dyDescent="0.3">
      <c r="A1299" s="1">
        <v>45735</v>
      </c>
      <c r="B1299" s="4">
        <v>403.05</v>
      </c>
    </row>
    <row r="1300" spans="1:2" x14ac:dyDescent="0.3">
      <c r="A1300" s="1">
        <v>45736</v>
      </c>
      <c r="B1300" s="4">
        <v>403.95</v>
      </c>
    </row>
    <row r="1301" spans="1:2" x14ac:dyDescent="0.3">
      <c r="A1301" s="1">
        <v>45737</v>
      </c>
      <c r="B1301" s="4">
        <v>405.55</v>
      </c>
    </row>
    <row r="1302" spans="1:2" x14ac:dyDescent="0.3">
      <c r="A1302" s="1">
        <v>45740</v>
      </c>
      <c r="B1302" s="4">
        <v>410.9</v>
      </c>
    </row>
    <row r="1303" spans="1:2" x14ac:dyDescent="0.3">
      <c r="A1303" s="1">
        <v>45741</v>
      </c>
      <c r="B1303" s="4">
        <v>409.8</v>
      </c>
    </row>
    <row r="1304" spans="1:2" x14ac:dyDescent="0.3">
      <c r="A1304" s="1">
        <v>45742</v>
      </c>
      <c r="B1304" s="4">
        <v>407.35</v>
      </c>
    </row>
    <row r="1305" spans="1:2" x14ac:dyDescent="0.3">
      <c r="A1305" s="1">
        <v>45743</v>
      </c>
      <c r="B1305" s="4">
        <v>409.45</v>
      </c>
    </row>
    <row r="1306" spans="1:2" x14ac:dyDescent="0.3">
      <c r="A1306" s="1">
        <v>45744</v>
      </c>
      <c r="B1306" s="4">
        <v>409.75</v>
      </c>
    </row>
    <row r="1307" spans="1:2" x14ac:dyDescent="0.3">
      <c r="A1307" s="1">
        <v>45748</v>
      </c>
      <c r="B1307" s="4">
        <v>406.65</v>
      </c>
    </row>
    <row r="1308" spans="1:2" x14ac:dyDescent="0.3">
      <c r="A1308" s="1">
        <v>45749</v>
      </c>
      <c r="B1308" s="4">
        <v>409.05</v>
      </c>
    </row>
    <row r="1309" spans="1:2" x14ac:dyDescent="0.3">
      <c r="A1309" s="1">
        <v>45750</v>
      </c>
      <c r="B1309" s="4">
        <v>409.4</v>
      </c>
    </row>
    <row r="1310" spans="1:2" x14ac:dyDescent="0.3">
      <c r="A1310" s="1">
        <v>45751</v>
      </c>
      <c r="B1310" s="4">
        <v>409.7</v>
      </c>
    </row>
    <row r="1311" spans="1:2" x14ac:dyDescent="0.3">
      <c r="A1311" s="1">
        <v>45754</v>
      </c>
      <c r="B1311" s="4">
        <v>406.05</v>
      </c>
    </row>
    <row r="1312" spans="1:2" x14ac:dyDescent="0.3">
      <c r="A1312" s="1">
        <v>45755</v>
      </c>
      <c r="B1312" s="4">
        <v>412.55</v>
      </c>
    </row>
    <row r="1313" spans="1:2" x14ac:dyDescent="0.3">
      <c r="A1313" s="1">
        <v>45756</v>
      </c>
      <c r="B1313" s="4">
        <v>416.3</v>
      </c>
    </row>
    <row r="1314" spans="1:2" x14ac:dyDescent="0.3">
      <c r="A1314" s="1">
        <v>45758</v>
      </c>
      <c r="B1314" s="4">
        <v>421.55</v>
      </c>
    </row>
    <row r="1315" spans="1:2" x14ac:dyDescent="0.3">
      <c r="A1315" s="1">
        <v>45762</v>
      </c>
      <c r="B1315" s="4">
        <v>420.4</v>
      </c>
    </row>
    <row r="1316" spans="1:2" x14ac:dyDescent="0.3">
      <c r="A1316" s="1">
        <v>45763</v>
      </c>
      <c r="B1316" s="4">
        <v>424.45</v>
      </c>
    </row>
    <row r="1317" spans="1:2" x14ac:dyDescent="0.3">
      <c r="A1317" s="1">
        <v>45764</v>
      </c>
      <c r="B1317" s="4">
        <v>427.25</v>
      </c>
    </row>
    <row r="1318" spans="1:2" x14ac:dyDescent="0.3">
      <c r="A1318" s="1">
        <v>45768</v>
      </c>
      <c r="B1318" s="4">
        <v>422.85</v>
      </c>
    </row>
    <row r="1319" spans="1:2" x14ac:dyDescent="0.3">
      <c r="A1319" s="1">
        <v>45769</v>
      </c>
      <c r="B1319" s="4">
        <v>433.6</v>
      </c>
    </row>
    <row r="1320" spans="1:2" x14ac:dyDescent="0.3">
      <c r="A1320" s="1">
        <v>45770</v>
      </c>
      <c r="B1320" s="4">
        <v>430.85</v>
      </c>
    </row>
    <row r="1321" spans="1:2" x14ac:dyDescent="0.3">
      <c r="A1321" s="1">
        <v>45771</v>
      </c>
      <c r="B1321" s="4">
        <v>430.05</v>
      </c>
    </row>
    <row r="1322" spans="1:2" x14ac:dyDescent="0.3">
      <c r="A1322" s="1">
        <v>45772</v>
      </c>
      <c r="B1322" s="4">
        <v>427.8</v>
      </c>
    </row>
    <row r="1323" spans="1:2" x14ac:dyDescent="0.3">
      <c r="A1323" s="1">
        <v>45775</v>
      </c>
      <c r="B1323" s="4">
        <v>428.8</v>
      </c>
    </row>
    <row r="1324" spans="1:2" x14ac:dyDescent="0.3">
      <c r="A1324" s="1">
        <v>45776</v>
      </c>
      <c r="B1324" s="4">
        <v>426</v>
      </c>
    </row>
    <row r="1325" spans="1:2" x14ac:dyDescent="0.3">
      <c r="A1325" s="1">
        <v>45777</v>
      </c>
      <c r="B1325" s="4">
        <v>425.8</v>
      </c>
    </row>
    <row r="1326" spans="1:2" x14ac:dyDescent="0.3">
      <c r="A1326" s="1">
        <v>45779</v>
      </c>
      <c r="B1326" s="4">
        <v>430.25</v>
      </c>
    </row>
    <row r="1327" spans="1:2" x14ac:dyDescent="0.3">
      <c r="A1327" s="1">
        <v>45782</v>
      </c>
      <c r="B1327" s="4">
        <v>436.95</v>
      </c>
    </row>
    <row r="1328" spans="1:2" x14ac:dyDescent="0.3">
      <c r="A1328" s="1">
        <v>45783</v>
      </c>
      <c r="B1328" s="4">
        <v>435.55</v>
      </c>
    </row>
    <row r="1329" spans="1:2" x14ac:dyDescent="0.3">
      <c r="A1329" s="1">
        <v>45784</v>
      </c>
      <c r="B1329" s="4">
        <v>431.15</v>
      </c>
    </row>
    <row r="1330" spans="1:2" x14ac:dyDescent="0.3">
      <c r="A1330" s="1">
        <v>45785</v>
      </c>
      <c r="B1330" s="4">
        <v>430.6</v>
      </c>
    </row>
    <row r="1331" spans="1:2" x14ac:dyDescent="0.3">
      <c r="A1331" s="1">
        <v>45786</v>
      </c>
      <c r="B1331" s="4">
        <v>423.55</v>
      </c>
    </row>
    <row r="1332" spans="1:2" x14ac:dyDescent="0.3">
      <c r="A1332" s="1">
        <v>45789</v>
      </c>
      <c r="B1332" s="4">
        <v>435.5</v>
      </c>
    </row>
    <row r="1333" spans="1:2" x14ac:dyDescent="0.3">
      <c r="A1333" s="1">
        <v>45790</v>
      </c>
      <c r="B1333" s="4">
        <v>427.9</v>
      </c>
    </row>
    <row r="1334" spans="1:2" x14ac:dyDescent="0.3">
      <c r="A1334" s="1">
        <v>45791</v>
      </c>
      <c r="B1334" s="4">
        <v>429.1</v>
      </c>
    </row>
    <row r="1335" spans="1:2" x14ac:dyDescent="0.3">
      <c r="A1335" s="1">
        <v>45792</v>
      </c>
      <c r="B1335" s="4">
        <v>432.65</v>
      </c>
    </row>
    <row r="1336" spans="1:2" x14ac:dyDescent="0.3">
      <c r="A1336" s="1">
        <v>45793</v>
      </c>
      <c r="B1336" s="4">
        <v>435.7</v>
      </c>
    </row>
    <row r="1337" spans="1:2" x14ac:dyDescent="0.3">
      <c r="A1337" s="1">
        <v>45796</v>
      </c>
      <c r="B1337" s="4">
        <v>435.35</v>
      </c>
    </row>
    <row r="1338" spans="1:2" x14ac:dyDescent="0.3">
      <c r="A1338" s="1">
        <v>45797</v>
      </c>
      <c r="B1338" s="4">
        <v>434.9</v>
      </c>
    </row>
    <row r="1339" spans="1:2" x14ac:dyDescent="0.3">
      <c r="A1339" s="1">
        <v>45798</v>
      </c>
      <c r="B1339" s="4">
        <v>433</v>
      </c>
    </row>
    <row r="1340" spans="1:2" x14ac:dyDescent="0.3">
      <c r="A1340" s="1">
        <v>45799</v>
      </c>
      <c r="B1340" s="4">
        <v>426.1</v>
      </c>
    </row>
    <row r="1341" spans="1:2" x14ac:dyDescent="0.3">
      <c r="A1341" s="1">
        <v>45800</v>
      </c>
      <c r="B1341" s="4">
        <v>436.3</v>
      </c>
    </row>
    <row r="1342" spans="1:2" x14ac:dyDescent="0.3">
      <c r="A1342" s="1">
        <v>45803</v>
      </c>
      <c r="B1342" s="4">
        <v>442.9</v>
      </c>
    </row>
    <row r="1343" spans="1:2" x14ac:dyDescent="0.3">
      <c r="A1343" s="1">
        <v>45804</v>
      </c>
      <c r="B1343" s="4">
        <v>433.9</v>
      </c>
    </row>
    <row r="1344" spans="1:2" x14ac:dyDescent="0.3">
      <c r="A1344" s="1">
        <v>45805</v>
      </c>
      <c r="B1344" s="4">
        <v>420.2</v>
      </c>
    </row>
    <row r="1345" spans="1:2" x14ac:dyDescent="0.3">
      <c r="A1345" s="1">
        <v>45806</v>
      </c>
      <c r="B1345" s="4">
        <v>418.75</v>
      </c>
    </row>
    <row r="1346" spans="1:2" x14ac:dyDescent="0.3">
      <c r="A1346" s="1">
        <v>45807</v>
      </c>
      <c r="B1346" s="4">
        <v>418.05</v>
      </c>
    </row>
    <row r="1347" spans="1:2" x14ac:dyDescent="0.3">
      <c r="A1347" s="1">
        <v>45810</v>
      </c>
      <c r="B1347" s="4">
        <v>419.3</v>
      </c>
    </row>
    <row r="1348" spans="1:2" x14ac:dyDescent="0.3">
      <c r="A1348" s="1">
        <v>45811</v>
      </c>
      <c r="B1348" s="4">
        <v>416.95</v>
      </c>
    </row>
    <row r="1349" spans="1:2" x14ac:dyDescent="0.3">
      <c r="A1349" s="1">
        <v>45812</v>
      </c>
      <c r="B1349" s="4">
        <v>417</v>
      </c>
    </row>
    <row r="1350" spans="1:2" x14ac:dyDescent="0.3">
      <c r="A1350" s="1">
        <v>45813</v>
      </c>
      <c r="B1350" s="4">
        <v>419.1</v>
      </c>
    </row>
    <row r="1351" spans="1:2" x14ac:dyDescent="0.3">
      <c r="A1351" s="1">
        <v>45814</v>
      </c>
      <c r="B1351" s="4">
        <v>421.05</v>
      </c>
    </row>
    <row r="1352" spans="1:2" x14ac:dyDescent="0.3">
      <c r="A1352" s="1">
        <v>45817</v>
      </c>
      <c r="B1352" s="4">
        <v>423.05</v>
      </c>
    </row>
    <row r="1353" spans="1:2" x14ac:dyDescent="0.3">
      <c r="A1353" s="1">
        <v>45818</v>
      </c>
      <c r="B1353" s="4">
        <v>427</v>
      </c>
    </row>
    <row r="1354" spans="1:2" x14ac:dyDescent="0.3">
      <c r="A1354" s="1">
        <v>45819</v>
      </c>
      <c r="B1354" s="4">
        <v>426.15</v>
      </c>
    </row>
    <row r="1355" spans="1:2" x14ac:dyDescent="0.3">
      <c r="A1355" s="1">
        <v>45820</v>
      </c>
      <c r="B1355" s="4">
        <v>421</v>
      </c>
    </row>
    <row r="1356" spans="1:2" x14ac:dyDescent="0.3">
      <c r="A1356" s="1">
        <v>45821</v>
      </c>
      <c r="B1356" s="4">
        <v>413.9</v>
      </c>
    </row>
    <row r="1357" spans="1:2" x14ac:dyDescent="0.3">
      <c r="A1357" s="1">
        <v>45824</v>
      </c>
      <c r="B1357" s="4">
        <v>418.2</v>
      </c>
    </row>
    <row r="1358" spans="1:2" x14ac:dyDescent="0.3">
      <c r="A1358" s="1">
        <v>45825</v>
      </c>
      <c r="B1358" s="4">
        <v>417.4</v>
      </c>
    </row>
    <row r="1359" spans="1:2" x14ac:dyDescent="0.3">
      <c r="A1359" s="1">
        <v>45826</v>
      </c>
      <c r="B1359" s="4">
        <v>415.9</v>
      </c>
    </row>
    <row r="1360" spans="1:2" x14ac:dyDescent="0.3">
      <c r="A1360" s="1">
        <v>45827</v>
      </c>
      <c r="B1360" s="4">
        <v>416</v>
      </c>
    </row>
    <row r="1361" spans="1:2" x14ac:dyDescent="0.3">
      <c r="A1361" s="1">
        <v>45828</v>
      </c>
      <c r="B1361" s="4">
        <v>418.55</v>
      </c>
    </row>
    <row r="1362" spans="1:2" x14ac:dyDescent="0.3">
      <c r="A1362" s="1">
        <v>45831</v>
      </c>
      <c r="B1362" s="4">
        <v>413.9</v>
      </c>
    </row>
    <row r="1363" spans="1:2" x14ac:dyDescent="0.3">
      <c r="A1363" s="1">
        <v>45832</v>
      </c>
      <c r="B1363" s="4">
        <v>414.35</v>
      </c>
    </row>
    <row r="1364" spans="1:2" x14ac:dyDescent="0.3">
      <c r="A1364" s="1">
        <v>45833</v>
      </c>
      <c r="B1364" s="4">
        <v>416.35</v>
      </c>
    </row>
    <row r="1365" spans="1:2" x14ac:dyDescent="0.3">
      <c r="A1365" s="1">
        <v>45834</v>
      </c>
      <c r="B1365" s="4">
        <v>420.3</v>
      </c>
    </row>
    <row r="1366" spans="1:2" x14ac:dyDescent="0.3">
      <c r="A1366" s="1">
        <v>45835</v>
      </c>
      <c r="B1366" s="4">
        <v>418.65</v>
      </c>
    </row>
    <row r="1367" spans="1:2" x14ac:dyDescent="0.3">
      <c r="A1367" s="1">
        <v>45838</v>
      </c>
      <c r="B1367" s="4">
        <v>416.45</v>
      </c>
    </row>
    <row r="1368" spans="1:2" x14ac:dyDescent="0.3">
      <c r="A1368" s="1">
        <v>45839</v>
      </c>
      <c r="B1368" s="4">
        <v>415.1</v>
      </c>
    </row>
    <row r="1369" spans="1:2" x14ac:dyDescent="0.3">
      <c r="A1369" s="1">
        <v>45840</v>
      </c>
      <c r="B1369" s="4">
        <v>412.95</v>
      </c>
    </row>
    <row r="1370" spans="1:2" x14ac:dyDescent="0.3">
      <c r="A1370" s="1">
        <v>45841</v>
      </c>
      <c r="B1370" s="4">
        <v>413.35</v>
      </c>
    </row>
    <row r="1371" spans="1:2" x14ac:dyDescent="0.3">
      <c r="A1371" s="1">
        <v>45842</v>
      </c>
      <c r="B1371" s="4">
        <v>412.55</v>
      </c>
    </row>
    <row r="1372" spans="1:2" x14ac:dyDescent="0.3">
      <c r="A1372" s="1">
        <v>45845</v>
      </c>
      <c r="B1372" s="4">
        <v>416.15</v>
      </c>
    </row>
    <row r="1373" spans="1:2" x14ac:dyDescent="0.3">
      <c r="A1373" s="1">
        <v>45846</v>
      </c>
      <c r="B1373" s="4">
        <v>417.2</v>
      </c>
    </row>
    <row r="1374" spans="1:2" x14ac:dyDescent="0.3">
      <c r="A1374" s="1">
        <v>45847</v>
      </c>
      <c r="B1374" s="4">
        <v>419.45</v>
      </c>
    </row>
    <row r="1375" spans="1:2" x14ac:dyDescent="0.3">
      <c r="A1375" s="1">
        <v>45848</v>
      </c>
      <c r="B1375" s="4">
        <v>416.85</v>
      </c>
    </row>
    <row r="1376" spans="1:2" x14ac:dyDescent="0.3">
      <c r="A1376" s="1">
        <v>45849</v>
      </c>
      <c r="B1376" s="4">
        <v>416.8</v>
      </c>
    </row>
    <row r="1377" spans="1:2" x14ac:dyDescent="0.3">
      <c r="A1377" s="1">
        <v>45852</v>
      </c>
      <c r="B1377" s="4">
        <v>419.4</v>
      </c>
    </row>
    <row r="1378" spans="1:2" x14ac:dyDescent="0.3">
      <c r="A1378" s="1">
        <v>45853</v>
      </c>
      <c r="B1378" s="4">
        <v>422.1</v>
      </c>
    </row>
    <row r="1379" spans="1:2" x14ac:dyDescent="0.3">
      <c r="A1379" s="1">
        <v>45854</v>
      </c>
      <c r="B1379" s="4">
        <v>424.6</v>
      </c>
    </row>
    <row r="1380" spans="1:2" x14ac:dyDescent="0.3">
      <c r="A1380" s="1">
        <v>45855</v>
      </c>
      <c r="B1380" s="4">
        <v>423.95</v>
      </c>
    </row>
    <row r="1381" spans="1:2" x14ac:dyDescent="0.3">
      <c r="A1381" s="1">
        <v>45856</v>
      </c>
      <c r="B1381" s="4">
        <v>422.75</v>
      </c>
    </row>
    <row r="1382" spans="1:2" x14ac:dyDescent="0.3">
      <c r="A1382" s="1">
        <v>45859</v>
      </c>
      <c r="B1382" s="4">
        <v>420.1</v>
      </c>
    </row>
    <row r="1383" spans="1:2" x14ac:dyDescent="0.3">
      <c r="A1383" s="1">
        <v>45860</v>
      </c>
      <c r="B1383" s="4">
        <v>416</v>
      </c>
    </row>
    <row r="1384" spans="1:2" x14ac:dyDescent="0.3">
      <c r="A1384" s="1">
        <v>45861</v>
      </c>
      <c r="B1384" s="4">
        <v>414.95</v>
      </c>
    </row>
    <row r="1385" spans="1:2" x14ac:dyDescent="0.3">
      <c r="A1385" s="1">
        <v>45862</v>
      </c>
      <c r="B1385" s="4">
        <v>409.95</v>
      </c>
    </row>
    <row r="1386" spans="1:2" x14ac:dyDescent="0.3">
      <c r="A1386" s="1">
        <v>45863</v>
      </c>
      <c r="B1386" s="4">
        <v>409.4</v>
      </c>
    </row>
    <row r="1387" spans="1:2" x14ac:dyDescent="0.3">
      <c r="A1387" s="1">
        <v>45866</v>
      </c>
      <c r="B1387" s="4">
        <v>409.9</v>
      </c>
    </row>
    <row r="1388" spans="1:2" x14ac:dyDescent="0.3">
      <c r="A1388" s="1">
        <v>45867</v>
      </c>
      <c r="B1388" s="4">
        <v>408.45</v>
      </c>
    </row>
    <row r="1389" spans="1:2" x14ac:dyDescent="0.3">
      <c r="A1389" s="1">
        <v>45868</v>
      </c>
      <c r="B1389" s="4">
        <v>407.6</v>
      </c>
    </row>
    <row r="1390" spans="1:2" x14ac:dyDescent="0.3">
      <c r="A1390" s="1">
        <v>45869</v>
      </c>
      <c r="B1390" s="4">
        <v>411.95</v>
      </c>
    </row>
    <row r="1391" spans="1:2" x14ac:dyDescent="0.3">
      <c r="A1391" s="1">
        <v>45870</v>
      </c>
      <c r="B1391" s="4">
        <v>416.45</v>
      </c>
    </row>
    <row r="1392" spans="1:2" x14ac:dyDescent="0.3">
      <c r="A1392" s="1">
        <v>45873</v>
      </c>
      <c r="B1392" s="4">
        <v>416.85</v>
      </c>
    </row>
    <row r="1393" spans="1:2" x14ac:dyDescent="0.3">
      <c r="A1393" s="1">
        <v>45874</v>
      </c>
      <c r="B1393" s="4">
        <v>414.15</v>
      </c>
    </row>
    <row r="1394" spans="1:2" x14ac:dyDescent="0.3">
      <c r="A1394" s="1">
        <v>45875</v>
      </c>
      <c r="B1394" s="4">
        <v>412</v>
      </c>
    </row>
    <row r="1395" spans="1:2" x14ac:dyDescent="0.3">
      <c r="A1395" s="1">
        <v>45876</v>
      </c>
      <c r="B1395" s="4">
        <v>413.6</v>
      </c>
    </row>
    <row r="1396" spans="1:2" x14ac:dyDescent="0.3">
      <c r="A1396" s="1">
        <v>45877</v>
      </c>
      <c r="B1396" s="4">
        <v>414.5</v>
      </c>
    </row>
    <row r="1397" spans="1:2" x14ac:dyDescent="0.3">
      <c r="A1397" s="1">
        <v>45880</v>
      </c>
      <c r="B1397" s="4">
        <v>416.85</v>
      </c>
    </row>
    <row r="1398" spans="1:2" x14ac:dyDescent="0.3">
      <c r="A1398" s="1">
        <v>45881</v>
      </c>
      <c r="B1398" s="4">
        <v>416.35</v>
      </c>
    </row>
    <row r="1399" spans="1:2" x14ac:dyDescent="0.3">
      <c r="A1399" s="1">
        <v>45882</v>
      </c>
      <c r="B1399" s="4">
        <v>414.1</v>
      </c>
    </row>
    <row r="1400" spans="1:2" x14ac:dyDescent="0.3">
      <c r="A1400" s="1">
        <v>45883</v>
      </c>
      <c r="B1400" s="4">
        <v>411.45</v>
      </c>
    </row>
    <row r="1401" spans="1:2" x14ac:dyDescent="0.3">
      <c r="A1401" s="1">
        <v>45887</v>
      </c>
      <c r="B1401" s="4">
        <v>406.3</v>
      </c>
    </row>
    <row r="1402" spans="1:2" x14ac:dyDescent="0.3">
      <c r="A1402" s="1">
        <v>45888</v>
      </c>
      <c r="B1402" s="4">
        <v>409.1</v>
      </c>
    </row>
    <row r="1403" spans="1:2" x14ac:dyDescent="0.3">
      <c r="A1403" s="1">
        <v>45889</v>
      </c>
      <c r="B1403" s="4">
        <v>406.05</v>
      </c>
    </row>
    <row r="1404" spans="1:2" x14ac:dyDescent="0.3">
      <c r="A1404" s="1">
        <v>45890</v>
      </c>
      <c r="B1404" s="4">
        <v>405.55</v>
      </c>
    </row>
    <row r="1405" spans="1:2" x14ac:dyDescent="0.3">
      <c r="A1405" s="1">
        <v>45891</v>
      </c>
      <c r="B1405" s="4">
        <v>398.3</v>
      </c>
    </row>
    <row r="1406" spans="1:2" x14ac:dyDescent="0.3">
      <c r="A1406" s="1">
        <v>45894</v>
      </c>
      <c r="B1406" s="4">
        <v>399.35</v>
      </c>
    </row>
    <row r="1407" spans="1:2" x14ac:dyDescent="0.3">
      <c r="A1407" s="1">
        <v>45895</v>
      </c>
      <c r="B1407" s="4">
        <v>403.35</v>
      </c>
    </row>
    <row r="1408" spans="1:2" x14ac:dyDescent="0.3">
      <c r="A1408" s="1">
        <v>45897</v>
      </c>
      <c r="B1408" s="4">
        <v>400.9</v>
      </c>
    </row>
    <row r="1409" spans="1:2" x14ac:dyDescent="0.3">
      <c r="A1409" s="1">
        <v>45898</v>
      </c>
      <c r="B1409" s="4">
        <v>409.75</v>
      </c>
    </row>
    <row r="1410" spans="1:2" x14ac:dyDescent="0.3">
      <c r="A1410" s="1">
        <v>45901</v>
      </c>
      <c r="B1410" s="4">
        <v>405.85</v>
      </c>
    </row>
    <row r="1411" spans="1:2" x14ac:dyDescent="0.3">
      <c r="A1411" s="1">
        <v>45902</v>
      </c>
      <c r="B1411" s="4">
        <v>406.75</v>
      </c>
    </row>
    <row r="1412" spans="1:2" x14ac:dyDescent="0.3">
      <c r="A1412" s="1">
        <v>45903</v>
      </c>
      <c r="B1412" s="4">
        <v>411.75</v>
      </c>
    </row>
    <row r="1413" spans="1:2" x14ac:dyDescent="0.3">
      <c r="A1413" s="1">
        <v>45904</v>
      </c>
      <c r="B1413" s="4">
        <v>415.9</v>
      </c>
    </row>
    <row r="1414" spans="1:2" x14ac:dyDescent="0.3">
      <c r="A1414" s="1">
        <v>45905</v>
      </c>
      <c r="B1414" s="4">
        <v>407.35</v>
      </c>
    </row>
    <row r="1415" spans="1:2" x14ac:dyDescent="0.3">
      <c r="A1415" s="1">
        <v>45908</v>
      </c>
      <c r="B1415" s="4">
        <v>407.55</v>
      </c>
    </row>
    <row r="1416" spans="1:2" x14ac:dyDescent="0.3">
      <c r="A1416" s="1">
        <v>45909</v>
      </c>
      <c r="B1416" s="4">
        <v>410.05</v>
      </c>
    </row>
    <row r="1417" spans="1:2" x14ac:dyDescent="0.3">
      <c r="A1417" s="1">
        <v>45910</v>
      </c>
      <c r="B1417" s="4">
        <v>413.05</v>
      </c>
    </row>
    <row r="1418" spans="1:2" x14ac:dyDescent="0.3">
      <c r="A1418" s="1">
        <v>45911</v>
      </c>
      <c r="B1418" s="4">
        <v>415.05</v>
      </c>
    </row>
    <row r="1419" spans="1:2" x14ac:dyDescent="0.3">
      <c r="A1419" s="1">
        <v>45912</v>
      </c>
      <c r="B1419" s="4">
        <v>413.75</v>
      </c>
    </row>
    <row r="1420" spans="1:2" x14ac:dyDescent="0.3">
      <c r="A1420" s="1">
        <v>45915</v>
      </c>
      <c r="B1420" s="4">
        <v>412.65</v>
      </c>
    </row>
    <row r="1421" spans="1:2" x14ac:dyDescent="0.3">
      <c r="A1421" s="1">
        <v>45916</v>
      </c>
      <c r="B1421" s="4">
        <v>413.1</v>
      </c>
    </row>
    <row r="1422" spans="1:2" x14ac:dyDescent="0.3">
      <c r="A1422" s="1">
        <v>45917</v>
      </c>
      <c r="B1422" s="4">
        <v>409.3</v>
      </c>
    </row>
    <row r="1423" spans="1:2" x14ac:dyDescent="0.3">
      <c r="A1423" s="1">
        <v>45918</v>
      </c>
      <c r="B1423" s="4">
        <v>411.55</v>
      </c>
    </row>
    <row r="1424" spans="1:2" x14ac:dyDescent="0.3">
      <c r="A1424" s="1">
        <v>45919</v>
      </c>
      <c r="B1424" s="4">
        <v>410.65</v>
      </c>
    </row>
    <row r="1425" spans="1:2" x14ac:dyDescent="0.3">
      <c r="A1425" s="1">
        <v>45922</v>
      </c>
      <c r="B1425" s="4">
        <v>406.95</v>
      </c>
    </row>
    <row r="1426" spans="1:2" x14ac:dyDescent="0.3">
      <c r="A1426" s="1">
        <v>45923</v>
      </c>
      <c r="B1426" s="4">
        <v>403.2</v>
      </c>
    </row>
    <row r="1427" spans="1:2" x14ac:dyDescent="0.3">
      <c r="A1427" s="1">
        <v>45924</v>
      </c>
      <c r="B1427" s="4">
        <v>401</v>
      </c>
    </row>
    <row r="1428" spans="1:2" x14ac:dyDescent="0.3">
      <c r="A1428" s="1">
        <v>45925</v>
      </c>
      <c r="B1428" s="4">
        <v>400.1</v>
      </c>
    </row>
    <row r="1429" spans="1:2" x14ac:dyDescent="0.3">
      <c r="A1429" s="1">
        <v>45926</v>
      </c>
      <c r="B1429" s="4">
        <v>405.1</v>
      </c>
    </row>
    <row r="1430" spans="1:2" x14ac:dyDescent="0.3">
      <c r="A1430" s="1">
        <v>45929</v>
      </c>
      <c r="B1430" s="4">
        <v>407.25</v>
      </c>
    </row>
    <row r="1431" spans="1:2" x14ac:dyDescent="0.3">
      <c r="A1431" s="1">
        <v>45930</v>
      </c>
      <c r="B1431" s="4">
        <v>401.55</v>
      </c>
    </row>
    <row r="1432" spans="1:2" x14ac:dyDescent="0.3">
      <c r="A1432" s="1">
        <v>45931</v>
      </c>
      <c r="B1432" s="4">
        <v>405.6</v>
      </c>
    </row>
    <row r="1433" spans="1:2" x14ac:dyDescent="0.3">
      <c r="A1433" s="1">
        <v>45933</v>
      </c>
      <c r="B1433" s="4">
        <v>404.3</v>
      </c>
    </row>
    <row r="1434" spans="1:2" x14ac:dyDescent="0.3">
      <c r="A1434" s="1">
        <v>45936</v>
      </c>
      <c r="B1434" s="4">
        <v>400.75</v>
      </c>
    </row>
    <row r="1435" spans="1:2" x14ac:dyDescent="0.3">
      <c r="A1435" s="1">
        <v>45937</v>
      </c>
      <c r="B1435" s="4">
        <v>399.8</v>
      </c>
    </row>
    <row r="1436" spans="1:2" x14ac:dyDescent="0.3">
      <c r="A1436" s="1">
        <v>45938</v>
      </c>
      <c r="B1436" s="4">
        <v>399.75</v>
      </c>
    </row>
    <row r="1437" spans="1:2" x14ac:dyDescent="0.3">
      <c r="A1437" s="1">
        <v>45939</v>
      </c>
      <c r="B1437" s="4">
        <v>399.9</v>
      </c>
    </row>
    <row r="1438" spans="1:2" x14ac:dyDescent="0.3">
      <c r="A1438" s="1">
        <v>45940</v>
      </c>
      <c r="B1438" s="4">
        <v>402.8</v>
      </c>
    </row>
    <row r="1439" spans="1:2" x14ac:dyDescent="0.3">
      <c r="A1439" s="1">
        <v>45943</v>
      </c>
      <c r="B1439" s="4">
        <v>399.25</v>
      </c>
    </row>
    <row r="1440" spans="1:2" x14ac:dyDescent="0.3">
      <c r="A1440" s="1">
        <v>45944</v>
      </c>
      <c r="B1440" s="4">
        <v>396.8</v>
      </c>
    </row>
    <row r="1441" spans="1:2" x14ac:dyDescent="0.3">
      <c r="A1441" s="1">
        <v>45945</v>
      </c>
      <c r="B1441" s="4">
        <v>399.9</v>
      </c>
    </row>
    <row r="1442" spans="1:2" x14ac:dyDescent="0.3">
      <c r="A1442" s="1">
        <v>45946</v>
      </c>
      <c r="B1442" s="4">
        <v>405.15</v>
      </c>
    </row>
    <row r="1443" spans="1:2" x14ac:dyDescent="0.3">
      <c r="A1443" s="1">
        <v>45947</v>
      </c>
      <c r="B1443" s="4">
        <v>412.15</v>
      </c>
    </row>
    <row r="1444" spans="1:2" x14ac:dyDescent="0.3">
      <c r="A1444" s="1">
        <v>45950</v>
      </c>
      <c r="B1444" s="4">
        <v>413.05</v>
      </c>
    </row>
    <row r="1445" spans="1:2" x14ac:dyDescent="0.3">
      <c r="A1445" s="1">
        <v>45951</v>
      </c>
      <c r="B1445" s="4">
        <v>412.85</v>
      </c>
    </row>
    <row r="1446" spans="1:2" x14ac:dyDescent="0.3">
      <c r="A1446" s="1">
        <v>45953</v>
      </c>
      <c r="B1446" s="4">
        <v>415.95</v>
      </c>
    </row>
    <row r="1447" spans="1:2" x14ac:dyDescent="0.3">
      <c r="A1447" s="1">
        <v>45954</v>
      </c>
      <c r="B1447" s="4">
        <v>416.8</v>
      </c>
    </row>
    <row r="1448" spans="1:2" x14ac:dyDescent="0.3">
      <c r="A1448" s="1">
        <v>45957</v>
      </c>
      <c r="B1448" s="4">
        <v>420.65</v>
      </c>
    </row>
    <row r="1449" spans="1:2" x14ac:dyDescent="0.3">
      <c r="A1449" s="1">
        <v>45958</v>
      </c>
      <c r="B1449" s="4">
        <v>417.9</v>
      </c>
    </row>
    <row r="1450" spans="1:2" x14ac:dyDescent="0.3">
      <c r="A1450" s="1">
        <v>45959</v>
      </c>
      <c r="B1450" s="4">
        <v>421.6</v>
      </c>
    </row>
    <row r="1451" spans="1:2" x14ac:dyDescent="0.3">
      <c r="A1451" s="1">
        <v>45960</v>
      </c>
      <c r="B1451" s="4">
        <v>418.75</v>
      </c>
    </row>
    <row r="1452" spans="1:2" x14ac:dyDescent="0.3">
      <c r="A1452" s="1">
        <v>45961</v>
      </c>
      <c r="B1452" s="4">
        <v>420.35</v>
      </c>
    </row>
    <row r="1453" spans="1:2" x14ac:dyDescent="0.3">
      <c r="A1453" s="1">
        <v>45964</v>
      </c>
      <c r="B1453" s="4">
        <v>413.95</v>
      </c>
    </row>
    <row r="1454" spans="1:2" x14ac:dyDescent="0.3">
      <c r="A1454" s="1">
        <v>45965</v>
      </c>
      <c r="B1454" s="4">
        <v>408.9</v>
      </c>
    </row>
    <row r="1455" spans="1:2" x14ac:dyDescent="0.3">
      <c r="A1455" s="1">
        <v>45967</v>
      </c>
      <c r="B1455" s="4">
        <v>407.5</v>
      </c>
    </row>
    <row r="1456" spans="1:2" x14ac:dyDescent="0.3">
      <c r="A1456" s="1">
        <v>45968</v>
      </c>
      <c r="B1456" s="4">
        <v>404.05</v>
      </c>
    </row>
    <row r="1457" spans="1:2" x14ac:dyDescent="0.3">
      <c r="A1457" s="1">
        <v>45971</v>
      </c>
      <c r="B1457" s="4">
        <v>405.55</v>
      </c>
    </row>
    <row r="1458" spans="1:2" x14ac:dyDescent="0.3">
      <c r="A1458" s="1">
        <v>45972</v>
      </c>
      <c r="B1458" s="4">
        <v>406.85</v>
      </c>
    </row>
    <row r="1459" spans="1:2" x14ac:dyDescent="0.3">
      <c r="A1459" s="1">
        <v>45973</v>
      </c>
      <c r="B1459" s="4">
        <v>407</v>
      </c>
    </row>
    <row r="1460" spans="1:2" x14ac:dyDescent="0.3">
      <c r="A1460" s="1">
        <v>45974</v>
      </c>
      <c r="B1460" s="4">
        <v>405.7</v>
      </c>
    </row>
    <row r="1461" spans="1:2" x14ac:dyDescent="0.3">
      <c r="A1461" s="1">
        <v>45975</v>
      </c>
      <c r="B1461" s="4">
        <v>408.15</v>
      </c>
    </row>
    <row r="1462" spans="1:2" x14ac:dyDescent="0.3">
      <c r="A1462" s="1">
        <v>45978</v>
      </c>
      <c r="B1462" s="4">
        <v>407.1</v>
      </c>
    </row>
    <row r="1463" spans="1:2" x14ac:dyDescent="0.3">
      <c r="A1463" s="1">
        <v>45979</v>
      </c>
      <c r="B1463" s="4">
        <v>405.85</v>
      </c>
    </row>
    <row r="1464" spans="1:2" x14ac:dyDescent="0.3">
      <c r="A1464" s="1">
        <v>45980</v>
      </c>
      <c r="B1464" s="4">
        <v>403.55</v>
      </c>
    </row>
    <row r="1465" spans="1:2" x14ac:dyDescent="0.3">
      <c r="A1465" s="1">
        <v>45981</v>
      </c>
      <c r="B1465" s="4">
        <v>405.45</v>
      </c>
    </row>
    <row r="1466" spans="1:2" x14ac:dyDescent="0.3">
      <c r="A1466" s="1">
        <v>45982</v>
      </c>
      <c r="B1466" s="4">
        <v>407.85</v>
      </c>
    </row>
    <row r="1467" spans="1:2" x14ac:dyDescent="0.3">
      <c r="A1467" s="1">
        <v>45985</v>
      </c>
      <c r="B1467" s="4">
        <v>403.55</v>
      </c>
    </row>
    <row r="1468" spans="1:2" x14ac:dyDescent="0.3">
      <c r="A1468" s="1">
        <v>45986</v>
      </c>
      <c r="B1468" s="4">
        <v>400.8</v>
      </c>
    </row>
    <row r="1469" spans="1:2" x14ac:dyDescent="0.3">
      <c r="A1469" s="1">
        <v>45987</v>
      </c>
      <c r="B1469" s="4">
        <v>402.3</v>
      </c>
    </row>
    <row r="1470" spans="1:2" x14ac:dyDescent="0.3">
      <c r="A1470" s="1">
        <v>45988</v>
      </c>
      <c r="B1470" s="4">
        <v>404.3</v>
      </c>
    </row>
    <row r="1471" spans="1:2" x14ac:dyDescent="0.3">
      <c r="A1471" s="1">
        <v>45989</v>
      </c>
      <c r="B1471" s="4">
        <v>404.25</v>
      </c>
    </row>
    <row r="1472" spans="1:2" x14ac:dyDescent="0.3">
      <c r="A1472" s="1">
        <v>45992</v>
      </c>
      <c r="B1472" s="4">
        <v>404.25</v>
      </c>
    </row>
    <row r="1473" spans="1:2" x14ac:dyDescent="0.3">
      <c r="A1473" s="1">
        <v>45993</v>
      </c>
      <c r="B1473" s="4">
        <v>400.95</v>
      </c>
    </row>
    <row r="1474" spans="1:2" x14ac:dyDescent="0.3">
      <c r="A1474" s="1">
        <v>45994</v>
      </c>
      <c r="B1474" s="4">
        <v>400.5</v>
      </c>
    </row>
    <row r="1475" spans="1:2" x14ac:dyDescent="0.3">
      <c r="A1475" s="1">
        <v>45995</v>
      </c>
      <c r="B1475" s="4">
        <v>403.05</v>
      </c>
    </row>
    <row r="1476" spans="1:2" x14ac:dyDescent="0.3">
      <c r="A1476" s="1">
        <v>45996</v>
      </c>
      <c r="B1476" s="4">
        <v>404.95</v>
      </c>
    </row>
    <row r="1477" spans="1:2" x14ac:dyDescent="0.3">
      <c r="A1477" s="1">
        <v>45999</v>
      </c>
      <c r="B1477" s="4">
        <v>402.3</v>
      </c>
    </row>
    <row r="1478" spans="1:2" x14ac:dyDescent="0.3">
      <c r="A1478" s="1">
        <v>46000</v>
      </c>
      <c r="B1478" s="4">
        <v>401.05</v>
      </c>
    </row>
    <row r="1479" spans="1:2" x14ac:dyDescent="0.3">
      <c r="A1479" s="1">
        <v>46001</v>
      </c>
      <c r="B1479" s="4">
        <v>403.15</v>
      </c>
    </row>
    <row r="1480" spans="1:2" x14ac:dyDescent="0.3">
      <c r="A1480" s="1">
        <v>46002</v>
      </c>
      <c r="B1480" s="4">
        <v>402.9</v>
      </c>
    </row>
    <row r="1481" spans="1:2" x14ac:dyDescent="0.3">
      <c r="A1481" s="1">
        <v>46003</v>
      </c>
      <c r="B1481" s="4">
        <v>400.1</v>
      </c>
    </row>
    <row r="1482" spans="1:2" x14ac:dyDescent="0.3">
      <c r="A1482" s="1">
        <v>46006</v>
      </c>
      <c r="B1482" s="4">
        <v>402.3</v>
      </c>
    </row>
    <row r="1483" spans="1:2" x14ac:dyDescent="0.3">
      <c r="A1483" s="1">
        <v>46007</v>
      </c>
      <c r="B1483" s="4">
        <v>401.7</v>
      </c>
    </row>
    <row r="1484" spans="1:2" x14ac:dyDescent="0.3">
      <c r="A1484" s="1">
        <v>46008</v>
      </c>
      <c r="B1484" s="4">
        <v>399.8</v>
      </c>
    </row>
    <row r="1485" spans="1:2" x14ac:dyDescent="0.3">
      <c r="A1485" s="1">
        <v>46009</v>
      </c>
      <c r="B1485" s="4">
        <v>400.4</v>
      </c>
    </row>
    <row r="1486" spans="1:2" x14ac:dyDescent="0.3">
      <c r="A1486" s="1">
        <v>46010</v>
      </c>
      <c r="B1486" s="4">
        <v>401.05</v>
      </c>
    </row>
    <row r="1487" spans="1:2" x14ac:dyDescent="0.3">
      <c r="A1487" s="1">
        <v>46013</v>
      </c>
      <c r="B1487" s="4">
        <v>402.7</v>
      </c>
    </row>
    <row r="1488" spans="1:2" x14ac:dyDescent="0.3">
      <c r="A1488" s="1">
        <v>46014</v>
      </c>
      <c r="B1488" s="4">
        <v>407.35</v>
      </c>
    </row>
    <row r="1489" spans="1:2" x14ac:dyDescent="0.3">
      <c r="A1489" s="1">
        <v>46015</v>
      </c>
      <c r="B1489" s="4">
        <v>406.6</v>
      </c>
    </row>
    <row r="1490" spans="1:2" x14ac:dyDescent="0.3">
      <c r="A1490" s="1">
        <v>46017</v>
      </c>
      <c r="B1490" s="4">
        <v>404.15</v>
      </c>
    </row>
    <row r="1491" spans="1:2" x14ac:dyDescent="0.3">
      <c r="A1491" s="1">
        <v>46020</v>
      </c>
      <c r="B1491" s="4">
        <v>402.6</v>
      </c>
    </row>
    <row r="1492" spans="1:2" x14ac:dyDescent="0.3">
      <c r="A1492" s="1">
        <v>46021</v>
      </c>
      <c r="B1492" s="4">
        <v>400.6</v>
      </c>
    </row>
    <row r="1493" spans="1:2" x14ac:dyDescent="0.3">
      <c r="A1493" s="1">
        <v>46022</v>
      </c>
      <c r="B1493" s="4">
        <v>403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05A8-2714-4561-8989-594EB92EFC82}">
  <dimension ref="A1:B1492"/>
  <sheetViews>
    <sheetView workbookViewId="0">
      <selection activeCell="I9" sqref="I9"/>
    </sheetView>
  </sheetViews>
  <sheetFormatPr defaultRowHeight="14.4" x14ac:dyDescent="0.3"/>
  <cols>
    <col min="1" max="1" width="10.33203125" bestFit="1" customWidth="1"/>
    <col min="2" max="2" width="8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 s="4">
        <v>2167.6</v>
      </c>
    </row>
    <row r="3" spans="1:2" x14ac:dyDescent="0.3">
      <c r="A3" s="1">
        <v>43832</v>
      </c>
      <c r="B3" s="4">
        <v>2157.65</v>
      </c>
    </row>
    <row r="4" spans="1:2" x14ac:dyDescent="0.3">
      <c r="A4" s="1">
        <v>43833</v>
      </c>
      <c r="B4" s="4">
        <v>2200.65</v>
      </c>
    </row>
    <row r="5" spans="1:2" x14ac:dyDescent="0.3">
      <c r="A5" s="1">
        <v>43836</v>
      </c>
      <c r="B5" s="4">
        <v>2200.4499999999998</v>
      </c>
    </row>
    <row r="6" spans="1:2" x14ac:dyDescent="0.3">
      <c r="A6" s="1">
        <v>43837</v>
      </c>
      <c r="B6" s="4">
        <v>2205.85</v>
      </c>
    </row>
    <row r="7" spans="1:2" x14ac:dyDescent="0.3">
      <c r="A7" s="1">
        <v>43838</v>
      </c>
      <c r="B7" s="4">
        <v>2255.25</v>
      </c>
    </row>
    <row r="8" spans="1:2" x14ac:dyDescent="0.3">
      <c r="A8" s="1">
        <v>43839</v>
      </c>
      <c r="B8" s="4">
        <v>2214.35</v>
      </c>
    </row>
    <row r="9" spans="1:2" x14ac:dyDescent="0.3">
      <c r="A9" s="1">
        <v>43840</v>
      </c>
      <c r="B9" s="4">
        <v>2213.5500000000002</v>
      </c>
    </row>
    <row r="10" spans="1:2" x14ac:dyDescent="0.3">
      <c r="A10" s="1">
        <v>43843</v>
      </c>
      <c r="B10" s="4">
        <v>2190.35</v>
      </c>
    </row>
    <row r="11" spans="1:2" x14ac:dyDescent="0.3">
      <c r="A11" s="1">
        <v>43844</v>
      </c>
      <c r="B11" s="4">
        <v>2206.9</v>
      </c>
    </row>
    <row r="12" spans="1:2" x14ac:dyDescent="0.3">
      <c r="A12" s="1">
        <v>43845</v>
      </c>
      <c r="B12" s="4">
        <v>2226.9</v>
      </c>
    </row>
    <row r="13" spans="1:2" x14ac:dyDescent="0.3">
      <c r="A13" s="1">
        <v>43846</v>
      </c>
      <c r="B13" s="4">
        <v>2238.8000000000002</v>
      </c>
    </row>
    <row r="14" spans="1:2" x14ac:dyDescent="0.3">
      <c r="A14" s="1">
        <v>43847</v>
      </c>
      <c r="B14" s="4">
        <v>2219.1</v>
      </c>
    </row>
    <row r="15" spans="1:2" x14ac:dyDescent="0.3">
      <c r="A15" s="1">
        <v>43850</v>
      </c>
      <c r="B15" s="4">
        <v>2170.35</v>
      </c>
    </row>
    <row r="16" spans="1:2" x14ac:dyDescent="0.3">
      <c r="A16" s="1">
        <v>43851</v>
      </c>
      <c r="B16" s="4">
        <v>2171.0500000000002</v>
      </c>
    </row>
    <row r="17" spans="1:2" x14ac:dyDescent="0.3">
      <c r="A17" s="1">
        <v>43852</v>
      </c>
      <c r="B17" s="4">
        <v>2206.9</v>
      </c>
    </row>
    <row r="18" spans="1:2" x14ac:dyDescent="0.3">
      <c r="A18" s="1">
        <v>43853</v>
      </c>
      <c r="B18" s="4">
        <v>2190.9499999999998</v>
      </c>
    </row>
    <row r="19" spans="1:2" x14ac:dyDescent="0.3">
      <c r="A19" s="1">
        <v>43854</v>
      </c>
      <c r="B19" s="4">
        <v>2183.4</v>
      </c>
    </row>
    <row r="20" spans="1:2" x14ac:dyDescent="0.3">
      <c r="A20" s="1">
        <v>43857</v>
      </c>
      <c r="B20" s="4">
        <v>2169.25</v>
      </c>
    </row>
    <row r="21" spans="1:2" x14ac:dyDescent="0.3">
      <c r="A21" s="1">
        <v>43858</v>
      </c>
      <c r="B21" s="4">
        <v>2183.75</v>
      </c>
    </row>
    <row r="22" spans="1:2" x14ac:dyDescent="0.3">
      <c r="A22" s="1">
        <v>43859</v>
      </c>
      <c r="B22" s="4">
        <v>2154.6</v>
      </c>
    </row>
    <row r="23" spans="1:2" x14ac:dyDescent="0.3">
      <c r="A23" s="1">
        <v>43860</v>
      </c>
      <c r="B23" s="4">
        <v>2137.85</v>
      </c>
    </row>
    <row r="24" spans="1:2" x14ac:dyDescent="0.3">
      <c r="A24" s="1">
        <v>43861</v>
      </c>
      <c r="B24" s="4">
        <v>2079.0500000000002</v>
      </c>
    </row>
    <row r="25" spans="1:2" x14ac:dyDescent="0.3">
      <c r="A25" s="1">
        <v>43862</v>
      </c>
      <c r="B25" s="4">
        <v>2164.85</v>
      </c>
    </row>
    <row r="26" spans="1:2" x14ac:dyDescent="0.3">
      <c r="A26" s="1">
        <v>43864</v>
      </c>
      <c r="B26" s="4">
        <v>2102.5</v>
      </c>
    </row>
    <row r="27" spans="1:2" x14ac:dyDescent="0.3">
      <c r="A27" s="1">
        <v>43865</v>
      </c>
      <c r="B27" s="4">
        <v>2107.75</v>
      </c>
    </row>
    <row r="28" spans="1:2" x14ac:dyDescent="0.3">
      <c r="A28" s="1">
        <v>43866</v>
      </c>
      <c r="B28" s="4">
        <v>2146.5500000000002</v>
      </c>
    </row>
    <row r="29" spans="1:2" x14ac:dyDescent="0.3">
      <c r="A29" s="1">
        <v>43867</v>
      </c>
      <c r="B29" s="4">
        <v>2128.35</v>
      </c>
    </row>
    <row r="30" spans="1:2" x14ac:dyDescent="0.3">
      <c r="A30" s="1">
        <v>43868</v>
      </c>
      <c r="B30" s="4">
        <v>2136.5500000000002</v>
      </c>
    </row>
    <row r="31" spans="1:2" x14ac:dyDescent="0.3">
      <c r="A31" s="1">
        <v>43871</v>
      </c>
      <c r="B31" s="4">
        <v>2161.9499999999998</v>
      </c>
    </row>
    <row r="32" spans="1:2" x14ac:dyDescent="0.3">
      <c r="A32" s="1">
        <v>43872</v>
      </c>
      <c r="B32" s="4">
        <v>2153.4</v>
      </c>
    </row>
    <row r="33" spans="1:2" x14ac:dyDescent="0.3">
      <c r="A33" s="1">
        <v>43873</v>
      </c>
      <c r="B33" s="4">
        <v>2170.75</v>
      </c>
    </row>
    <row r="34" spans="1:2" x14ac:dyDescent="0.3">
      <c r="A34" s="1">
        <v>43874</v>
      </c>
      <c r="B34" s="4">
        <v>2191.9499999999998</v>
      </c>
    </row>
    <row r="35" spans="1:2" x14ac:dyDescent="0.3">
      <c r="A35" s="1">
        <v>43875</v>
      </c>
      <c r="B35" s="4">
        <v>2184.1999999999998</v>
      </c>
    </row>
    <row r="36" spans="1:2" x14ac:dyDescent="0.3">
      <c r="A36" s="1">
        <v>43878</v>
      </c>
      <c r="B36" s="4">
        <v>2203.25</v>
      </c>
    </row>
    <row r="37" spans="1:2" x14ac:dyDescent="0.3">
      <c r="A37" s="1">
        <v>43879</v>
      </c>
      <c r="B37" s="4">
        <v>2215.75</v>
      </c>
    </row>
    <row r="38" spans="1:2" x14ac:dyDescent="0.3">
      <c r="A38" s="1">
        <v>43880</v>
      </c>
      <c r="B38" s="4">
        <v>2196.35</v>
      </c>
    </row>
    <row r="39" spans="1:2" x14ac:dyDescent="0.3">
      <c r="A39" s="1">
        <v>43881</v>
      </c>
      <c r="B39" s="4">
        <v>2156.8000000000002</v>
      </c>
    </row>
    <row r="40" spans="1:2" x14ac:dyDescent="0.3">
      <c r="A40" s="1">
        <v>43885</v>
      </c>
      <c r="B40" s="4">
        <v>2115.35</v>
      </c>
    </row>
    <row r="41" spans="1:2" x14ac:dyDescent="0.3">
      <c r="A41" s="1">
        <v>43886</v>
      </c>
      <c r="B41" s="4">
        <v>2156.15</v>
      </c>
    </row>
    <row r="42" spans="1:2" x14ac:dyDescent="0.3">
      <c r="A42" s="1">
        <v>43887</v>
      </c>
      <c r="B42" s="4">
        <v>2123.6</v>
      </c>
    </row>
    <row r="43" spans="1:2" x14ac:dyDescent="0.3">
      <c r="A43" s="1">
        <v>43888</v>
      </c>
      <c r="B43" s="4">
        <v>2105.5</v>
      </c>
    </row>
    <row r="44" spans="1:2" x14ac:dyDescent="0.3">
      <c r="A44" s="1">
        <v>43889</v>
      </c>
      <c r="B44" s="4">
        <v>2000.15</v>
      </c>
    </row>
    <row r="45" spans="1:2" x14ac:dyDescent="0.3">
      <c r="A45" s="1">
        <v>43892</v>
      </c>
      <c r="B45" s="4">
        <v>2001.3</v>
      </c>
    </row>
    <row r="46" spans="1:2" x14ac:dyDescent="0.3">
      <c r="A46" s="1">
        <v>43893</v>
      </c>
      <c r="B46" s="4">
        <v>2036.2</v>
      </c>
    </row>
    <row r="47" spans="1:2" x14ac:dyDescent="0.3">
      <c r="A47" s="1">
        <v>43894</v>
      </c>
      <c r="B47" s="4">
        <v>2083.1999999999998</v>
      </c>
    </row>
    <row r="48" spans="1:2" x14ac:dyDescent="0.3">
      <c r="A48" s="1">
        <v>43895</v>
      </c>
      <c r="B48" s="4">
        <v>2125.0500000000002</v>
      </c>
    </row>
    <row r="49" spans="1:2" x14ac:dyDescent="0.3">
      <c r="A49" s="1">
        <v>43896</v>
      </c>
      <c r="B49" s="4">
        <v>2116.4499999999998</v>
      </c>
    </row>
    <row r="50" spans="1:2" x14ac:dyDescent="0.3">
      <c r="A50" s="1">
        <v>43899</v>
      </c>
      <c r="B50" s="4">
        <v>1972.35</v>
      </c>
    </row>
    <row r="51" spans="1:2" x14ac:dyDescent="0.3">
      <c r="A51" s="1">
        <v>43901</v>
      </c>
      <c r="B51" s="4">
        <v>1953.7</v>
      </c>
    </row>
    <row r="52" spans="1:2" x14ac:dyDescent="0.3">
      <c r="A52" s="1">
        <v>43902</v>
      </c>
      <c r="B52" s="4">
        <v>1769.85</v>
      </c>
    </row>
    <row r="53" spans="1:2" x14ac:dyDescent="0.3">
      <c r="A53" s="1">
        <v>43903</v>
      </c>
      <c r="B53" s="4">
        <v>1806.3</v>
      </c>
    </row>
    <row r="54" spans="1:2" x14ac:dyDescent="0.3">
      <c r="A54" s="1">
        <v>43906</v>
      </c>
      <c r="B54" s="4">
        <v>1696.4</v>
      </c>
    </row>
    <row r="55" spans="1:2" x14ac:dyDescent="0.3">
      <c r="A55" s="1">
        <v>43907</v>
      </c>
      <c r="B55" s="4">
        <v>1658</v>
      </c>
    </row>
    <row r="56" spans="1:2" x14ac:dyDescent="0.3">
      <c r="A56" s="1">
        <v>43908</v>
      </c>
      <c r="B56" s="4">
        <v>1654.4</v>
      </c>
    </row>
    <row r="57" spans="1:2" x14ac:dyDescent="0.3">
      <c r="A57" s="1">
        <v>43909</v>
      </c>
      <c r="B57" s="4">
        <v>1636.35</v>
      </c>
    </row>
    <row r="58" spans="1:2" x14ac:dyDescent="0.3">
      <c r="A58" s="1">
        <v>43910</v>
      </c>
      <c r="B58" s="4">
        <v>1797.45</v>
      </c>
    </row>
    <row r="59" spans="1:2" x14ac:dyDescent="0.3">
      <c r="A59" s="1">
        <v>43913</v>
      </c>
      <c r="B59" s="4">
        <v>1669.7</v>
      </c>
    </row>
    <row r="60" spans="1:2" x14ac:dyDescent="0.3">
      <c r="A60" s="1">
        <v>43914</v>
      </c>
      <c r="B60" s="4">
        <v>1703.15</v>
      </c>
    </row>
    <row r="61" spans="1:2" x14ac:dyDescent="0.3">
      <c r="A61" s="1">
        <v>43915</v>
      </c>
      <c r="B61" s="4">
        <v>1750.3</v>
      </c>
    </row>
    <row r="62" spans="1:2" x14ac:dyDescent="0.3">
      <c r="A62" s="1">
        <v>43916</v>
      </c>
      <c r="B62" s="4">
        <v>1790.95</v>
      </c>
    </row>
    <row r="63" spans="1:2" x14ac:dyDescent="0.3">
      <c r="A63" s="1">
        <v>43917</v>
      </c>
      <c r="B63" s="4">
        <v>1824.5</v>
      </c>
    </row>
    <row r="64" spans="1:2" x14ac:dyDescent="0.3">
      <c r="A64" s="1">
        <v>43920</v>
      </c>
      <c r="B64" s="4">
        <v>1778.5</v>
      </c>
    </row>
    <row r="65" spans="1:2" x14ac:dyDescent="0.3">
      <c r="A65" s="1">
        <v>43921</v>
      </c>
      <c r="B65" s="4">
        <v>1826.1</v>
      </c>
    </row>
    <row r="66" spans="1:2" x14ac:dyDescent="0.3">
      <c r="A66" s="1">
        <v>43922</v>
      </c>
      <c r="B66" s="4">
        <v>1708.75</v>
      </c>
    </row>
    <row r="67" spans="1:2" x14ac:dyDescent="0.3">
      <c r="A67" s="1">
        <v>43924</v>
      </c>
      <c r="B67" s="4">
        <v>1654.2</v>
      </c>
    </row>
    <row r="68" spans="1:2" x14ac:dyDescent="0.3">
      <c r="A68" s="1">
        <v>43928</v>
      </c>
      <c r="B68" s="4">
        <v>1775.2</v>
      </c>
    </row>
    <row r="69" spans="1:2" x14ac:dyDescent="0.3">
      <c r="A69" s="1">
        <v>43929</v>
      </c>
      <c r="B69" s="4">
        <v>1705.45</v>
      </c>
    </row>
    <row r="70" spans="1:2" x14ac:dyDescent="0.3">
      <c r="A70" s="1">
        <v>43930</v>
      </c>
      <c r="B70" s="4">
        <v>1766.15</v>
      </c>
    </row>
    <row r="71" spans="1:2" x14ac:dyDescent="0.3">
      <c r="A71" s="1">
        <v>43934</v>
      </c>
      <c r="B71" s="4">
        <v>1759.25</v>
      </c>
    </row>
    <row r="72" spans="1:2" x14ac:dyDescent="0.3">
      <c r="A72" s="1">
        <v>43936</v>
      </c>
      <c r="B72" s="4">
        <v>1735.15</v>
      </c>
    </row>
    <row r="73" spans="1:2" x14ac:dyDescent="0.3">
      <c r="A73" s="1">
        <v>43937</v>
      </c>
      <c r="B73" s="4">
        <v>1716.05</v>
      </c>
    </row>
    <row r="74" spans="1:2" x14ac:dyDescent="0.3">
      <c r="A74" s="1">
        <v>43938</v>
      </c>
      <c r="B74" s="4">
        <v>1806.2</v>
      </c>
    </row>
    <row r="75" spans="1:2" x14ac:dyDescent="0.3">
      <c r="A75" s="1">
        <v>43941</v>
      </c>
      <c r="B75" s="4">
        <v>1818.65</v>
      </c>
    </row>
    <row r="76" spans="1:2" x14ac:dyDescent="0.3">
      <c r="A76" s="1">
        <v>43942</v>
      </c>
      <c r="B76" s="4">
        <v>1737.65</v>
      </c>
    </row>
    <row r="77" spans="1:2" x14ac:dyDescent="0.3">
      <c r="A77" s="1">
        <v>43943</v>
      </c>
      <c r="B77" s="4">
        <v>1769.5</v>
      </c>
    </row>
    <row r="78" spans="1:2" x14ac:dyDescent="0.3">
      <c r="A78" s="1">
        <v>43944</v>
      </c>
      <c r="B78" s="4">
        <v>1878.25</v>
      </c>
    </row>
    <row r="79" spans="1:2" x14ac:dyDescent="0.3">
      <c r="A79" s="1">
        <v>43945</v>
      </c>
      <c r="B79" s="4">
        <v>1818.55</v>
      </c>
    </row>
    <row r="80" spans="1:2" x14ac:dyDescent="0.3">
      <c r="A80" s="1">
        <v>43948</v>
      </c>
      <c r="B80" s="4">
        <v>1836.6</v>
      </c>
    </row>
    <row r="81" spans="1:2" x14ac:dyDescent="0.3">
      <c r="A81" s="1">
        <v>43949</v>
      </c>
      <c r="B81" s="4">
        <v>1859.05</v>
      </c>
    </row>
    <row r="82" spans="1:2" x14ac:dyDescent="0.3">
      <c r="A82" s="1">
        <v>43950</v>
      </c>
      <c r="B82" s="4">
        <v>1905.65</v>
      </c>
    </row>
    <row r="83" spans="1:2" x14ac:dyDescent="0.3">
      <c r="A83" s="1">
        <v>43951</v>
      </c>
      <c r="B83" s="4">
        <v>2014.45</v>
      </c>
    </row>
    <row r="84" spans="1:2" x14ac:dyDescent="0.3">
      <c r="A84" s="1">
        <v>43955</v>
      </c>
      <c r="B84" s="4">
        <v>1930.45</v>
      </c>
    </row>
    <row r="85" spans="1:2" x14ac:dyDescent="0.3">
      <c r="A85" s="1">
        <v>43956</v>
      </c>
      <c r="B85" s="4">
        <v>1932.75</v>
      </c>
    </row>
    <row r="86" spans="1:2" x14ac:dyDescent="0.3">
      <c r="A86" s="1">
        <v>43957</v>
      </c>
      <c r="B86" s="4">
        <v>1903.6</v>
      </c>
    </row>
    <row r="87" spans="1:2" x14ac:dyDescent="0.3">
      <c r="A87" s="1">
        <v>43958</v>
      </c>
      <c r="B87" s="4">
        <v>1891.65</v>
      </c>
    </row>
    <row r="88" spans="1:2" x14ac:dyDescent="0.3">
      <c r="A88" s="1">
        <v>43959</v>
      </c>
      <c r="B88" s="4">
        <v>1893.4</v>
      </c>
    </row>
    <row r="89" spans="1:2" x14ac:dyDescent="0.3">
      <c r="A89" s="1">
        <v>43962</v>
      </c>
      <c r="B89" s="4">
        <v>1935.3</v>
      </c>
    </row>
    <row r="90" spans="1:2" x14ac:dyDescent="0.3">
      <c r="A90" s="1">
        <v>43963</v>
      </c>
      <c r="B90" s="4">
        <v>1949.5</v>
      </c>
    </row>
    <row r="91" spans="1:2" x14ac:dyDescent="0.3">
      <c r="A91" s="1">
        <v>43964</v>
      </c>
      <c r="B91" s="4">
        <v>1949.65</v>
      </c>
    </row>
    <row r="92" spans="1:2" x14ac:dyDescent="0.3">
      <c r="A92" s="1">
        <v>43965</v>
      </c>
      <c r="B92" s="4">
        <v>1902.35</v>
      </c>
    </row>
    <row r="93" spans="1:2" x14ac:dyDescent="0.3">
      <c r="A93" s="1">
        <v>43966</v>
      </c>
      <c r="B93" s="4">
        <v>1892.9</v>
      </c>
    </row>
    <row r="94" spans="1:2" x14ac:dyDescent="0.3">
      <c r="A94" s="1">
        <v>43969</v>
      </c>
      <c r="B94" s="4">
        <v>1945.6</v>
      </c>
    </row>
    <row r="95" spans="1:2" x14ac:dyDescent="0.3">
      <c r="A95" s="1">
        <v>43970</v>
      </c>
      <c r="B95" s="4">
        <v>1948.65</v>
      </c>
    </row>
    <row r="96" spans="1:2" x14ac:dyDescent="0.3">
      <c r="A96" s="1">
        <v>43971</v>
      </c>
      <c r="B96" s="4">
        <v>1953.6</v>
      </c>
    </row>
    <row r="97" spans="1:2" x14ac:dyDescent="0.3">
      <c r="A97" s="1">
        <v>43972</v>
      </c>
      <c r="B97" s="4">
        <v>1991.2</v>
      </c>
    </row>
    <row r="98" spans="1:2" x14ac:dyDescent="0.3">
      <c r="A98" s="1">
        <v>43973</v>
      </c>
      <c r="B98" s="4">
        <v>2020.35</v>
      </c>
    </row>
    <row r="99" spans="1:2" x14ac:dyDescent="0.3">
      <c r="A99" s="1">
        <v>43977</v>
      </c>
      <c r="B99" s="4">
        <v>1943</v>
      </c>
    </row>
    <row r="100" spans="1:2" x14ac:dyDescent="0.3">
      <c r="A100" s="1">
        <v>43978</v>
      </c>
      <c r="B100" s="4">
        <v>2005.3</v>
      </c>
    </row>
    <row r="101" spans="1:2" x14ac:dyDescent="0.3">
      <c r="A101" s="1">
        <v>43979</v>
      </c>
      <c r="B101" s="4">
        <v>2004.3</v>
      </c>
    </row>
    <row r="102" spans="1:2" x14ac:dyDescent="0.3">
      <c r="A102" s="1">
        <v>43980</v>
      </c>
      <c r="B102" s="4">
        <v>1972.35</v>
      </c>
    </row>
    <row r="103" spans="1:2" x14ac:dyDescent="0.3">
      <c r="A103" s="1">
        <v>43983</v>
      </c>
      <c r="B103" s="4">
        <v>2045.25</v>
      </c>
    </row>
    <row r="104" spans="1:2" x14ac:dyDescent="0.3">
      <c r="A104" s="1">
        <v>43984</v>
      </c>
      <c r="B104" s="4">
        <v>2047.15</v>
      </c>
    </row>
    <row r="105" spans="1:2" x14ac:dyDescent="0.3">
      <c r="A105" s="1">
        <v>43985</v>
      </c>
      <c r="B105" s="4">
        <v>2046.15</v>
      </c>
    </row>
    <row r="106" spans="1:2" x14ac:dyDescent="0.3">
      <c r="A106" s="1">
        <v>43986</v>
      </c>
      <c r="B106" s="4">
        <v>2091.5500000000002</v>
      </c>
    </row>
    <row r="107" spans="1:2" x14ac:dyDescent="0.3">
      <c r="A107" s="1">
        <v>43987</v>
      </c>
      <c r="B107" s="4">
        <v>2048.25</v>
      </c>
    </row>
    <row r="108" spans="1:2" x14ac:dyDescent="0.3">
      <c r="A108" s="1">
        <v>43990</v>
      </c>
      <c r="B108" s="4">
        <v>2071.75</v>
      </c>
    </row>
    <row r="109" spans="1:2" x14ac:dyDescent="0.3">
      <c r="A109" s="1">
        <v>43991</v>
      </c>
      <c r="B109" s="4">
        <v>2072.0500000000002</v>
      </c>
    </row>
    <row r="110" spans="1:2" x14ac:dyDescent="0.3">
      <c r="A110" s="1">
        <v>43992</v>
      </c>
      <c r="B110" s="4">
        <v>2108.75</v>
      </c>
    </row>
    <row r="111" spans="1:2" x14ac:dyDescent="0.3">
      <c r="A111" s="1">
        <v>43993</v>
      </c>
      <c r="B111" s="4">
        <v>2067.65</v>
      </c>
    </row>
    <row r="112" spans="1:2" x14ac:dyDescent="0.3">
      <c r="A112" s="1">
        <v>43994</v>
      </c>
      <c r="B112" s="4">
        <v>2039.5</v>
      </c>
    </row>
    <row r="113" spans="1:2" x14ac:dyDescent="0.3">
      <c r="A113" s="1">
        <v>43997</v>
      </c>
      <c r="B113" s="4">
        <v>2029.9</v>
      </c>
    </row>
    <row r="114" spans="1:2" x14ac:dyDescent="0.3">
      <c r="A114" s="1">
        <v>43998</v>
      </c>
      <c r="B114" s="4">
        <v>2045.8</v>
      </c>
    </row>
    <row r="115" spans="1:2" x14ac:dyDescent="0.3">
      <c r="A115" s="1">
        <v>43999</v>
      </c>
      <c r="B115" s="4">
        <v>2047.8</v>
      </c>
    </row>
    <row r="116" spans="1:2" x14ac:dyDescent="0.3">
      <c r="A116" s="1">
        <v>44000</v>
      </c>
      <c r="B116" s="4">
        <v>2038.1</v>
      </c>
    </row>
    <row r="117" spans="1:2" x14ac:dyDescent="0.3">
      <c r="A117" s="1">
        <v>44001</v>
      </c>
      <c r="B117" s="4">
        <v>2044.6</v>
      </c>
    </row>
    <row r="118" spans="1:2" x14ac:dyDescent="0.3">
      <c r="A118" s="1">
        <v>44004</v>
      </c>
      <c r="B118" s="4">
        <v>2027.95</v>
      </c>
    </row>
    <row r="119" spans="1:2" x14ac:dyDescent="0.3">
      <c r="A119" s="1">
        <v>44005</v>
      </c>
      <c r="B119" s="4">
        <v>2035.3</v>
      </c>
    </row>
    <row r="120" spans="1:2" x14ac:dyDescent="0.3">
      <c r="A120" s="1">
        <v>44006</v>
      </c>
      <c r="B120" s="4">
        <v>2042.2</v>
      </c>
    </row>
    <row r="121" spans="1:2" x14ac:dyDescent="0.3">
      <c r="A121" s="1">
        <v>44007</v>
      </c>
      <c r="B121" s="4">
        <v>2016.1</v>
      </c>
    </row>
    <row r="122" spans="1:2" x14ac:dyDescent="0.3">
      <c r="A122" s="1">
        <v>44008</v>
      </c>
      <c r="B122" s="4">
        <v>2118.85</v>
      </c>
    </row>
    <row r="123" spans="1:2" x14ac:dyDescent="0.3">
      <c r="A123" s="1">
        <v>44011</v>
      </c>
      <c r="B123" s="4">
        <v>2101.65</v>
      </c>
    </row>
    <row r="124" spans="1:2" x14ac:dyDescent="0.3">
      <c r="A124" s="1">
        <v>44012</v>
      </c>
      <c r="B124" s="4">
        <v>2082.15</v>
      </c>
    </row>
    <row r="125" spans="1:2" x14ac:dyDescent="0.3">
      <c r="A125" s="1">
        <v>44013</v>
      </c>
      <c r="B125" s="4">
        <v>2092.0500000000002</v>
      </c>
    </row>
    <row r="126" spans="1:2" x14ac:dyDescent="0.3">
      <c r="A126" s="1">
        <v>44014</v>
      </c>
      <c r="B126" s="4">
        <v>2157.15</v>
      </c>
    </row>
    <row r="127" spans="1:2" x14ac:dyDescent="0.3">
      <c r="A127" s="1">
        <v>44015</v>
      </c>
      <c r="B127" s="4">
        <v>2199.65</v>
      </c>
    </row>
    <row r="128" spans="1:2" x14ac:dyDescent="0.3">
      <c r="A128" s="1">
        <v>44018</v>
      </c>
      <c r="B128" s="4">
        <v>2263.1999999999998</v>
      </c>
    </row>
    <row r="129" spans="1:2" x14ac:dyDescent="0.3">
      <c r="A129" s="1">
        <v>44019</v>
      </c>
      <c r="B129" s="4">
        <v>2269.9</v>
      </c>
    </row>
    <row r="130" spans="1:2" x14ac:dyDescent="0.3">
      <c r="A130" s="1">
        <v>44020</v>
      </c>
      <c r="B130" s="4">
        <v>2218.9</v>
      </c>
    </row>
    <row r="131" spans="1:2" x14ac:dyDescent="0.3">
      <c r="A131" s="1">
        <v>44021</v>
      </c>
      <c r="B131" s="4">
        <v>2204.35</v>
      </c>
    </row>
    <row r="132" spans="1:2" x14ac:dyDescent="0.3">
      <c r="A132" s="1">
        <v>44022</v>
      </c>
      <c r="B132" s="4">
        <v>2222.35</v>
      </c>
    </row>
    <row r="133" spans="1:2" x14ac:dyDescent="0.3">
      <c r="A133" s="1">
        <v>44025</v>
      </c>
      <c r="B133" s="4">
        <v>2220</v>
      </c>
    </row>
    <row r="134" spans="1:2" x14ac:dyDescent="0.3">
      <c r="A134" s="1">
        <v>44026</v>
      </c>
      <c r="B134" s="4">
        <v>2171.9499999999998</v>
      </c>
    </row>
    <row r="135" spans="1:2" x14ac:dyDescent="0.3">
      <c r="A135" s="1">
        <v>44027</v>
      </c>
      <c r="B135" s="4">
        <v>2233.9</v>
      </c>
    </row>
    <row r="136" spans="1:2" x14ac:dyDescent="0.3">
      <c r="A136" s="1">
        <v>44028</v>
      </c>
      <c r="B136" s="4">
        <v>2234.75</v>
      </c>
    </row>
    <row r="137" spans="1:2" x14ac:dyDescent="0.3">
      <c r="A137" s="1">
        <v>44029</v>
      </c>
      <c r="B137" s="4">
        <v>2200.75</v>
      </c>
    </row>
    <row r="138" spans="1:2" x14ac:dyDescent="0.3">
      <c r="A138" s="1">
        <v>44032</v>
      </c>
      <c r="B138" s="4">
        <v>2207.9</v>
      </c>
    </row>
    <row r="139" spans="1:2" x14ac:dyDescent="0.3">
      <c r="A139" s="1">
        <v>44033</v>
      </c>
      <c r="B139" s="4">
        <v>2225.0500000000002</v>
      </c>
    </row>
    <row r="140" spans="1:2" x14ac:dyDescent="0.3">
      <c r="A140" s="1">
        <v>44034</v>
      </c>
      <c r="B140" s="4">
        <v>2190.9499999999998</v>
      </c>
    </row>
    <row r="141" spans="1:2" x14ac:dyDescent="0.3">
      <c r="A141" s="1">
        <v>44035</v>
      </c>
      <c r="B141" s="4">
        <v>2171.1999999999998</v>
      </c>
    </row>
    <row r="142" spans="1:2" x14ac:dyDescent="0.3">
      <c r="A142" s="1">
        <v>44036</v>
      </c>
      <c r="B142" s="4">
        <v>2157.4</v>
      </c>
    </row>
    <row r="143" spans="1:2" x14ac:dyDescent="0.3">
      <c r="A143" s="1">
        <v>44039</v>
      </c>
      <c r="B143" s="4">
        <v>2206.8000000000002</v>
      </c>
    </row>
    <row r="144" spans="1:2" x14ac:dyDescent="0.3">
      <c r="A144" s="1">
        <v>44040</v>
      </c>
      <c r="B144" s="4">
        <v>2309.75</v>
      </c>
    </row>
    <row r="145" spans="1:2" x14ac:dyDescent="0.3">
      <c r="A145" s="1">
        <v>44041</v>
      </c>
      <c r="B145" s="4">
        <v>2276.0500000000002</v>
      </c>
    </row>
    <row r="146" spans="1:2" x14ac:dyDescent="0.3">
      <c r="A146" s="1">
        <v>44042</v>
      </c>
      <c r="B146" s="4">
        <v>2279.5</v>
      </c>
    </row>
    <row r="147" spans="1:2" x14ac:dyDescent="0.3">
      <c r="A147" s="1">
        <v>44043</v>
      </c>
      <c r="B147" s="4">
        <v>2281.4</v>
      </c>
    </row>
    <row r="148" spans="1:2" x14ac:dyDescent="0.3">
      <c r="A148" s="1">
        <v>44046</v>
      </c>
      <c r="B148" s="4">
        <v>2254.15</v>
      </c>
    </row>
    <row r="149" spans="1:2" x14ac:dyDescent="0.3">
      <c r="A149" s="1">
        <v>44047</v>
      </c>
      <c r="B149" s="4">
        <v>2249.6999999999998</v>
      </c>
    </row>
    <row r="150" spans="1:2" x14ac:dyDescent="0.3">
      <c r="A150" s="1">
        <v>44048</v>
      </c>
      <c r="B150" s="4">
        <v>2259.5</v>
      </c>
    </row>
    <row r="151" spans="1:2" x14ac:dyDescent="0.3">
      <c r="A151" s="1">
        <v>44049</v>
      </c>
      <c r="B151" s="4">
        <v>2308.1</v>
      </c>
    </row>
    <row r="152" spans="1:2" x14ac:dyDescent="0.3">
      <c r="A152" s="1">
        <v>44050</v>
      </c>
      <c r="B152" s="4">
        <v>2295.35</v>
      </c>
    </row>
    <row r="153" spans="1:2" x14ac:dyDescent="0.3">
      <c r="A153" s="1">
        <v>44053</v>
      </c>
      <c r="B153" s="4">
        <v>2282.8000000000002</v>
      </c>
    </row>
    <row r="154" spans="1:2" x14ac:dyDescent="0.3">
      <c r="A154" s="1">
        <v>44054</v>
      </c>
      <c r="B154" s="4">
        <v>2279.9</v>
      </c>
    </row>
    <row r="155" spans="1:2" x14ac:dyDescent="0.3">
      <c r="A155" s="1">
        <v>44055</v>
      </c>
      <c r="B155" s="4">
        <v>2257.35</v>
      </c>
    </row>
    <row r="156" spans="1:2" x14ac:dyDescent="0.3">
      <c r="A156" s="1">
        <v>44056</v>
      </c>
      <c r="B156" s="4">
        <v>2254.4499999999998</v>
      </c>
    </row>
    <row r="157" spans="1:2" x14ac:dyDescent="0.3">
      <c r="A157" s="1">
        <v>44057</v>
      </c>
      <c r="B157" s="4">
        <v>2242.15</v>
      </c>
    </row>
    <row r="158" spans="1:2" x14ac:dyDescent="0.3">
      <c r="A158" s="1">
        <v>44060</v>
      </c>
      <c r="B158" s="4">
        <v>2253.4</v>
      </c>
    </row>
    <row r="159" spans="1:2" x14ac:dyDescent="0.3">
      <c r="A159" s="1">
        <v>44061</v>
      </c>
      <c r="B159" s="4">
        <v>2269.75</v>
      </c>
    </row>
    <row r="160" spans="1:2" x14ac:dyDescent="0.3">
      <c r="A160" s="1">
        <v>44062</v>
      </c>
      <c r="B160" s="4">
        <v>2256.6</v>
      </c>
    </row>
    <row r="161" spans="1:2" x14ac:dyDescent="0.3">
      <c r="A161" s="1">
        <v>44063</v>
      </c>
      <c r="B161" s="4">
        <v>2252.85</v>
      </c>
    </row>
    <row r="162" spans="1:2" x14ac:dyDescent="0.3">
      <c r="A162" s="1">
        <v>44064</v>
      </c>
      <c r="B162" s="4">
        <v>2248.6</v>
      </c>
    </row>
    <row r="163" spans="1:2" x14ac:dyDescent="0.3">
      <c r="A163" s="1">
        <v>44067</v>
      </c>
      <c r="B163" s="4">
        <v>2248.1</v>
      </c>
    </row>
    <row r="164" spans="1:2" x14ac:dyDescent="0.3">
      <c r="A164" s="1">
        <v>44068</v>
      </c>
      <c r="B164" s="4">
        <v>2242.65</v>
      </c>
    </row>
    <row r="165" spans="1:2" x14ac:dyDescent="0.3">
      <c r="A165" s="1">
        <v>44069</v>
      </c>
      <c r="B165" s="4">
        <v>2253.5</v>
      </c>
    </row>
    <row r="166" spans="1:2" x14ac:dyDescent="0.3">
      <c r="A166" s="1">
        <v>44070</v>
      </c>
      <c r="B166" s="4">
        <v>2248.4</v>
      </c>
    </row>
    <row r="167" spans="1:2" x14ac:dyDescent="0.3">
      <c r="A167" s="1">
        <v>44071</v>
      </c>
      <c r="B167" s="4">
        <v>2238.5500000000002</v>
      </c>
    </row>
    <row r="168" spans="1:2" x14ac:dyDescent="0.3">
      <c r="A168" s="1">
        <v>44074</v>
      </c>
      <c r="B168" s="4">
        <v>2257.25</v>
      </c>
    </row>
    <row r="169" spans="1:2" x14ac:dyDescent="0.3">
      <c r="A169" s="1">
        <v>44075</v>
      </c>
      <c r="B169" s="4">
        <v>2246.35</v>
      </c>
    </row>
    <row r="170" spans="1:2" x14ac:dyDescent="0.3">
      <c r="A170" s="1">
        <v>44076</v>
      </c>
      <c r="B170" s="4">
        <v>2265.15</v>
      </c>
    </row>
    <row r="171" spans="1:2" x14ac:dyDescent="0.3">
      <c r="A171" s="1">
        <v>44077</v>
      </c>
      <c r="B171" s="4">
        <v>2299.5</v>
      </c>
    </row>
    <row r="172" spans="1:2" x14ac:dyDescent="0.3">
      <c r="A172" s="1">
        <v>44078</v>
      </c>
      <c r="B172" s="4">
        <v>2288.8000000000002</v>
      </c>
    </row>
    <row r="173" spans="1:2" x14ac:dyDescent="0.3">
      <c r="A173" s="1">
        <v>44081</v>
      </c>
      <c r="B173" s="4">
        <v>2327.0500000000002</v>
      </c>
    </row>
    <row r="174" spans="1:2" x14ac:dyDescent="0.3">
      <c r="A174" s="1">
        <v>44082</v>
      </c>
      <c r="B174" s="4">
        <v>2348.1999999999998</v>
      </c>
    </row>
    <row r="175" spans="1:2" x14ac:dyDescent="0.3">
      <c r="A175" s="1">
        <v>44083</v>
      </c>
      <c r="B175" s="4">
        <v>2327.65</v>
      </c>
    </row>
    <row r="176" spans="1:2" x14ac:dyDescent="0.3">
      <c r="A176" s="1">
        <v>44084</v>
      </c>
      <c r="B176" s="4">
        <v>2331.15</v>
      </c>
    </row>
    <row r="177" spans="1:2" x14ac:dyDescent="0.3">
      <c r="A177" s="1">
        <v>44085</v>
      </c>
      <c r="B177" s="4">
        <v>2374.1</v>
      </c>
    </row>
    <row r="178" spans="1:2" x14ac:dyDescent="0.3">
      <c r="A178" s="1">
        <v>44088</v>
      </c>
      <c r="B178" s="4">
        <v>2491.4</v>
      </c>
    </row>
    <row r="179" spans="1:2" x14ac:dyDescent="0.3">
      <c r="A179" s="1">
        <v>44089</v>
      </c>
      <c r="B179" s="4">
        <v>2491.4</v>
      </c>
    </row>
    <row r="180" spans="1:2" x14ac:dyDescent="0.3">
      <c r="A180" s="1">
        <v>44090</v>
      </c>
      <c r="B180" s="4">
        <v>2503</v>
      </c>
    </row>
    <row r="181" spans="1:2" x14ac:dyDescent="0.3">
      <c r="A181" s="1">
        <v>44091</v>
      </c>
      <c r="B181" s="4">
        <v>2460.9499999999998</v>
      </c>
    </row>
    <row r="182" spans="1:2" x14ac:dyDescent="0.3">
      <c r="A182" s="1">
        <v>44092</v>
      </c>
      <c r="B182" s="4">
        <v>2449.9</v>
      </c>
    </row>
    <row r="183" spans="1:2" x14ac:dyDescent="0.3">
      <c r="A183" s="1">
        <v>44095</v>
      </c>
      <c r="B183" s="4">
        <v>2465.3000000000002</v>
      </c>
    </row>
    <row r="184" spans="1:2" x14ac:dyDescent="0.3">
      <c r="A184" s="1">
        <v>44096</v>
      </c>
      <c r="B184" s="4">
        <v>2522.9499999999998</v>
      </c>
    </row>
    <row r="185" spans="1:2" x14ac:dyDescent="0.3">
      <c r="A185" s="1">
        <v>44097</v>
      </c>
      <c r="B185" s="4">
        <v>2467.4499999999998</v>
      </c>
    </row>
    <row r="186" spans="1:2" x14ac:dyDescent="0.3">
      <c r="A186" s="1">
        <v>44098</v>
      </c>
      <c r="B186" s="4">
        <v>2332.25</v>
      </c>
    </row>
    <row r="187" spans="1:2" x14ac:dyDescent="0.3">
      <c r="A187" s="1">
        <v>44099</v>
      </c>
      <c r="B187" s="4">
        <v>2422.3000000000002</v>
      </c>
    </row>
    <row r="188" spans="1:2" x14ac:dyDescent="0.3">
      <c r="A188" s="1">
        <v>44102</v>
      </c>
      <c r="B188" s="4">
        <v>2426.3000000000002</v>
      </c>
    </row>
    <row r="189" spans="1:2" x14ac:dyDescent="0.3">
      <c r="A189" s="1">
        <v>44103</v>
      </c>
      <c r="B189" s="4">
        <v>2488.4</v>
      </c>
    </row>
    <row r="190" spans="1:2" x14ac:dyDescent="0.3">
      <c r="A190" s="1">
        <v>44104</v>
      </c>
      <c r="B190" s="4">
        <v>2492.3000000000002</v>
      </c>
    </row>
    <row r="191" spans="1:2" x14ac:dyDescent="0.3">
      <c r="A191" s="1">
        <v>44105</v>
      </c>
      <c r="B191" s="4">
        <v>2523.4499999999998</v>
      </c>
    </row>
    <row r="192" spans="1:2" x14ac:dyDescent="0.3">
      <c r="A192" s="1">
        <v>44109</v>
      </c>
      <c r="B192" s="4">
        <v>2705.8</v>
      </c>
    </row>
    <row r="193" spans="1:2" x14ac:dyDescent="0.3">
      <c r="A193" s="1">
        <v>44110</v>
      </c>
      <c r="B193" s="4">
        <v>2714.3</v>
      </c>
    </row>
    <row r="194" spans="1:2" x14ac:dyDescent="0.3">
      <c r="A194" s="1">
        <v>44111</v>
      </c>
      <c r="B194" s="4">
        <v>2735.95</v>
      </c>
    </row>
    <row r="195" spans="1:2" x14ac:dyDescent="0.3">
      <c r="A195" s="1">
        <v>44112</v>
      </c>
      <c r="B195" s="4">
        <v>2825.7</v>
      </c>
    </row>
    <row r="196" spans="1:2" x14ac:dyDescent="0.3">
      <c r="A196" s="1">
        <v>44113</v>
      </c>
      <c r="B196" s="4">
        <v>2812.95</v>
      </c>
    </row>
    <row r="197" spans="1:2" x14ac:dyDescent="0.3">
      <c r="A197" s="1">
        <v>44116</v>
      </c>
      <c r="B197" s="4">
        <v>2830</v>
      </c>
    </row>
    <row r="198" spans="1:2" x14ac:dyDescent="0.3">
      <c r="A198" s="1">
        <v>44117</v>
      </c>
      <c r="B198" s="4">
        <v>2826.55</v>
      </c>
    </row>
    <row r="199" spans="1:2" x14ac:dyDescent="0.3">
      <c r="A199" s="1">
        <v>44118</v>
      </c>
      <c r="B199" s="4">
        <v>2809.6</v>
      </c>
    </row>
    <row r="200" spans="1:2" x14ac:dyDescent="0.3">
      <c r="A200" s="1">
        <v>44119</v>
      </c>
      <c r="B200" s="4">
        <v>2740.6</v>
      </c>
    </row>
    <row r="201" spans="1:2" x14ac:dyDescent="0.3">
      <c r="A201" s="1">
        <v>44120</v>
      </c>
      <c r="B201" s="4">
        <v>2763.3</v>
      </c>
    </row>
    <row r="202" spans="1:2" x14ac:dyDescent="0.3">
      <c r="A202" s="1">
        <v>44123</v>
      </c>
      <c r="B202" s="4">
        <v>2711.55</v>
      </c>
    </row>
    <row r="203" spans="1:2" x14ac:dyDescent="0.3">
      <c r="A203" s="1">
        <v>44124</v>
      </c>
      <c r="B203" s="4">
        <v>2739</v>
      </c>
    </row>
    <row r="204" spans="1:2" x14ac:dyDescent="0.3">
      <c r="A204" s="1">
        <v>44125</v>
      </c>
      <c r="B204" s="4">
        <v>2675.4</v>
      </c>
    </row>
    <row r="205" spans="1:2" x14ac:dyDescent="0.3">
      <c r="A205" s="1">
        <v>44126</v>
      </c>
      <c r="B205" s="4">
        <v>2671.15</v>
      </c>
    </row>
    <row r="206" spans="1:2" x14ac:dyDescent="0.3">
      <c r="A206" s="1">
        <v>44127</v>
      </c>
      <c r="B206" s="4">
        <v>2686.8</v>
      </c>
    </row>
    <row r="207" spans="1:2" x14ac:dyDescent="0.3">
      <c r="A207" s="1">
        <v>44130</v>
      </c>
      <c r="B207" s="4">
        <v>2688.2</v>
      </c>
    </row>
    <row r="208" spans="1:2" x14ac:dyDescent="0.3">
      <c r="A208" s="1">
        <v>44131</v>
      </c>
      <c r="B208" s="4">
        <v>2630.15</v>
      </c>
    </row>
    <row r="209" spans="1:2" x14ac:dyDescent="0.3">
      <c r="A209" s="1">
        <v>44132</v>
      </c>
      <c r="B209" s="4">
        <v>2622.2</v>
      </c>
    </row>
    <row r="210" spans="1:2" x14ac:dyDescent="0.3">
      <c r="A210" s="1">
        <v>44133</v>
      </c>
      <c r="B210" s="4">
        <v>2632.65</v>
      </c>
    </row>
    <row r="211" spans="1:2" x14ac:dyDescent="0.3">
      <c r="A211" s="1">
        <v>44134</v>
      </c>
      <c r="B211" s="4">
        <v>2664.85</v>
      </c>
    </row>
    <row r="212" spans="1:2" x14ac:dyDescent="0.3">
      <c r="A212" s="1">
        <v>44137</v>
      </c>
      <c r="B212" s="4">
        <v>2604.6</v>
      </c>
    </row>
    <row r="213" spans="1:2" x14ac:dyDescent="0.3">
      <c r="A213" s="1">
        <v>44138</v>
      </c>
      <c r="B213" s="4">
        <v>2633.6</v>
      </c>
    </row>
    <row r="214" spans="1:2" x14ac:dyDescent="0.3">
      <c r="A214" s="1">
        <v>44139</v>
      </c>
      <c r="B214" s="4">
        <v>2653.15</v>
      </c>
    </row>
    <row r="215" spans="1:2" x14ac:dyDescent="0.3">
      <c r="A215" s="1">
        <v>44140</v>
      </c>
      <c r="B215" s="4">
        <v>2685.7</v>
      </c>
    </row>
    <row r="216" spans="1:2" x14ac:dyDescent="0.3">
      <c r="A216" s="1">
        <v>44141</v>
      </c>
      <c r="B216" s="4">
        <v>2707.45</v>
      </c>
    </row>
    <row r="217" spans="1:2" x14ac:dyDescent="0.3">
      <c r="A217" s="1">
        <v>44144</v>
      </c>
      <c r="B217" s="4">
        <v>2726.6</v>
      </c>
    </row>
    <row r="218" spans="1:2" x14ac:dyDescent="0.3">
      <c r="A218" s="1">
        <v>44145</v>
      </c>
      <c r="B218" s="4">
        <v>2649.6</v>
      </c>
    </row>
    <row r="219" spans="1:2" x14ac:dyDescent="0.3">
      <c r="A219" s="1">
        <v>44146</v>
      </c>
      <c r="B219" s="4">
        <v>2687.8</v>
      </c>
    </row>
    <row r="220" spans="1:2" x14ac:dyDescent="0.3">
      <c r="A220" s="1">
        <v>44147</v>
      </c>
      <c r="B220" s="4">
        <v>2671.05</v>
      </c>
    </row>
    <row r="221" spans="1:2" x14ac:dyDescent="0.3">
      <c r="A221" s="1">
        <v>44148</v>
      </c>
      <c r="B221" s="4">
        <v>2656.85</v>
      </c>
    </row>
    <row r="222" spans="1:2" x14ac:dyDescent="0.3">
      <c r="A222" s="1">
        <v>44152</v>
      </c>
      <c r="B222" s="4">
        <v>2666.05</v>
      </c>
    </row>
    <row r="223" spans="1:2" x14ac:dyDescent="0.3">
      <c r="A223" s="1">
        <v>44153</v>
      </c>
      <c r="B223" s="4">
        <v>2626.65</v>
      </c>
    </row>
    <row r="224" spans="1:2" x14ac:dyDescent="0.3">
      <c r="A224" s="1">
        <v>44154</v>
      </c>
      <c r="B224" s="4">
        <v>2636.9</v>
      </c>
    </row>
    <row r="225" spans="1:2" x14ac:dyDescent="0.3">
      <c r="A225" s="1">
        <v>44155</v>
      </c>
      <c r="B225" s="4">
        <v>2660.25</v>
      </c>
    </row>
    <row r="226" spans="1:2" x14ac:dyDescent="0.3">
      <c r="A226" s="1">
        <v>44158</v>
      </c>
      <c r="B226" s="4">
        <v>2724.25</v>
      </c>
    </row>
    <row r="227" spans="1:2" x14ac:dyDescent="0.3">
      <c r="A227" s="1">
        <v>44159</v>
      </c>
      <c r="B227" s="4">
        <v>2722.05</v>
      </c>
    </row>
    <row r="228" spans="1:2" x14ac:dyDescent="0.3">
      <c r="A228" s="1">
        <v>44160</v>
      </c>
      <c r="B228" s="4">
        <v>2701.3</v>
      </c>
    </row>
    <row r="229" spans="1:2" x14ac:dyDescent="0.3">
      <c r="A229" s="1">
        <v>44161</v>
      </c>
      <c r="B229" s="4">
        <v>2720.6</v>
      </c>
    </row>
    <row r="230" spans="1:2" x14ac:dyDescent="0.3">
      <c r="A230" s="1">
        <v>44162</v>
      </c>
      <c r="B230" s="4">
        <v>2679.65</v>
      </c>
    </row>
    <row r="231" spans="1:2" x14ac:dyDescent="0.3">
      <c r="A231" s="1">
        <v>44166</v>
      </c>
      <c r="B231" s="4">
        <v>2726.8</v>
      </c>
    </row>
    <row r="232" spans="1:2" x14ac:dyDescent="0.3">
      <c r="A232" s="1">
        <v>44167</v>
      </c>
      <c r="B232" s="4">
        <v>2749.55</v>
      </c>
    </row>
    <row r="233" spans="1:2" x14ac:dyDescent="0.3">
      <c r="A233" s="1">
        <v>44168</v>
      </c>
      <c r="B233" s="4">
        <v>2709.45</v>
      </c>
    </row>
    <row r="234" spans="1:2" x14ac:dyDescent="0.3">
      <c r="A234" s="1">
        <v>44169</v>
      </c>
      <c r="B234" s="4">
        <v>2727.55</v>
      </c>
    </row>
    <row r="235" spans="1:2" x14ac:dyDescent="0.3">
      <c r="A235" s="1">
        <v>44172</v>
      </c>
      <c r="B235" s="4">
        <v>2737.7</v>
      </c>
    </row>
    <row r="236" spans="1:2" x14ac:dyDescent="0.3">
      <c r="A236" s="1">
        <v>44173</v>
      </c>
      <c r="B236" s="4">
        <v>2797.3</v>
      </c>
    </row>
    <row r="237" spans="1:2" x14ac:dyDescent="0.3">
      <c r="A237" s="1">
        <v>44174</v>
      </c>
      <c r="B237" s="4">
        <v>2810.8</v>
      </c>
    </row>
    <row r="238" spans="1:2" x14ac:dyDescent="0.3">
      <c r="A238" s="1">
        <v>44175</v>
      </c>
      <c r="B238" s="4">
        <v>2784.3</v>
      </c>
    </row>
    <row r="239" spans="1:2" x14ac:dyDescent="0.3">
      <c r="A239" s="1">
        <v>44176</v>
      </c>
      <c r="B239" s="4">
        <v>2783.6</v>
      </c>
    </row>
    <row r="240" spans="1:2" x14ac:dyDescent="0.3">
      <c r="A240" s="1">
        <v>44179</v>
      </c>
      <c r="B240" s="4">
        <v>2797.7</v>
      </c>
    </row>
    <row r="241" spans="1:2" x14ac:dyDescent="0.3">
      <c r="A241" s="1">
        <v>44180</v>
      </c>
      <c r="B241" s="4">
        <v>2761.55</v>
      </c>
    </row>
    <row r="242" spans="1:2" x14ac:dyDescent="0.3">
      <c r="A242" s="1">
        <v>44181</v>
      </c>
      <c r="B242" s="4">
        <v>2814.2</v>
      </c>
    </row>
    <row r="243" spans="1:2" x14ac:dyDescent="0.3">
      <c r="A243" s="1">
        <v>44182</v>
      </c>
      <c r="B243" s="4">
        <v>2838.2</v>
      </c>
    </row>
    <row r="244" spans="1:2" x14ac:dyDescent="0.3">
      <c r="A244" s="1">
        <v>44183</v>
      </c>
      <c r="B244" s="4">
        <v>2861</v>
      </c>
    </row>
    <row r="245" spans="1:2" x14ac:dyDescent="0.3">
      <c r="A245" s="1">
        <v>44186</v>
      </c>
      <c r="B245" s="4">
        <v>2820.15</v>
      </c>
    </row>
    <row r="246" spans="1:2" x14ac:dyDescent="0.3">
      <c r="A246" s="1">
        <v>44187</v>
      </c>
      <c r="B246" s="4">
        <v>2872.5</v>
      </c>
    </row>
    <row r="247" spans="1:2" x14ac:dyDescent="0.3">
      <c r="A247" s="1">
        <v>44188</v>
      </c>
      <c r="B247" s="4">
        <v>2908.75</v>
      </c>
    </row>
    <row r="248" spans="1:2" x14ac:dyDescent="0.3">
      <c r="A248" s="1">
        <v>44189</v>
      </c>
      <c r="B248" s="4">
        <v>2909.35</v>
      </c>
    </row>
    <row r="249" spans="1:2" x14ac:dyDescent="0.3">
      <c r="A249" s="1">
        <v>44193</v>
      </c>
      <c r="B249" s="4">
        <v>2929.4</v>
      </c>
    </row>
    <row r="250" spans="1:2" x14ac:dyDescent="0.3">
      <c r="A250" s="1">
        <v>44194</v>
      </c>
      <c r="B250" s="4">
        <v>2930.5</v>
      </c>
    </row>
    <row r="251" spans="1:2" x14ac:dyDescent="0.3">
      <c r="A251" s="1">
        <v>44195</v>
      </c>
      <c r="B251" s="4">
        <v>2909.3</v>
      </c>
    </row>
    <row r="252" spans="1:2" x14ac:dyDescent="0.3">
      <c r="A252" s="1">
        <v>44196</v>
      </c>
      <c r="B252" s="4">
        <v>2862.75</v>
      </c>
    </row>
    <row r="253" spans="1:2" x14ac:dyDescent="0.3">
      <c r="A253" s="1">
        <v>44197</v>
      </c>
      <c r="B253" s="4">
        <v>2928.25</v>
      </c>
    </row>
    <row r="254" spans="1:2" x14ac:dyDescent="0.3">
      <c r="A254" s="1">
        <v>44200</v>
      </c>
      <c r="B254" s="4">
        <v>3039.45</v>
      </c>
    </row>
    <row r="255" spans="1:2" x14ac:dyDescent="0.3">
      <c r="A255" s="1">
        <v>44201</v>
      </c>
      <c r="B255" s="4">
        <v>3093</v>
      </c>
    </row>
    <row r="256" spans="1:2" x14ac:dyDescent="0.3">
      <c r="A256" s="1">
        <v>44202</v>
      </c>
      <c r="B256" s="4">
        <v>3051.5</v>
      </c>
    </row>
    <row r="257" spans="1:2" x14ac:dyDescent="0.3">
      <c r="A257" s="1">
        <v>44203</v>
      </c>
      <c r="B257" s="4">
        <v>3032.8</v>
      </c>
    </row>
    <row r="258" spans="1:2" x14ac:dyDescent="0.3">
      <c r="A258" s="1">
        <v>44204</v>
      </c>
      <c r="B258" s="4">
        <v>3120.9</v>
      </c>
    </row>
    <row r="259" spans="1:2" x14ac:dyDescent="0.3">
      <c r="A259" s="1">
        <v>44207</v>
      </c>
      <c r="B259" s="4">
        <v>3176.45</v>
      </c>
    </row>
    <row r="260" spans="1:2" x14ac:dyDescent="0.3">
      <c r="A260" s="1">
        <v>44208</v>
      </c>
      <c r="B260" s="4">
        <v>3174.85</v>
      </c>
    </row>
    <row r="261" spans="1:2" x14ac:dyDescent="0.3">
      <c r="A261" s="1">
        <v>44209</v>
      </c>
      <c r="B261" s="4">
        <v>3158.95</v>
      </c>
    </row>
    <row r="262" spans="1:2" x14ac:dyDescent="0.3">
      <c r="A262" s="1">
        <v>44210</v>
      </c>
      <c r="B262" s="4">
        <v>3250.7</v>
      </c>
    </row>
    <row r="263" spans="1:2" x14ac:dyDescent="0.3">
      <c r="A263" s="1">
        <v>44211</v>
      </c>
      <c r="B263" s="4">
        <v>3233.35</v>
      </c>
    </row>
    <row r="264" spans="1:2" x14ac:dyDescent="0.3">
      <c r="A264" s="1">
        <v>44214</v>
      </c>
      <c r="B264" s="4">
        <v>3221.75</v>
      </c>
    </row>
    <row r="265" spans="1:2" x14ac:dyDescent="0.3">
      <c r="A265" s="1">
        <v>44215</v>
      </c>
      <c r="B265" s="4">
        <v>3260.7</v>
      </c>
    </row>
    <row r="266" spans="1:2" x14ac:dyDescent="0.3">
      <c r="A266" s="1">
        <v>44216</v>
      </c>
      <c r="B266" s="4">
        <v>3308.8</v>
      </c>
    </row>
    <row r="267" spans="1:2" x14ac:dyDescent="0.3">
      <c r="A267" s="1">
        <v>44217</v>
      </c>
      <c r="B267" s="4">
        <v>3273.85</v>
      </c>
    </row>
    <row r="268" spans="1:2" x14ac:dyDescent="0.3">
      <c r="A268" s="1">
        <v>44218</v>
      </c>
      <c r="B268" s="4">
        <v>3303.1</v>
      </c>
    </row>
    <row r="269" spans="1:2" x14ac:dyDescent="0.3">
      <c r="A269" s="1">
        <v>44221</v>
      </c>
      <c r="B269" s="4">
        <v>3291.3</v>
      </c>
    </row>
    <row r="270" spans="1:2" x14ac:dyDescent="0.3">
      <c r="A270" s="1">
        <v>44223</v>
      </c>
      <c r="B270" s="4">
        <v>3261.05</v>
      </c>
    </row>
    <row r="271" spans="1:2" x14ac:dyDescent="0.3">
      <c r="A271" s="1">
        <v>44224</v>
      </c>
      <c r="B271" s="4">
        <v>3196.55</v>
      </c>
    </row>
    <row r="272" spans="1:2" x14ac:dyDescent="0.3">
      <c r="A272" s="1">
        <v>44225</v>
      </c>
      <c r="B272" s="4">
        <v>3111.35</v>
      </c>
    </row>
    <row r="273" spans="1:2" x14ac:dyDescent="0.3">
      <c r="A273" s="1">
        <v>44228</v>
      </c>
      <c r="B273" s="4">
        <v>3139.35</v>
      </c>
    </row>
    <row r="274" spans="1:2" x14ac:dyDescent="0.3">
      <c r="A274" s="1">
        <v>44229</v>
      </c>
      <c r="B274" s="4">
        <v>3203.45</v>
      </c>
    </row>
    <row r="275" spans="1:2" x14ac:dyDescent="0.3">
      <c r="A275" s="1">
        <v>44230</v>
      </c>
      <c r="B275" s="4">
        <v>3200.05</v>
      </c>
    </row>
    <row r="276" spans="1:2" x14ac:dyDescent="0.3">
      <c r="A276" s="1">
        <v>44231</v>
      </c>
      <c r="B276" s="4">
        <v>3188.45</v>
      </c>
    </row>
    <row r="277" spans="1:2" x14ac:dyDescent="0.3">
      <c r="A277" s="1">
        <v>44232</v>
      </c>
      <c r="B277" s="4">
        <v>3157.95</v>
      </c>
    </row>
    <row r="278" spans="1:2" x14ac:dyDescent="0.3">
      <c r="A278" s="1">
        <v>44235</v>
      </c>
      <c r="B278" s="4">
        <v>3214.1</v>
      </c>
    </row>
    <row r="279" spans="1:2" x14ac:dyDescent="0.3">
      <c r="A279" s="1">
        <v>44236</v>
      </c>
      <c r="B279" s="4">
        <v>3176.9</v>
      </c>
    </row>
    <row r="280" spans="1:2" x14ac:dyDescent="0.3">
      <c r="A280" s="1">
        <v>44237</v>
      </c>
      <c r="B280" s="4">
        <v>3213.3</v>
      </c>
    </row>
    <row r="281" spans="1:2" x14ac:dyDescent="0.3">
      <c r="A281" s="1">
        <v>44238</v>
      </c>
      <c r="B281" s="4">
        <v>3206</v>
      </c>
    </row>
    <row r="282" spans="1:2" x14ac:dyDescent="0.3">
      <c r="A282" s="1">
        <v>44239</v>
      </c>
      <c r="B282" s="4">
        <v>3190.8</v>
      </c>
    </row>
    <row r="283" spans="1:2" x14ac:dyDescent="0.3">
      <c r="A283" s="1">
        <v>44242</v>
      </c>
      <c r="B283" s="4">
        <v>3139.85</v>
      </c>
    </row>
    <row r="284" spans="1:2" x14ac:dyDescent="0.3">
      <c r="A284" s="1">
        <v>44243</v>
      </c>
      <c r="B284" s="4">
        <v>3108.8</v>
      </c>
    </row>
    <row r="285" spans="1:2" x14ac:dyDescent="0.3">
      <c r="A285" s="1">
        <v>44244</v>
      </c>
      <c r="B285" s="4">
        <v>3073.1</v>
      </c>
    </row>
    <row r="286" spans="1:2" x14ac:dyDescent="0.3">
      <c r="A286" s="1">
        <v>44245</v>
      </c>
      <c r="B286" s="4">
        <v>3057.35</v>
      </c>
    </row>
    <row r="287" spans="1:2" x14ac:dyDescent="0.3">
      <c r="A287" s="1">
        <v>44246</v>
      </c>
      <c r="B287" s="4">
        <v>3071.85</v>
      </c>
    </row>
    <row r="288" spans="1:2" x14ac:dyDescent="0.3">
      <c r="A288" s="1">
        <v>44249</v>
      </c>
      <c r="B288" s="4">
        <v>2958.45</v>
      </c>
    </row>
    <row r="289" spans="1:2" x14ac:dyDescent="0.3">
      <c r="A289" s="1">
        <v>44250</v>
      </c>
      <c r="B289" s="4">
        <v>2980.2</v>
      </c>
    </row>
    <row r="290" spans="1:2" x14ac:dyDescent="0.3">
      <c r="A290" s="1">
        <v>44251</v>
      </c>
      <c r="B290" s="4">
        <v>2948.1</v>
      </c>
    </row>
    <row r="291" spans="1:2" x14ac:dyDescent="0.3">
      <c r="A291" s="1">
        <v>44252</v>
      </c>
      <c r="B291" s="4">
        <v>2995.3</v>
      </c>
    </row>
    <row r="292" spans="1:2" x14ac:dyDescent="0.3">
      <c r="A292" s="1">
        <v>44253</v>
      </c>
      <c r="B292" s="4">
        <v>2894.3</v>
      </c>
    </row>
    <row r="293" spans="1:2" x14ac:dyDescent="0.3">
      <c r="A293" s="1">
        <v>44256</v>
      </c>
      <c r="B293" s="4">
        <v>2924.2</v>
      </c>
    </row>
    <row r="294" spans="1:2" x14ac:dyDescent="0.3">
      <c r="A294" s="1">
        <v>44257</v>
      </c>
      <c r="B294" s="4">
        <v>3006.35</v>
      </c>
    </row>
    <row r="295" spans="1:2" x14ac:dyDescent="0.3">
      <c r="A295" s="1">
        <v>44258</v>
      </c>
      <c r="B295" s="4">
        <v>3059.1</v>
      </c>
    </row>
    <row r="296" spans="1:2" x14ac:dyDescent="0.3">
      <c r="A296" s="1">
        <v>44259</v>
      </c>
      <c r="B296" s="4">
        <v>3049.7</v>
      </c>
    </row>
    <row r="297" spans="1:2" x14ac:dyDescent="0.3">
      <c r="A297" s="1">
        <v>44260</v>
      </c>
      <c r="B297" s="4">
        <v>3008.05</v>
      </c>
    </row>
    <row r="298" spans="1:2" x14ac:dyDescent="0.3">
      <c r="A298" s="1">
        <v>44263</v>
      </c>
      <c r="B298" s="4">
        <v>3006.95</v>
      </c>
    </row>
    <row r="299" spans="1:2" x14ac:dyDescent="0.3">
      <c r="A299" s="1">
        <v>44264</v>
      </c>
      <c r="B299" s="4">
        <v>3050.95</v>
      </c>
    </row>
    <row r="300" spans="1:2" x14ac:dyDescent="0.3">
      <c r="A300" s="1">
        <v>44265</v>
      </c>
      <c r="B300" s="4">
        <v>3070.95</v>
      </c>
    </row>
    <row r="301" spans="1:2" x14ac:dyDescent="0.3">
      <c r="A301" s="1">
        <v>44267</v>
      </c>
      <c r="B301" s="4">
        <v>3057.95</v>
      </c>
    </row>
    <row r="302" spans="1:2" x14ac:dyDescent="0.3">
      <c r="A302" s="1">
        <v>44270</v>
      </c>
      <c r="B302" s="4">
        <v>3066.15</v>
      </c>
    </row>
    <row r="303" spans="1:2" x14ac:dyDescent="0.3">
      <c r="A303" s="1">
        <v>44271</v>
      </c>
      <c r="B303" s="4">
        <v>3110.05</v>
      </c>
    </row>
    <row r="304" spans="1:2" x14ac:dyDescent="0.3">
      <c r="A304" s="1">
        <v>44272</v>
      </c>
      <c r="B304" s="4">
        <v>3112.95</v>
      </c>
    </row>
    <row r="305" spans="1:2" x14ac:dyDescent="0.3">
      <c r="A305" s="1">
        <v>44273</v>
      </c>
      <c r="B305" s="4">
        <v>3036.5</v>
      </c>
    </row>
    <row r="306" spans="1:2" x14ac:dyDescent="0.3">
      <c r="A306" s="1">
        <v>44274</v>
      </c>
      <c r="B306" s="4">
        <v>3050.2</v>
      </c>
    </row>
    <row r="307" spans="1:2" x14ac:dyDescent="0.3">
      <c r="A307" s="1">
        <v>44277</v>
      </c>
      <c r="B307" s="4">
        <v>3129.65</v>
      </c>
    </row>
    <row r="308" spans="1:2" x14ac:dyDescent="0.3">
      <c r="A308" s="1">
        <v>44278</v>
      </c>
      <c r="B308" s="4">
        <v>3142.6</v>
      </c>
    </row>
    <row r="309" spans="1:2" x14ac:dyDescent="0.3">
      <c r="A309" s="1">
        <v>44279</v>
      </c>
      <c r="B309" s="4">
        <v>3121.1</v>
      </c>
    </row>
    <row r="310" spans="1:2" x14ac:dyDescent="0.3">
      <c r="A310" s="1">
        <v>44280</v>
      </c>
      <c r="B310" s="4">
        <v>3064.85</v>
      </c>
    </row>
    <row r="311" spans="1:2" x14ac:dyDescent="0.3">
      <c r="A311" s="1">
        <v>44281</v>
      </c>
      <c r="B311" s="4">
        <v>3066.8</v>
      </c>
    </row>
    <row r="312" spans="1:2" x14ac:dyDescent="0.3">
      <c r="A312" s="1">
        <v>44285</v>
      </c>
      <c r="B312" s="4">
        <v>3158.55</v>
      </c>
    </row>
    <row r="313" spans="1:2" x14ac:dyDescent="0.3">
      <c r="A313" s="1">
        <v>44286</v>
      </c>
      <c r="B313" s="4">
        <v>3177.85</v>
      </c>
    </row>
    <row r="314" spans="1:2" x14ac:dyDescent="0.3">
      <c r="A314" s="1">
        <v>44287</v>
      </c>
      <c r="B314" s="4">
        <v>3165</v>
      </c>
    </row>
    <row r="315" spans="1:2" x14ac:dyDescent="0.3">
      <c r="A315" s="1">
        <v>44291</v>
      </c>
      <c r="B315" s="4">
        <v>3238.9</v>
      </c>
    </row>
    <row r="316" spans="1:2" x14ac:dyDescent="0.3">
      <c r="A316" s="1">
        <v>44292</v>
      </c>
      <c r="B316" s="4">
        <v>3264.7</v>
      </c>
    </row>
    <row r="317" spans="1:2" x14ac:dyDescent="0.3">
      <c r="A317" s="1">
        <v>44293</v>
      </c>
      <c r="B317" s="4">
        <v>3271.4</v>
      </c>
    </row>
    <row r="318" spans="1:2" x14ac:dyDescent="0.3">
      <c r="A318" s="1">
        <v>44294</v>
      </c>
      <c r="B318" s="4">
        <v>3317.35</v>
      </c>
    </row>
    <row r="319" spans="1:2" x14ac:dyDescent="0.3">
      <c r="A319" s="1">
        <v>44295</v>
      </c>
      <c r="B319" s="4">
        <v>3322.25</v>
      </c>
    </row>
    <row r="320" spans="1:2" x14ac:dyDescent="0.3">
      <c r="A320" s="1">
        <v>44298</v>
      </c>
      <c r="B320" s="4">
        <v>3246.55</v>
      </c>
    </row>
    <row r="321" spans="1:2" x14ac:dyDescent="0.3">
      <c r="A321" s="1">
        <v>44299</v>
      </c>
      <c r="B321" s="4">
        <v>3104.05</v>
      </c>
    </row>
    <row r="322" spans="1:2" x14ac:dyDescent="0.3">
      <c r="A322" s="1">
        <v>44301</v>
      </c>
      <c r="B322" s="4">
        <v>3218.95</v>
      </c>
    </row>
    <row r="323" spans="1:2" x14ac:dyDescent="0.3">
      <c r="A323" s="1">
        <v>44302</v>
      </c>
      <c r="B323" s="4">
        <v>3195.15</v>
      </c>
    </row>
    <row r="324" spans="1:2" x14ac:dyDescent="0.3">
      <c r="A324" s="1">
        <v>44305</v>
      </c>
      <c r="B324" s="4">
        <v>3161.8</v>
      </c>
    </row>
    <row r="325" spans="1:2" x14ac:dyDescent="0.3">
      <c r="A325" s="1">
        <v>44306</v>
      </c>
      <c r="B325" s="4">
        <v>3144.55</v>
      </c>
    </row>
    <row r="326" spans="1:2" x14ac:dyDescent="0.3">
      <c r="A326" s="1">
        <v>44308</v>
      </c>
      <c r="B326" s="4">
        <v>3118.8</v>
      </c>
    </row>
    <row r="327" spans="1:2" x14ac:dyDescent="0.3">
      <c r="A327" s="1">
        <v>44309</v>
      </c>
      <c r="B327" s="4">
        <v>3109.5</v>
      </c>
    </row>
    <row r="328" spans="1:2" x14ac:dyDescent="0.3">
      <c r="A328" s="1">
        <v>44312</v>
      </c>
      <c r="B328" s="4">
        <v>3100.8</v>
      </c>
    </row>
    <row r="329" spans="1:2" x14ac:dyDescent="0.3">
      <c r="A329" s="1">
        <v>44313</v>
      </c>
      <c r="B329" s="4">
        <v>3132</v>
      </c>
    </row>
    <row r="330" spans="1:2" x14ac:dyDescent="0.3">
      <c r="A330" s="1">
        <v>44314</v>
      </c>
      <c r="B330" s="4">
        <v>3124.1</v>
      </c>
    </row>
    <row r="331" spans="1:2" x14ac:dyDescent="0.3">
      <c r="A331" s="1">
        <v>44315</v>
      </c>
      <c r="B331" s="4">
        <v>3115.25</v>
      </c>
    </row>
    <row r="332" spans="1:2" x14ac:dyDescent="0.3">
      <c r="A332" s="1">
        <v>44316</v>
      </c>
      <c r="B332" s="4">
        <v>3035.65</v>
      </c>
    </row>
    <row r="333" spans="1:2" x14ac:dyDescent="0.3">
      <c r="A333" s="1">
        <v>44319</v>
      </c>
      <c r="B333" s="4">
        <v>3037</v>
      </c>
    </row>
    <row r="334" spans="1:2" x14ac:dyDescent="0.3">
      <c r="A334" s="1">
        <v>44320</v>
      </c>
      <c r="B334" s="4">
        <v>3049.75</v>
      </c>
    </row>
    <row r="335" spans="1:2" x14ac:dyDescent="0.3">
      <c r="A335" s="1">
        <v>44321</v>
      </c>
      <c r="B335" s="4">
        <v>3095.7</v>
      </c>
    </row>
    <row r="336" spans="1:2" x14ac:dyDescent="0.3">
      <c r="A336" s="1">
        <v>44322</v>
      </c>
      <c r="B336" s="4">
        <v>3111.45</v>
      </c>
    </row>
    <row r="337" spans="1:2" x14ac:dyDescent="0.3">
      <c r="A337" s="1">
        <v>44323</v>
      </c>
      <c r="B337" s="4">
        <v>3132.9</v>
      </c>
    </row>
    <row r="338" spans="1:2" x14ac:dyDescent="0.3">
      <c r="A338" s="1">
        <v>44326</v>
      </c>
      <c r="B338" s="4">
        <v>3145.5</v>
      </c>
    </row>
    <row r="339" spans="1:2" x14ac:dyDescent="0.3">
      <c r="A339" s="1">
        <v>44327</v>
      </c>
      <c r="B339" s="4">
        <v>3122.6</v>
      </c>
    </row>
    <row r="340" spans="1:2" x14ac:dyDescent="0.3">
      <c r="A340" s="1">
        <v>44328</v>
      </c>
      <c r="B340" s="4">
        <v>3087.6</v>
      </c>
    </row>
    <row r="341" spans="1:2" x14ac:dyDescent="0.3">
      <c r="A341" s="1">
        <v>44330</v>
      </c>
      <c r="B341" s="4">
        <v>3051.5</v>
      </c>
    </row>
    <row r="342" spans="1:2" x14ac:dyDescent="0.3">
      <c r="A342" s="1">
        <v>44333</v>
      </c>
      <c r="B342" s="4">
        <v>3069.75</v>
      </c>
    </row>
    <row r="343" spans="1:2" x14ac:dyDescent="0.3">
      <c r="A343" s="1">
        <v>44334</v>
      </c>
      <c r="B343" s="4">
        <v>3088.8</v>
      </c>
    </row>
    <row r="344" spans="1:2" x14ac:dyDescent="0.3">
      <c r="A344" s="1">
        <v>44335</v>
      </c>
      <c r="B344" s="4">
        <v>3082</v>
      </c>
    </row>
    <row r="345" spans="1:2" x14ac:dyDescent="0.3">
      <c r="A345" s="1">
        <v>44336</v>
      </c>
      <c r="B345" s="4">
        <v>3060</v>
      </c>
    </row>
    <row r="346" spans="1:2" x14ac:dyDescent="0.3">
      <c r="A346" s="1">
        <v>44337</v>
      </c>
      <c r="B346" s="4">
        <v>3080.5</v>
      </c>
    </row>
    <row r="347" spans="1:2" x14ac:dyDescent="0.3">
      <c r="A347" s="1">
        <v>44340</v>
      </c>
      <c r="B347" s="4">
        <v>3081.5</v>
      </c>
    </row>
    <row r="348" spans="1:2" x14ac:dyDescent="0.3">
      <c r="A348" s="1">
        <v>44341</v>
      </c>
      <c r="B348" s="4">
        <v>3114</v>
      </c>
    </row>
    <row r="349" spans="1:2" x14ac:dyDescent="0.3">
      <c r="A349" s="1">
        <v>44342</v>
      </c>
      <c r="B349" s="4">
        <v>3158.5</v>
      </c>
    </row>
    <row r="350" spans="1:2" x14ac:dyDescent="0.3">
      <c r="A350" s="1">
        <v>44343</v>
      </c>
      <c r="B350" s="4">
        <v>3180</v>
      </c>
    </row>
    <row r="351" spans="1:2" x14ac:dyDescent="0.3">
      <c r="A351" s="1">
        <v>44344</v>
      </c>
      <c r="B351" s="4">
        <v>3143.6</v>
      </c>
    </row>
    <row r="352" spans="1:2" x14ac:dyDescent="0.3">
      <c r="A352" s="1">
        <v>44347</v>
      </c>
      <c r="B352" s="4">
        <v>3159.15</v>
      </c>
    </row>
    <row r="353" spans="1:2" x14ac:dyDescent="0.3">
      <c r="A353" s="1">
        <v>44348</v>
      </c>
      <c r="B353" s="4">
        <v>3153</v>
      </c>
    </row>
    <row r="354" spans="1:2" x14ac:dyDescent="0.3">
      <c r="A354" s="1">
        <v>44349</v>
      </c>
      <c r="B354" s="4">
        <v>3129.45</v>
      </c>
    </row>
    <row r="355" spans="1:2" x14ac:dyDescent="0.3">
      <c r="A355" s="1">
        <v>44350</v>
      </c>
      <c r="B355" s="4">
        <v>3141.25</v>
      </c>
    </row>
    <row r="356" spans="1:2" x14ac:dyDescent="0.3">
      <c r="A356" s="1">
        <v>44351</v>
      </c>
      <c r="B356" s="4">
        <v>3143.75</v>
      </c>
    </row>
    <row r="357" spans="1:2" x14ac:dyDescent="0.3">
      <c r="A357" s="1">
        <v>44354</v>
      </c>
      <c r="B357" s="4">
        <v>3183.2</v>
      </c>
    </row>
    <row r="358" spans="1:2" x14ac:dyDescent="0.3">
      <c r="A358" s="1">
        <v>44355</v>
      </c>
      <c r="B358" s="4">
        <v>3200.15</v>
      </c>
    </row>
    <row r="359" spans="1:2" x14ac:dyDescent="0.3">
      <c r="A359" s="1">
        <v>44356</v>
      </c>
      <c r="B359" s="4">
        <v>3200.25</v>
      </c>
    </row>
    <row r="360" spans="1:2" x14ac:dyDescent="0.3">
      <c r="A360" s="1">
        <v>44357</v>
      </c>
      <c r="B360" s="4">
        <v>3216.8</v>
      </c>
    </row>
    <row r="361" spans="1:2" x14ac:dyDescent="0.3">
      <c r="A361" s="1">
        <v>44358</v>
      </c>
      <c r="B361" s="4">
        <v>3273.8</v>
      </c>
    </row>
    <row r="362" spans="1:2" x14ac:dyDescent="0.3">
      <c r="A362" s="1">
        <v>44361</v>
      </c>
      <c r="B362" s="4">
        <v>3276.35</v>
      </c>
    </row>
    <row r="363" spans="1:2" x14ac:dyDescent="0.3">
      <c r="A363" s="1">
        <v>44362</v>
      </c>
      <c r="B363" s="4">
        <v>3262.75</v>
      </c>
    </row>
    <row r="364" spans="1:2" x14ac:dyDescent="0.3">
      <c r="A364" s="1">
        <v>44363</v>
      </c>
      <c r="B364" s="4">
        <v>3274.35</v>
      </c>
    </row>
    <row r="365" spans="1:2" x14ac:dyDescent="0.3">
      <c r="A365" s="1">
        <v>44364</v>
      </c>
      <c r="B365" s="4">
        <v>3317.75</v>
      </c>
    </row>
    <row r="366" spans="1:2" x14ac:dyDescent="0.3">
      <c r="A366" s="1">
        <v>44365</v>
      </c>
      <c r="B366" s="4">
        <v>3297.3</v>
      </c>
    </row>
    <row r="367" spans="1:2" x14ac:dyDescent="0.3">
      <c r="A367" s="1">
        <v>44368</v>
      </c>
      <c r="B367" s="4">
        <v>3273.1</v>
      </c>
    </row>
    <row r="368" spans="1:2" x14ac:dyDescent="0.3">
      <c r="A368" s="1">
        <v>44369</v>
      </c>
      <c r="B368" s="4">
        <v>3301.2</v>
      </c>
    </row>
    <row r="369" spans="1:2" x14ac:dyDescent="0.3">
      <c r="A369" s="1">
        <v>44370</v>
      </c>
      <c r="B369" s="4">
        <v>3261.4</v>
      </c>
    </row>
    <row r="370" spans="1:2" x14ac:dyDescent="0.3">
      <c r="A370" s="1">
        <v>44371</v>
      </c>
      <c r="B370" s="4">
        <v>3373.6</v>
      </c>
    </row>
    <row r="371" spans="1:2" x14ac:dyDescent="0.3">
      <c r="A371" s="1">
        <v>44372</v>
      </c>
      <c r="B371" s="4">
        <v>3380.8</v>
      </c>
    </row>
    <row r="372" spans="1:2" x14ac:dyDescent="0.3">
      <c r="A372" s="1">
        <v>44375</v>
      </c>
      <c r="B372" s="4">
        <v>3336.75</v>
      </c>
    </row>
    <row r="373" spans="1:2" x14ac:dyDescent="0.3">
      <c r="A373" s="1">
        <v>44376</v>
      </c>
      <c r="B373" s="4">
        <v>3340.85</v>
      </c>
    </row>
    <row r="374" spans="1:2" x14ac:dyDescent="0.3">
      <c r="A374" s="1">
        <v>44377</v>
      </c>
      <c r="B374" s="4">
        <v>3345.75</v>
      </c>
    </row>
    <row r="375" spans="1:2" x14ac:dyDescent="0.3">
      <c r="A375" s="1">
        <v>44378</v>
      </c>
      <c r="B375" s="4">
        <v>3341.5</v>
      </c>
    </row>
    <row r="376" spans="1:2" x14ac:dyDescent="0.3">
      <c r="A376" s="1">
        <v>44379</v>
      </c>
      <c r="B376" s="4">
        <v>3325.45</v>
      </c>
    </row>
    <row r="377" spans="1:2" x14ac:dyDescent="0.3">
      <c r="A377" s="1">
        <v>44382</v>
      </c>
      <c r="B377" s="4">
        <v>3321</v>
      </c>
    </row>
    <row r="378" spans="1:2" x14ac:dyDescent="0.3">
      <c r="A378" s="1">
        <v>44383</v>
      </c>
      <c r="B378" s="4">
        <v>3262.3</v>
      </c>
    </row>
    <row r="379" spans="1:2" x14ac:dyDescent="0.3">
      <c r="A379" s="1">
        <v>44384</v>
      </c>
      <c r="B379" s="4">
        <v>3274.95</v>
      </c>
    </row>
    <row r="380" spans="1:2" x14ac:dyDescent="0.3">
      <c r="A380" s="1">
        <v>44385</v>
      </c>
      <c r="B380" s="4">
        <v>3258.5</v>
      </c>
    </row>
    <row r="381" spans="1:2" x14ac:dyDescent="0.3">
      <c r="A381" s="1">
        <v>44386</v>
      </c>
      <c r="B381" s="4">
        <v>3208.15</v>
      </c>
    </row>
    <row r="382" spans="1:2" x14ac:dyDescent="0.3">
      <c r="A382" s="1">
        <v>44389</v>
      </c>
      <c r="B382" s="4">
        <v>3193.1</v>
      </c>
    </row>
    <row r="383" spans="1:2" x14ac:dyDescent="0.3">
      <c r="A383" s="1">
        <v>44390</v>
      </c>
      <c r="B383" s="4">
        <v>3187.55</v>
      </c>
    </row>
    <row r="384" spans="1:2" x14ac:dyDescent="0.3">
      <c r="A384" s="1">
        <v>44391</v>
      </c>
      <c r="B384" s="4">
        <v>3214.55</v>
      </c>
    </row>
    <row r="385" spans="1:2" x14ac:dyDescent="0.3">
      <c r="A385" s="1">
        <v>44392</v>
      </c>
      <c r="B385" s="4">
        <v>3202.95</v>
      </c>
    </row>
    <row r="386" spans="1:2" x14ac:dyDescent="0.3">
      <c r="A386" s="1">
        <v>44393</v>
      </c>
      <c r="B386" s="4">
        <v>3194.8</v>
      </c>
    </row>
    <row r="387" spans="1:2" x14ac:dyDescent="0.3">
      <c r="A387" s="1">
        <v>44396</v>
      </c>
      <c r="B387" s="4">
        <v>3184.6</v>
      </c>
    </row>
    <row r="388" spans="1:2" x14ac:dyDescent="0.3">
      <c r="A388" s="1">
        <v>44397</v>
      </c>
      <c r="B388" s="4">
        <v>3205.8</v>
      </c>
    </row>
    <row r="389" spans="1:2" x14ac:dyDescent="0.3">
      <c r="A389" s="1">
        <v>44399</v>
      </c>
      <c r="B389" s="4">
        <v>3216.35</v>
      </c>
    </row>
    <row r="390" spans="1:2" x14ac:dyDescent="0.3">
      <c r="A390" s="1">
        <v>44400</v>
      </c>
      <c r="B390" s="4">
        <v>3212.85</v>
      </c>
    </row>
    <row r="391" spans="1:2" x14ac:dyDescent="0.3">
      <c r="A391" s="1">
        <v>44403</v>
      </c>
      <c r="B391" s="4">
        <v>3197.55</v>
      </c>
    </row>
    <row r="392" spans="1:2" x14ac:dyDescent="0.3">
      <c r="A392" s="1">
        <v>44404</v>
      </c>
      <c r="B392" s="4">
        <v>3182.95</v>
      </c>
    </row>
    <row r="393" spans="1:2" x14ac:dyDescent="0.3">
      <c r="A393" s="1">
        <v>44405</v>
      </c>
      <c r="B393" s="4">
        <v>3197.8</v>
      </c>
    </row>
    <row r="394" spans="1:2" x14ac:dyDescent="0.3">
      <c r="A394" s="1">
        <v>44406</v>
      </c>
      <c r="B394" s="4">
        <v>3195.8</v>
      </c>
    </row>
    <row r="395" spans="1:2" x14ac:dyDescent="0.3">
      <c r="A395" s="1">
        <v>44407</v>
      </c>
      <c r="B395" s="4">
        <v>3167.45</v>
      </c>
    </row>
    <row r="396" spans="1:2" x14ac:dyDescent="0.3">
      <c r="A396" s="1">
        <v>44410</v>
      </c>
      <c r="B396" s="4">
        <v>3219.4</v>
      </c>
    </row>
    <row r="397" spans="1:2" x14ac:dyDescent="0.3">
      <c r="A397" s="1">
        <v>44411</v>
      </c>
      <c r="B397" s="4">
        <v>3284.9</v>
      </c>
    </row>
    <row r="398" spans="1:2" x14ac:dyDescent="0.3">
      <c r="A398" s="1">
        <v>44412</v>
      </c>
      <c r="B398" s="4">
        <v>3273.95</v>
      </c>
    </row>
    <row r="399" spans="1:2" x14ac:dyDescent="0.3">
      <c r="A399" s="1">
        <v>44413</v>
      </c>
      <c r="B399" s="4">
        <v>3283.95</v>
      </c>
    </row>
    <row r="400" spans="1:2" x14ac:dyDescent="0.3">
      <c r="A400" s="1">
        <v>44414</v>
      </c>
      <c r="B400" s="4">
        <v>3309.8</v>
      </c>
    </row>
    <row r="401" spans="1:2" x14ac:dyDescent="0.3">
      <c r="A401" s="1">
        <v>44417</v>
      </c>
      <c r="B401" s="4">
        <v>3322.7</v>
      </c>
    </row>
    <row r="402" spans="1:2" x14ac:dyDescent="0.3">
      <c r="A402" s="1">
        <v>44418</v>
      </c>
      <c r="B402" s="4">
        <v>3333.9</v>
      </c>
    </row>
    <row r="403" spans="1:2" x14ac:dyDescent="0.3">
      <c r="A403" s="1">
        <v>44419</v>
      </c>
      <c r="B403" s="4">
        <v>3344.2</v>
      </c>
    </row>
    <row r="404" spans="1:2" x14ac:dyDescent="0.3">
      <c r="A404" s="1">
        <v>44420</v>
      </c>
      <c r="B404" s="4">
        <v>3351.75</v>
      </c>
    </row>
    <row r="405" spans="1:2" x14ac:dyDescent="0.3">
      <c r="A405" s="1">
        <v>44421</v>
      </c>
      <c r="B405" s="4">
        <v>3463.4</v>
      </c>
    </row>
    <row r="406" spans="1:2" x14ac:dyDescent="0.3">
      <c r="A406" s="1">
        <v>44424</v>
      </c>
      <c r="B406" s="4">
        <v>3472.95</v>
      </c>
    </row>
    <row r="407" spans="1:2" x14ac:dyDescent="0.3">
      <c r="A407" s="1">
        <v>44425</v>
      </c>
      <c r="B407" s="4">
        <v>3553.05</v>
      </c>
    </row>
    <row r="408" spans="1:2" x14ac:dyDescent="0.3">
      <c r="A408" s="1">
        <v>44426</v>
      </c>
      <c r="B408" s="4">
        <v>3560.55</v>
      </c>
    </row>
    <row r="409" spans="1:2" x14ac:dyDescent="0.3">
      <c r="A409" s="1">
        <v>44428</v>
      </c>
      <c r="B409" s="4">
        <v>3559.5</v>
      </c>
    </row>
    <row r="410" spans="1:2" x14ac:dyDescent="0.3">
      <c r="A410" s="1">
        <v>44431</v>
      </c>
      <c r="B410" s="4">
        <v>3637.4</v>
      </c>
    </row>
    <row r="411" spans="1:2" x14ac:dyDescent="0.3">
      <c r="A411" s="1">
        <v>44432</v>
      </c>
      <c r="B411" s="4">
        <v>3613.2</v>
      </c>
    </row>
    <row r="412" spans="1:2" x14ac:dyDescent="0.3">
      <c r="A412" s="1">
        <v>44433</v>
      </c>
      <c r="B412" s="4">
        <v>3659</v>
      </c>
    </row>
    <row r="413" spans="1:2" x14ac:dyDescent="0.3">
      <c r="A413" s="1">
        <v>44434</v>
      </c>
      <c r="B413" s="4">
        <v>3671.85</v>
      </c>
    </row>
    <row r="414" spans="1:2" x14ac:dyDescent="0.3">
      <c r="A414" s="1">
        <v>44435</v>
      </c>
      <c r="B414" s="4">
        <v>3720.15</v>
      </c>
    </row>
    <row r="415" spans="1:2" x14ac:dyDescent="0.3">
      <c r="A415" s="1">
        <v>44438</v>
      </c>
      <c r="B415" s="4">
        <v>3701.3</v>
      </c>
    </row>
    <row r="416" spans="1:2" x14ac:dyDescent="0.3">
      <c r="A416" s="1">
        <v>44439</v>
      </c>
      <c r="B416" s="4">
        <v>3786.45</v>
      </c>
    </row>
    <row r="417" spans="1:2" x14ac:dyDescent="0.3">
      <c r="A417" s="1">
        <v>44440</v>
      </c>
      <c r="B417" s="4">
        <v>3714.95</v>
      </c>
    </row>
    <row r="418" spans="1:2" x14ac:dyDescent="0.3">
      <c r="A418" s="1">
        <v>44441</v>
      </c>
      <c r="B418" s="4">
        <v>3836.75</v>
      </c>
    </row>
    <row r="419" spans="1:2" x14ac:dyDescent="0.3">
      <c r="A419" s="1">
        <v>44442</v>
      </c>
      <c r="B419" s="4">
        <v>3842.05</v>
      </c>
    </row>
    <row r="420" spans="1:2" x14ac:dyDescent="0.3">
      <c r="A420" s="1">
        <v>44445</v>
      </c>
      <c r="B420" s="4">
        <v>3852</v>
      </c>
    </row>
    <row r="421" spans="1:2" x14ac:dyDescent="0.3">
      <c r="A421" s="1">
        <v>44446</v>
      </c>
      <c r="B421" s="4">
        <v>3815.9</v>
      </c>
    </row>
    <row r="422" spans="1:2" x14ac:dyDescent="0.3">
      <c r="A422" s="1">
        <v>44447</v>
      </c>
      <c r="B422" s="4">
        <v>3774.15</v>
      </c>
    </row>
    <row r="423" spans="1:2" x14ac:dyDescent="0.3">
      <c r="A423" s="1">
        <v>44448</v>
      </c>
      <c r="B423" s="4">
        <v>3791.4</v>
      </c>
    </row>
    <row r="424" spans="1:2" x14ac:dyDescent="0.3">
      <c r="A424" s="1">
        <v>44452</v>
      </c>
      <c r="B424" s="4">
        <v>3845.35</v>
      </c>
    </row>
    <row r="425" spans="1:2" x14ac:dyDescent="0.3">
      <c r="A425" s="1">
        <v>44453</v>
      </c>
      <c r="B425" s="4">
        <v>3885.9</v>
      </c>
    </row>
    <row r="426" spans="1:2" x14ac:dyDescent="0.3">
      <c r="A426" s="1">
        <v>44454</v>
      </c>
      <c r="B426" s="4">
        <v>3954.55</v>
      </c>
    </row>
    <row r="427" spans="1:2" x14ac:dyDescent="0.3">
      <c r="A427" s="1">
        <v>44455</v>
      </c>
      <c r="B427" s="4">
        <v>3903.3</v>
      </c>
    </row>
    <row r="428" spans="1:2" x14ac:dyDescent="0.3">
      <c r="A428" s="1">
        <v>44456</v>
      </c>
      <c r="B428" s="4">
        <v>3827.85</v>
      </c>
    </row>
    <row r="429" spans="1:2" x14ac:dyDescent="0.3">
      <c r="A429" s="1">
        <v>44459</v>
      </c>
      <c r="B429" s="4">
        <v>3823.5</v>
      </c>
    </row>
    <row r="430" spans="1:2" x14ac:dyDescent="0.3">
      <c r="A430" s="1">
        <v>44460</v>
      </c>
      <c r="B430" s="4">
        <v>3862.95</v>
      </c>
    </row>
    <row r="431" spans="1:2" x14ac:dyDescent="0.3">
      <c r="A431" s="1">
        <v>44461</v>
      </c>
      <c r="B431" s="4">
        <v>3862.15</v>
      </c>
    </row>
    <row r="432" spans="1:2" x14ac:dyDescent="0.3">
      <c r="A432" s="1">
        <v>44462</v>
      </c>
      <c r="B432" s="4">
        <v>3869.25</v>
      </c>
    </row>
    <row r="433" spans="1:2" x14ac:dyDescent="0.3">
      <c r="A433" s="1">
        <v>44463</v>
      </c>
      <c r="B433" s="4">
        <v>3871.3</v>
      </c>
    </row>
    <row r="434" spans="1:2" x14ac:dyDescent="0.3">
      <c r="A434" s="1">
        <v>44466</v>
      </c>
      <c r="B434" s="4">
        <v>3836.95</v>
      </c>
    </row>
    <row r="435" spans="1:2" x14ac:dyDescent="0.3">
      <c r="A435" s="1">
        <v>44467</v>
      </c>
      <c r="B435" s="4">
        <v>3779.15</v>
      </c>
    </row>
    <row r="436" spans="1:2" x14ac:dyDescent="0.3">
      <c r="A436" s="1">
        <v>44468</v>
      </c>
      <c r="B436" s="4">
        <v>3791.9</v>
      </c>
    </row>
    <row r="437" spans="1:2" x14ac:dyDescent="0.3">
      <c r="A437" s="1">
        <v>44469</v>
      </c>
      <c r="B437" s="4">
        <v>3775.55</v>
      </c>
    </row>
    <row r="438" spans="1:2" x14ac:dyDescent="0.3">
      <c r="A438" s="1">
        <v>44470</v>
      </c>
      <c r="B438" s="4">
        <v>3730.2</v>
      </c>
    </row>
    <row r="439" spans="1:2" x14ac:dyDescent="0.3">
      <c r="A439" s="1">
        <v>44473</v>
      </c>
      <c r="B439" s="4">
        <v>3773.3</v>
      </c>
    </row>
    <row r="440" spans="1:2" x14ac:dyDescent="0.3">
      <c r="A440" s="1">
        <v>44474</v>
      </c>
      <c r="B440" s="4">
        <v>3833.3</v>
      </c>
    </row>
    <row r="441" spans="1:2" x14ac:dyDescent="0.3">
      <c r="A441" s="1">
        <v>44475</v>
      </c>
      <c r="B441" s="4">
        <v>3810.9</v>
      </c>
    </row>
    <row r="442" spans="1:2" x14ac:dyDescent="0.3">
      <c r="A442" s="1">
        <v>44476</v>
      </c>
      <c r="B442" s="4">
        <v>3892.9</v>
      </c>
    </row>
    <row r="443" spans="1:2" x14ac:dyDescent="0.3">
      <c r="A443" s="1">
        <v>44477</v>
      </c>
      <c r="B443" s="4">
        <v>3935.65</v>
      </c>
    </row>
    <row r="444" spans="1:2" x14ac:dyDescent="0.3">
      <c r="A444" s="1">
        <v>44480</v>
      </c>
      <c r="B444" s="4">
        <v>3685.6</v>
      </c>
    </row>
    <row r="445" spans="1:2" x14ac:dyDescent="0.3">
      <c r="A445" s="1">
        <v>44481</v>
      </c>
      <c r="B445" s="4">
        <v>3652.85</v>
      </c>
    </row>
    <row r="446" spans="1:2" x14ac:dyDescent="0.3">
      <c r="A446" s="1">
        <v>44482</v>
      </c>
      <c r="B446" s="4">
        <v>3655.2</v>
      </c>
    </row>
    <row r="447" spans="1:2" x14ac:dyDescent="0.3">
      <c r="A447" s="1">
        <v>44483</v>
      </c>
      <c r="B447" s="4">
        <v>3611.45</v>
      </c>
    </row>
    <row r="448" spans="1:2" x14ac:dyDescent="0.3">
      <c r="A448" s="1">
        <v>44487</v>
      </c>
      <c r="B448" s="4">
        <v>3647.15</v>
      </c>
    </row>
    <row r="449" spans="1:2" x14ac:dyDescent="0.3">
      <c r="A449" s="1">
        <v>44488</v>
      </c>
      <c r="B449" s="4">
        <v>3634.15</v>
      </c>
    </row>
    <row r="450" spans="1:2" x14ac:dyDescent="0.3">
      <c r="A450" s="1">
        <v>44489</v>
      </c>
      <c r="B450" s="4">
        <v>3608.85</v>
      </c>
    </row>
    <row r="451" spans="1:2" x14ac:dyDescent="0.3">
      <c r="A451" s="1">
        <v>44490</v>
      </c>
      <c r="B451" s="4">
        <v>3532.5</v>
      </c>
    </row>
    <row r="452" spans="1:2" x14ac:dyDescent="0.3">
      <c r="A452" s="1">
        <v>44491</v>
      </c>
      <c r="B452" s="4">
        <v>3498.85</v>
      </c>
    </row>
    <row r="453" spans="1:2" x14ac:dyDescent="0.3">
      <c r="A453" s="1">
        <v>44494</v>
      </c>
      <c r="B453" s="4">
        <v>3492.95</v>
      </c>
    </row>
    <row r="454" spans="1:2" x14ac:dyDescent="0.3">
      <c r="A454" s="1">
        <v>44495</v>
      </c>
      <c r="B454" s="4">
        <v>3482.6</v>
      </c>
    </row>
    <row r="455" spans="1:2" x14ac:dyDescent="0.3">
      <c r="A455" s="1">
        <v>44496</v>
      </c>
      <c r="B455" s="4">
        <v>3489.75</v>
      </c>
    </row>
    <row r="456" spans="1:2" x14ac:dyDescent="0.3">
      <c r="A456" s="1">
        <v>44497</v>
      </c>
      <c r="B456" s="4">
        <v>3421.65</v>
      </c>
    </row>
    <row r="457" spans="1:2" x14ac:dyDescent="0.3">
      <c r="A457" s="1">
        <v>44498</v>
      </c>
      <c r="B457" s="4">
        <v>3397.75</v>
      </c>
    </row>
    <row r="458" spans="1:2" x14ac:dyDescent="0.3">
      <c r="A458" s="1">
        <v>44501</v>
      </c>
      <c r="B458" s="4">
        <v>3476.4</v>
      </c>
    </row>
    <row r="459" spans="1:2" x14ac:dyDescent="0.3">
      <c r="A459" s="1">
        <v>44502</v>
      </c>
      <c r="B459" s="4">
        <v>3484.2</v>
      </c>
    </row>
    <row r="460" spans="1:2" x14ac:dyDescent="0.3">
      <c r="A460" s="1">
        <v>44503</v>
      </c>
      <c r="B460" s="4">
        <v>3492.25</v>
      </c>
    </row>
    <row r="461" spans="1:2" x14ac:dyDescent="0.3">
      <c r="A461" s="1">
        <v>44504</v>
      </c>
      <c r="B461" s="4">
        <v>3508.65</v>
      </c>
    </row>
    <row r="462" spans="1:2" x14ac:dyDescent="0.3">
      <c r="A462" s="1">
        <v>44508</v>
      </c>
      <c r="B462" s="4">
        <v>3502.75</v>
      </c>
    </row>
    <row r="463" spans="1:2" x14ac:dyDescent="0.3">
      <c r="A463" s="1">
        <v>44509</v>
      </c>
      <c r="B463" s="4">
        <v>3505.7</v>
      </c>
    </row>
    <row r="464" spans="1:2" x14ac:dyDescent="0.3">
      <c r="A464" s="1">
        <v>44510</v>
      </c>
      <c r="B464" s="4">
        <v>3484.3</v>
      </c>
    </row>
    <row r="465" spans="1:2" x14ac:dyDescent="0.3">
      <c r="A465" s="1">
        <v>44511</v>
      </c>
      <c r="B465" s="4">
        <v>3488.2</v>
      </c>
    </row>
    <row r="466" spans="1:2" x14ac:dyDescent="0.3">
      <c r="A466" s="1">
        <v>44512</v>
      </c>
      <c r="B466" s="4">
        <v>3526.05</v>
      </c>
    </row>
    <row r="467" spans="1:2" x14ac:dyDescent="0.3">
      <c r="A467" s="1">
        <v>44515</v>
      </c>
      <c r="B467" s="4">
        <v>3553.3</v>
      </c>
    </row>
    <row r="468" spans="1:2" x14ac:dyDescent="0.3">
      <c r="A468" s="1">
        <v>44516</v>
      </c>
      <c r="B468" s="4">
        <v>3556.4</v>
      </c>
    </row>
    <row r="469" spans="1:2" x14ac:dyDescent="0.3">
      <c r="A469" s="1">
        <v>44517</v>
      </c>
      <c r="B469" s="4">
        <v>3521.9</v>
      </c>
    </row>
    <row r="470" spans="1:2" x14ac:dyDescent="0.3">
      <c r="A470" s="1">
        <v>44518</v>
      </c>
      <c r="B470" s="4">
        <v>3475.7</v>
      </c>
    </row>
    <row r="471" spans="1:2" x14ac:dyDescent="0.3">
      <c r="A471" s="1">
        <v>44522</v>
      </c>
      <c r="B471" s="4">
        <v>3458.4</v>
      </c>
    </row>
    <row r="472" spans="1:2" x14ac:dyDescent="0.3">
      <c r="A472" s="1">
        <v>44523</v>
      </c>
      <c r="B472" s="4">
        <v>3464.25</v>
      </c>
    </row>
    <row r="473" spans="1:2" x14ac:dyDescent="0.3">
      <c r="A473" s="1">
        <v>44524</v>
      </c>
      <c r="B473" s="4">
        <v>3443.3</v>
      </c>
    </row>
    <row r="474" spans="1:2" x14ac:dyDescent="0.3">
      <c r="A474" s="1">
        <v>44525</v>
      </c>
      <c r="B474" s="4">
        <v>3445.9</v>
      </c>
    </row>
    <row r="475" spans="1:2" x14ac:dyDescent="0.3">
      <c r="A475" s="1">
        <v>44526</v>
      </c>
      <c r="B475" s="4">
        <v>3446.85</v>
      </c>
    </row>
    <row r="476" spans="1:2" x14ac:dyDescent="0.3">
      <c r="A476" s="1">
        <v>44529</v>
      </c>
      <c r="B476" s="4">
        <v>3502</v>
      </c>
    </row>
    <row r="477" spans="1:2" x14ac:dyDescent="0.3">
      <c r="A477" s="1">
        <v>44530</v>
      </c>
      <c r="B477" s="4">
        <v>3529.15</v>
      </c>
    </row>
    <row r="478" spans="1:2" x14ac:dyDescent="0.3">
      <c r="A478" s="1">
        <v>44531</v>
      </c>
      <c r="B478" s="4">
        <v>3577.8</v>
      </c>
    </row>
    <row r="479" spans="1:2" x14ac:dyDescent="0.3">
      <c r="A479" s="1">
        <v>44532</v>
      </c>
      <c r="B479" s="4">
        <v>3642.9</v>
      </c>
    </row>
    <row r="480" spans="1:2" x14ac:dyDescent="0.3">
      <c r="A480" s="1">
        <v>44533</v>
      </c>
      <c r="B480" s="4">
        <v>3640.45</v>
      </c>
    </row>
    <row r="481" spans="1:2" x14ac:dyDescent="0.3">
      <c r="A481" s="1">
        <v>44536</v>
      </c>
      <c r="B481" s="4">
        <v>3536.4</v>
      </c>
    </row>
    <row r="482" spans="1:2" x14ac:dyDescent="0.3">
      <c r="A482" s="1">
        <v>44537</v>
      </c>
      <c r="B482" s="4">
        <v>3584.5</v>
      </c>
    </row>
    <row r="483" spans="1:2" x14ac:dyDescent="0.3">
      <c r="A483" s="1">
        <v>44538</v>
      </c>
      <c r="B483" s="4">
        <v>3626.9</v>
      </c>
    </row>
    <row r="484" spans="1:2" x14ac:dyDescent="0.3">
      <c r="A484" s="1">
        <v>44539</v>
      </c>
      <c r="B484" s="4">
        <v>3601.75</v>
      </c>
    </row>
    <row r="485" spans="1:2" x14ac:dyDescent="0.3">
      <c r="A485" s="1">
        <v>44540</v>
      </c>
      <c r="B485" s="4">
        <v>3636.8</v>
      </c>
    </row>
    <row r="486" spans="1:2" x14ac:dyDescent="0.3">
      <c r="A486" s="1">
        <v>44543</v>
      </c>
      <c r="B486" s="4">
        <v>3609.65</v>
      </c>
    </row>
    <row r="487" spans="1:2" x14ac:dyDescent="0.3">
      <c r="A487" s="1">
        <v>44544</v>
      </c>
      <c r="B487" s="4">
        <v>3623.8</v>
      </c>
    </row>
    <row r="488" spans="1:2" x14ac:dyDescent="0.3">
      <c r="A488" s="1">
        <v>44545</v>
      </c>
      <c r="B488" s="4">
        <v>3570.35</v>
      </c>
    </row>
    <row r="489" spans="1:2" x14ac:dyDescent="0.3">
      <c r="A489" s="1">
        <v>44546</v>
      </c>
      <c r="B489" s="4">
        <v>3581.6</v>
      </c>
    </row>
    <row r="490" spans="1:2" x14ac:dyDescent="0.3">
      <c r="A490" s="1">
        <v>44547</v>
      </c>
      <c r="B490" s="4">
        <v>3584.35</v>
      </c>
    </row>
    <row r="491" spans="1:2" x14ac:dyDescent="0.3">
      <c r="A491" s="1">
        <v>44550</v>
      </c>
      <c r="B491" s="4">
        <v>3556.9</v>
      </c>
    </row>
    <row r="492" spans="1:2" x14ac:dyDescent="0.3">
      <c r="A492" s="1">
        <v>44551</v>
      </c>
      <c r="B492" s="4">
        <v>3608.3</v>
      </c>
    </row>
    <row r="493" spans="1:2" x14ac:dyDescent="0.3">
      <c r="A493" s="1">
        <v>44552</v>
      </c>
      <c r="B493" s="4">
        <v>3630.75</v>
      </c>
    </row>
    <row r="494" spans="1:2" x14ac:dyDescent="0.3">
      <c r="A494" s="1">
        <v>44553</v>
      </c>
      <c r="B494" s="4">
        <v>3662.7</v>
      </c>
    </row>
    <row r="495" spans="1:2" x14ac:dyDescent="0.3">
      <c r="A495" s="1">
        <v>44554</v>
      </c>
      <c r="B495" s="4">
        <v>3670.9</v>
      </c>
    </row>
    <row r="496" spans="1:2" x14ac:dyDescent="0.3">
      <c r="A496" s="1">
        <v>44557</v>
      </c>
      <c r="B496" s="4">
        <v>3696.1</v>
      </c>
    </row>
    <row r="497" spans="1:2" x14ac:dyDescent="0.3">
      <c r="A497" s="1">
        <v>44558</v>
      </c>
      <c r="B497" s="4">
        <v>3706.55</v>
      </c>
    </row>
    <row r="498" spans="1:2" x14ac:dyDescent="0.3">
      <c r="A498" s="1">
        <v>44559</v>
      </c>
      <c r="B498" s="4">
        <v>3694.7</v>
      </c>
    </row>
    <row r="499" spans="1:2" x14ac:dyDescent="0.3">
      <c r="A499" s="1">
        <v>44560</v>
      </c>
      <c r="B499" s="4">
        <v>3733.75</v>
      </c>
    </row>
    <row r="500" spans="1:2" x14ac:dyDescent="0.3">
      <c r="A500" s="1">
        <v>44561</v>
      </c>
      <c r="B500" s="4">
        <v>3738.35</v>
      </c>
    </row>
    <row r="501" spans="1:2" x14ac:dyDescent="0.3">
      <c r="A501" s="1">
        <v>44564</v>
      </c>
      <c r="B501" s="4">
        <v>3817.75</v>
      </c>
    </row>
    <row r="502" spans="1:2" x14ac:dyDescent="0.3">
      <c r="A502" s="1">
        <v>44565</v>
      </c>
      <c r="B502" s="4">
        <v>3884.75</v>
      </c>
    </row>
    <row r="503" spans="1:2" x14ac:dyDescent="0.3">
      <c r="A503" s="1">
        <v>44566</v>
      </c>
      <c r="B503" s="4">
        <v>3860.95</v>
      </c>
    </row>
    <row r="504" spans="1:2" x14ac:dyDescent="0.3">
      <c r="A504" s="1">
        <v>44567</v>
      </c>
      <c r="B504" s="4">
        <v>3807.45</v>
      </c>
    </row>
    <row r="505" spans="1:2" x14ac:dyDescent="0.3">
      <c r="A505" s="1">
        <v>44568</v>
      </c>
      <c r="B505" s="4">
        <v>3853.5</v>
      </c>
    </row>
    <row r="506" spans="1:2" x14ac:dyDescent="0.3">
      <c r="A506" s="1">
        <v>44571</v>
      </c>
      <c r="B506" s="4">
        <v>3879.85</v>
      </c>
    </row>
    <row r="507" spans="1:2" x14ac:dyDescent="0.3">
      <c r="A507" s="1">
        <v>44572</v>
      </c>
      <c r="B507" s="4">
        <v>3915.9</v>
      </c>
    </row>
    <row r="508" spans="1:2" x14ac:dyDescent="0.3">
      <c r="A508" s="1">
        <v>44573</v>
      </c>
      <c r="B508" s="4">
        <v>3859.9</v>
      </c>
    </row>
    <row r="509" spans="1:2" x14ac:dyDescent="0.3">
      <c r="A509" s="1">
        <v>44574</v>
      </c>
      <c r="B509" s="4">
        <v>3897.9</v>
      </c>
    </row>
    <row r="510" spans="1:2" x14ac:dyDescent="0.3">
      <c r="A510" s="1">
        <v>44575</v>
      </c>
      <c r="B510" s="4">
        <v>3968.15</v>
      </c>
    </row>
    <row r="511" spans="1:2" x14ac:dyDescent="0.3">
      <c r="A511" s="1">
        <v>44578</v>
      </c>
      <c r="B511" s="4">
        <v>4019.15</v>
      </c>
    </row>
    <row r="512" spans="1:2" x14ac:dyDescent="0.3">
      <c r="A512" s="1">
        <v>44579</v>
      </c>
      <c r="B512" s="4">
        <v>3990.6</v>
      </c>
    </row>
    <row r="513" spans="1:2" x14ac:dyDescent="0.3">
      <c r="A513" s="1">
        <v>44580</v>
      </c>
      <c r="B513" s="4">
        <v>3914.65</v>
      </c>
    </row>
    <row r="514" spans="1:2" x14ac:dyDescent="0.3">
      <c r="A514" s="1">
        <v>44581</v>
      </c>
      <c r="B514" s="4">
        <v>3826.55</v>
      </c>
    </row>
    <row r="515" spans="1:2" x14ac:dyDescent="0.3">
      <c r="A515" s="1">
        <v>44582</v>
      </c>
      <c r="B515" s="4">
        <v>3833.5</v>
      </c>
    </row>
    <row r="516" spans="1:2" x14ac:dyDescent="0.3">
      <c r="A516" s="1">
        <v>44585</v>
      </c>
      <c r="B516" s="4">
        <v>3771.35</v>
      </c>
    </row>
    <row r="517" spans="1:2" x14ac:dyDescent="0.3">
      <c r="A517" s="1">
        <v>44586</v>
      </c>
      <c r="B517" s="4">
        <v>3769.9</v>
      </c>
    </row>
    <row r="518" spans="1:2" x14ac:dyDescent="0.3">
      <c r="A518" s="1">
        <v>44588</v>
      </c>
      <c r="B518" s="4">
        <v>3649.25</v>
      </c>
    </row>
    <row r="519" spans="1:2" x14ac:dyDescent="0.3">
      <c r="A519" s="1">
        <v>44589</v>
      </c>
      <c r="B519" s="4">
        <v>3690.05</v>
      </c>
    </row>
    <row r="520" spans="1:2" x14ac:dyDescent="0.3">
      <c r="A520" s="1">
        <v>44592</v>
      </c>
      <c r="B520" s="4">
        <v>3736.25</v>
      </c>
    </row>
    <row r="521" spans="1:2" x14ac:dyDescent="0.3">
      <c r="A521" s="1">
        <v>44593</v>
      </c>
      <c r="B521" s="4">
        <v>3800.65</v>
      </c>
    </row>
    <row r="522" spans="1:2" x14ac:dyDescent="0.3">
      <c r="A522" s="1">
        <v>44594</v>
      </c>
      <c r="B522" s="4">
        <v>3856.2</v>
      </c>
    </row>
    <row r="523" spans="1:2" x14ac:dyDescent="0.3">
      <c r="A523" s="1">
        <v>44595</v>
      </c>
      <c r="B523" s="4">
        <v>3824.6</v>
      </c>
    </row>
    <row r="524" spans="1:2" x14ac:dyDescent="0.3">
      <c r="A524" s="1">
        <v>44596</v>
      </c>
      <c r="B524" s="4">
        <v>3814.9</v>
      </c>
    </row>
    <row r="525" spans="1:2" x14ac:dyDescent="0.3">
      <c r="A525" s="1">
        <v>44599</v>
      </c>
      <c r="B525" s="4">
        <v>3779</v>
      </c>
    </row>
    <row r="526" spans="1:2" x14ac:dyDescent="0.3">
      <c r="A526" s="1">
        <v>44600</v>
      </c>
      <c r="B526" s="4">
        <v>3743.45</v>
      </c>
    </row>
    <row r="527" spans="1:2" x14ac:dyDescent="0.3">
      <c r="A527" s="1">
        <v>44601</v>
      </c>
      <c r="B527" s="4">
        <v>3760.55</v>
      </c>
    </row>
    <row r="528" spans="1:2" x14ac:dyDescent="0.3">
      <c r="A528" s="1">
        <v>44602</v>
      </c>
      <c r="B528" s="4">
        <v>3770.35</v>
      </c>
    </row>
    <row r="529" spans="1:2" x14ac:dyDescent="0.3">
      <c r="A529" s="1">
        <v>44603</v>
      </c>
      <c r="B529" s="4">
        <v>3694.95</v>
      </c>
    </row>
    <row r="530" spans="1:2" x14ac:dyDescent="0.3">
      <c r="A530" s="1">
        <v>44606</v>
      </c>
      <c r="B530" s="4">
        <v>3733.75</v>
      </c>
    </row>
    <row r="531" spans="1:2" x14ac:dyDescent="0.3">
      <c r="A531" s="1">
        <v>44607</v>
      </c>
      <c r="B531" s="4">
        <v>3817.8</v>
      </c>
    </row>
    <row r="532" spans="1:2" x14ac:dyDescent="0.3">
      <c r="A532" s="1">
        <v>44608</v>
      </c>
      <c r="B532" s="4">
        <v>3813.1</v>
      </c>
    </row>
    <row r="533" spans="1:2" x14ac:dyDescent="0.3">
      <c r="A533" s="1">
        <v>44609</v>
      </c>
      <c r="B533" s="4">
        <v>3784.2</v>
      </c>
    </row>
    <row r="534" spans="1:2" x14ac:dyDescent="0.3">
      <c r="A534" s="1">
        <v>44610</v>
      </c>
      <c r="B534" s="4">
        <v>3793.9</v>
      </c>
    </row>
    <row r="535" spans="1:2" x14ac:dyDescent="0.3">
      <c r="A535" s="1">
        <v>44613</v>
      </c>
      <c r="B535" s="4">
        <v>3719.4</v>
      </c>
    </row>
    <row r="536" spans="1:2" x14ac:dyDescent="0.3">
      <c r="A536" s="1">
        <v>44614</v>
      </c>
      <c r="B536" s="4">
        <v>3586.4</v>
      </c>
    </row>
    <row r="537" spans="1:2" x14ac:dyDescent="0.3">
      <c r="A537" s="1">
        <v>44615</v>
      </c>
      <c r="B537" s="4">
        <v>3563.8</v>
      </c>
    </row>
    <row r="538" spans="1:2" x14ac:dyDescent="0.3">
      <c r="A538" s="1">
        <v>44616</v>
      </c>
      <c r="B538" s="4">
        <v>3401.65</v>
      </c>
    </row>
    <row r="539" spans="1:2" x14ac:dyDescent="0.3">
      <c r="A539" s="1">
        <v>44617</v>
      </c>
      <c r="B539" s="4">
        <v>3520.75</v>
      </c>
    </row>
    <row r="540" spans="1:2" x14ac:dyDescent="0.3">
      <c r="A540" s="1">
        <v>44620</v>
      </c>
      <c r="B540" s="4">
        <v>3554.2</v>
      </c>
    </row>
    <row r="541" spans="1:2" x14ac:dyDescent="0.3">
      <c r="A541" s="1">
        <v>44622</v>
      </c>
      <c r="B541" s="4">
        <v>3546.15</v>
      </c>
    </row>
    <row r="542" spans="1:2" x14ac:dyDescent="0.3">
      <c r="A542" s="1">
        <v>44623</v>
      </c>
      <c r="B542" s="4">
        <v>3544.4</v>
      </c>
    </row>
    <row r="543" spans="1:2" x14ac:dyDescent="0.3">
      <c r="A543" s="1">
        <v>44624</v>
      </c>
      <c r="B543" s="4">
        <v>3524.35</v>
      </c>
    </row>
    <row r="544" spans="1:2" x14ac:dyDescent="0.3">
      <c r="A544" s="1">
        <v>44627</v>
      </c>
      <c r="B544" s="4">
        <v>3484.9</v>
      </c>
    </row>
    <row r="545" spans="1:2" x14ac:dyDescent="0.3">
      <c r="A545" s="1">
        <v>44628</v>
      </c>
      <c r="B545" s="4">
        <v>3599.95</v>
      </c>
    </row>
    <row r="546" spans="1:2" x14ac:dyDescent="0.3">
      <c r="A546" s="1">
        <v>44629</v>
      </c>
      <c r="B546" s="4">
        <v>3632.6</v>
      </c>
    </row>
    <row r="547" spans="1:2" x14ac:dyDescent="0.3">
      <c r="A547" s="1">
        <v>44630</v>
      </c>
      <c r="B547" s="4">
        <v>3620.95</v>
      </c>
    </row>
    <row r="548" spans="1:2" x14ac:dyDescent="0.3">
      <c r="A548" s="1">
        <v>44631</v>
      </c>
      <c r="B548" s="4">
        <v>3599.15</v>
      </c>
    </row>
    <row r="549" spans="1:2" x14ac:dyDescent="0.3">
      <c r="A549" s="1">
        <v>44634</v>
      </c>
      <c r="B549" s="4">
        <v>3643</v>
      </c>
    </row>
    <row r="550" spans="1:2" x14ac:dyDescent="0.3">
      <c r="A550" s="1">
        <v>44635</v>
      </c>
      <c r="B550" s="4">
        <v>3593.9</v>
      </c>
    </row>
    <row r="551" spans="1:2" x14ac:dyDescent="0.3">
      <c r="A551" s="1">
        <v>44636</v>
      </c>
      <c r="B551" s="4">
        <v>3655.9</v>
      </c>
    </row>
    <row r="552" spans="1:2" x14ac:dyDescent="0.3">
      <c r="A552" s="1">
        <v>44637</v>
      </c>
      <c r="B552" s="4">
        <v>3672.75</v>
      </c>
    </row>
    <row r="553" spans="1:2" x14ac:dyDescent="0.3">
      <c r="A553" s="1">
        <v>44641</v>
      </c>
      <c r="B553" s="4">
        <v>3626.7</v>
      </c>
    </row>
    <row r="554" spans="1:2" x14ac:dyDescent="0.3">
      <c r="A554" s="1">
        <v>44642</v>
      </c>
      <c r="B554" s="4">
        <v>3700.95</v>
      </c>
    </row>
    <row r="555" spans="1:2" x14ac:dyDescent="0.3">
      <c r="A555" s="1">
        <v>44643</v>
      </c>
      <c r="B555" s="4">
        <v>3712.4</v>
      </c>
    </row>
    <row r="556" spans="1:2" x14ac:dyDescent="0.3">
      <c r="A556" s="1">
        <v>44644</v>
      </c>
      <c r="B556" s="4">
        <v>3749.85</v>
      </c>
    </row>
    <row r="557" spans="1:2" x14ac:dyDescent="0.3">
      <c r="A557" s="1">
        <v>44645</v>
      </c>
      <c r="B557" s="4">
        <v>3707.45</v>
      </c>
    </row>
    <row r="558" spans="1:2" x14ac:dyDescent="0.3">
      <c r="A558" s="1">
        <v>44648</v>
      </c>
      <c r="B558" s="4">
        <v>3707.7</v>
      </c>
    </row>
    <row r="559" spans="1:2" x14ac:dyDescent="0.3">
      <c r="A559" s="1">
        <v>44649</v>
      </c>
      <c r="B559" s="4">
        <v>3705.35</v>
      </c>
    </row>
    <row r="560" spans="1:2" x14ac:dyDescent="0.3">
      <c r="A560" s="1">
        <v>44650</v>
      </c>
      <c r="B560" s="4">
        <v>3731.55</v>
      </c>
    </row>
    <row r="561" spans="1:2" x14ac:dyDescent="0.3">
      <c r="A561" s="1">
        <v>44651</v>
      </c>
      <c r="B561" s="4">
        <v>3739.95</v>
      </c>
    </row>
    <row r="562" spans="1:2" x14ac:dyDescent="0.3">
      <c r="A562" s="1">
        <v>44652</v>
      </c>
      <c r="B562" s="4">
        <v>3758.75</v>
      </c>
    </row>
    <row r="563" spans="1:2" x14ac:dyDescent="0.3">
      <c r="A563" s="1">
        <v>44655</v>
      </c>
      <c r="B563" s="4">
        <v>3770.35</v>
      </c>
    </row>
    <row r="564" spans="1:2" x14ac:dyDescent="0.3">
      <c r="A564" s="1">
        <v>44656</v>
      </c>
      <c r="B564" s="4">
        <v>3814.8</v>
      </c>
    </row>
    <row r="565" spans="1:2" x14ac:dyDescent="0.3">
      <c r="A565" s="1">
        <v>44657</v>
      </c>
      <c r="B565" s="4">
        <v>3755.35</v>
      </c>
    </row>
    <row r="566" spans="1:2" x14ac:dyDescent="0.3">
      <c r="A566" s="1">
        <v>44658</v>
      </c>
      <c r="B566" s="4">
        <v>3684.15</v>
      </c>
    </row>
    <row r="567" spans="1:2" x14ac:dyDescent="0.3">
      <c r="A567" s="1">
        <v>44659</v>
      </c>
      <c r="B567" s="4">
        <v>3685.65</v>
      </c>
    </row>
    <row r="568" spans="1:2" x14ac:dyDescent="0.3">
      <c r="A568" s="1">
        <v>44662</v>
      </c>
      <c r="B568" s="4">
        <v>3696.4</v>
      </c>
    </row>
    <row r="569" spans="1:2" x14ac:dyDescent="0.3">
      <c r="A569" s="1">
        <v>44663</v>
      </c>
      <c r="B569" s="4">
        <v>3691.1</v>
      </c>
    </row>
    <row r="570" spans="1:2" x14ac:dyDescent="0.3">
      <c r="A570" s="1">
        <v>44664</v>
      </c>
      <c r="B570" s="4">
        <v>3661.95</v>
      </c>
    </row>
    <row r="571" spans="1:2" x14ac:dyDescent="0.3">
      <c r="A571" s="1">
        <v>44669</v>
      </c>
      <c r="B571" s="4">
        <v>3528.05</v>
      </c>
    </row>
    <row r="572" spans="1:2" x14ac:dyDescent="0.3">
      <c r="A572" s="1">
        <v>44670</v>
      </c>
      <c r="B572" s="4">
        <v>3471.9</v>
      </c>
    </row>
    <row r="573" spans="1:2" x14ac:dyDescent="0.3">
      <c r="A573" s="1">
        <v>44671</v>
      </c>
      <c r="B573" s="4">
        <v>3556.8</v>
      </c>
    </row>
    <row r="574" spans="1:2" x14ac:dyDescent="0.3">
      <c r="A574" s="1">
        <v>44672</v>
      </c>
      <c r="B574" s="4">
        <v>3628.65</v>
      </c>
    </row>
    <row r="575" spans="1:2" x14ac:dyDescent="0.3">
      <c r="A575" s="1">
        <v>44673</v>
      </c>
      <c r="B575" s="4">
        <v>3612.55</v>
      </c>
    </row>
    <row r="576" spans="1:2" x14ac:dyDescent="0.3">
      <c r="A576" s="1">
        <v>44676</v>
      </c>
      <c r="B576" s="4">
        <v>3548.2</v>
      </c>
    </row>
    <row r="577" spans="1:2" x14ac:dyDescent="0.3">
      <c r="A577" s="1">
        <v>44677</v>
      </c>
      <c r="B577" s="4">
        <v>3546.3</v>
      </c>
    </row>
    <row r="578" spans="1:2" x14ac:dyDescent="0.3">
      <c r="A578" s="1">
        <v>44678</v>
      </c>
      <c r="B578" s="4">
        <v>3561.2</v>
      </c>
    </row>
    <row r="579" spans="1:2" x14ac:dyDescent="0.3">
      <c r="A579" s="1">
        <v>44679</v>
      </c>
      <c r="B579" s="4">
        <v>3584.3</v>
      </c>
    </row>
    <row r="580" spans="1:2" x14ac:dyDescent="0.3">
      <c r="A580" s="1">
        <v>44680</v>
      </c>
      <c r="B580" s="4">
        <v>3546.7</v>
      </c>
    </row>
    <row r="581" spans="1:2" x14ac:dyDescent="0.3">
      <c r="A581" s="1">
        <v>44683</v>
      </c>
      <c r="B581" s="4">
        <v>3542.4</v>
      </c>
    </row>
    <row r="582" spans="1:2" x14ac:dyDescent="0.3">
      <c r="A582" s="1">
        <v>44685</v>
      </c>
      <c r="B582" s="4">
        <v>3479.75</v>
      </c>
    </row>
    <row r="583" spans="1:2" x14ac:dyDescent="0.3">
      <c r="A583" s="1">
        <v>44686</v>
      </c>
      <c r="B583" s="4">
        <v>3513.4</v>
      </c>
    </row>
    <row r="584" spans="1:2" x14ac:dyDescent="0.3">
      <c r="A584" s="1">
        <v>44687</v>
      </c>
      <c r="B584" s="4">
        <v>3432.6</v>
      </c>
    </row>
    <row r="585" spans="1:2" x14ac:dyDescent="0.3">
      <c r="A585" s="1">
        <v>44690</v>
      </c>
      <c r="B585" s="4">
        <v>3445.1</v>
      </c>
    </row>
    <row r="586" spans="1:2" x14ac:dyDescent="0.3">
      <c r="A586" s="1">
        <v>44691</v>
      </c>
      <c r="B586" s="4">
        <v>3438.75</v>
      </c>
    </row>
    <row r="587" spans="1:2" x14ac:dyDescent="0.3">
      <c r="A587" s="1">
        <v>44692</v>
      </c>
      <c r="B587" s="4">
        <v>3412</v>
      </c>
    </row>
    <row r="588" spans="1:2" x14ac:dyDescent="0.3">
      <c r="A588" s="1">
        <v>44693</v>
      </c>
      <c r="B588" s="4">
        <v>3408.65</v>
      </c>
    </row>
    <row r="589" spans="1:2" x14ac:dyDescent="0.3">
      <c r="A589" s="1">
        <v>44694</v>
      </c>
      <c r="B589" s="4">
        <v>3414.9</v>
      </c>
    </row>
    <row r="590" spans="1:2" x14ac:dyDescent="0.3">
      <c r="A590" s="1">
        <v>44697</v>
      </c>
      <c r="B590" s="4">
        <v>3376.8</v>
      </c>
    </row>
    <row r="591" spans="1:2" x14ac:dyDescent="0.3">
      <c r="A591" s="1">
        <v>44698</v>
      </c>
      <c r="B591" s="4">
        <v>3451.6</v>
      </c>
    </row>
    <row r="592" spans="1:2" x14ac:dyDescent="0.3">
      <c r="A592" s="1">
        <v>44699</v>
      </c>
      <c r="B592" s="4">
        <v>3448.8</v>
      </c>
    </row>
    <row r="593" spans="1:2" x14ac:dyDescent="0.3">
      <c r="A593" s="1">
        <v>44700</v>
      </c>
      <c r="B593" s="4">
        <v>3261.95</v>
      </c>
    </row>
    <row r="594" spans="1:2" x14ac:dyDescent="0.3">
      <c r="A594" s="1">
        <v>44701</v>
      </c>
      <c r="B594" s="4">
        <v>3293</v>
      </c>
    </row>
    <row r="595" spans="1:2" x14ac:dyDescent="0.3">
      <c r="A595" s="1">
        <v>44704</v>
      </c>
      <c r="B595" s="4">
        <v>3321.75</v>
      </c>
    </row>
    <row r="596" spans="1:2" x14ac:dyDescent="0.3">
      <c r="A596" s="1">
        <v>44705</v>
      </c>
      <c r="B596" s="4">
        <v>3288</v>
      </c>
    </row>
    <row r="597" spans="1:2" x14ac:dyDescent="0.3">
      <c r="A597" s="1">
        <v>44706</v>
      </c>
      <c r="B597" s="4">
        <v>3167.65</v>
      </c>
    </row>
    <row r="598" spans="1:2" x14ac:dyDescent="0.3">
      <c r="A598" s="1">
        <v>44707</v>
      </c>
      <c r="B598" s="4">
        <v>3226.95</v>
      </c>
    </row>
    <row r="599" spans="1:2" x14ac:dyDescent="0.3">
      <c r="A599" s="1">
        <v>44708</v>
      </c>
      <c r="B599" s="4">
        <v>3261.3</v>
      </c>
    </row>
    <row r="600" spans="1:2" x14ac:dyDescent="0.3">
      <c r="A600" s="1">
        <v>44711</v>
      </c>
      <c r="B600" s="4">
        <v>3375.25</v>
      </c>
    </row>
    <row r="601" spans="1:2" x14ac:dyDescent="0.3">
      <c r="A601" s="1">
        <v>44712</v>
      </c>
      <c r="B601" s="4">
        <v>3364.35</v>
      </c>
    </row>
    <row r="602" spans="1:2" x14ac:dyDescent="0.3">
      <c r="A602" s="1">
        <v>44713</v>
      </c>
      <c r="B602" s="4">
        <v>3355.2</v>
      </c>
    </row>
    <row r="603" spans="1:2" x14ac:dyDescent="0.3">
      <c r="A603" s="1">
        <v>44714</v>
      </c>
      <c r="B603" s="4">
        <v>3423</v>
      </c>
    </row>
    <row r="604" spans="1:2" x14ac:dyDescent="0.3">
      <c r="A604" s="1">
        <v>44715</v>
      </c>
      <c r="B604" s="4">
        <v>3440.15</v>
      </c>
    </row>
    <row r="605" spans="1:2" x14ac:dyDescent="0.3">
      <c r="A605" s="1">
        <v>44718</v>
      </c>
      <c r="B605" s="4">
        <v>3430.95</v>
      </c>
    </row>
    <row r="606" spans="1:2" x14ac:dyDescent="0.3">
      <c r="A606" s="1">
        <v>44719</v>
      </c>
      <c r="B606" s="4">
        <v>3362.7</v>
      </c>
    </row>
    <row r="607" spans="1:2" x14ac:dyDescent="0.3">
      <c r="A607" s="1">
        <v>44720</v>
      </c>
      <c r="B607" s="4">
        <v>3404.15</v>
      </c>
    </row>
    <row r="608" spans="1:2" x14ac:dyDescent="0.3">
      <c r="A608" s="1">
        <v>44721</v>
      </c>
      <c r="B608" s="4">
        <v>3427.1</v>
      </c>
    </row>
    <row r="609" spans="1:2" x14ac:dyDescent="0.3">
      <c r="A609" s="1">
        <v>44722</v>
      </c>
      <c r="B609" s="4">
        <v>3359.9</v>
      </c>
    </row>
    <row r="610" spans="1:2" x14ac:dyDescent="0.3">
      <c r="A610" s="1">
        <v>44725</v>
      </c>
      <c r="B610" s="4">
        <v>3219.6</v>
      </c>
    </row>
    <row r="611" spans="1:2" x14ac:dyDescent="0.3">
      <c r="A611" s="1">
        <v>44726</v>
      </c>
      <c r="B611" s="4">
        <v>3210.55</v>
      </c>
    </row>
    <row r="612" spans="1:2" x14ac:dyDescent="0.3">
      <c r="A612" s="1">
        <v>44727</v>
      </c>
      <c r="B612" s="4">
        <v>3206.3</v>
      </c>
    </row>
    <row r="613" spans="1:2" x14ac:dyDescent="0.3">
      <c r="A613" s="1">
        <v>44728</v>
      </c>
      <c r="B613" s="4">
        <v>3142</v>
      </c>
    </row>
    <row r="614" spans="1:2" x14ac:dyDescent="0.3">
      <c r="A614" s="1">
        <v>44729</v>
      </c>
      <c r="B614" s="4">
        <v>3088.9</v>
      </c>
    </row>
    <row r="615" spans="1:2" x14ac:dyDescent="0.3">
      <c r="A615" s="1">
        <v>44732</v>
      </c>
      <c r="B615" s="4">
        <v>3112.4</v>
      </c>
    </row>
    <row r="616" spans="1:2" x14ac:dyDescent="0.3">
      <c r="A616" s="1">
        <v>44733</v>
      </c>
      <c r="B616" s="4">
        <v>3133.66</v>
      </c>
    </row>
    <row r="617" spans="1:2" x14ac:dyDescent="0.3">
      <c r="A617" s="1">
        <v>44734</v>
      </c>
      <c r="B617" s="4">
        <v>3144.39</v>
      </c>
    </row>
    <row r="618" spans="1:2" x14ac:dyDescent="0.3">
      <c r="A618" s="1">
        <v>44735</v>
      </c>
      <c r="B618" s="4">
        <v>3228.15</v>
      </c>
    </row>
    <row r="619" spans="1:2" x14ac:dyDescent="0.3">
      <c r="A619" s="1">
        <v>44736</v>
      </c>
      <c r="B619" s="4">
        <v>3212.83</v>
      </c>
    </row>
    <row r="620" spans="1:2" x14ac:dyDescent="0.3">
      <c r="A620" s="1">
        <v>44739</v>
      </c>
      <c r="B620" s="4">
        <v>3233.91</v>
      </c>
    </row>
    <row r="621" spans="1:2" x14ac:dyDescent="0.3">
      <c r="A621" s="1">
        <v>44740</v>
      </c>
      <c r="B621" s="4">
        <v>3237.27</v>
      </c>
    </row>
    <row r="622" spans="1:2" x14ac:dyDescent="0.3">
      <c r="A622" s="1">
        <v>44741</v>
      </c>
      <c r="B622" s="4">
        <v>3210.3</v>
      </c>
    </row>
    <row r="623" spans="1:2" x14ac:dyDescent="0.3">
      <c r="A623" s="1">
        <v>44742</v>
      </c>
      <c r="B623" s="4">
        <v>3187.47</v>
      </c>
    </row>
    <row r="624" spans="1:2" x14ac:dyDescent="0.3">
      <c r="A624" s="1">
        <v>44743</v>
      </c>
      <c r="B624" s="4">
        <v>3234.3</v>
      </c>
    </row>
    <row r="625" spans="1:2" x14ac:dyDescent="0.3">
      <c r="A625" s="1">
        <v>44746</v>
      </c>
      <c r="B625" s="4">
        <v>3156.2</v>
      </c>
    </row>
    <row r="626" spans="1:2" x14ac:dyDescent="0.3">
      <c r="A626" s="1">
        <v>44747</v>
      </c>
      <c r="B626" s="4">
        <v>3137.91</v>
      </c>
    </row>
    <row r="627" spans="1:2" x14ac:dyDescent="0.3">
      <c r="A627" s="1">
        <v>44748</v>
      </c>
      <c r="B627" s="4">
        <v>3181.27</v>
      </c>
    </row>
    <row r="628" spans="1:2" x14ac:dyDescent="0.3">
      <c r="A628" s="1">
        <v>44749</v>
      </c>
      <c r="B628" s="4">
        <v>3207.71</v>
      </c>
    </row>
    <row r="629" spans="1:2" x14ac:dyDescent="0.3">
      <c r="A629" s="1">
        <v>44750</v>
      </c>
      <c r="B629" s="4">
        <v>3185.86</v>
      </c>
    </row>
    <row r="630" spans="1:2" x14ac:dyDescent="0.3">
      <c r="A630" s="1">
        <v>44753</v>
      </c>
      <c r="B630" s="4">
        <v>3037.9</v>
      </c>
    </row>
    <row r="631" spans="1:2" x14ac:dyDescent="0.3">
      <c r="A631" s="1">
        <v>44754</v>
      </c>
      <c r="B631" s="4">
        <v>3009.51</v>
      </c>
    </row>
    <row r="632" spans="1:2" x14ac:dyDescent="0.3">
      <c r="A632" s="1">
        <v>44755</v>
      </c>
      <c r="B632" s="4">
        <v>2964.68</v>
      </c>
    </row>
    <row r="633" spans="1:2" x14ac:dyDescent="0.3">
      <c r="A633" s="1">
        <v>44756</v>
      </c>
      <c r="B633" s="4">
        <v>2925.66</v>
      </c>
    </row>
    <row r="634" spans="1:2" x14ac:dyDescent="0.3">
      <c r="A634" s="1">
        <v>44757</v>
      </c>
      <c r="B634" s="4">
        <v>2921.61</v>
      </c>
    </row>
    <row r="635" spans="1:2" x14ac:dyDescent="0.3">
      <c r="A635" s="1">
        <v>44760</v>
      </c>
      <c r="B635" s="4">
        <v>2988.83</v>
      </c>
    </row>
    <row r="636" spans="1:2" x14ac:dyDescent="0.3">
      <c r="A636" s="1">
        <v>44761</v>
      </c>
      <c r="B636" s="4">
        <v>2999.32</v>
      </c>
    </row>
    <row r="637" spans="1:2" x14ac:dyDescent="0.3">
      <c r="A637" s="1">
        <v>44762</v>
      </c>
      <c r="B637" s="4">
        <v>3087.66</v>
      </c>
    </row>
    <row r="638" spans="1:2" x14ac:dyDescent="0.3">
      <c r="A638" s="1">
        <v>44763</v>
      </c>
      <c r="B638" s="4">
        <v>3099.85</v>
      </c>
    </row>
    <row r="639" spans="1:2" x14ac:dyDescent="0.3">
      <c r="A639" s="1">
        <v>44764</v>
      </c>
      <c r="B639" s="4">
        <v>3093.71</v>
      </c>
    </row>
    <row r="640" spans="1:2" x14ac:dyDescent="0.3">
      <c r="A640" s="1">
        <v>44767</v>
      </c>
      <c r="B640" s="4">
        <v>3089.56</v>
      </c>
    </row>
    <row r="641" spans="1:2" x14ac:dyDescent="0.3">
      <c r="A641" s="1">
        <v>44768</v>
      </c>
      <c r="B641" s="4">
        <v>3039.95</v>
      </c>
    </row>
    <row r="642" spans="1:2" x14ac:dyDescent="0.3">
      <c r="A642" s="1">
        <v>44769</v>
      </c>
      <c r="B642" s="4">
        <v>3111.12</v>
      </c>
    </row>
    <row r="643" spans="1:2" x14ac:dyDescent="0.3">
      <c r="A643" s="1">
        <v>44770</v>
      </c>
      <c r="B643" s="4">
        <v>3181.03</v>
      </c>
    </row>
    <row r="644" spans="1:2" x14ac:dyDescent="0.3">
      <c r="A644" s="1">
        <v>44771</v>
      </c>
      <c r="B644" s="4">
        <v>3221.42</v>
      </c>
    </row>
    <row r="645" spans="1:2" x14ac:dyDescent="0.3">
      <c r="A645" s="1">
        <v>44774</v>
      </c>
      <c r="B645" s="4">
        <v>3218.39</v>
      </c>
    </row>
    <row r="646" spans="1:2" x14ac:dyDescent="0.3">
      <c r="A646" s="1">
        <v>44775</v>
      </c>
      <c r="B646" s="4">
        <v>3211.56</v>
      </c>
    </row>
    <row r="647" spans="1:2" x14ac:dyDescent="0.3">
      <c r="A647" s="1">
        <v>44776</v>
      </c>
      <c r="B647" s="4">
        <v>3258.1</v>
      </c>
    </row>
    <row r="648" spans="1:2" x14ac:dyDescent="0.3">
      <c r="A648" s="1">
        <v>44777</v>
      </c>
      <c r="B648" s="4">
        <v>3273.18</v>
      </c>
    </row>
    <row r="649" spans="1:2" x14ac:dyDescent="0.3">
      <c r="A649" s="1">
        <v>44778</v>
      </c>
      <c r="B649" s="4">
        <v>3283.03</v>
      </c>
    </row>
    <row r="650" spans="1:2" x14ac:dyDescent="0.3">
      <c r="A650" s="1">
        <v>44781</v>
      </c>
      <c r="B650" s="4">
        <v>3292.2</v>
      </c>
    </row>
    <row r="651" spans="1:2" x14ac:dyDescent="0.3">
      <c r="A651" s="1">
        <v>44783</v>
      </c>
      <c r="B651" s="4">
        <v>3272.49</v>
      </c>
    </row>
    <row r="652" spans="1:2" x14ac:dyDescent="0.3">
      <c r="A652" s="1">
        <v>44784</v>
      </c>
      <c r="B652" s="4">
        <v>3339.08</v>
      </c>
    </row>
    <row r="653" spans="1:2" x14ac:dyDescent="0.3">
      <c r="A653" s="1">
        <v>44785</v>
      </c>
      <c r="B653" s="4">
        <v>3318.64</v>
      </c>
    </row>
    <row r="654" spans="1:2" x14ac:dyDescent="0.3">
      <c r="A654" s="1">
        <v>44789</v>
      </c>
      <c r="B654" s="4">
        <v>3310</v>
      </c>
    </row>
    <row r="655" spans="1:2" x14ac:dyDescent="0.3">
      <c r="A655" s="1">
        <v>44790</v>
      </c>
      <c r="B655" s="4">
        <v>3318.2</v>
      </c>
    </row>
    <row r="656" spans="1:2" x14ac:dyDescent="0.3">
      <c r="A656" s="1">
        <v>44791</v>
      </c>
      <c r="B656" s="4">
        <v>3298.83</v>
      </c>
    </row>
    <row r="657" spans="1:2" x14ac:dyDescent="0.3">
      <c r="A657" s="1">
        <v>44792</v>
      </c>
      <c r="B657" s="4">
        <v>3303.22</v>
      </c>
    </row>
    <row r="658" spans="1:2" x14ac:dyDescent="0.3">
      <c r="A658" s="1">
        <v>44795</v>
      </c>
      <c r="B658" s="4">
        <v>3272.78</v>
      </c>
    </row>
    <row r="659" spans="1:2" x14ac:dyDescent="0.3">
      <c r="A659" s="1">
        <v>44796</v>
      </c>
      <c r="B659" s="4">
        <v>3204.54</v>
      </c>
    </row>
    <row r="660" spans="1:2" x14ac:dyDescent="0.3">
      <c r="A660" s="1">
        <v>44797</v>
      </c>
      <c r="B660" s="4">
        <v>3176</v>
      </c>
    </row>
    <row r="661" spans="1:2" x14ac:dyDescent="0.3">
      <c r="A661" s="1">
        <v>44798</v>
      </c>
      <c r="B661" s="4">
        <v>3139.76</v>
      </c>
    </row>
    <row r="662" spans="1:2" x14ac:dyDescent="0.3">
      <c r="A662" s="1">
        <v>44799</v>
      </c>
      <c r="B662" s="4">
        <v>3143.66</v>
      </c>
    </row>
    <row r="663" spans="1:2" x14ac:dyDescent="0.3">
      <c r="A663" s="1">
        <v>44802</v>
      </c>
      <c r="B663" s="4">
        <v>3056.2</v>
      </c>
    </row>
    <row r="664" spans="1:2" x14ac:dyDescent="0.3">
      <c r="A664" s="1">
        <v>44803</v>
      </c>
      <c r="B664" s="4">
        <v>3132.88</v>
      </c>
    </row>
    <row r="665" spans="1:2" x14ac:dyDescent="0.3">
      <c r="A665" s="1">
        <v>44805</v>
      </c>
      <c r="B665" s="4">
        <v>3055.37</v>
      </c>
    </row>
    <row r="666" spans="1:2" x14ac:dyDescent="0.3">
      <c r="A666" s="1">
        <v>44806</v>
      </c>
      <c r="B666" s="4">
        <v>3054.1</v>
      </c>
    </row>
    <row r="667" spans="1:2" x14ac:dyDescent="0.3">
      <c r="A667" s="1">
        <v>44809</v>
      </c>
      <c r="B667" s="4">
        <v>3057.02</v>
      </c>
    </row>
    <row r="668" spans="1:2" x14ac:dyDescent="0.3">
      <c r="A668" s="1">
        <v>44810</v>
      </c>
      <c r="B668" s="4">
        <v>3050.83</v>
      </c>
    </row>
    <row r="669" spans="1:2" x14ac:dyDescent="0.3">
      <c r="A669" s="1">
        <v>44811</v>
      </c>
      <c r="B669" s="4">
        <v>3072.83</v>
      </c>
    </row>
    <row r="670" spans="1:2" x14ac:dyDescent="0.3">
      <c r="A670" s="1">
        <v>44812</v>
      </c>
      <c r="B670" s="4">
        <v>3092.39</v>
      </c>
    </row>
    <row r="671" spans="1:2" x14ac:dyDescent="0.3">
      <c r="A671" s="1">
        <v>44813</v>
      </c>
      <c r="B671" s="4">
        <v>3139.22</v>
      </c>
    </row>
    <row r="672" spans="1:2" x14ac:dyDescent="0.3">
      <c r="A672" s="1">
        <v>44816</v>
      </c>
      <c r="B672" s="4">
        <v>3163.91</v>
      </c>
    </row>
    <row r="673" spans="1:2" x14ac:dyDescent="0.3">
      <c r="A673" s="1">
        <v>44817</v>
      </c>
      <c r="B673" s="4">
        <v>3150.64</v>
      </c>
    </row>
    <row r="674" spans="1:2" x14ac:dyDescent="0.3">
      <c r="A674" s="1">
        <v>44818</v>
      </c>
      <c r="B674" s="4">
        <v>3044.34</v>
      </c>
    </row>
    <row r="675" spans="1:2" x14ac:dyDescent="0.3">
      <c r="A675" s="1">
        <v>44819</v>
      </c>
      <c r="B675" s="4">
        <v>3028.68</v>
      </c>
    </row>
    <row r="676" spans="1:2" x14ac:dyDescent="0.3">
      <c r="A676" s="1">
        <v>44820</v>
      </c>
      <c r="B676" s="4">
        <v>2935.36</v>
      </c>
    </row>
    <row r="677" spans="1:2" x14ac:dyDescent="0.3">
      <c r="A677" s="1">
        <v>44823</v>
      </c>
      <c r="B677" s="4">
        <v>2954.98</v>
      </c>
    </row>
    <row r="678" spans="1:2" x14ac:dyDescent="0.3">
      <c r="A678" s="1">
        <v>44824</v>
      </c>
      <c r="B678" s="4">
        <v>2966.19</v>
      </c>
    </row>
    <row r="679" spans="1:2" x14ac:dyDescent="0.3">
      <c r="A679" s="1">
        <v>44825</v>
      </c>
      <c r="B679" s="4">
        <v>2928.05</v>
      </c>
    </row>
    <row r="680" spans="1:2" x14ac:dyDescent="0.3">
      <c r="A680" s="1">
        <v>44826</v>
      </c>
      <c r="B680" s="4">
        <v>2934.1</v>
      </c>
    </row>
    <row r="681" spans="1:2" x14ac:dyDescent="0.3">
      <c r="A681" s="1">
        <v>44827</v>
      </c>
      <c r="B681" s="4">
        <v>2909.36</v>
      </c>
    </row>
    <row r="682" spans="1:2" x14ac:dyDescent="0.3">
      <c r="A682" s="1">
        <v>44830</v>
      </c>
      <c r="B682" s="4">
        <v>2921.41</v>
      </c>
    </row>
    <row r="683" spans="1:2" x14ac:dyDescent="0.3">
      <c r="A683" s="1">
        <v>44831</v>
      </c>
      <c r="B683" s="4">
        <v>2943.9</v>
      </c>
    </row>
    <row r="684" spans="1:2" x14ac:dyDescent="0.3">
      <c r="A684" s="1">
        <v>44832</v>
      </c>
      <c r="B684" s="4">
        <v>2961.66</v>
      </c>
    </row>
    <row r="685" spans="1:2" x14ac:dyDescent="0.3">
      <c r="A685" s="1">
        <v>44833</v>
      </c>
      <c r="B685" s="4">
        <v>2924.24</v>
      </c>
    </row>
    <row r="686" spans="1:2" x14ac:dyDescent="0.3">
      <c r="A686" s="1">
        <v>44834</v>
      </c>
      <c r="B686" s="4">
        <v>2931.32</v>
      </c>
    </row>
    <row r="687" spans="1:2" x14ac:dyDescent="0.3">
      <c r="A687" s="1">
        <v>44837</v>
      </c>
      <c r="B687" s="4">
        <v>2912.19</v>
      </c>
    </row>
    <row r="688" spans="1:2" x14ac:dyDescent="0.3">
      <c r="A688" s="1">
        <v>44838</v>
      </c>
      <c r="B688" s="4">
        <v>3015.8</v>
      </c>
    </row>
    <row r="689" spans="1:2" x14ac:dyDescent="0.3">
      <c r="A689" s="1">
        <v>44840</v>
      </c>
      <c r="B689" s="4">
        <v>3026.34</v>
      </c>
    </row>
    <row r="690" spans="1:2" x14ac:dyDescent="0.3">
      <c r="A690" s="1">
        <v>44841</v>
      </c>
      <c r="B690" s="4">
        <v>2990.2</v>
      </c>
    </row>
    <row r="691" spans="1:2" x14ac:dyDescent="0.3">
      <c r="A691" s="1">
        <v>44844</v>
      </c>
      <c r="B691" s="4">
        <v>3042.54</v>
      </c>
    </row>
    <row r="692" spans="1:2" x14ac:dyDescent="0.3">
      <c r="A692" s="1">
        <v>44845</v>
      </c>
      <c r="B692" s="4">
        <v>2994.73</v>
      </c>
    </row>
    <row r="693" spans="1:2" x14ac:dyDescent="0.3">
      <c r="A693" s="1">
        <v>44846</v>
      </c>
      <c r="B693" s="4">
        <v>3025.17</v>
      </c>
    </row>
    <row r="694" spans="1:2" x14ac:dyDescent="0.3">
      <c r="A694" s="1">
        <v>44847</v>
      </c>
      <c r="B694" s="4">
        <v>3027.66</v>
      </c>
    </row>
    <row r="695" spans="1:2" x14ac:dyDescent="0.3">
      <c r="A695" s="1">
        <v>44848</v>
      </c>
      <c r="B695" s="4">
        <v>3023.61</v>
      </c>
    </row>
    <row r="696" spans="1:2" x14ac:dyDescent="0.3">
      <c r="A696" s="1">
        <v>44851</v>
      </c>
      <c r="B696" s="4">
        <v>3035.9</v>
      </c>
    </row>
    <row r="697" spans="1:2" x14ac:dyDescent="0.3">
      <c r="A697" s="1">
        <v>44852</v>
      </c>
      <c r="B697" s="4">
        <v>3068.05</v>
      </c>
    </row>
    <row r="698" spans="1:2" x14ac:dyDescent="0.3">
      <c r="A698" s="1">
        <v>44853</v>
      </c>
      <c r="B698" s="4">
        <v>3045.76</v>
      </c>
    </row>
    <row r="699" spans="1:2" x14ac:dyDescent="0.3">
      <c r="A699" s="1">
        <v>44854</v>
      </c>
      <c r="B699" s="4">
        <v>3080.34</v>
      </c>
    </row>
    <row r="700" spans="1:2" x14ac:dyDescent="0.3">
      <c r="A700" s="1">
        <v>44855</v>
      </c>
      <c r="B700" s="4">
        <v>3060.93</v>
      </c>
    </row>
    <row r="701" spans="1:2" x14ac:dyDescent="0.3">
      <c r="A701" s="1">
        <v>44858</v>
      </c>
      <c r="B701" s="4">
        <v>3084.64</v>
      </c>
    </row>
    <row r="702" spans="1:2" x14ac:dyDescent="0.3">
      <c r="A702" s="1">
        <v>44859</v>
      </c>
      <c r="B702" s="4">
        <v>3085.03</v>
      </c>
    </row>
    <row r="703" spans="1:2" x14ac:dyDescent="0.3">
      <c r="A703" s="1">
        <v>44861</v>
      </c>
      <c r="B703" s="4">
        <v>3080.44</v>
      </c>
    </row>
    <row r="704" spans="1:2" x14ac:dyDescent="0.3">
      <c r="A704" s="1">
        <v>44862</v>
      </c>
      <c r="B704" s="4">
        <v>3086.15</v>
      </c>
    </row>
    <row r="705" spans="1:2" x14ac:dyDescent="0.3">
      <c r="A705" s="1">
        <v>44865</v>
      </c>
      <c r="B705" s="4">
        <v>3115.32</v>
      </c>
    </row>
    <row r="706" spans="1:2" x14ac:dyDescent="0.3">
      <c r="A706" s="1">
        <v>44866</v>
      </c>
      <c r="B706" s="4">
        <v>3180.25</v>
      </c>
    </row>
    <row r="707" spans="1:2" x14ac:dyDescent="0.3">
      <c r="A707" s="1">
        <v>44867</v>
      </c>
      <c r="B707" s="4">
        <v>3162.69</v>
      </c>
    </row>
    <row r="708" spans="1:2" x14ac:dyDescent="0.3">
      <c r="A708" s="1">
        <v>44868</v>
      </c>
      <c r="B708" s="4">
        <v>3128.59</v>
      </c>
    </row>
    <row r="709" spans="1:2" x14ac:dyDescent="0.3">
      <c r="A709" s="1">
        <v>44869</v>
      </c>
      <c r="B709" s="4">
        <v>3138.98</v>
      </c>
    </row>
    <row r="710" spans="1:2" x14ac:dyDescent="0.3">
      <c r="A710" s="1">
        <v>44872</v>
      </c>
      <c r="B710" s="4">
        <v>3154.88</v>
      </c>
    </row>
    <row r="711" spans="1:2" x14ac:dyDescent="0.3">
      <c r="A711" s="1">
        <v>44874</v>
      </c>
      <c r="B711" s="4">
        <v>3137.66</v>
      </c>
    </row>
    <row r="712" spans="1:2" x14ac:dyDescent="0.3">
      <c r="A712" s="1">
        <v>44875</v>
      </c>
      <c r="B712" s="4">
        <v>3127.51</v>
      </c>
    </row>
    <row r="713" spans="1:2" x14ac:dyDescent="0.3">
      <c r="A713" s="1">
        <v>44876</v>
      </c>
      <c r="B713" s="4">
        <v>3235.13</v>
      </c>
    </row>
    <row r="714" spans="1:2" x14ac:dyDescent="0.3">
      <c r="A714" s="1">
        <v>44879</v>
      </c>
      <c r="B714" s="4">
        <v>3254.2</v>
      </c>
    </row>
    <row r="715" spans="1:2" x14ac:dyDescent="0.3">
      <c r="A715" s="1">
        <v>44880</v>
      </c>
      <c r="B715" s="4">
        <v>3251.37</v>
      </c>
    </row>
    <row r="716" spans="1:2" x14ac:dyDescent="0.3">
      <c r="A716" s="1">
        <v>44881</v>
      </c>
      <c r="B716" s="4">
        <v>3273.56</v>
      </c>
    </row>
    <row r="717" spans="1:2" x14ac:dyDescent="0.3">
      <c r="A717" s="1">
        <v>44882</v>
      </c>
      <c r="B717" s="4">
        <v>3267.37</v>
      </c>
    </row>
    <row r="718" spans="1:2" x14ac:dyDescent="0.3">
      <c r="A718" s="1">
        <v>44883</v>
      </c>
      <c r="B718" s="4">
        <v>3261.96</v>
      </c>
    </row>
    <row r="719" spans="1:2" x14ac:dyDescent="0.3">
      <c r="A719" s="1">
        <v>44886</v>
      </c>
      <c r="B719" s="4">
        <v>3203.47</v>
      </c>
    </row>
    <row r="720" spans="1:2" x14ac:dyDescent="0.3">
      <c r="A720" s="1">
        <v>44887</v>
      </c>
      <c r="B720" s="4">
        <v>3234.15</v>
      </c>
    </row>
    <row r="721" spans="1:2" x14ac:dyDescent="0.3">
      <c r="A721" s="1">
        <v>44888</v>
      </c>
      <c r="B721" s="4">
        <v>3227.66</v>
      </c>
    </row>
    <row r="722" spans="1:2" x14ac:dyDescent="0.3">
      <c r="A722" s="1">
        <v>44889</v>
      </c>
      <c r="B722" s="4">
        <v>3297.76</v>
      </c>
    </row>
    <row r="723" spans="1:2" x14ac:dyDescent="0.3">
      <c r="A723" s="1">
        <v>44890</v>
      </c>
      <c r="B723" s="4">
        <v>3307.03</v>
      </c>
    </row>
    <row r="724" spans="1:2" x14ac:dyDescent="0.3">
      <c r="A724" s="1">
        <v>44893</v>
      </c>
      <c r="B724" s="4">
        <v>3312.49</v>
      </c>
    </row>
    <row r="725" spans="1:2" x14ac:dyDescent="0.3">
      <c r="A725" s="1">
        <v>44894</v>
      </c>
      <c r="B725" s="4">
        <v>3314.54</v>
      </c>
    </row>
    <row r="726" spans="1:2" x14ac:dyDescent="0.3">
      <c r="A726" s="1">
        <v>44895</v>
      </c>
      <c r="B726" s="4">
        <v>3308.15</v>
      </c>
    </row>
    <row r="727" spans="1:2" x14ac:dyDescent="0.3">
      <c r="A727" s="1">
        <v>44896</v>
      </c>
      <c r="B727" s="4">
        <v>3390.93</v>
      </c>
    </row>
    <row r="728" spans="1:2" x14ac:dyDescent="0.3">
      <c r="A728" s="1">
        <v>44897</v>
      </c>
      <c r="B728" s="4">
        <v>3355.32</v>
      </c>
    </row>
    <row r="729" spans="1:2" x14ac:dyDescent="0.3">
      <c r="A729" s="1">
        <v>44900</v>
      </c>
      <c r="B729" s="4">
        <v>3342.4</v>
      </c>
    </row>
    <row r="730" spans="1:2" x14ac:dyDescent="0.3">
      <c r="A730" s="1">
        <v>44901</v>
      </c>
      <c r="B730" s="4">
        <v>3302.83</v>
      </c>
    </row>
    <row r="731" spans="1:2" x14ac:dyDescent="0.3">
      <c r="A731" s="1">
        <v>44902</v>
      </c>
      <c r="B731" s="4">
        <v>3298.2</v>
      </c>
    </row>
    <row r="732" spans="1:2" x14ac:dyDescent="0.3">
      <c r="A732" s="1">
        <v>44903</v>
      </c>
      <c r="B732" s="4">
        <v>3268.88</v>
      </c>
    </row>
    <row r="733" spans="1:2" x14ac:dyDescent="0.3">
      <c r="A733" s="1">
        <v>44904</v>
      </c>
      <c r="B733" s="4">
        <v>3212.49</v>
      </c>
    </row>
    <row r="734" spans="1:2" x14ac:dyDescent="0.3">
      <c r="A734" s="1">
        <v>44907</v>
      </c>
      <c r="B734" s="4">
        <v>3206.34</v>
      </c>
    </row>
    <row r="735" spans="1:2" x14ac:dyDescent="0.3">
      <c r="A735" s="1">
        <v>44908</v>
      </c>
      <c r="B735" s="4">
        <v>3250.88</v>
      </c>
    </row>
    <row r="736" spans="1:2" x14ac:dyDescent="0.3">
      <c r="A736" s="1">
        <v>44909</v>
      </c>
      <c r="B736" s="4">
        <v>3283.32</v>
      </c>
    </row>
    <row r="737" spans="1:2" x14ac:dyDescent="0.3">
      <c r="A737" s="1">
        <v>44910</v>
      </c>
      <c r="B737" s="4">
        <v>3224.54</v>
      </c>
    </row>
    <row r="738" spans="1:2" x14ac:dyDescent="0.3">
      <c r="A738" s="1">
        <v>44911</v>
      </c>
      <c r="B738" s="4">
        <v>3161.27</v>
      </c>
    </row>
    <row r="739" spans="1:2" x14ac:dyDescent="0.3">
      <c r="A739" s="1">
        <v>44914</v>
      </c>
      <c r="B739" s="4">
        <v>3124</v>
      </c>
    </row>
    <row r="740" spans="1:2" x14ac:dyDescent="0.3">
      <c r="A740" s="1">
        <v>44915</v>
      </c>
      <c r="B740" s="4">
        <v>3164.88</v>
      </c>
    </row>
    <row r="741" spans="1:2" x14ac:dyDescent="0.3">
      <c r="A741" s="1">
        <v>44916</v>
      </c>
      <c r="B741" s="4">
        <v>3188.88</v>
      </c>
    </row>
    <row r="742" spans="1:2" x14ac:dyDescent="0.3">
      <c r="A742" s="1">
        <v>44917</v>
      </c>
      <c r="B742" s="4">
        <v>3180.25</v>
      </c>
    </row>
    <row r="743" spans="1:2" x14ac:dyDescent="0.3">
      <c r="A743" s="1">
        <v>44918</v>
      </c>
      <c r="B743" s="4">
        <v>3149.66</v>
      </c>
    </row>
    <row r="744" spans="1:2" x14ac:dyDescent="0.3">
      <c r="A744" s="1">
        <v>44921</v>
      </c>
      <c r="B744" s="4">
        <v>3173.61</v>
      </c>
    </row>
    <row r="745" spans="1:2" x14ac:dyDescent="0.3">
      <c r="A745" s="1">
        <v>44922</v>
      </c>
      <c r="B745" s="4">
        <v>3180.05</v>
      </c>
    </row>
    <row r="746" spans="1:2" x14ac:dyDescent="0.3">
      <c r="A746" s="1">
        <v>44923</v>
      </c>
      <c r="B746" s="4">
        <v>3177.71</v>
      </c>
    </row>
    <row r="747" spans="1:2" x14ac:dyDescent="0.3">
      <c r="A747" s="1">
        <v>44924</v>
      </c>
      <c r="B747" s="4">
        <v>3189.08</v>
      </c>
    </row>
    <row r="748" spans="1:2" x14ac:dyDescent="0.3">
      <c r="A748" s="1">
        <v>44925</v>
      </c>
      <c r="B748" s="4">
        <v>3177.32</v>
      </c>
    </row>
    <row r="749" spans="1:2" x14ac:dyDescent="0.3">
      <c r="A749" s="1">
        <v>44928</v>
      </c>
      <c r="B749" s="4">
        <v>3181.95</v>
      </c>
    </row>
    <row r="750" spans="1:2" x14ac:dyDescent="0.3">
      <c r="A750" s="1">
        <v>44929</v>
      </c>
      <c r="B750" s="4">
        <v>3230.64</v>
      </c>
    </row>
    <row r="751" spans="1:2" x14ac:dyDescent="0.3">
      <c r="A751" s="1">
        <v>44930</v>
      </c>
      <c r="B751" s="4">
        <v>3233.86</v>
      </c>
    </row>
    <row r="752" spans="1:2" x14ac:dyDescent="0.3">
      <c r="A752" s="1">
        <v>44931</v>
      </c>
      <c r="B752" s="4">
        <v>3230.39</v>
      </c>
    </row>
    <row r="753" spans="1:2" x14ac:dyDescent="0.3">
      <c r="A753" s="1">
        <v>44932</v>
      </c>
      <c r="B753" s="4">
        <v>3133.27</v>
      </c>
    </row>
    <row r="754" spans="1:2" x14ac:dyDescent="0.3">
      <c r="A754" s="1">
        <v>44935</v>
      </c>
      <c r="B754" s="4">
        <v>3239.03</v>
      </c>
    </row>
    <row r="755" spans="1:2" x14ac:dyDescent="0.3">
      <c r="A755" s="1">
        <v>44936</v>
      </c>
      <c r="B755" s="4">
        <v>3206.3</v>
      </c>
    </row>
    <row r="756" spans="1:2" x14ac:dyDescent="0.3">
      <c r="A756" s="1">
        <v>44937</v>
      </c>
      <c r="B756" s="4">
        <v>3247.56</v>
      </c>
    </row>
    <row r="757" spans="1:2" x14ac:dyDescent="0.3">
      <c r="A757" s="1">
        <v>44938</v>
      </c>
      <c r="B757" s="4">
        <v>3253.08</v>
      </c>
    </row>
    <row r="758" spans="1:2" x14ac:dyDescent="0.3">
      <c r="A758" s="1">
        <v>44939</v>
      </c>
      <c r="B758" s="4">
        <v>3292.3</v>
      </c>
    </row>
    <row r="759" spans="1:2" x14ac:dyDescent="0.3">
      <c r="A759" s="1">
        <v>44942</v>
      </c>
      <c r="B759" s="4">
        <v>3318.67</v>
      </c>
    </row>
    <row r="760" spans="1:2" x14ac:dyDescent="0.3">
      <c r="A760" s="1">
        <v>44943</v>
      </c>
      <c r="B760" s="4">
        <v>3362.82</v>
      </c>
    </row>
    <row r="761" spans="1:2" x14ac:dyDescent="0.3">
      <c r="A761" s="1">
        <v>44944</v>
      </c>
      <c r="B761" s="4">
        <v>3374.36</v>
      </c>
    </row>
    <row r="762" spans="1:2" x14ac:dyDescent="0.3">
      <c r="A762" s="1">
        <v>44945</v>
      </c>
      <c r="B762" s="4">
        <v>3357.54</v>
      </c>
    </row>
    <row r="763" spans="1:2" x14ac:dyDescent="0.3">
      <c r="A763" s="1">
        <v>44946</v>
      </c>
      <c r="B763" s="4">
        <v>3347.59</v>
      </c>
    </row>
    <row r="764" spans="1:2" x14ac:dyDescent="0.3">
      <c r="A764" s="1">
        <v>44949</v>
      </c>
      <c r="B764" s="4">
        <v>3399.15</v>
      </c>
    </row>
    <row r="765" spans="1:2" x14ac:dyDescent="0.3">
      <c r="A765" s="1">
        <v>44950</v>
      </c>
      <c r="B765" s="4">
        <v>3420.45</v>
      </c>
    </row>
    <row r="766" spans="1:2" x14ac:dyDescent="0.3">
      <c r="A766" s="1">
        <v>44951</v>
      </c>
      <c r="B766" s="4">
        <v>3413.93</v>
      </c>
    </row>
    <row r="767" spans="1:2" x14ac:dyDescent="0.3">
      <c r="A767" s="1">
        <v>44953</v>
      </c>
      <c r="B767" s="4">
        <v>3395.32</v>
      </c>
    </row>
    <row r="768" spans="1:2" x14ac:dyDescent="0.3">
      <c r="A768" s="1">
        <v>44956</v>
      </c>
      <c r="B768" s="4">
        <v>3417.81</v>
      </c>
    </row>
    <row r="769" spans="1:2" x14ac:dyDescent="0.3">
      <c r="A769" s="1">
        <v>44957</v>
      </c>
      <c r="B769" s="4">
        <v>3343.21</v>
      </c>
    </row>
    <row r="770" spans="1:2" x14ac:dyDescent="0.3">
      <c r="A770" s="1">
        <v>44958</v>
      </c>
      <c r="B770" s="4">
        <v>3392.63</v>
      </c>
    </row>
    <row r="771" spans="1:2" x14ac:dyDescent="0.3">
      <c r="A771" s="1">
        <v>44959</v>
      </c>
      <c r="B771" s="4">
        <v>3444.44</v>
      </c>
    </row>
    <row r="772" spans="1:2" x14ac:dyDescent="0.3">
      <c r="A772" s="1">
        <v>44960</v>
      </c>
      <c r="B772" s="4">
        <v>3466.24</v>
      </c>
    </row>
    <row r="773" spans="1:2" x14ac:dyDescent="0.3">
      <c r="A773" s="1">
        <v>44963</v>
      </c>
      <c r="B773" s="4">
        <v>3443.99</v>
      </c>
    </row>
    <row r="774" spans="1:2" x14ac:dyDescent="0.3">
      <c r="A774" s="1">
        <v>44964</v>
      </c>
      <c r="B774" s="4">
        <v>3456.53</v>
      </c>
    </row>
    <row r="775" spans="1:2" x14ac:dyDescent="0.3">
      <c r="A775" s="1">
        <v>44965</v>
      </c>
      <c r="B775" s="4">
        <v>3503.86</v>
      </c>
    </row>
    <row r="776" spans="1:2" x14ac:dyDescent="0.3">
      <c r="A776" s="1">
        <v>44966</v>
      </c>
      <c r="B776" s="4">
        <v>3524.52</v>
      </c>
    </row>
    <row r="777" spans="1:2" x14ac:dyDescent="0.3">
      <c r="A777" s="1">
        <v>44967</v>
      </c>
      <c r="B777" s="4">
        <v>3521.24</v>
      </c>
    </row>
    <row r="778" spans="1:2" x14ac:dyDescent="0.3">
      <c r="A778" s="1">
        <v>44970</v>
      </c>
      <c r="B778" s="4">
        <v>3466.34</v>
      </c>
    </row>
    <row r="779" spans="1:2" x14ac:dyDescent="0.3">
      <c r="A779" s="1">
        <v>44971</v>
      </c>
      <c r="B779" s="4">
        <v>3483.96</v>
      </c>
    </row>
    <row r="780" spans="1:2" x14ac:dyDescent="0.3">
      <c r="A780" s="1">
        <v>44972</v>
      </c>
      <c r="B780" s="4">
        <v>3504.41</v>
      </c>
    </row>
    <row r="781" spans="1:2" x14ac:dyDescent="0.3">
      <c r="A781" s="1">
        <v>44973</v>
      </c>
      <c r="B781" s="4">
        <v>3541.64</v>
      </c>
    </row>
    <row r="782" spans="1:2" x14ac:dyDescent="0.3">
      <c r="A782" s="1">
        <v>44974</v>
      </c>
      <c r="B782" s="4">
        <v>3485</v>
      </c>
    </row>
    <row r="783" spans="1:2" x14ac:dyDescent="0.3">
      <c r="A783" s="1">
        <v>44977</v>
      </c>
      <c r="B783" s="4">
        <v>3471.22</v>
      </c>
    </row>
    <row r="784" spans="1:2" x14ac:dyDescent="0.3">
      <c r="A784" s="1">
        <v>44978</v>
      </c>
      <c r="B784" s="4">
        <v>3435.08</v>
      </c>
    </row>
    <row r="785" spans="1:2" x14ac:dyDescent="0.3">
      <c r="A785" s="1">
        <v>44979</v>
      </c>
      <c r="B785" s="4">
        <v>3385.86</v>
      </c>
    </row>
    <row r="786" spans="1:2" x14ac:dyDescent="0.3">
      <c r="A786" s="1">
        <v>44980</v>
      </c>
      <c r="B786" s="4">
        <v>3398.06</v>
      </c>
    </row>
    <row r="787" spans="1:2" x14ac:dyDescent="0.3">
      <c r="A787" s="1">
        <v>44981</v>
      </c>
      <c r="B787" s="4">
        <v>3384.77</v>
      </c>
    </row>
    <row r="788" spans="1:2" x14ac:dyDescent="0.3">
      <c r="A788" s="1">
        <v>44984</v>
      </c>
      <c r="B788" s="4">
        <v>3316.48</v>
      </c>
    </row>
    <row r="789" spans="1:2" x14ac:dyDescent="0.3">
      <c r="A789" s="1">
        <v>44985</v>
      </c>
      <c r="B789" s="4">
        <v>3297.57</v>
      </c>
    </row>
    <row r="790" spans="1:2" x14ac:dyDescent="0.3">
      <c r="A790" s="1">
        <v>44986</v>
      </c>
      <c r="B790" s="4">
        <v>3370.08</v>
      </c>
    </row>
    <row r="791" spans="1:2" x14ac:dyDescent="0.3">
      <c r="A791" s="1">
        <v>44987</v>
      </c>
      <c r="B791" s="4">
        <v>3306.13</v>
      </c>
    </row>
    <row r="792" spans="1:2" x14ac:dyDescent="0.3">
      <c r="A792" s="1">
        <v>44988</v>
      </c>
      <c r="B792" s="4">
        <v>3326.74</v>
      </c>
    </row>
    <row r="793" spans="1:2" x14ac:dyDescent="0.3">
      <c r="A793" s="1">
        <v>44991</v>
      </c>
      <c r="B793" s="4">
        <v>3356.3</v>
      </c>
    </row>
    <row r="794" spans="1:2" x14ac:dyDescent="0.3">
      <c r="A794" s="1">
        <v>44993</v>
      </c>
      <c r="B794" s="4">
        <v>3374.76</v>
      </c>
    </row>
    <row r="795" spans="1:2" x14ac:dyDescent="0.3">
      <c r="A795" s="1">
        <v>44994</v>
      </c>
      <c r="B795" s="4">
        <v>3321.46</v>
      </c>
    </row>
    <row r="796" spans="1:2" x14ac:dyDescent="0.3">
      <c r="A796" s="1">
        <v>44995</v>
      </c>
      <c r="B796" s="4">
        <v>3315.64</v>
      </c>
    </row>
    <row r="797" spans="1:2" x14ac:dyDescent="0.3">
      <c r="A797" s="1">
        <v>44998</v>
      </c>
      <c r="B797" s="4">
        <v>3266.81</v>
      </c>
    </row>
    <row r="798" spans="1:2" x14ac:dyDescent="0.3">
      <c r="A798" s="1">
        <v>44999</v>
      </c>
      <c r="B798" s="4">
        <v>3200.12</v>
      </c>
    </row>
    <row r="799" spans="1:2" x14ac:dyDescent="0.3">
      <c r="A799" s="1">
        <v>45000</v>
      </c>
      <c r="B799" s="4">
        <v>3184.15</v>
      </c>
    </row>
    <row r="800" spans="1:2" x14ac:dyDescent="0.3">
      <c r="A800" s="1">
        <v>45001</v>
      </c>
      <c r="B800" s="4">
        <v>3170.31</v>
      </c>
    </row>
    <row r="801" spans="1:2" x14ac:dyDescent="0.3">
      <c r="A801" s="1">
        <v>45002</v>
      </c>
      <c r="B801" s="4">
        <v>3164.64</v>
      </c>
    </row>
    <row r="802" spans="1:2" x14ac:dyDescent="0.3">
      <c r="A802" s="1">
        <v>45005</v>
      </c>
      <c r="B802" s="4">
        <v>3128.8</v>
      </c>
    </row>
    <row r="803" spans="1:2" x14ac:dyDescent="0.3">
      <c r="A803" s="1">
        <v>45006</v>
      </c>
      <c r="B803" s="4">
        <v>3091.77</v>
      </c>
    </row>
    <row r="804" spans="1:2" x14ac:dyDescent="0.3">
      <c r="A804" s="1">
        <v>45007</v>
      </c>
      <c r="B804" s="4">
        <v>3116.36</v>
      </c>
    </row>
    <row r="805" spans="1:2" x14ac:dyDescent="0.3">
      <c r="A805" s="1">
        <v>45008</v>
      </c>
      <c r="B805" s="4">
        <v>3110.24</v>
      </c>
    </row>
    <row r="806" spans="1:2" x14ac:dyDescent="0.3">
      <c r="A806" s="1">
        <v>45009</v>
      </c>
      <c r="B806" s="4">
        <v>3106.11</v>
      </c>
    </row>
    <row r="807" spans="1:2" x14ac:dyDescent="0.3">
      <c r="A807" s="1">
        <v>45012</v>
      </c>
      <c r="B807" s="4">
        <v>3107.9</v>
      </c>
    </row>
    <row r="808" spans="1:2" x14ac:dyDescent="0.3">
      <c r="A808" s="1">
        <v>45013</v>
      </c>
      <c r="B808" s="4">
        <v>3101.53</v>
      </c>
    </row>
    <row r="809" spans="1:2" x14ac:dyDescent="0.3">
      <c r="A809" s="1">
        <v>45014</v>
      </c>
      <c r="B809" s="4">
        <v>3124.42</v>
      </c>
    </row>
    <row r="810" spans="1:2" x14ac:dyDescent="0.3">
      <c r="A810" s="1">
        <v>45016</v>
      </c>
      <c r="B810" s="4">
        <v>3191.11</v>
      </c>
    </row>
    <row r="811" spans="1:2" x14ac:dyDescent="0.3">
      <c r="A811" s="1">
        <v>45019</v>
      </c>
      <c r="B811" s="4">
        <v>3185.24</v>
      </c>
    </row>
    <row r="812" spans="1:2" x14ac:dyDescent="0.3">
      <c r="A812" s="1">
        <v>45021</v>
      </c>
      <c r="B812" s="4">
        <v>3224.86</v>
      </c>
    </row>
    <row r="813" spans="1:2" x14ac:dyDescent="0.3">
      <c r="A813" s="1">
        <v>45022</v>
      </c>
      <c r="B813" s="4">
        <v>3205.85</v>
      </c>
    </row>
    <row r="814" spans="1:2" x14ac:dyDescent="0.3">
      <c r="A814" s="1">
        <v>45026</v>
      </c>
      <c r="B814" s="4">
        <v>3248.35</v>
      </c>
    </row>
    <row r="815" spans="1:2" x14ac:dyDescent="0.3">
      <c r="A815" s="1">
        <v>45027</v>
      </c>
      <c r="B815" s="4">
        <v>3198.98</v>
      </c>
    </row>
    <row r="816" spans="1:2" x14ac:dyDescent="0.3">
      <c r="A816" s="1">
        <v>45028</v>
      </c>
      <c r="B816" s="4">
        <v>3226.7</v>
      </c>
    </row>
    <row r="817" spans="1:2" x14ac:dyDescent="0.3">
      <c r="A817" s="1">
        <v>45029</v>
      </c>
      <c r="B817" s="4">
        <v>3174.14</v>
      </c>
    </row>
    <row r="818" spans="1:2" x14ac:dyDescent="0.3">
      <c r="A818" s="1">
        <v>45033</v>
      </c>
      <c r="B818" s="4">
        <v>3125.02</v>
      </c>
    </row>
    <row r="819" spans="1:2" x14ac:dyDescent="0.3">
      <c r="A819" s="1">
        <v>45034</v>
      </c>
      <c r="B819" s="4">
        <v>3116.31</v>
      </c>
    </row>
    <row r="820" spans="1:2" x14ac:dyDescent="0.3">
      <c r="A820" s="1">
        <v>45035</v>
      </c>
      <c r="B820" s="4">
        <v>3075.35</v>
      </c>
    </row>
    <row r="821" spans="1:2" x14ac:dyDescent="0.3">
      <c r="A821" s="1">
        <v>45036</v>
      </c>
      <c r="B821" s="4">
        <v>3090.48</v>
      </c>
    </row>
    <row r="822" spans="1:2" x14ac:dyDescent="0.3">
      <c r="A822" s="1">
        <v>45037</v>
      </c>
      <c r="B822" s="4">
        <v>3146.27</v>
      </c>
    </row>
    <row r="823" spans="1:2" x14ac:dyDescent="0.3">
      <c r="A823" s="1">
        <v>45040</v>
      </c>
      <c r="B823" s="4">
        <v>3160.16</v>
      </c>
    </row>
    <row r="824" spans="1:2" x14ac:dyDescent="0.3">
      <c r="A824" s="1">
        <v>45041</v>
      </c>
      <c r="B824" s="4">
        <v>3161.35</v>
      </c>
    </row>
    <row r="825" spans="1:2" x14ac:dyDescent="0.3">
      <c r="A825" s="1">
        <v>45042</v>
      </c>
      <c r="B825" s="4">
        <v>3183.4</v>
      </c>
    </row>
    <row r="826" spans="1:2" x14ac:dyDescent="0.3">
      <c r="A826" s="1">
        <v>45043</v>
      </c>
      <c r="B826" s="4">
        <v>3173.25</v>
      </c>
    </row>
    <row r="827" spans="1:2" x14ac:dyDescent="0.3">
      <c r="A827" s="1">
        <v>45044</v>
      </c>
      <c r="B827" s="4">
        <v>3204.4</v>
      </c>
    </row>
    <row r="828" spans="1:2" x14ac:dyDescent="0.3">
      <c r="A828" s="1">
        <v>45048</v>
      </c>
      <c r="B828" s="4">
        <v>3204.55</v>
      </c>
    </row>
    <row r="829" spans="1:2" x14ac:dyDescent="0.3">
      <c r="A829" s="1">
        <v>45049</v>
      </c>
      <c r="B829" s="4">
        <v>3165.23</v>
      </c>
    </row>
    <row r="830" spans="1:2" x14ac:dyDescent="0.3">
      <c r="A830" s="1">
        <v>45050</v>
      </c>
      <c r="B830" s="4">
        <v>3205.85</v>
      </c>
    </row>
    <row r="831" spans="1:2" x14ac:dyDescent="0.3">
      <c r="A831" s="1">
        <v>45051</v>
      </c>
      <c r="B831" s="4">
        <v>3215.8</v>
      </c>
    </row>
    <row r="832" spans="1:2" x14ac:dyDescent="0.3">
      <c r="A832" s="1">
        <v>45054</v>
      </c>
      <c r="B832" s="4">
        <v>3235.61</v>
      </c>
    </row>
    <row r="833" spans="1:2" x14ac:dyDescent="0.3">
      <c r="A833" s="1">
        <v>45055</v>
      </c>
      <c r="B833" s="4">
        <v>3268.11</v>
      </c>
    </row>
    <row r="834" spans="1:2" x14ac:dyDescent="0.3">
      <c r="A834" s="1">
        <v>45056</v>
      </c>
      <c r="B834" s="4">
        <v>3271.64</v>
      </c>
    </row>
    <row r="835" spans="1:2" x14ac:dyDescent="0.3">
      <c r="A835" s="1">
        <v>45057</v>
      </c>
      <c r="B835" s="4">
        <v>3267.01</v>
      </c>
    </row>
    <row r="836" spans="1:2" x14ac:dyDescent="0.3">
      <c r="A836" s="1">
        <v>45058</v>
      </c>
      <c r="B836" s="4">
        <v>3259.2</v>
      </c>
    </row>
    <row r="837" spans="1:2" x14ac:dyDescent="0.3">
      <c r="A837" s="1">
        <v>45061</v>
      </c>
      <c r="B837" s="4">
        <v>3240.04</v>
      </c>
    </row>
    <row r="838" spans="1:2" x14ac:dyDescent="0.3">
      <c r="A838" s="1">
        <v>45062</v>
      </c>
      <c r="B838" s="4">
        <v>3243.12</v>
      </c>
    </row>
    <row r="839" spans="1:2" x14ac:dyDescent="0.3">
      <c r="A839" s="1">
        <v>45063</v>
      </c>
      <c r="B839" s="4">
        <v>3193.9</v>
      </c>
    </row>
    <row r="840" spans="1:2" x14ac:dyDescent="0.3">
      <c r="A840" s="1">
        <v>45064</v>
      </c>
      <c r="B840" s="4">
        <v>3185.09</v>
      </c>
    </row>
    <row r="841" spans="1:2" x14ac:dyDescent="0.3">
      <c r="A841" s="1">
        <v>45065</v>
      </c>
      <c r="B841" s="4">
        <v>3207.99</v>
      </c>
    </row>
    <row r="842" spans="1:2" x14ac:dyDescent="0.3">
      <c r="A842" s="1">
        <v>45068</v>
      </c>
      <c r="B842" s="4">
        <v>3283.49</v>
      </c>
    </row>
    <row r="843" spans="1:2" x14ac:dyDescent="0.3">
      <c r="A843" s="1">
        <v>45069</v>
      </c>
      <c r="B843" s="4">
        <v>3281.84</v>
      </c>
    </row>
    <row r="844" spans="1:2" x14ac:dyDescent="0.3">
      <c r="A844" s="1">
        <v>45070</v>
      </c>
      <c r="B844" s="4">
        <v>3288.11</v>
      </c>
    </row>
    <row r="845" spans="1:2" x14ac:dyDescent="0.3">
      <c r="A845" s="1">
        <v>45071</v>
      </c>
      <c r="B845" s="4">
        <v>3278.31</v>
      </c>
    </row>
    <row r="846" spans="1:2" x14ac:dyDescent="0.3">
      <c r="A846" s="1">
        <v>45072</v>
      </c>
      <c r="B846" s="4">
        <v>3313.55</v>
      </c>
    </row>
    <row r="847" spans="1:2" x14ac:dyDescent="0.3">
      <c r="A847" s="1">
        <v>45075</v>
      </c>
      <c r="B847" s="4">
        <v>3305.04</v>
      </c>
    </row>
    <row r="848" spans="1:2" x14ac:dyDescent="0.3">
      <c r="A848" s="1">
        <v>45076</v>
      </c>
      <c r="B848" s="4">
        <v>3300.91</v>
      </c>
    </row>
    <row r="849" spans="1:2" x14ac:dyDescent="0.3">
      <c r="A849" s="1">
        <v>45077</v>
      </c>
      <c r="B849" s="4">
        <v>3274.33</v>
      </c>
    </row>
    <row r="850" spans="1:2" x14ac:dyDescent="0.3">
      <c r="A850" s="1">
        <v>45078</v>
      </c>
      <c r="B850" s="4">
        <v>3308.67</v>
      </c>
    </row>
    <row r="851" spans="1:2" x14ac:dyDescent="0.3">
      <c r="A851" s="1">
        <v>45079</v>
      </c>
      <c r="B851" s="4">
        <v>3290.35</v>
      </c>
    </row>
    <row r="852" spans="1:2" x14ac:dyDescent="0.3">
      <c r="A852" s="1">
        <v>45082</v>
      </c>
      <c r="B852" s="4">
        <v>3273.73</v>
      </c>
    </row>
    <row r="853" spans="1:2" x14ac:dyDescent="0.3">
      <c r="A853" s="1">
        <v>45083</v>
      </c>
      <c r="B853" s="4">
        <v>3217.39</v>
      </c>
    </row>
    <row r="854" spans="1:2" x14ac:dyDescent="0.3">
      <c r="A854" s="1">
        <v>45084</v>
      </c>
      <c r="B854" s="4">
        <v>3259.8</v>
      </c>
    </row>
    <row r="855" spans="1:2" x14ac:dyDescent="0.3">
      <c r="A855" s="1">
        <v>45085</v>
      </c>
      <c r="B855" s="4">
        <v>3221.52</v>
      </c>
    </row>
    <row r="856" spans="1:2" x14ac:dyDescent="0.3">
      <c r="A856" s="1">
        <v>45086</v>
      </c>
      <c r="B856" s="4">
        <v>3194.5</v>
      </c>
    </row>
    <row r="857" spans="1:2" x14ac:dyDescent="0.3">
      <c r="A857" s="1">
        <v>45089</v>
      </c>
      <c r="B857" s="4">
        <v>3231.93</v>
      </c>
    </row>
    <row r="858" spans="1:2" x14ac:dyDescent="0.3">
      <c r="A858" s="1">
        <v>45090</v>
      </c>
      <c r="B858" s="4">
        <v>3228.74</v>
      </c>
    </row>
    <row r="859" spans="1:2" x14ac:dyDescent="0.3">
      <c r="A859" s="1">
        <v>45091</v>
      </c>
      <c r="B859" s="4">
        <v>3236.06</v>
      </c>
    </row>
    <row r="860" spans="1:2" x14ac:dyDescent="0.3">
      <c r="A860" s="1">
        <v>45092</v>
      </c>
      <c r="B860" s="4">
        <v>3201.47</v>
      </c>
    </row>
    <row r="861" spans="1:2" x14ac:dyDescent="0.3">
      <c r="A861" s="1">
        <v>45093</v>
      </c>
      <c r="B861" s="4">
        <v>3160.26</v>
      </c>
    </row>
    <row r="862" spans="1:2" x14ac:dyDescent="0.3">
      <c r="A862" s="1">
        <v>45096</v>
      </c>
      <c r="B862" s="4">
        <v>3195.59</v>
      </c>
    </row>
    <row r="863" spans="1:2" x14ac:dyDescent="0.3">
      <c r="A863" s="1">
        <v>45097</v>
      </c>
      <c r="B863" s="4">
        <v>3212.81</v>
      </c>
    </row>
    <row r="864" spans="1:2" x14ac:dyDescent="0.3">
      <c r="A864" s="1">
        <v>45098</v>
      </c>
      <c r="B864" s="4">
        <v>3243.17</v>
      </c>
    </row>
    <row r="865" spans="1:2" x14ac:dyDescent="0.3">
      <c r="A865" s="1">
        <v>45099</v>
      </c>
      <c r="B865" s="4">
        <v>3223.56</v>
      </c>
    </row>
    <row r="866" spans="1:2" x14ac:dyDescent="0.3">
      <c r="A866" s="1">
        <v>45100</v>
      </c>
      <c r="B866" s="4">
        <v>3201.52</v>
      </c>
    </row>
    <row r="867" spans="1:2" x14ac:dyDescent="0.3">
      <c r="A867" s="1">
        <v>45103</v>
      </c>
      <c r="B867" s="4">
        <v>3174.94</v>
      </c>
    </row>
    <row r="868" spans="1:2" x14ac:dyDescent="0.3">
      <c r="A868" s="1">
        <v>45104</v>
      </c>
      <c r="B868" s="4">
        <v>3182.6</v>
      </c>
    </row>
    <row r="869" spans="1:2" x14ac:dyDescent="0.3">
      <c r="A869" s="1">
        <v>45105</v>
      </c>
      <c r="B869" s="4">
        <v>3200.62</v>
      </c>
    </row>
    <row r="870" spans="1:2" x14ac:dyDescent="0.3">
      <c r="A870" s="1">
        <v>45107</v>
      </c>
      <c r="B870" s="4">
        <v>3287.02</v>
      </c>
    </row>
    <row r="871" spans="1:2" x14ac:dyDescent="0.3">
      <c r="A871" s="1">
        <v>45110</v>
      </c>
      <c r="B871" s="4">
        <v>3257.21</v>
      </c>
    </row>
    <row r="872" spans="1:2" x14ac:dyDescent="0.3">
      <c r="A872" s="1">
        <v>45111</v>
      </c>
      <c r="B872" s="4">
        <v>3293.59</v>
      </c>
    </row>
    <row r="873" spans="1:2" x14ac:dyDescent="0.3">
      <c r="A873" s="1">
        <v>45112</v>
      </c>
      <c r="B873" s="4">
        <v>3304.64</v>
      </c>
    </row>
    <row r="874" spans="1:2" x14ac:dyDescent="0.3">
      <c r="A874" s="1">
        <v>45113</v>
      </c>
      <c r="B874" s="4">
        <v>3307.57</v>
      </c>
    </row>
    <row r="875" spans="1:2" x14ac:dyDescent="0.3">
      <c r="A875" s="1">
        <v>45114</v>
      </c>
      <c r="B875" s="4">
        <v>3313.9</v>
      </c>
    </row>
    <row r="876" spans="1:2" x14ac:dyDescent="0.3">
      <c r="A876" s="1">
        <v>45117</v>
      </c>
      <c r="B876" s="4">
        <v>3256.86</v>
      </c>
    </row>
    <row r="877" spans="1:2" x14ac:dyDescent="0.3">
      <c r="A877" s="1">
        <v>45118</v>
      </c>
      <c r="B877" s="4">
        <v>3257.31</v>
      </c>
    </row>
    <row r="878" spans="1:2" x14ac:dyDescent="0.3">
      <c r="A878" s="1">
        <v>45119</v>
      </c>
      <c r="B878" s="4">
        <v>3244.86</v>
      </c>
    </row>
    <row r="879" spans="1:2" x14ac:dyDescent="0.3">
      <c r="A879" s="1">
        <v>45120</v>
      </c>
      <c r="B879" s="4">
        <v>3325.14</v>
      </c>
    </row>
    <row r="880" spans="1:2" x14ac:dyDescent="0.3">
      <c r="A880" s="1">
        <v>45121</v>
      </c>
      <c r="B880" s="4">
        <v>3498.44</v>
      </c>
    </row>
    <row r="881" spans="1:2" x14ac:dyDescent="0.3">
      <c r="A881" s="1">
        <v>45124</v>
      </c>
      <c r="B881" s="4">
        <v>3475.6</v>
      </c>
    </row>
    <row r="882" spans="1:2" x14ac:dyDescent="0.3">
      <c r="A882" s="1">
        <v>45125</v>
      </c>
      <c r="B882" s="4">
        <v>3480.72</v>
      </c>
    </row>
    <row r="883" spans="1:2" x14ac:dyDescent="0.3">
      <c r="A883" s="1">
        <v>45126</v>
      </c>
      <c r="B883" s="4">
        <v>3454.05</v>
      </c>
    </row>
    <row r="884" spans="1:2" x14ac:dyDescent="0.3">
      <c r="A884" s="1">
        <v>45127</v>
      </c>
      <c r="B884" s="4">
        <v>3447.33</v>
      </c>
    </row>
    <row r="885" spans="1:2" x14ac:dyDescent="0.3">
      <c r="A885" s="1">
        <v>45128</v>
      </c>
      <c r="B885" s="4">
        <v>3352.76</v>
      </c>
    </row>
    <row r="886" spans="1:2" x14ac:dyDescent="0.3">
      <c r="A886" s="1">
        <v>45131</v>
      </c>
      <c r="B886" s="4">
        <v>3379.09</v>
      </c>
    </row>
    <row r="887" spans="1:2" x14ac:dyDescent="0.3">
      <c r="A887" s="1">
        <v>45132</v>
      </c>
      <c r="B887" s="4">
        <v>3383.47</v>
      </c>
    </row>
    <row r="888" spans="1:2" x14ac:dyDescent="0.3">
      <c r="A888" s="1">
        <v>45133</v>
      </c>
      <c r="B888" s="4">
        <v>3372.67</v>
      </c>
    </row>
    <row r="889" spans="1:2" x14ac:dyDescent="0.3">
      <c r="A889" s="1">
        <v>45134</v>
      </c>
      <c r="B889" s="4">
        <v>3381.23</v>
      </c>
    </row>
    <row r="890" spans="1:2" x14ac:dyDescent="0.3">
      <c r="A890" s="1">
        <v>45135</v>
      </c>
      <c r="B890" s="4">
        <v>3339.93</v>
      </c>
    </row>
    <row r="891" spans="1:2" x14ac:dyDescent="0.3">
      <c r="A891" s="1">
        <v>45138</v>
      </c>
      <c r="B891" s="4">
        <v>3405.67</v>
      </c>
    </row>
    <row r="892" spans="1:2" x14ac:dyDescent="0.3">
      <c r="A892" s="1">
        <v>45139</v>
      </c>
      <c r="B892" s="4">
        <v>3436.13</v>
      </c>
    </row>
    <row r="893" spans="1:2" x14ac:dyDescent="0.3">
      <c r="A893" s="1">
        <v>45140</v>
      </c>
      <c r="B893" s="4">
        <v>3424.78</v>
      </c>
    </row>
    <row r="894" spans="1:2" x14ac:dyDescent="0.3">
      <c r="A894" s="1">
        <v>45141</v>
      </c>
      <c r="B894" s="4">
        <v>3384.27</v>
      </c>
    </row>
    <row r="895" spans="1:2" x14ac:dyDescent="0.3">
      <c r="A895" s="1">
        <v>45142</v>
      </c>
      <c r="B895" s="4">
        <v>3427.67</v>
      </c>
    </row>
    <row r="896" spans="1:2" x14ac:dyDescent="0.3">
      <c r="A896" s="1">
        <v>45145</v>
      </c>
      <c r="B896" s="4">
        <v>3467.98</v>
      </c>
    </row>
    <row r="897" spans="1:2" x14ac:dyDescent="0.3">
      <c r="A897" s="1">
        <v>45146</v>
      </c>
      <c r="B897" s="4">
        <v>3454.59</v>
      </c>
    </row>
    <row r="898" spans="1:2" x14ac:dyDescent="0.3">
      <c r="A898" s="1">
        <v>45147</v>
      </c>
      <c r="B898" s="4">
        <v>3446.53</v>
      </c>
    </row>
    <row r="899" spans="1:2" x14ac:dyDescent="0.3">
      <c r="A899" s="1">
        <v>45148</v>
      </c>
      <c r="B899" s="4">
        <v>3426.23</v>
      </c>
    </row>
    <row r="900" spans="1:2" x14ac:dyDescent="0.3">
      <c r="A900" s="1">
        <v>45149</v>
      </c>
      <c r="B900" s="4">
        <v>3432.89</v>
      </c>
    </row>
    <row r="901" spans="1:2" x14ac:dyDescent="0.3">
      <c r="A901" s="1">
        <v>45152</v>
      </c>
      <c r="B901" s="4">
        <v>3433.94</v>
      </c>
    </row>
    <row r="902" spans="1:2" x14ac:dyDescent="0.3">
      <c r="A902" s="1">
        <v>45154</v>
      </c>
      <c r="B902" s="4">
        <v>3442.45</v>
      </c>
    </row>
    <row r="903" spans="1:2" x14ac:dyDescent="0.3">
      <c r="A903" s="1">
        <v>45155</v>
      </c>
      <c r="B903" s="4">
        <v>3419.9</v>
      </c>
    </row>
    <row r="904" spans="1:2" x14ac:dyDescent="0.3">
      <c r="A904" s="1">
        <v>45156</v>
      </c>
      <c r="B904" s="4">
        <v>3351.57</v>
      </c>
    </row>
    <row r="905" spans="1:2" x14ac:dyDescent="0.3">
      <c r="A905" s="1">
        <v>45159</v>
      </c>
      <c r="B905" s="4">
        <v>3385.96</v>
      </c>
    </row>
    <row r="906" spans="1:2" x14ac:dyDescent="0.3">
      <c r="A906" s="1">
        <v>45160</v>
      </c>
      <c r="B906" s="4">
        <v>3366.55</v>
      </c>
    </row>
    <row r="907" spans="1:2" x14ac:dyDescent="0.3">
      <c r="A907" s="1">
        <v>45161</v>
      </c>
      <c r="B907" s="4">
        <v>3382.58</v>
      </c>
    </row>
    <row r="908" spans="1:2" x14ac:dyDescent="0.3">
      <c r="A908" s="1">
        <v>45162</v>
      </c>
      <c r="B908" s="4">
        <v>3372.13</v>
      </c>
    </row>
    <row r="909" spans="1:2" x14ac:dyDescent="0.3">
      <c r="A909" s="1">
        <v>45163</v>
      </c>
      <c r="B909" s="4">
        <v>3365.71</v>
      </c>
    </row>
    <row r="910" spans="1:2" x14ac:dyDescent="0.3">
      <c r="A910" s="1">
        <v>45166</v>
      </c>
      <c r="B910" s="4">
        <v>3359.98</v>
      </c>
    </row>
    <row r="911" spans="1:2" x14ac:dyDescent="0.3">
      <c r="A911" s="1">
        <v>45167</v>
      </c>
      <c r="B911" s="4">
        <v>3360.58</v>
      </c>
    </row>
    <row r="912" spans="1:2" x14ac:dyDescent="0.3">
      <c r="A912" s="1">
        <v>45168</v>
      </c>
      <c r="B912" s="4">
        <v>3375.31</v>
      </c>
    </row>
    <row r="913" spans="1:2" x14ac:dyDescent="0.3">
      <c r="A913" s="1">
        <v>45169</v>
      </c>
      <c r="B913" s="4">
        <v>3341.32</v>
      </c>
    </row>
    <row r="914" spans="1:2" x14ac:dyDescent="0.3">
      <c r="A914" s="1">
        <v>45170</v>
      </c>
      <c r="B914" s="4">
        <v>3363.61</v>
      </c>
    </row>
    <row r="915" spans="1:2" x14ac:dyDescent="0.3">
      <c r="A915" s="1">
        <v>45173</v>
      </c>
      <c r="B915" s="4">
        <v>3402.73</v>
      </c>
    </row>
    <row r="916" spans="1:2" x14ac:dyDescent="0.3">
      <c r="A916" s="1">
        <v>45174</v>
      </c>
      <c r="B916" s="4">
        <v>3413.53</v>
      </c>
    </row>
    <row r="917" spans="1:2" x14ac:dyDescent="0.3">
      <c r="A917" s="1">
        <v>45175</v>
      </c>
      <c r="B917" s="4">
        <v>3414.08</v>
      </c>
    </row>
    <row r="918" spans="1:2" x14ac:dyDescent="0.3">
      <c r="A918" s="1">
        <v>45176</v>
      </c>
      <c r="B918" s="4">
        <v>3439.31</v>
      </c>
    </row>
    <row r="919" spans="1:2" x14ac:dyDescent="0.3">
      <c r="A919" s="1">
        <v>45177</v>
      </c>
      <c r="B919" s="4">
        <v>3426.03</v>
      </c>
    </row>
    <row r="920" spans="1:2" x14ac:dyDescent="0.3">
      <c r="A920" s="1">
        <v>45180</v>
      </c>
      <c r="B920" s="4">
        <v>3464.6</v>
      </c>
    </row>
    <row r="921" spans="1:2" x14ac:dyDescent="0.3">
      <c r="A921" s="1">
        <v>45181</v>
      </c>
      <c r="B921" s="4">
        <v>3564.28</v>
      </c>
    </row>
    <row r="922" spans="1:2" x14ac:dyDescent="0.3">
      <c r="A922" s="1">
        <v>45182</v>
      </c>
      <c r="B922" s="4">
        <v>3551.4</v>
      </c>
    </row>
    <row r="923" spans="1:2" x14ac:dyDescent="0.3">
      <c r="A923" s="1">
        <v>45183</v>
      </c>
      <c r="B923" s="4">
        <v>3543.63</v>
      </c>
    </row>
    <row r="924" spans="1:2" x14ac:dyDescent="0.3">
      <c r="A924" s="1">
        <v>45184</v>
      </c>
      <c r="B924" s="4">
        <v>3581.71</v>
      </c>
    </row>
    <row r="925" spans="1:2" x14ac:dyDescent="0.3">
      <c r="A925" s="1">
        <v>45187</v>
      </c>
      <c r="B925" s="4">
        <v>3589.52</v>
      </c>
    </row>
    <row r="926" spans="1:2" x14ac:dyDescent="0.3">
      <c r="A926" s="1">
        <v>45189</v>
      </c>
      <c r="B926" s="4">
        <v>3589.42</v>
      </c>
    </row>
    <row r="927" spans="1:2" x14ac:dyDescent="0.3">
      <c r="A927" s="1">
        <v>45190</v>
      </c>
      <c r="B927" s="4">
        <v>3568.76</v>
      </c>
    </row>
    <row r="928" spans="1:2" x14ac:dyDescent="0.3">
      <c r="A928" s="1">
        <v>45191</v>
      </c>
      <c r="B928" s="4">
        <v>3587.03</v>
      </c>
    </row>
    <row r="929" spans="1:2" x14ac:dyDescent="0.3">
      <c r="A929" s="1">
        <v>45194</v>
      </c>
      <c r="B929" s="4">
        <v>3560.65</v>
      </c>
    </row>
    <row r="930" spans="1:2" x14ac:dyDescent="0.3">
      <c r="A930" s="1">
        <v>45195</v>
      </c>
      <c r="B930" s="4">
        <v>3569.16</v>
      </c>
    </row>
    <row r="931" spans="1:2" x14ac:dyDescent="0.3">
      <c r="A931" s="1">
        <v>45196</v>
      </c>
      <c r="B931" s="4">
        <v>3572.75</v>
      </c>
    </row>
    <row r="932" spans="1:2" x14ac:dyDescent="0.3">
      <c r="A932" s="1">
        <v>45197</v>
      </c>
      <c r="B932" s="4">
        <v>3520.44</v>
      </c>
    </row>
    <row r="933" spans="1:2" x14ac:dyDescent="0.3">
      <c r="A933" s="1">
        <v>45198</v>
      </c>
      <c r="B933" s="4">
        <v>3512.33</v>
      </c>
    </row>
    <row r="934" spans="1:2" x14ac:dyDescent="0.3">
      <c r="A934" s="1">
        <v>45202</v>
      </c>
      <c r="B934" s="4">
        <v>3497.64</v>
      </c>
    </row>
    <row r="935" spans="1:2" x14ac:dyDescent="0.3">
      <c r="A935" s="1">
        <v>45203</v>
      </c>
      <c r="B935" s="4">
        <v>3521.43</v>
      </c>
    </row>
    <row r="936" spans="1:2" x14ac:dyDescent="0.3">
      <c r="A936" s="1">
        <v>45204</v>
      </c>
      <c r="B936" s="4">
        <v>3572.8</v>
      </c>
    </row>
    <row r="937" spans="1:2" x14ac:dyDescent="0.3">
      <c r="A937" s="1">
        <v>45205</v>
      </c>
      <c r="B937" s="4">
        <v>3604.7</v>
      </c>
    </row>
    <row r="938" spans="1:2" x14ac:dyDescent="0.3">
      <c r="A938" s="1">
        <v>45208</v>
      </c>
      <c r="B938" s="4">
        <v>3621.57</v>
      </c>
    </row>
    <row r="939" spans="1:2" x14ac:dyDescent="0.3">
      <c r="A939" s="1">
        <v>45209</v>
      </c>
      <c r="B939" s="4">
        <v>3612.16</v>
      </c>
    </row>
    <row r="940" spans="1:2" x14ac:dyDescent="0.3">
      <c r="A940" s="1">
        <v>45210</v>
      </c>
      <c r="B940" s="4">
        <v>3593.25</v>
      </c>
    </row>
    <row r="941" spans="1:2" x14ac:dyDescent="0.3">
      <c r="A941" s="1">
        <v>45211</v>
      </c>
      <c r="B941" s="4">
        <v>3526.21</v>
      </c>
    </row>
    <row r="942" spans="1:2" x14ac:dyDescent="0.3">
      <c r="A942" s="1">
        <v>45212</v>
      </c>
      <c r="B942" s="4">
        <v>3554.38</v>
      </c>
    </row>
    <row r="943" spans="1:2" x14ac:dyDescent="0.3">
      <c r="A943" s="1">
        <v>45215</v>
      </c>
      <c r="B943" s="4">
        <v>3507.8</v>
      </c>
    </row>
    <row r="944" spans="1:2" x14ac:dyDescent="0.3">
      <c r="A944" s="1">
        <v>45216</v>
      </c>
      <c r="B944" s="4">
        <v>3490.88</v>
      </c>
    </row>
    <row r="945" spans="1:2" x14ac:dyDescent="0.3">
      <c r="A945" s="1">
        <v>45217</v>
      </c>
      <c r="B945" s="4">
        <v>3471.17</v>
      </c>
    </row>
    <row r="946" spans="1:2" x14ac:dyDescent="0.3">
      <c r="A946" s="1">
        <v>45218</v>
      </c>
      <c r="B946" s="4">
        <v>3439.71</v>
      </c>
    </row>
    <row r="947" spans="1:2" x14ac:dyDescent="0.3">
      <c r="A947" s="1">
        <v>45219</v>
      </c>
      <c r="B947" s="4">
        <v>3478.43</v>
      </c>
    </row>
    <row r="948" spans="1:2" x14ac:dyDescent="0.3">
      <c r="A948" s="1">
        <v>45222</v>
      </c>
      <c r="B948" s="4">
        <v>3394.42</v>
      </c>
    </row>
    <row r="949" spans="1:2" x14ac:dyDescent="0.3">
      <c r="A949" s="1">
        <v>45224</v>
      </c>
      <c r="B949" s="4">
        <v>3374.47</v>
      </c>
    </row>
    <row r="950" spans="1:2" x14ac:dyDescent="0.3">
      <c r="A950" s="1">
        <v>45225</v>
      </c>
      <c r="B950" s="4">
        <v>3321.36</v>
      </c>
    </row>
    <row r="951" spans="1:2" x14ac:dyDescent="0.3">
      <c r="A951" s="1">
        <v>45226</v>
      </c>
      <c r="B951" s="4">
        <v>3335.5</v>
      </c>
    </row>
    <row r="952" spans="1:2" x14ac:dyDescent="0.3">
      <c r="A952" s="1">
        <v>45229</v>
      </c>
      <c r="B952" s="4">
        <v>3362.97</v>
      </c>
    </row>
    <row r="953" spans="1:2" x14ac:dyDescent="0.3">
      <c r="A953" s="1">
        <v>45230</v>
      </c>
      <c r="B953" s="4">
        <v>3353.21</v>
      </c>
    </row>
    <row r="954" spans="1:2" x14ac:dyDescent="0.3">
      <c r="A954" s="1">
        <v>45231</v>
      </c>
      <c r="B954" s="4">
        <v>3315.29</v>
      </c>
    </row>
    <row r="955" spans="1:2" x14ac:dyDescent="0.3">
      <c r="A955" s="1">
        <v>45232</v>
      </c>
      <c r="B955" s="4">
        <v>3344.6</v>
      </c>
    </row>
    <row r="956" spans="1:2" x14ac:dyDescent="0.3">
      <c r="A956" s="1">
        <v>45233</v>
      </c>
      <c r="B956" s="4">
        <v>3335.45</v>
      </c>
    </row>
    <row r="957" spans="1:2" x14ac:dyDescent="0.3">
      <c r="A957" s="1">
        <v>45236</v>
      </c>
      <c r="B957" s="4">
        <v>3364.66</v>
      </c>
    </row>
    <row r="958" spans="1:2" x14ac:dyDescent="0.3">
      <c r="A958" s="1">
        <v>45237</v>
      </c>
      <c r="B958" s="4">
        <v>3354.91</v>
      </c>
    </row>
    <row r="959" spans="1:2" x14ac:dyDescent="0.3">
      <c r="A959" s="1">
        <v>45238</v>
      </c>
      <c r="B959" s="4">
        <v>3365.95</v>
      </c>
    </row>
    <row r="960" spans="1:2" x14ac:dyDescent="0.3">
      <c r="A960" s="1">
        <v>45239</v>
      </c>
      <c r="B960" s="4">
        <v>3332.01</v>
      </c>
    </row>
    <row r="961" spans="1:2" x14ac:dyDescent="0.3">
      <c r="A961" s="1">
        <v>45240</v>
      </c>
      <c r="B961" s="4">
        <v>3318.08</v>
      </c>
    </row>
    <row r="962" spans="1:2" x14ac:dyDescent="0.3">
      <c r="A962" s="1">
        <v>45242</v>
      </c>
      <c r="B962" s="4">
        <v>3358.9</v>
      </c>
    </row>
    <row r="963" spans="1:2" x14ac:dyDescent="0.3">
      <c r="A963" s="1">
        <v>45243</v>
      </c>
      <c r="B963" s="4">
        <v>3316.19</v>
      </c>
    </row>
    <row r="964" spans="1:2" x14ac:dyDescent="0.3">
      <c r="A964" s="1">
        <v>45245</v>
      </c>
      <c r="B964" s="4">
        <v>3388.6</v>
      </c>
    </row>
    <row r="965" spans="1:2" x14ac:dyDescent="0.3">
      <c r="A965" s="1">
        <v>45246</v>
      </c>
      <c r="B965" s="4">
        <v>3481.72</v>
      </c>
    </row>
    <row r="966" spans="1:2" x14ac:dyDescent="0.3">
      <c r="A966" s="1">
        <v>45247</v>
      </c>
      <c r="B966" s="4">
        <v>3486.3</v>
      </c>
    </row>
    <row r="967" spans="1:2" x14ac:dyDescent="0.3">
      <c r="A967" s="1">
        <v>45250</v>
      </c>
      <c r="B967" s="4">
        <v>3503.37</v>
      </c>
    </row>
    <row r="968" spans="1:2" x14ac:dyDescent="0.3">
      <c r="A968" s="1">
        <v>45251</v>
      </c>
      <c r="B968" s="4">
        <v>3494.01</v>
      </c>
    </row>
    <row r="969" spans="1:2" x14ac:dyDescent="0.3">
      <c r="A969" s="1">
        <v>45252</v>
      </c>
      <c r="B969" s="4">
        <v>3513.87</v>
      </c>
    </row>
    <row r="970" spans="1:2" x14ac:dyDescent="0.3">
      <c r="A970" s="1">
        <v>45253</v>
      </c>
      <c r="B970" s="4">
        <v>3492.07</v>
      </c>
    </row>
    <row r="971" spans="1:2" x14ac:dyDescent="0.3">
      <c r="A971" s="1">
        <v>45254</v>
      </c>
      <c r="B971" s="4">
        <v>3441.16</v>
      </c>
    </row>
    <row r="972" spans="1:2" x14ac:dyDescent="0.3">
      <c r="A972" s="1">
        <v>45258</v>
      </c>
      <c r="B972" s="4">
        <v>3454.15</v>
      </c>
    </row>
    <row r="973" spans="1:2" x14ac:dyDescent="0.3">
      <c r="A973" s="1">
        <v>45259</v>
      </c>
      <c r="B973" s="4">
        <v>3497.54</v>
      </c>
    </row>
    <row r="974" spans="1:2" x14ac:dyDescent="0.3">
      <c r="A974" s="1">
        <v>45260</v>
      </c>
      <c r="B974" s="4">
        <v>3471.51</v>
      </c>
    </row>
    <row r="975" spans="1:2" x14ac:dyDescent="0.3">
      <c r="A975" s="1">
        <v>45261</v>
      </c>
      <c r="B975" s="4">
        <v>3495.45</v>
      </c>
    </row>
    <row r="976" spans="1:2" x14ac:dyDescent="0.3">
      <c r="A976" s="1">
        <v>45264</v>
      </c>
      <c r="B976" s="4">
        <v>3496.25</v>
      </c>
    </row>
    <row r="977" spans="1:2" x14ac:dyDescent="0.3">
      <c r="A977" s="1">
        <v>45265</v>
      </c>
      <c r="B977" s="4">
        <v>3515.31</v>
      </c>
    </row>
    <row r="978" spans="1:2" x14ac:dyDescent="0.3">
      <c r="A978" s="1">
        <v>45266</v>
      </c>
      <c r="B978" s="4">
        <v>3587.48</v>
      </c>
    </row>
    <row r="979" spans="1:2" x14ac:dyDescent="0.3">
      <c r="A979" s="1">
        <v>45267</v>
      </c>
      <c r="B979" s="4">
        <v>3598.23</v>
      </c>
    </row>
    <row r="980" spans="1:2" x14ac:dyDescent="0.3">
      <c r="A980" s="1">
        <v>45268</v>
      </c>
      <c r="B980" s="4">
        <v>3609.97</v>
      </c>
    </row>
    <row r="981" spans="1:2" x14ac:dyDescent="0.3">
      <c r="A981" s="1">
        <v>45271</v>
      </c>
      <c r="B981" s="4">
        <v>3626.1</v>
      </c>
    </row>
    <row r="982" spans="1:2" x14ac:dyDescent="0.3">
      <c r="A982" s="1">
        <v>45272</v>
      </c>
      <c r="B982" s="4">
        <v>3655.16</v>
      </c>
    </row>
    <row r="983" spans="1:2" x14ac:dyDescent="0.3">
      <c r="A983" s="1">
        <v>45273</v>
      </c>
      <c r="B983" s="4">
        <v>3576.98</v>
      </c>
    </row>
    <row r="984" spans="1:2" x14ac:dyDescent="0.3">
      <c r="A984" s="1">
        <v>45274</v>
      </c>
      <c r="B984" s="4">
        <v>3650.34</v>
      </c>
    </row>
    <row r="985" spans="1:2" x14ac:dyDescent="0.3">
      <c r="A985" s="1">
        <v>45275</v>
      </c>
      <c r="B985" s="4">
        <v>3843.19</v>
      </c>
    </row>
    <row r="986" spans="1:2" x14ac:dyDescent="0.3">
      <c r="A986" s="1">
        <v>45278</v>
      </c>
      <c r="B986" s="4">
        <v>3841.4</v>
      </c>
    </row>
    <row r="987" spans="1:2" x14ac:dyDescent="0.3">
      <c r="A987" s="1">
        <v>45279</v>
      </c>
      <c r="B987" s="4">
        <v>3798.6</v>
      </c>
    </row>
    <row r="988" spans="1:2" x14ac:dyDescent="0.3">
      <c r="A988" s="1">
        <v>45280</v>
      </c>
      <c r="B988" s="4">
        <v>3762.62</v>
      </c>
    </row>
    <row r="989" spans="1:2" x14ac:dyDescent="0.3">
      <c r="A989" s="1">
        <v>45281</v>
      </c>
      <c r="B989" s="4">
        <v>3770.03</v>
      </c>
    </row>
    <row r="990" spans="1:2" x14ac:dyDescent="0.3">
      <c r="A990" s="1">
        <v>45282</v>
      </c>
      <c r="B990" s="4">
        <v>3806.36</v>
      </c>
    </row>
    <row r="991" spans="1:2" x14ac:dyDescent="0.3">
      <c r="A991" s="1">
        <v>45286</v>
      </c>
      <c r="B991" s="4">
        <v>3778.04</v>
      </c>
    </row>
    <row r="992" spans="1:2" x14ac:dyDescent="0.3">
      <c r="A992" s="1">
        <v>45287</v>
      </c>
      <c r="B992" s="4">
        <v>3793.62</v>
      </c>
    </row>
    <row r="993" spans="1:2" x14ac:dyDescent="0.3">
      <c r="A993" s="1">
        <v>45288</v>
      </c>
      <c r="B993" s="4">
        <v>3782.38</v>
      </c>
    </row>
    <row r="994" spans="1:2" x14ac:dyDescent="0.3">
      <c r="A994" s="1">
        <v>45289</v>
      </c>
      <c r="B994" s="4">
        <v>3775.91</v>
      </c>
    </row>
    <row r="995" spans="1:2" x14ac:dyDescent="0.3">
      <c r="A995" s="1">
        <v>45292</v>
      </c>
      <c r="B995" s="4">
        <v>3793.52</v>
      </c>
    </row>
    <row r="996" spans="1:2" x14ac:dyDescent="0.3">
      <c r="A996" s="1">
        <v>45293</v>
      </c>
      <c r="B996" s="4">
        <v>3765.75</v>
      </c>
    </row>
    <row r="997" spans="1:2" x14ac:dyDescent="0.3">
      <c r="A997" s="1">
        <v>45294</v>
      </c>
      <c r="B997" s="4">
        <v>3674.72</v>
      </c>
    </row>
    <row r="998" spans="1:2" x14ac:dyDescent="0.3">
      <c r="A998" s="1">
        <v>45295</v>
      </c>
      <c r="B998" s="4">
        <v>3649.89</v>
      </c>
    </row>
    <row r="999" spans="1:2" x14ac:dyDescent="0.3">
      <c r="A999" s="1">
        <v>45296</v>
      </c>
      <c r="B999" s="4">
        <v>3720.66</v>
      </c>
    </row>
    <row r="1000" spans="1:2" x14ac:dyDescent="0.3">
      <c r="A1000" s="1">
        <v>45299</v>
      </c>
      <c r="B1000" s="4">
        <v>3661.34</v>
      </c>
    </row>
    <row r="1001" spans="1:2" x14ac:dyDescent="0.3">
      <c r="A1001" s="1">
        <v>45300</v>
      </c>
      <c r="B1001" s="4">
        <v>3672.88</v>
      </c>
    </row>
    <row r="1002" spans="1:2" x14ac:dyDescent="0.3">
      <c r="A1002" s="1">
        <v>45301</v>
      </c>
      <c r="B1002" s="4">
        <v>3695.93</v>
      </c>
    </row>
    <row r="1003" spans="1:2" x14ac:dyDescent="0.3">
      <c r="A1003" s="1">
        <v>45302</v>
      </c>
      <c r="B1003" s="4">
        <v>3718.32</v>
      </c>
    </row>
    <row r="1004" spans="1:2" x14ac:dyDescent="0.3">
      <c r="A1004" s="1">
        <v>45303</v>
      </c>
      <c r="B1004" s="4">
        <v>3864.89</v>
      </c>
    </row>
    <row r="1005" spans="1:2" x14ac:dyDescent="0.3">
      <c r="A1005" s="1">
        <v>45306</v>
      </c>
      <c r="B1005" s="4">
        <v>3885.8</v>
      </c>
    </row>
    <row r="1006" spans="1:2" x14ac:dyDescent="0.3">
      <c r="A1006" s="1">
        <v>45307</v>
      </c>
      <c r="B1006" s="4">
        <v>3843.49</v>
      </c>
    </row>
    <row r="1007" spans="1:2" x14ac:dyDescent="0.3">
      <c r="A1007" s="1">
        <v>45308</v>
      </c>
      <c r="B1007" s="4">
        <v>3866.68</v>
      </c>
    </row>
    <row r="1008" spans="1:2" x14ac:dyDescent="0.3">
      <c r="A1008" s="1">
        <v>45309</v>
      </c>
      <c r="B1008" s="4">
        <v>3884.6</v>
      </c>
    </row>
    <row r="1009" spans="1:2" x14ac:dyDescent="0.3">
      <c r="A1009" s="1">
        <v>45310</v>
      </c>
      <c r="B1009" s="4">
        <v>3943.05</v>
      </c>
    </row>
    <row r="1010" spans="1:2" x14ac:dyDescent="0.3">
      <c r="A1010" s="1">
        <v>45311</v>
      </c>
      <c r="B1010" s="4">
        <v>3860.65</v>
      </c>
    </row>
    <row r="1011" spans="1:2" x14ac:dyDescent="0.3">
      <c r="A1011" s="1">
        <v>45314</v>
      </c>
      <c r="B1011" s="4">
        <v>3858.25</v>
      </c>
    </row>
    <row r="1012" spans="1:2" x14ac:dyDescent="0.3">
      <c r="A1012" s="1">
        <v>45315</v>
      </c>
      <c r="B1012" s="4">
        <v>3841.8</v>
      </c>
    </row>
    <row r="1013" spans="1:2" x14ac:dyDescent="0.3">
      <c r="A1013" s="1">
        <v>45316</v>
      </c>
      <c r="B1013" s="4">
        <v>3810.3</v>
      </c>
    </row>
    <row r="1014" spans="1:2" x14ac:dyDescent="0.3">
      <c r="A1014" s="1">
        <v>45320</v>
      </c>
      <c r="B1014" s="4">
        <v>3801</v>
      </c>
    </row>
    <row r="1015" spans="1:2" x14ac:dyDescent="0.3">
      <c r="A1015" s="1">
        <v>45321</v>
      </c>
      <c r="B1015" s="4">
        <v>3800.55</v>
      </c>
    </row>
    <row r="1016" spans="1:2" x14ac:dyDescent="0.3">
      <c r="A1016" s="1">
        <v>45322</v>
      </c>
      <c r="B1016" s="4">
        <v>3815.95</v>
      </c>
    </row>
    <row r="1017" spans="1:2" x14ac:dyDescent="0.3">
      <c r="A1017" s="1">
        <v>45323</v>
      </c>
      <c r="B1017" s="4">
        <v>3854.15</v>
      </c>
    </row>
    <row r="1018" spans="1:2" x14ac:dyDescent="0.3">
      <c r="A1018" s="1">
        <v>45324</v>
      </c>
      <c r="B1018" s="4">
        <v>3966.3</v>
      </c>
    </row>
    <row r="1019" spans="1:2" x14ac:dyDescent="0.3">
      <c r="A1019" s="1">
        <v>45327</v>
      </c>
      <c r="B1019" s="4">
        <v>3973.3</v>
      </c>
    </row>
    <row r="1020" spans="1:2" x14ac:dyDescent="0.3">
      <c r="A1020" s="1">
        <v>45328</v>
      </c>
      <c r="B1020" s="4">
        <v>4136</v>
      </c>
    </row>
    <row r="1021" spans="1:2" x14ac:dyDescent="0.3">
      <c r="A1021" s="1">
        <v>45329</v>
      </c>
      <c r="B1021" s="4">
        <v>4083.4</v>
      </c>
    </row>
    <row r="1022" spans="1:2" x14ac:dyDescent="0.3">
      <c r="A1022" s="1">
        <v>45330</v>
      </c>
      <c r="B1022" s="4">
        <v>4134.1000000000004</v>
      </c>
    </row>
    <row r="1023" spans="1:2" x14ac:dyDescent="0.3">
      <c r="A1023" s="1">
        <v>45331</v>
      </c>
      <c r="B1023" s="4">
        <v>4133.7</v>
      </c>
    </row>
    <row r="1024" spans="1:2" x14ac:dyDescent="0.3">
      <c r="A1024" s="1">
        <v>45334</v>
      </c>
      <c r="B1024" s="4">
        <v>4120.7</v>
      </c>
    </row>
    <row r="1025" spans="1:2" x14ac:dyDescent="0.3">
      <c r="A1025" s="1">
        <v>45335</v>
      </c>
      <c r="B1025" s="4">
        <v>4149.5</v>
      </c>
    </row>
    <row r="1026" spans="1:2" x14ac:dyDescent="0.3">
      <c r="A1026" s="1">
        <v>45336</v>
      </c>
      <c r="B1026" s="4">
        <v>4100.1000000000004</v>
      </c>
    </row>
    <row r="1027" spans="1:2" x14ac:dyDescent="0.3">
      <c r="A1027" s="1">
        <v>45337</v>
      </c>
      <c r="B1027" s="4">
        <v>4103.2</v>
      </c>
    </row>
    <row r="1028" spans="1:2" x14ac:dyDescent="0.3">
      <c r="A1028" s="1">
        <v>45338</v>
      </c>
      <c r="B1028" s="4">
        <v>4128.3</v>
      </c>
    </row>
    <row r="1029" spans="1:2" x14ac:dyDescent="0.3">
      <c r="A1029" s="1">
        <v>45341</v>
      </c>
      <c r="B1029" s="4">
        <v>4103.8</v>
      </c>
    </row>
    <row r="1030" spans="1:2" x14ac:dyDescent="0.3">
      <c r="A1030" s="1">
        <v>45342</v>
      </c>
      <c r="B1030" s="4">
        <v>4030.65</v>
      </c>
    </row>
    <row r="1031" spans="1:2" x14ac:dyDescent="0.3">
      <c r="A1031" s="1">
        <v>45343</v>
      </c>
      <c r="B1031" s="4">
        <v>3991.5</v>
      </c>
    </row>
    <row r="1032" spans="1:2" x14ac:dyDescent="0.3">
      <c r="A1032" s="1">
        <v>45344</v>
      </c>
      <c r="B1032" s="4">
        <v>4087.1</v>
      </c>
    </row>
    <row r="1033" spans="1:2" x14ac:dyDescent="0.3">
      <c r="A1033" s="1">
        <v>45345</v>
      </c>
      <c r="B1033" s="4">
        <v>4052.1</v>
      </c>
    </row>
    <row r="1034" spans="1:2" x14ac:dyDescent="0.3">
      <c r="A1034" s="1">
        <v>45348</v>
      </c>
      <c r="B1034" s="4">
        <v>4001.05</v>
      </c>
    </row>
    <row r="1035" spans="1:2" x14ac:dyDescent="0.3">
      <c r="A1035" s="1">
        <v>45349</v>
      </c>
      <c r="B1035" s="4">
        <v>4104.3999999999996</v>
      </c>
    </row>
    <row r="1036" spans="1:2" x14ac:dyDescent="0.3">
      <c r="A1036" s="1">
        <v>45350</v>
      </c>
      <c r="B1036" s="4">
        <v>4118.95</v>
      </c>
    </row>
    <row r="1037" spans="1:2" x14ac:dyDescent="0.3">
      <c r="A1037" s="1">
        <v>45351</v>
      </c>
      <c r="B1037" s="4">
        <v>4095.1</v>
      </c>
    </row>
    <row r="1038" spans="1:2" x14ac:dyDescent="0.3">
      <c r="A1038" s="1">
        <v>45352</v>
      </c>
      <c r="B1038" s="4">
        <v>4094.35</v>
      </c>
    </row>
    <row r="1039" spans="1:2" x14ac:dyDescent="0.3">
      <c r="A1039" s="1">
        <v>45353</v>
      </c>
      <c r="B1039" s="4">
        <v>4107.1000000000004</v>
      </c>
    </row>
    <row r="1040" spans="1:2" x14ac:dyDescent="0.3">
      <c r="A1040" s="1">
        <v>45355</v>
      </c>
      <c r="B1040" s="4">
        <v>4080.7</v>
      </c>
    </row>
    <row r="1041" spans="1:2" x14ac:dyDescent="0.3">
      <c r="A1041" s="1">
        <v>45356</v>
      </c>
      <c r="B1041" s="4">
        <v>4012.1</v>
      </c>
    </row>
    <row r="1042" spans="1:2" x14ac:dyDescent="0.3">
      <c r="A1042" s="1">
        <v>45357</v>
      </c>
      <c r="B1042" s="4">
        <v>4064.3</v>
      </c>
    </row>
    <row r="1043" spans="1:2" x14ac:dyDescent="0.3">
      <c r="A1043" s="1">
        <v>45358</v>
      </c>
      <c r="B1043" s="4">
        <v>4108.6000000000004</v>
      </c>
    </row>
    <row r="1044" spans="1:2" x14ac:dyDescent="0.3">
      <c r="A1044" s="1">
        <v>45362</v>
      </c>
      <c r="B1044" s="4">
        <v>4122.3500000000004</v>
      </c>
    </row>
    <row r="1045" spans="1:2" x14ac:dyDescent="0.3">
      <c r="A1045" s="1">
        <v>45363</v>
      </c>
      <c r="B1045" s="4">
        <v>4192.25</v>
      </c>
    </row>
    <row r="1046" spans="1:2" x14ac:dyDescent="0.3">
      <c r="A1046" s="1">
        <v>45364</v>
      </c>
      <c r="B1046" s="4">
        <v>4149</v>
      </c>
    </row>
    <row r="1047" spans="1:2" x14ac:dyDescent="0.3">
      <c r="A1047" s="1">
        <v>45365</v>
      </c>
      <c r="B1047" s="4">
        <v>4207.6000000000004</v>
      </c>
    </row>
    <row r="1048" spans="1:2" x14ac:dyDescent="0.3">
      <c r="A1048" s="1">
        <v>45366</v>
      </c>
      <c r="B1048" s="4">
        <v>4219.25</v>
      </c>
    </row>
    <row r="1049" spans="1:2" x14ac:dyDescent="0.3">
      <c r="A1049" s="1">
        <v>45369</v>
      </c>
      <c r="B1049" s="4">
        <v>4152.5</v>
      </c>
    </row>
    <row r="1050" spans="1:2" x14ac:dyDescent="0.3">
      <c r="A1050" s="1">
        <v>45370</v>
      </c>
      <c r="B1050" s="4">
        <v>3977.3</v>
      </c>
    </row>
    <row r="1051" spans="1:2" x14ac:dyDescent="0.3">
      <c r="A1051" s="1">
        <v>45371</v>
      </c>
      <c r="B1051" s="4">
        <v>3970.9</v>
      </c>
    </row>
    <row r="1052" spans="1:2" x14ac:dyDescent="0.3">
      <c r="A1052" s="1">
        <v>45372</v>
      </c>
      <c r="B1052" s="4">
        <v>3972.95</v>
      </c>
    </row>
    <row r="1053" spans="1:2" x14ac:dyDescent="0.3">
      <c r="A1053" s="1">
        <v>45373</v>
      </c>
      <c r="B1053" s="4">
        <v>3910.9</v>
      </c>
    </row>
    <row r="1054" spans="1:2" x14ac:dyDescent="0.3">
      <c r="A1054" s="1">
        <v>45377</v>
      </c>
      <c r="B1054" s="4">
        <v>3877.5</v>
      </c>
    </row>
    <row r="1055" spans="1:2" x14ac:dyDescent="0.3">
      <c r="A1055" s="1">
        <v>45378</v>
      </c>
      <c r="B1055" s="4">
        <v>3840.9</v>
      </c>
    </row>
    <row r="1056" spans="1:2" x14ac:dyDescent="0.3">
      <c r="A1056" s="1">
        <v>45379</v>
      </c>
      <c r="B1056" s="4">
        <v>3876.3</v>
      </c>
    </row>
    <row r="1057" spans="1:2" x14ac:dyDescent="0.3">
      <c r="A1057" s="1">
        <v>45383</v>
      </c>
      <c r="B1057" s="4">
        <v>3916.75</v>
      </c>
    </row>
    <row r="1058" spans="1:2" x14ac:dyDescent="0.3">
      <c r="A1058" s="1">
        <v>45384</v>
      </c>
      <c r="B1058" s="4">
        <v>3883.8</v>
      </c>
    </row>
    <row r="1059" spans="1:2" x14ac:dyDescent="0.3">
      <c r="A1059" s="1">
        <v>45385</v>
      </c>
      <c r="B1059" s="4">
        <v>3947.3</v>
      </c>
    </row>
    <row r="1060" spans="1:2" x14ac:dyDescent="0.3">
      <c r="A1060" s="1">
        <v>45386</v>
      </c>
      <c r="B1060" s="4">
        <v>4003.3</v>
      </c>
    </row>
    <row r="1061" spans="1:2" x14ac:dyDescent="0.3">
      <c r="A1061" s="1">
        <v>45387</v>
      </c>
      <c r="B1061" s="4">
        <v>3979.25</v>
      </c>
    </row>
    <row r="1062" spans="1:2" x14ac:dyDescent="0.3">
      <c r="A1062" s="1">
        <v>45390</v>
      </c>
      <c r="B1062" s="4">
        <v>3972.55</v>
      </c>
    </row>
    <row r="1063" spans="1:2" x14ac:dyDescent="0.3">
      <c r="A1063" s="1">
        <v>45391</v>
      </c>
      <c r="B1063" s="4">
        <v>3946.55</v>
      </c>
    </row>
    <row r="1064" spans="1:2" x14ac:dyDescent="0.3">
      <c r="A1064" s="1">
        <v>45392</v>
      </c>
      <c r="B1064" s="4">
        <v>3984.65</v>
      </c>
    </row>
    <row r="1065" spans="1:2" x14ac:dyDescent="0.3">
      <c r="A1065" s="1">
        <v>45394</v>
      </c>
      <c r="B1065" s="4">
        <v>4001.4</v>
      </c>
    </row>
    <row r="1066" spans="1:2" x14ac:dyDescent="0.3">
      <c r="A1066" s="1">
        <v>45397</v>
      </c>
      <c r="B1066" s="4">
        <v>3941.2</v>
      </c>
    </row>
    <row r="1067" spans="1:2" x14ac:dyDescent="0.3">
      <c r="A1067" s="1">
        <v>45398</v>
      </c>
      <c r="B1067" s="4">
        <v>3872.8</v>
      </c>
    </row>
    <row r="1068" spans="1:2" x14ac:dyDescent="0.3">
      <c r="A1068" s="1">
        <v>45400</v>
      </c>
      <c r="B1068" s="4">
        <v>3862</v>
      </c>
    </row>
    <row r="1069" spans="1:2" x14ac:dyDescent="0.3">
      <c r="A1069" s="1">
        <v>45401</v>
      </c>
      <c r="B1069" s="4">
        <v>3826.2</v>
      </c>
    </row>
    <row r="1070" spans="1:2" x14ac:dyDescent="0.3">
      <c r="A1070" s="1">
        <v>45404</v>
      </c>
      <c r="B1070" s="4">
        <v>3864.6</v>
      </c>
    </row>
    <row r="1071" spans="1:2" x14ac:dyDescent="0.3">
      <c r="A1071" s="1">
        <v>45405</v>
      </c>
      <c r="B1071" s="4">
        <v>3874.7</v>
      </c>
    </row>
    <row r="1072" spans="1:2" x14ac:dyDescent="0.3">
      <c r="A1072" s="1">
        <v>45406</v>
      </c>
      <c r="B1072" s="4">
        <v>3831.05</v>
      </c>
    </row>
    <row r="1073" spans="1:2" x14ac:dyDescent="0.3">
      <c r="A1073" s="1">
        <v>45407</v>
      </c>
      <c r="B1073" s="4">
        <v>3852.2</v>
      </c>
    </row>
    <row r="1074" spans="1:2" x14ac:dyDescent="0.3">
      <c r="A1074" s="1">
        <v>45408</v>
      </c>
      <c r="B1074" s="4">
        <v>3821.35</v>
      </c>
    </row>
    <row r="1075" spans="1:2" x14ac:dyDescent="0.3">
      <c r="A1075" s="1">
        <v>45411</v>
      </c>
      <c r="B1075" s="4">
        <v>3870.2</v>
      </c>
    </row>
    <row r="1076" spans="1:2" x14ac:dyDescent="0.3">
      <c r="A1076" s="1">
        <v>45412</v>
      </c>
      <c r="B1076" s="4">
        <v>3820.65</v>
      </c>
    </row>
    <row r="1077" spans="1:2" x14ac:dyDescent="0.3">
      <c r="A1077" s="1">
        <v>45414</v>
      </c>
      <c r="B1077" s="4">
        <v>3863.3</v>
      </c>
    </row>
    <row r="1078" spans="1:2" x14ac:dyDescent="0.3">
      <c r="A1078" s="1">
        <v>45415</v>
      </c>
      <c r="B1078" s="4">
        <v>3843.4</v>
      </c>
    </row>
    <row r="1079" spans="1:2" x14ac:dyDescent="0.3">
      <c r="A1079" s="1">
        <v>45418</v>
      </c>
      <c r="B1079" s="4">
        <v>3921.05</v>
      </c>
    </row>
    <row r="1080" spans="1:2" x14ac:dyDescent="0.3">
      <c r="A1080" s="1">
        <v>45419</v>
      </c>
      <c r="B1080" s="4">
        <v>3978.95</v>
      </c>
    </row>
    <row r="1081" spans="1:2" x14ac:dyDescent="0.3">
      <c r="A1081" s="1">
        <v>45420</v>
      </c>
      <c r="B1081" s="4">
        <v>3976.95</v>
      </c>
    </row>
    <row r="1082" spans="1:2" x14ac:dyDescent="0.3">
      <c r="A1082" s="1">
        <v>45421</v>
      </c>
      <c r="B1082" s="4">
        <v>3960.2</v>
      </c>
    </row>
    <row r="1083" spans="1:2" x14ac:dyDescent="0.3">
      <c r="A1083" s="1">
        <v>45422</v>
      </c>
      <c r="B1083" s="4">
        <v>3893.9</v>
      </c>
    </row>
    <row r="1084" spans="1:2" x14ac:dyDescent="0.3">
      <c r="A1084" s="1">
        <v>45425</v>
      </c>
      <c r="B1084" s="4">
        <v>3947.8</v>
      </c>
    </row>
    <row r="1085" spans="1:2" x14ac:dyDescent="0.3">
      <c r="A1085" s="1">
        <v>45426</v>
      </c>
      <c r="B1085" s="4">
        <v>3901.2</v>
      </c>
    </row>
    <row r="1086" spans="1:2" x14ac:dyDescent="0.3">
      <c r="A1086" s="1">
        <v>45427</v>
      </c>
      <c r="B1086" s="4">
        <v>3880.4</v>
      </c>
    </row>
    <row r="1087" spans="1:2" x14ac:dyDescent="0.3">
      <c r="A1087" s="1">
        <v>45428</v>
      </c>
      <c r="B1087" s="4">
        <v>3900.95</v>
      </c>
    </row>
    <row r="1088" spans="1:2" x14ac:dyDescent="0.3">
      <c r="A1088" s="1">
        <v>45429</v>
      </c>
      <c r="B1088" s="4">
        <v>3834.1</v>
      </c>
    </row>
    <row r="1089" spans="1:2" x14ac:dyDescent="0.3">
      <c r="A1089" s="1">
        <v>45430</v>
      </c>
      <c r="B1089" s="4">
        <v>3851.45</v>
      </c>
    </row>
    <row r="1090" spans="1:2" x14ac:dyDescent="0.3">
      <c r="A1090" s="1">
        <v>45433</v>
      </c>
      <c r="B1090" s="4">
        <v>3820.2</v>
      </c>
    </row>
    <row r="1091" spans="1:2" x14ac:dyDescent="0.3">
      <c r="A1091" s="1">
        <v>45434</v>
      </c>
      <c r="B1091" s="4">
        <v>3832</v>
      </c>
    </row>
    <row r="1092" spans="1:2" x14ac:dyDescent="0.3">
      <c r="A1092" s="1">
        <v>45435</v>
      </c>
      <c r="B1092" s="4">
        <v>3893.45</v>
      </c>
    </row>
    <row r="1093" spans="1:2" x14ac:dyDescent="0.3">
      <c r="A1093" s="1">
        <v>45436</v>
      </c>
      <c r="B1093" s="4">
        <v>3849.5</v>
      </c>
    </row>
    <row r="1094" spans="1:2" x14ac:dyDescent="0.3">
      <c r="A1094" s="1">
        <v>45439</v>
      </c>
      <c r="B1094" s="4">
        <v>3847.05</v>
      </c>
    </row>
    <row r="1095" spans="1:2" x14ac:dyDescent="0.3">
      <c r="A1095" s="1">
        <v>45440</v>
      </c>
      <c r="B1095" s="4">
        <v>3839.9</v>
      </c>
    </row>
    <row r="1096" spans="1:2" x14ac:dyDescent="0.3">
      <c r="A1096" s="1">
        <v>45441</v>
      </c>
      <c r="B1096" s="4">
        <v>3803.65</v>
      </c>
    </row>
    <row r="1097" spans="1:2" x14ac:dyDescent="0.3">
      <c r="A1097" s="1">
        <v>45442</v>
      </c>
      <c r="B1097" s="4">
        <v>3736.1</v>
      </c>
    </row>
    <row r="1098" spans="1:2" x14ac:dyDescent="0.3">
      <c r="A1098" s="1">
        <v>45443</v>
      </c>
      <c r="B1098" s="4">
        <v>3670.95</v>
      </c>
    </row>
    <row r="1099" spans="1:2" x14ac:dyDescent="0.3">
      <c r="A1099" s="1">
        <v>45446</v>
      </c>
      <c r="B1099" s="4">
        <v>3702.85</v>
      </c>
    </row>
    <row r="1100" spans="1:2" x14ac:dyDescent="0.3">
      <c r="A1100" s="1">
        <v>45447</v>
      </c>
      <c r="B1100" s="4">
        <v>3715</v>
      </c>
    </row>
    <row r="1101" spans="1:2" x14ac:dyDescent="0.3">
      <c r="A1101" s="1">
        <v>45448</v>
      </c>
      <c r="B1101" s="4">
        <v>3746.45</v>
      </c>
    </row>
    <row r="1102" spans="1:2" x14ac:dyDescent="0.3">
      <c r="A1102" s="1">
        <v>45449</v>
      </c>
      <c r="B1102" s="4">
        <v>3830.4</v>
      </c>
    </row>
    <row r="1103" spans="1:2" x14ac:dyDescent="0.3">
      <c r="A1103" s="1">
        <v>45450</v>
      </c>
      <c r="B1103" s="4">
        <v>3893.95</v>
      </c>
    </row>
    <row r="1104" spans="1:2" x14ac:dyDescent="0.3">
      <c r="A1104" s="1">
        <v>45453</v>
      </c>
      <c r="B1104" s="4">
        <v>3858.7</v>
      </c>
    </row>
    <row r="1105" spans="1:2" x14ac:dyDescent="0.3">
      <c r="A1105" s="1">
        <v>45454</v>
      </c>
      <c r="B1105" s="4">
        <v>3852.1</v>
      </c>
    </row>
    <row r="1106" spans="1:2" x14ac:dyDescent="0.3">
      <c r="A1106" s="1">
        <v>45455</v>
      </c>
      <c r="B1106" s="4">
        <v>3831.65</v>
      </c>
    </row>
    <row r="1107" spans="1:2" x14ac:dyDescent="0.3">
      <c r="A1107" s="1">
        <v>45456</v>
      </c>
      <c r="B1107" s="4">
        <v>3878.15</v>
      </c>
    </row>
    <row r="1108" spans="1:2" x14ac:dyDescent="0.3">
      <c r="A1108" s="1">
        <v>45457</v>
      </c>
      <c r="B1108" s="4">
        <v>3832.05</v>
      </c>
    </row>
    <row r="1109" spans="1:2" x14ac:dyDescent="0.3">
      <c r="A1109" s="1">
        <v>45461</v>
      </c>
      <c r="B1109" s="4">
        <v>3815.1</v>
      </c>
    </row>
    <row r="1110" spans="1:2" x14ac:dyDescent="0.3">
      <c r="A1110" s="1">
        <v>45462</v>
      </c>
      <c r="B1110" s="4">
        <v>3801.7</v>
      </c>
    </row>
    <row r="1111" spans="1:2" x14ac:dyDescent="0.3">
      <c r="A1111" s="1">
        <v>45463</v>
      </c>
      <c r="B1111" s="4">
        <v>3787.25</v>
      </c>
    </row>
    <row r="1112" spans="1:2" x14ac:dyDescent="0.3">
      <c r="A1112" s="1">
        <v>45464</v>
      </c>
      <c r="B1112" s="4">
        <v>3810.75</v>
      </c>
    </row>
    <row r="1113" spans="1:2" x14ac:dyDescent="0.3">
      <c r="A1113" s="1">
        <v>45467</v>
      </c>
      <c r="B1113" s="4">
        <v>3816.8</v>
      </c>
    </row>
    <row r="1114" spans="1:2" x14ac:dyDescent="0.3">
      <c r="A1114" s="1">
        <v>45468</v>
      </c>
      <c r="B1114" s="4">
        <v>3838.45</v>
      </c>
    </row>
    <row r="1115" spans="1:2" x14ac:dyDescent="0.3">
      <c r="A1115" s="1">
        <v>45469</v>
      </c>
      <c r="B1115" s="4">
        <v>3855.85</v>
      </c>
    </row>
    <row r="1116" spans="1:2" x14ac:dyDescent="0.3">
      <c r="A1116" s="1">
        <v>45470</v>
      </c>
      <c r="B1116" s="4">
        <v>3934.15</v>
      </c>
    </row>
    <row r="1117" spans="1:2" x14ac:dyDescent="0.3">
      <c r="A1117" s="1">
        <v>45471</v>
      </c>
      <c r="B1117" s="4">
        <v>3904.15</v>
      </c>
    </row>
    <row r="1118" spans="1:2" x14ac:dyDescent="0.3">
      <c r="A1118" s="1">
        <v>45474</v>
      </c>
      <c r="B1118" s="4">
        <v>3978.2</v>
      </c>
    </row>
    <row r="1119" spans="1:2" x14ac:dyDescent="0.3">
      <c r="A1119" s="1">
        <v>45475</v>
      </c>
      <c r="B1119" s="4">
        <v>4017.4</v>
      </c>
    </row>
    <row r="1120" spans="1:2" x14ac:dyDescent="0.3">
      <c r="A1120" s="1">
        <v>45476</v>
      </c>
      <c r="B1120" s="4">
        <v>3965.25</v>
      </c>
    </row>
    <row r="1121" spans="1:2" x14ac:dyDescent="0.3">
      <c r="A1121" s="1">
        <v>45477</v>
      </c>
      <c r="B1121" s="4">
        <v>4020.95</v>
      </c>
    </row>
    <row r="1122" spans="1:2" x14ac:dyDescent="0.3">
      <c r="A1122" s="1">
        <v>45478</v>
      </c>
      <c r="B1122" s="4">
        <v>4011.8</v>
      </c>
    </row>
    <row r="1123" spans="1:2" x14ac:dyDescent="0.3">
      <c r="A1123" s="1">
        <v>45481</v>
      </c>
      <c r="B1123" s="4">
        <v>3993.2</v>
      </c>
    </row>
    <row r="1124" spans="1:2" x14ac:dyDescent="0.3">
      <c r="A1124" s="1">
        <v>45482</v>
      </c>
      <c r="B1124" s="4">
        <v>3985.5</v>
      </c>
    </row>
    <row r="1125" spans="1:2" x14ac:dyDescent="0.3">
      <c r="A1125" s="1">
        <v>45483</v>
      </c>
      <c r="B1125" s="4">
        <v>3909.15</v>
      </c>
    </row>
    <row r="1126" spans="1:2" x14ac:dyDescent="0.3">
      <c r="A1126" s="1">
        <v>45484</v>
      </c>
      <c r="B1126" s="4">
        <v>3923.7</v>
      </c>
    </row>
    <row r="1127" spans="1:2" x14ac:dyDescent="0.3">
      <c r="A1127" s="1">
        <v>45485</v>
      </c>
      <c r="B1127" s="4">
        <v>4183.95</v>
      </c>
    </row>
    <row r="1128" spans="1:2" x14ac:dyDescent="0.3">
      <c r="A1128" s="1">
        <v>45488</v>
      </c>
      <c r="B1128" s="4">
        <v>4169.2</v>
      </c>
    </row>
    <row r="1129" spans="1:2" x14ac:dyDescent="0.3">
      <c r="A1129" s="1">
        <v>45489</v>
      </c>
      <c r="B1129" s="4">
        <v>4178.45</v>
      </c>
    </row>
    <row r="1130" spans="1:2" x14ac:dyDescent="0.3">
      <c r="A1130" s="1">
        <v>45491</v>
      </c>
      <c r="B1130" s="4">
        <v>4315.55</v>
      </c>
    </row>
    <row r="1131" spans="1:2" x14ac:dyDescent="0.3">
      <c r="A1131" s="1">
        <v>45492</v>
      </c>
      <c r="B1131" s="4">
        <v>4302.3999999999996</v>
      </c>
    </row>
    <row r="1132" spans="1:2" x14ac:dyDescent="0.3">
      <c r="A1132" s="1">
        <v>45495</v>
      </c>
      <c r="B1132" s="4">
        <v>4287.3500000000004</v>
      </c>
    </row>
    <row r="1133" spans="1:2" x14ac:dyDescent="0.3">
      <c r="A1133" s="1">
        <v>45496</v>
      </c>
      <c r="B1133" s="4">
        <v>4302.3500000000004</v>
      </c>
    </row>
    <row r="1134" spans="1:2" x14ac:dyDescent="0.3">
      <c r="A1134" s="1">
        <v>45497</v>
      </c>
      <c r="B1134" s="4">
        <v>4306.25</v>
      </c>
    </row>
    <row r="1135" spans="1:2" x14ac:dyDescent="0.3">
      <c r="A1135" s="1">
        <v>45498</v>
      </c>
      <c r="B1135" s="4">
        <v>4322.5</v>
      </c>
    </row>
    <row r="1136" spans="1:2" x14ac:dyDescent="0.3">
      <c r="A1136" s="1">
        <v>45499</v>
      </c>
      <c r="B1136" s="4">
        <v>4387.8500000000004</v>
      </c>
    </row>
    <row r="1137" spans="1:2" x14ac:dyDescent="0.3">
      <c r="A1137" s="1">
        <v>45502</v>
      </c>
      <c r="B1137" s="4">
        <v>4381.1000000000004</v>
      </c>
    </row>
    <row r="1138" spans="1:2" x14ac:dyDescent="0.3">
      <c r="A1138" s="1">
        <v>45503</v>
      </c>
      <c r="B1138" s="4">
        <v>4365.3500000000004</v>
      </c>
    </row>
    <row r="1139" spans="1:2" x14ac:dyDescent="0.3">
      <c r="A1139" s="1">
        <v>45504</v>
      </c>
      <c r="B1139" s="4">
        <v>4385.3500000000004</v>
      </c>
    </row>
    <row r="1140" spans="1:2" x14ac:dyDescent="0.3">
      <c r="A1140" s="1">
        <v>45505</v>
      </c>
      <c r="B1140" s="4">
        <v>4397.1000000000004</v>
      </c>
    </row>
    <row r="1141" spans="1:2" x14ac:dyDescent="0.3">
      <c r="A1141" s="1">
        <v>45506</v>
      </c>
      <c r="B1141" s="4">
        <v>4283.05</v>
      </c>
    </row>
    <row r="1142" spans="1:2" x14ac:dyDescent="0.3">
      <c r="A1142" s="1">
        <v>45509</v>
      </c>
      <c r="B1142" s="4">
        <v>4155.05</v>
      </c>
    </row>
    <row r="1143" spans="1:2" x14ac:dyDescent="0.3">
      <c r="A1143" s="1">
        <v>45510</v>
      </c>
      <c r="B1143" s="4">
        <v>4171.2</v>
      </c>
    </row>
    <row r="1144" spans="1:2" x14ac:dyDescent="0.3">
      <c r="A1144" s="1">
        <v>45511</v>
      </c>
      <c r="B1144" s="4">
        <v>4200.45</v>
      </c>
    </row>
    <row r="1145" spans="1:2" x14ac:dyDescent="0.3">
      <c r="A1145" s="1">
        <v>45512</v>
      </c>
      <c r="B1145" s="4">
        <v>4172.55</v>
      </c>
    </row>
    <row r="1146" spans="1:2" x14ac:dyDescent="0.3">
      <c r="A1146" s="1">
        <v>45513</v>
      </c>
      <c r="B1146" s="4">
        <v>4228.75</v>
      </c>
    </row>
    <row r="1147" spans="1:2" x14ac:dyDescent="0.3">
      <c r="A1147" s="1">
        <v>45516</v>
      </c>
      <c r="B1147" s="4">
        <v>4195.6499999999996</v>
      </c>
    </row>
    <row r="1148" spans="1:2" x14ac:dyDescent="0.3">
      <c r="A1148" s="1">
        <v>45517</v>
      </c>
      <c r="B1148" s="4">
        <v>4196.95</v>
      </c>
    </row>
    <row r="1149" spans="1:2" x14ac:dyDescent="0.3">
      <c r="A1149" s="1">
        <v>45518</v>
      </c>
      <c r="B1149" s="4">
        <v>4295.25</v>
      </c>
    </row>
    <row r="1150" spans="1:2" x14ac:dyDescent="0.3">
      <c r="A1150" s="1">
        <v>45520</v>
      </c>
      <c r="B1150" s="4">
        <v>4416.05</v>
      </c>
    </row>
    <row r="1151" spans="1:2" x14ac:dyDescent="0.3">
      <c r="A1151" s="1">
        <v>45523</v>
      </c>
      <c r="B1151" s="4">
        <v>4490</v>
      </c>
    </row>
    <row r="1152" spans="1:2" x14ac:dyDescent="0.3">
      <c r="A1152" s="1">
        <v>45524</v>
      </c>
      <c r="B1152" s="4">
        <v>4523.3</v>
      </c>
    </row>
    <row r="1153" spans="1:2" x14ac:dyDescent="0.3">
      <c r="A1153" s="1">
        <v>45525</v>
      </c>
      <c r="B1153" s="4">
        <v>4551.5</v>
      </c>
    </row>
    <row r="1154" spans="1:2" x14ac:dyDescent="0.3">
      <c r="A1154" s="1">
        <v>45526</v>
      </c>
      <c r="B1154" s="4">
        <v>4502</v>
      </c>
    </row>
    <row r="1155" spans="1:2" x14ac:dyDescent="0.3">
      <c r="A1155" s="1">
        <v>45527</v>
      </c>
      <c r="B1155" s="4">
        <v>4463.8999999999996</v>
      </c>
    </row>
    <row r="1156" spans="1:2" x14ac:dyDescent="0.3">
      <c r="A1156" s="1">
        <v>45530</v>
      </c>
      <c r="B1156" s="4">
        <v>4502.45</v>
      </c>
    </row>
    <row r="1157" spans="1:2" x14ac:dyDescent="0.3">
      <c r="A1157" s="1">
        <v>45531</v>
      </c>
      <c r="B1157" s="4">
        <v>4497.1499999999996</v>
      </c>
    </row>
    <row r="1158" spans="1:2" x14ac:dyDescent="0.3">
      <c r="A1158" s="1">
        <v>45532</v>
      </c>
      <c r="B1158" s="4">
        <v>4506.05</v>
      </c>
    </row>
    <row r="1159" spans="1:2" x14ac:dyDescent="0.3">
      <c r="A1159" s="1">
        <v>45533</v>
      </c>
      <c r="B1159" s="4">
        <v>4511.8</v>
      </c>
    </row>
    <row r="1160" spans="1:2" x14ac:dyDescent="0.3">
      <c r="A1160" s="1">
        <v>45534</v>
      </c>
      <c r="B1160" s="4">
        <v>4553.75</v>
      </c>
    </row>
    <row r="1161" spans="1:2" x14ac:dyDescent="0.3">
      <c r="A1161" s="1">
        <v>45537</v>
      </c>
      <c r="B1161" s="4">
        <v>4521.05</v>
      </c>
    </row>
    <row r="1162" spans="1:2" x14ac:dyDescent="0.3">
      <c r="A1162" s="1">
        <v>45538</v>
      </c>
      <c r="B1162" s="4">
        <v>4512.3500000000004</v>
      </c>
    </row>
    <row r="1163" spans="1:2" x14ac:dyDescent="0.3">
      <c r="A1163" s="1">
        <v>45539</v>
      </c>
      <c r="B1163" s="4">
        <v>4479.25</v>
      </c>
    </row>
    <row r="1164" spans="1:2" x14ac:dyDescent="0.3">
      <c r="A1164" s="1">
        <v>45540</v>
      </c>
      <c r="B1164" s="4">
        <v>4475.95</v>
      </c>
    </row>
    <row r="1165" spans="1:2" x14ac:dyDescent="0.3">
      <c r="A1165" s="1">
        <v>45541</v>
      </c>
      <c r="B1165" s="4">
        <v>4456.75</v>
      </c>
    </row>
    <row r="1166" spans="1:2" x14ac:dyDescent="0.3">
      <c r="A1166" s="1">
        <v>45544</v>
      </c>
      <c r="B1166" s="4">
        <v>4449.55</v>
      </c>
    </row>
    <row r="1167" spans="1:2" x14ac:dyDescent="0.3">
      <c r="A1167" s="1">
        <v>45545</v>
      </c>
      <c r="B1167" s="4">
        <v>4507.8500000000004</v>
      </c>
    </row>
    <row r="1168" spans="1:2" x14ac:dyDescent="0.3">
      <c r="A1168" s="1">
        <v>45546</v>
      </c>
      <c r="B1168" s="4">
        <v>4479.3500000000004</v>
      </c>
    </row>
    <row r="1169" spans="1:2" x14ac:dyDescent="0.3">
      <c r="A1169" s="1">
        <v>45547</v>
      </c>
      <c r="B1169" s="4">
        <v>4517.7</v>
      </c>
    </row>
    <row r="1170" spans="1:2" x14ac:dyDescent="0.3">
      <c r="A1170" s="1">
        <v>45548</v>
      </c>
      <c r="B1170" s="4">
        <v>4522.6000000000004</v>
      </c>
    </row>
    <row r="1171" spans="1:2" x14ac:dyDescent="0.3">
      <c r="A1171" s="1">
        <v>45551</v>
      </c>
      <c r="B1171" s="4">
        <v>4513.25</v>
      </c>
    </row>
    <row r="1172" spans="1:2" x14ac:dyDescent="0.3">
      <c r="A1172" s="1">
        <v>45552</v>
      </c>
      <c r="B1172" s="4">
        <v>4505.6499999999996</v>
      </c>
    </row>
    <row r="1173" spans="1:2" x14ac:dyDescent="0.3">
      <c r="A1173" s="1">
        <v>45553</v>
      </c>
      <c r="B1173" s="4">
        <v>4346.1499999999996</v>
      </c>
    </row>
    <row r="1174" spans="1:2" x14ac:dyDescent="0.3">
      <c r="A1174" s="1">
        <v>45554</v>
      </c>
      <c r="B1174" s="4">
        <v>4296.1499999999996</v>
      </c>
    </row>
    <row r="1175" spans="1:2" x14ac:dyDescent="0.3">
      <c r="A1175" s="1">
        <v>45555</v>
      </c>
      <c r="B1175" s="4">
        <v>4284.8999999999996</v>
      </c>
    </row>
    <row r="1176" spans="1:2" x14ac:dyDescent="0.3">
      <c r="A1176" s="1">
        <v>45558</v>
      </c>
      <c r="B1176" s="4">
        <v>4268.5</v>
      </c>
    </row>
    <row r="1177" spans="1:2" x14ac:dyDescent="0.3">
      <c r="A1177" s="1">
        <v>45559</v>
      </c>
      <c r="B1177" s="4">
        <v>4271.3</v>
      </c>
    </row>
    <row r="1178" spans="1:2" x14ac:dyDescent="0.3">
      <c r="A1178" s="1">
        <v>45560</v>
      </c>
      <c r="B1178" s="4">
        <v>4274.75</v>
      </c>
    </row>
    <row r="1179" spans="1:2" x14ac:dyDescent="0.3">
      <c r="A1179" s="1">
        <v>45561</v>
      </c>
      <c r="B1179" s="4">
        <v>4292.5</v>
      </c>
    </row>
    <row r="1180" spans="1:2" x14ac:dyDescent="0.3">
      <c r="A1180" s="1">
        <v>45562</v>
      </c>
      <c r="B1180" s="4">
        <v>4308.7</v>
      </c>
    </row>
    <row r="1181" spans="1:2" x14ac:dyDescent="0.3">
      <c r="A1181" s="1">
        <v>45565</v>
      </c>
      <c r="B1181" s="4">
        <v>4268.5</v>
      </c>
    </row>
    <row r="1182" spans="1:2" x14ac:dyDescent="0.3">
      <c r="A1182" s="1">
        <v>45566</v>
      </c>
      <c r="B1182" s="4">
        <v>4287.8999999999996</v>
      </c>
    </row>
    <row r="1183" spans="1:2" x14ac:dyDescent="0.3">
      <c r="A1183" s="1">
        <v>45568</v>
      </c>
      <c r="B1183" s="4">
        <v>4232.75</v>
      </c>
    </row>
    <row r="1184" spans="1:2" x14ac:dyDescent="0.3">
      <c r="A1184" s="1">
        <v>45569</v>
      </c>
      <c r="B1184" s="4">
        <v>4252.25</v>
      </c>
    </row>
    <row r="1185" spans="1:2" x14ac:dyDescent="0.3">
      <c r="A1185" s="1">
        <v>45572</v>
      </c>
      <c r="B1185" s="4">
        <v>4272.8500000000004</v>
      </c>
    </row>
    <row r="1186" spans="1:2" x14ac:dyDescent="0.3">
      <c r="A1186" s="1">
        <v>45573</v>
      </c>
      <c r="B1186" s="4">
        <v>4253.25</v>
      </c>
    </row>
    <row r="1187" spans="1:2" x14ac:dyDescent="0.3">
      <c r="A1187" s="1">
        <v>45574</v>
      </c>
      <c r="B1187" s="4">
        <v>4252.95</v>
      </c>
    </row>
    <row r="1188" spans="1:2" x14ac:dyDescent="0.3">
      <c r="A1188" s="1">
        <v>45575</v>
      </c>
      <c r="B1188" s="4">
        <v>4227.3999999999996</v>
      </c>
    </row>
    <row r="1189" spans="1:2" x14ac:dyDescent="0.3">
      <c r="A1189" s="1">
        <v>45576</v>
      </c>
      <c r="B1189" s="4">
        <v>4149.2</v>
      </c>
    </row>
    <row r="1190" spans="1:2" x14ac:dyDescent="0.3">
      <c r="A1190" s="1">
        <v>45579</v>
      </c>
      <c r="B1190" s="4">
        <v>4136.6499999999996</v>
      </c>
    </row>
    <row r="1191" spans="1:2" x14ac:dyDescent="0.3">
      <c r="A1191" s="1">
        <v>45580</v>
      </c>
      <c r="B1191" s="4">
        <v>4116.8</v>
      </c>
    </row>
    <row r="1192" spans="1:2" x14ac:dyDescent="0.3">
      <c r="A1192" s="1">
        <v>45581</v>
      </c>
      <c r="B1192" s="4">
        <v>4094.95</v>
      </c>
    </row>
    <row r="1193" spans="1:2" x14ac:dyDescent="0.3">
      <c r="A1193" s="1">
        <v>45582</v>
      </c>
      <c r="B1193" s="4">
        <v>4109</v>
      </c>
    </row>
    <row r="1194" spans="1:2" x14ac:dyDescent="0.3">
      <c r="A1194" s="1">
        <v>45583</v>
      </c>
      <c r="B1194" s="4">
        <v>4123.05</v>
      </c>
    </row>
    <row r="1195" spans="1:2" x14ac:dyDescent="0.3">
      <c r="A1195" s="1">
        <v>45586</v>
      </c>
      <c r="B1195" s="4">
        <v>4079.85</v>
      </c>
    </row>
    <row r="1196" spans="1:2" x14ac:dyDescent="0.3">
      <c r="A1196" s="1">
        <v>45587</v>
      </c>
      <c r="B1196" s="4">
        <v>4015.5</v>
      </c>
    </row>
    <row r="1197" spans="1:2" x14ac:dyDescent="0.3">
      <c r="A1197" s="1">
        <v>45588</v>
      </c>
      <c r="B1197" s="4">
        <v>4066.25</v>
      </c>
    </row>
    <row r="1198" spans="1:2" x14ac:dyDescent="0.3">
      <c r="A1198" s="1">
        <v>45589</v>
      </c>
      <c r="B1198" s="4">
        <v>4047.9</v>
      </c>
    </row>
    <row r="1199" spans="1:2" x14ac:dyDescent="0.3">
      <c r="A1199" s="1">
        <v>45590</v>
      </c>
      <c r="B1199" s="4">
        <v>4057.55</v>
      </c>
    </row>
    <row r="1200" spans="1:2" x14ac:dyDescent="0.3">
      <c r="A1200" s="1">
        <v>45593</v>
      </c>
      <c r="B1200" s="4">
        <v>4090.85</v>
      </c>
    </row>
    <row r="1201" spans="1:2" x14ac:dyDescent="0.3">
      <c r="A1201" s="1">
        <v>45594</v>
      </c>
      <c r="B1201" s="4">
        <v>4075.25</v>
      </c>
    </row>
    <row r="1202" spans="1:2" x14ac:dyDescent="0.3">
      <c r="A1202" s="1">
        <v>45595</v>
      </c>
      <c r="B1202" s="4">
        <v>4084.65</v>
      </c>
    </row>
    <row r="1203" spans="1:2" x14ac:dyDescent="0.3">
      <c r="A1203" s="1">
        <v>45596</v>
      </c>
      <c r="B1203" s="4">
        <v>3968.45</v>
      </c>
    </row>
    <row r="1204" spans="1:2" x14ac:dyDescent="0.3">
      <c r="A1204" s="1">
        <v>45597</v>
      </c>
      <c r="B1204" s="4">
        <v>3984.2</v>
      </c>
    </row>
    <row r="1205" spans="1:2" x14ac:dyDescent="0.3">
      <c r="A1205" s="1">
        <v>45600</v>
      </c>
      <c r="B1205" s="4">
        <v>3964.15</v>
      </c>
    </row>
    <row r="1206" spans="1:2" x14ac:dyDescent="0.3">
      <c r="A1206" s="1">
        <v>45601</v>
      </c>
      <c r="B1206" s="4">
        <v>3971.35</v>
      </c>
    </row>
    <row r="1207" spans="1:2" x14ac:dyDescent="0.3">
      <c r="A1207" s="1">
        <v>45602</v>
      </c>
      <c r="B1207" s="4">
        <v>4139.6499999999996</v>
      </c>
    </row>
    <row r="1208" spans="1:2" x14ac:dyDescent="0.3">
      <c r="A1208" s="1">
        <v>45603</v>
      </c>
      <c r="B1208" s="4">
        <v>4150.8999999999996</v>
      </c>
    </row>
    <row r="1209" spans="1:2" x14ac:dyDescent="0.3">
      <c r="A1209" s="1">
        <v>45604</v>
      </c>
      <c r="B1209" s="4">
        <v>4147</v>
      </c>
    </row>
    <row r="1210" spans="1:2" x14ac:dyDescent="0.3">
      <c r="A1210" s="1">
        <v>45607</v>
      </c>
      <c r="B1210" s="4">
        <v>4198.7</v>
      </c>
    </row>
    <row r="1211" spans="1:2" x14ac:dyDescent="0.3">
      <c r="A1211" s="1">
        <v>45608</v>
      </c>
      <c r="B1211" s="4">
        <v>4197.3999999999996</v>
      </c>
    </row>
    <row r="1212" spans="1:2" x14ac:dyDescent="0.3">
      <c r="A1212" s="1">
        <v>45609</v>
      </c>
      <c r="B1212" s="4">
        <v>4150.3500000000004</v>
      </c>
    </row>
    <row r="1213" spans="1:2" x14ac:dyDescent="0.3">
      <c r="A1213" s="1">
        <v>45610</v>
      </c>
      <c r="B1213" s="4">
        <v>4145.8999999999996</v>
      </c>
    </row>
    <row r="1214" spans="1:2" x14ac:dyDescent="0.3">
      <c r="A1214" s="1">
        <v>45614</v>
      </c>
      <c r="B1214" s="4">
        <v>4019.5</v>
      </c>
    </row>
    <row r="1215" spans="1:2" x14ac:dyDescent="0.3">
      <c r="A1215" s="1">
        <v>45615</v>
      </c>
      <c r="B1215" s="4">
        <v>4039.55</v>
      </c>
    </row>
    <row r="1216" spans="1:2" x14ac:dyDescent="0.3">
      <c r="A1216" s="1">
        <v>45617</v>
      </c>
      <c r="B1216" s="4">
        <v>4072.85</v>
      </c>
    </row>
    <row r="1217" spans="1:2" x14ac:dyDescent="0.3">
      <c r="A1217" s="1">
        <v>45618</v>
      </c>
      <c r="B1217" s="4">
        <v>4244.6000000000004</v>
      </c>
    </row>
    <row r="1218" spans="1:2" x14ac:dyDescent="0.3">
      <c r="A1218" s="1">
        <v>45621</v>
      </c>
      <c r="B1218" s="4">
        <v>4315.1000000000004</v>
      </c>
    </row>
    <row r="1219" spans="1:2" x14ac:dyDescent="0.3">
      <c r="A1219" s="1">
        <v>45622</v>
      </c>
      <c r="B1219" s="4">
        <v>4352.7</v>
      </c>
    </row>
    <row r="1220" spans="1:2" x14ac:dyDescent="0.3">
      <c r="A1220" s="1">
        <v>45623</v>
      </c>
      <c r="B1220" s="4">
        <v>4332.55</v>
      </c>
    </row>
    <row r="1221" spans="1:2" x14ac:dyDescent="0.3">
      <c r="A1221" s="1">
        <v>45624</v>
      </c>
      <c r="B1221" s="4">
        <v>4244.8999999999996</v>
      </c>
    </row>
    <row r="1222" spans="1:2" x14ac:dyDescent="0.3">
      <c r="A1222" s="1">
        <v>45625</v>
      </c>
      <c r="B1222" s="4">
        <v>4270.8500000000004</v>
      </c>
    </row>
    <row r="1223" spans="1:2" x14ac:dyDescent="0.3">
      <c r="A1223" s="1">
        <v>45628</v>
      </c>
      <c r="B1223" s="4">
        <v>4276.6499999999996</v>
      </c>
    </row>
    <row r="1224" spans="1:2" x14ac:dyDescent="0.3">
      <c r="A1224" s="1">
        <v>45629</v>
      </c>
      <c r="B1224" s="4">
        <v>4302.75</v>
      </c>
    </row>
    <row r="1225" spans="1:2" x14ac:dyDescent="0.3">
      <c r="A1225" s="1">
        <v>45630</v>
      </c>
      <c r="B1225" s="4">
        <v>4354.3999999999996</v>
      </c>
    </row>
    <row r="1226" spans="1:2" x14ac:dyDescent="0.3">
      <c r="A1226" s="1">
        <v>45631</v>
      </c>
      <c r="B1226" s="4">
        <v>4464.05</v>
      </c>
    </row>
    <row r="1227" spans="1:2" x14ac:dyDescent="0.3">
      <c r="A1227" s="1">
        <v>45632</v>
      </c>
      <c r="B1227" s="4">
        <v>4445.5</v>
      </c>
    </row>
    <row r="1228" spans="1:2" x14ac:dyDescent="0.3">
      <c r="A1228" s="1">
        <v>45635</v>
      </c>
      <c r="B1228" s="4">
        <v>4452.1499999999996</v>
      </c>
    </row>
    <row r="1229" spans="1:2" x14ac:dyDescent="0.3">
      <c r="A1229" s="1">
        <v>45636</v>
      </c>
      <c r="B1229" s="4">
        <v>4432.55</v>
      </c>
    </row>
    <row r="1230" spans="1:2" x14ac:dyDescent="0.3">
      <c r="A1230" s="1">
        <v>45637</v>
      </c>
      <c r="B1230" s="4">
        <v>4427.45</v>
      </c>
    </row>
    <row r="1231" spans="1:2" x14ac:dyDescent="0.3">
      <c r="A1231" s="1">
        <v>45638</v>
      </c>
      <c r="B1231" s="4">
        <v>4454.95</v>
      </c>
    </row>
    <row r="1232" spans="1:2" x14ac:dyDescent="0.3">
      <c r="A1232" s="1">
        <v>45639</v>
      </c>
      <c r="B1232" s="4">
        <v>4473.8999999999996</v>
      </c>
    </row>
    <row r="1233" spans="1:2" x14ac:dyDescent="0.3">
      <c r="A1233" s="1">
        <v>45642</v>
      </c>
      <c r="B1233" s="4">
        <v>4415.2</v>
      </c>
    </row>
    <row r="1234" spans="1:2" x14ac:dyDescent="0.3">
      <c r="A1234" s="1">
        <v>45643</v>
      </c>
      <c r="B1234" s="4">
        <v>4328.5</v>
      </c>
    </row>
    <row r="1235" spans="1:2" x14ac:dyDescent="0.3">
      <c r="A1235" s="1">
        <v>45644</v>
      </c>
      <c r="B1235" s="4">
        <v>4347.8500000000004</v>
      </c>
    </row>
    <row r="1236" spans="1:2" x14ac:dyDescent="0.3">
      <c r="A1236" s="1">
        <v>45645</v>
      </c>
      <c r="B1236" s="4">
        <v>4271.8999999999996</v>
      </c>
    </row>
    <row r="1237" spans="1:2" x14ac:dyDescent="0.3">
      <c r="A1237" s="1">
        <v>45646</v>
      </c>
      <c r="B1237" s="4">
        <v>4170.3</v>
      </c>
    </row>
    <row r="1238" spans="1:2" x14ac:dyDescent="0.3">
      <c r="A1238" s="1">
        <v>45649</v>
      </c>
      <c r="B1238" s="4">
        <v>4158.3</v>
      </c>
    </row>
    <row r="1239" spans="1:2" x14ac:dyDescent="0.3">
      <c r="A1239" s="1">
        <v>45650</v>
      </c>
      <c r="B1239" s="4">
        <v>4179.5</v>
      </c>
    </row>
    <row r="1240" spans="1:2" x14ac:dyDescent="0.3">
      <c r="A1240" s="1">
        <v>45652</v>
      </c>
      <c r="B1240" s="4">
        <v>4169.1000000000004</v>
      </c>
    </row>
    <row r="1241" spans="1:2" x14ac:dyDescent="0.3">
      <c r="A1241" s="1">
        <v>45653</v>
      </c>
      <c r="B1241" s="4">
        <v>4164.8500000000004</v>
      </c>
    </row>
    <row r="1242" spans="1:2" x14ac:dyDescent="0.3">
      <c r="A1242" s="1">
        <v>45656</v>
      </c>
      <c r="B1242" s="4">
        <v>4158.8</v>
      </c>
    </row>
    <row r="1243" spans="1:2" x14ac:dyDescent="0.3">
      <c r="A1243" s="1">
        <v>45657</v>
      </c>
      <c r="B1243" s="4">
        <v>4094.8</v>
      </c>
    </row>
    <row r="1244" spans="1:2" x14ac:dyDescent="0.3">
      <c r="A1244" s="1">
        <v>45658</v>
      </c>
      <c r="B1244" s="4">
        <v>4112.45</v>
      </c>
    </row>
    <row r="1245" spans="1:2" x14ac:dyDescent="0.3">
      <c r="A1245" s="1">
        <v>45659</v>
      </c>
      <c r="B1245" s="4">
        <v>4175.75</v>
      </c>
    </row>
    <row r="1246" spans="1:2" x14ac:dyDescent="0.3">
      <c r="A1246" s="1">
        <v>45660</v>
      </c>
      <c r="B1246" s="4">
        <v>4099.8999999999996</v>
      </c>
    </row>
    <row r="1247" spans="1:2" x14ac:dyDescent="0.3">
      <c r="A1247" s="1">
        <v>45663</v>
      </c>
      <c r="B1247" s="4">
        <v>4095</v>
      </c>
    </row>
    <row r="1248" spans="1:2" x14ac:dyDescent="0.3">
      <c r="A1248" s="1">
        <v>45664</v>
      </c>
      <c r="B1248" s="4">
        <v>4028.3</v>
      </c>
    </row>
    <row r="1249" spans="1:2" x14ac:dyDescent="0.3">
      <c r="A1249" s="1">
        <v>45665</v>
      </c>
      <c r="B1249" s="4">
        <v>4108.3999999999996</v>
      </c>
    </row>
    <row r="1250" spans="1:2" x14ac:dyDescent="0.3">
      <c r="A1250" s="1">
        <v>45666</v>
      </c>
      <c r="B1250" s="4">
        <v>4038.85</v>
      </c>
    </row>
    <row r="1251" spans="1:2" x14ac:dyDescent="0.3">
      <c r="A1251" s="1">
        <v>45667</v>
      </c>
      <c r="B1251" s="4">
        <v>4198.72</v>
      </c>
    </row>
    <row r="1252" spans="1:2" x14ac:dyDescent="0.3">
      <c r="A1252" s="1">
        <v>45670</v>
      </c>
      <c r="B1252" s="4">
        <v>4223.7700000000004</v>
      </c>
    </row>
    <row r="1253" spans="1:2" x14ac:dyDescent="0.3">
      <c r="A1253" s="1">
        <v>45671</v>
      </c>
      <c r="B1253" s="4">
        <v>4166.63</v>
      </c>
    </row>
    <row r="1254" spans="1:2" x14ac:dyDescent="0.3">
      <c r="A1254" s="1">
        <v>45672</v>
      </c>
      <c r="B1254" s="4">
        <v>4182.92</v>
      </c>
    </row>
    <row r="1255" spans="1:2" x14ac:dyDescent="0.3">
      <c r="A1255" s="1">
        <v>45673</v>
      </c>
      <c r="B1255" s="4">
        <v>4140.3</v>
      </c>
    </row>
    <row r="1256" spans="1:2" x14ac:dyDescent="0.3">
      <c r="A1256" s="1">
        <v>45674</v>
      </c>
      <c r="B1256" s="4">
        <v>4124.3</v>
      </c>
    </row>
    <row r="1257" spans="1:2" x14ac:dyDescent="0.3">
      <c r="A1257" s="1">
        <v>45677</v>
      </c>
      <c r="B1257" s="4">
        <v>4077.8</v>
      </c>
    </row>
    <row r="1258" spans="1:2" x14ac:dyDescent="0.3">
      <c r="A1258" s="1">
        <v>45678</v>
      </c>
      <c r="B1258" s="4">
        <v>4035.85</v>
      </c>
    </row>
    <row r="1259" spans="1:2" x14ac:dyDescent="0.3">
      <c r="A1259" s="1">
        <v>45679</v>
      </c>
      <c r="B1259" s="4">
        <v>4156.6000000000004</v>
      </c>
    </row>
    <row r="1260" spans="1:2" x14ac:dyDescent="0.3">
      <c r="A1260" s="1">
        <v>45680</v>
      </c>
      <c r="B1260" s="4">
        <v>4145.45</v>
      </c>
    </row>
    <row r="1261" spans="1:2" x14ac:dyDescent="0.3">
      <c r="A1261" s="1">
        <v>45681</v>
      </c>
      <c r="B1261" s="4">
        <v>4152.3500000000004</v>
      </c>
    </row>
    <row r="1262" spans="1:2" x14ac:dyDescent="0.3">
      <c r="A1262" s="1">
        <v>45684</v>
      </c>
      <c r="B1262" s="4">
        <v>4065.15</v>
      </c>
    </row>
    <row r="1263" spans="1:2" x14ac:dyDescent="0.3">
      <c r="A1263" s="1">
        <v>45685</v>
      </c>
      <c r="B1263" s="4">
        <v>4040.3</v>
      </c>
    </row>
    <row r="1264" spans="1:2" x14ac:dyDescent="0.3">
      <c r="A1264" s="1">
        <v>45686</v>
      </c>
      <c r="B1264" s="4">
        <v>4099.8</v>
      </c>
    </row>
    <row r="1265" spans="1:2" x14ac:dyDescent="0.3">
      <c r="A1265" s="1">
        <v>45687</v>
      </c>
      <c r="B1265" s="4">
        <v>4100.05</v>
      </c>
    </row>
    <row r="1266" spans="1:2" x14ac:dyDescent="0.3">
      <c r="A1266" s="1">
        <v>45688</v>
      </c>
      <c r="B1266" s="4">
        <v>4112.3999999999996</v>
      </c>
    </row>
    <row r="1267" spans="1:2" x14ac:dyDescent="0.3">
      <c r="A1267" s="1">
        <v>45689</v>
      </c>
      <c r="B1267" s="4">
        <v>4073.15</v>
      </c>
    </row>
    <row r="1268" spans="1:2" x14ac:dyDescent="0.3">
      <c r="A1268" s="1">
        <v>45691</v>
      </c>
      <c r="B1268" s="4">
        <v>4068.65</v>
      </c>
    </row>
    <row r="1269" spans="1:2" x14ac:dyDescent="0.3">
      <c r="A1269" s="1">
        <v>45692</v>
      </c>
      <c r="B1269" s="4">
        <v>4107.05</v>
      </c>
    </row>
    <row r="1270" spans="1:2" x14ac:dyDescent="0.3">
      <c r="A1270" s="1">
        <v>45693</v>
      </c>
      <c r="B1270" s="4">
        <v>4091.1</v>
      </c>
    </row>
    <row r="1271" spans="1:2" x14ac:dyDescent="0.3">
      <c r="A1271" s="1">
        <v>45694</v>
      </c>
      <c r="B1271" s="4">
        <v>4082.75</v>
      </c>
    </row>
    <row r="1272" spans="1:2" x14ac:dyDescent="0.3">
      <c r="A1272" s="1">
        <v>45695</v>
      </c>
      <c r="B1272" s="4">
        <v>4029.4</v>
      </c>
    </row>
    <row r="1273" spans="1:2" x14ac:dyDescent="0.3">
      <c r="A1273" s="1">
        <v>45698</v>
      </c>
      <c r="B1273" s="4">
        <v>4036.95</v>
      </c>
    </row>
    <row r="1274" spans="1:2" x14ac:dyDescent="0.3">
      <c r="A1274" s="1">
        <v>45699</v>
      </c>
      <c r="B1274" s="4">
        <v>3963.55</v>
      </c>
    </row>
    <row r="1275" spans="1:2" x14ac:dyDescent="0.3">
      <c r="A1275" s="1">
        <v>45700</v>
      </c>
      <c r="B1275" s="4">
        <v>3950.15</v>
      </c>
    </row>
    <row r="1276" spans="1:2" x14ac:dyDescent="0.3">
      <c r="A1276" s="1">
        <v>45701</v>
      </c>
      <c r="B1276" s="4">
        <v>3910.15</v>
      </c>
    </row>
    <row r="1277" spans="1:2" x14ac:dyDescent="0.3">
      <c r="A1277" s="1">
        <v>45702</v>
      </c>
      <c r="B1277" s="4">
        <v>3934.85</v>
      </c>
    </row>
    <row r="1278" spans="1:2" x14ac:dyDescent="0.3">
      <c r="A1278" s="1">
        <v>45705</v>
      </c>
      <c r="B1278" s="4">
        <v>3904.5</v>
      </c>
    </row>
    <row r="1279" spans="1:2" x14ac:dyDescent="0.3">
      <c r="A1279" s="1">
        <v>45706</v>
      </c>
      <c r="B1279" s="4">
        <v>3873.2</v>
      </c>
    </row>
    <row r="1280" spans="1:2" x14ac:dyDescent="0.3">
      <c r="A1280" s="1">
        <v>45707</v>
      </c>
      <c r="B1280" s="4">
        <v>3784.1</v>
      </c>
    </row>
    <row r="1281" spans="1:2" x14ac:dyDescent="0.3">
      <c r="A1281" s="1">
        <v>45708</v>
      </c>
      <c r="B1281" s="4">
        <v>3779.4</v>
      </c>
    </row>
    <row r="1282" spans="1:2" x14ac:dyDescent="0.3">
      <c r="A1282" s="1">
        <v>45709</v>
      </c>
      <c r="B1282" s="4">
        <v>3786</v>
      </c>
    </row>
    <row r="1283" spans="1:2" x14ac:dyDescent="0.3">
      <c r="A1283" s="1">
        <v>45712</v>
      </c>
      <c r="B1283" s="4">
        <v>3675.6</v>
      </c>
    </row>
    <row r="1284" spans="1:2" x14ac:dyDescent="0.3">
      <c r="A1284" s="1">
        <v>45713</v>
      </c>
      <c r="B1284" s="4">
        <v>3629.55</v>
      </c>
    </row>
    <row r="1285" spans="1:2" x14ac:dyDescent="0.3">
      <c r="A1285" s="1">
        <v>45715</v>
      </c>
      <c r="B1285" s="4">
        <v>3612.55</v>
      </c>
    </row>
    <row r="1286" spans="1:2" x14ac:dyDescent="0.3">
      <c r="A1286" s="1">
        <v>45716</v>
      </c>
      <c r="B1286" s="4">
        <v>3483.25</v>
      </c>
    </row>
    <row r="1287" spans="1:2" x14ac:dyDescent="0.3">
      <c r="A1287" s="1">
        <v>45719</v>
      </c>
      <c r="B1287" s="4">
        <v>3493.05</v>
      </c>
    </row>
    <row r="1288" spans="1:2" x14ac:dyDescent="0.3">
      <c r="A1288" s="1">
        <v>45720</v>
      </c>
      <c r="B1288" s="4">
        <v>3532.05</v>
      </c>
    </row>
    <row r="1289" spans="1:2" x14ac:dyDescent="0.3">
      <c r="A1289" s="1">
        <v>45721</v>
      </c>
      <c r="B1289" s="4">
        <v>3547.05</v>
      </c>
    </row>
    <row r="1290" spans="1:2" x14ac:dyDescent="0.3">
      <c r="A1290" s="1">
        <v>45722</v>
      </c>
      <c r="B1290" s="4">
        <v>3601.6</v>
      </c>
    </row>
    <row r="1291" spans="1:2" x14ac:dyDescent="0.3">
      <c r="A1291" s="1">
        <v>45723</v>
      </c>
      <c r="B1291" s="4">
        <v>3611.2</v>
      </c>
    </row>
    <row r="1292" spans="1:2" x14ac:dyDescent="0.3">
      <c r="A1292" s="1">
        <v>45726</v>
      </c>
      <c r="B1292" s="4">
        <v>3589.65</v>
      </c>
    </row>
    <row r="1293" spans="1:2" x14ac:dyDescent="0.3">
      <c r="A1293" s="1">
        <v>45727</v>
      </c>
      <c r="B1293" s="4">
        <v>3575.3</v>
      </c>
    </row>
    <row r="1294" spans="1:2" x14ac:dyDescent="0.3">
      <c r="A1294" s="1">
        <v>45728</v>
      </c>
      <c r="B1294" s="4">
        <v>3506.2</v>
      </c>
    </row>
    <row r="1295" spans="1:2" x14ac:dyDescent="0.3">
      <c r="A1295" s="1">
        <v>45729</v>
      </c>
      <c r="B1295" s="4">
        <v>3511.05</v>
      </c>
    </row>
    <row r="1296" spans="1:2" x14ac:dyDescent="0.3">
      <c r="A1296" s="1">
        <v>45733</v>
      </c>
      <c r="B1296" s="4">
        <v>3497.7</v>
      </c>
    </row>
    <row r="1297" spans="1:2" x14ac:dyDescent="0.3">
      <c r="A1297" s="1">
        <v>45734</v>
      </c>
      <c r="B1297" s="4">
        <v>3552.45</v>
      </c>
    </row>
    <row r="1298" spans="1:2" x14ac:dyDescent="0.3">
      <c r="A1298" s="1">
        <v>45735</v>
      </c>
      <c r="B1298" s="4">
        <v>3497.1</v>
      </c>
    </row>
    <row r="1299" spans="1:2" x14ac:dyDescent="0.3">
      <c r="A1299" s="1">
        <v>45736</v>
      </c>
      <c r="B1299" s="4">
        <v>3563.15</v>
      </c>
    </row>
    <row r="1300" spans="1:2" x14ac:dyDescent="0.3">
      <c r="A1300" s="1">
        <v>45737</v>
      </c>
      <c r="B1300" s="4">
        <v>3578.1</v>
      </c>
    </row>
    <row r="1301" spans="1:2" x14ac:dyDescent="0.3">
      <c r="A1301" s="1">
        <v>45740</v>
      </c>
      <c r="B1301" s="4">
        <v>3628.95</v>
      </c>
    </row>
    <row r="1302" spans="1:2" x14ac:dyDescent="0.3">
      <c r="A1302" s="1">
        <v>45741</v>
      </c>
      <c r="B1302" s="4">
        <v>3657.75</v>
      </c>
    </row>
    <row r="1303" spans="1:2" x14ac:dyDescent="0.3">
      <c r="A1303" s="1">
        <v>45742</v>
      </c>
      <c r="B1303" s="4">
        <v>3635.8</v>
      </c>
    </row>
    <row r="1304" spans="1:2" x14ac:dyDescent="0.3">
      <c r="A1304" s="1">
        <v>45743</v>
      </c>
      <c r="B1304" s="4">
        <v>3651.2</v>
      </c>
    </row>
    <row r="1305" spans="1:2" x14ac:dyDescent="0.3">
      <c r="A1305" s="1">
        <v>45744</v>
      </c>
      <c r="B1305" s="4">
        <v>3606.15</v>
      </c>
    </row>
    <row r="1306" spans="1:2" x14ac:dyDescent="0.3">
      <c r="A1306" s="1">
        <v>45748</v>
      </c>
      <c r="B1306" s="4">
        <v>3550.8</v>
      </c>
    </row>
    <row r="1307" spans="1:2" x14ac:dyDescent="0.3">
      <c r="A1307" s="1">
        <v>45749</v>
      </c>
      <c r="B1307" s="4">
        <v>3543.95</v>
      </c>
    </row>
    <row r="1308" spans="1:2" x14ac:dyDescent="0.3">
      <c r="A1308" s="1">
        <v>45750</v>
      </c>
      <c r="B1308" s="4">
        <v>3403.15</v>
      </c>
    </row>
    <row r="1309" spans="1:2" x14ac:dyDescent="0.3">
      <c r="A1309" s="1">
        <v>45751</v>
      </c>
      <c r="B1309" s="4">
        <v>3299.4</v>
      </c>
    </row>
    <row r="1310" spans="1:2" x14ac:dyDescent="0.3">
      <c r="A1310" s="1">
        <v>45754</v>
      </c>
      <c r="B1310" s="4">
        <v>3274.05</v>
      </c>
    </row>
    <row r="1311" spans="1:2" x14ac:dyDescent="0.3">
      <c r="A1311" s="1">
        <v>45755</v>
      </c>
      <c r="B1311" s="4">
        <v>3292.95</v>
      </c>
    </row>
    <row r="1312" spans="1:2" x14ac:dyDescent="0.3">
      <c r="A1312" s="1">
        <v>45756</v>
      </c>
      <c r="B1312" s="4">
        <v>3246.6</v>
      </c>
    </row>
    <row r="1313" spans="1:2" x14ac:dyDescent="0.3">
      <c r="A1313" s="1">
        <v>45758</v>
      </c>
      <c r="B1313" s="4">
        <v>3231.5</v>
      </c>
    </row>
    <row r="1314" spans="1:2" x14ac:dyDescent="0.3">
      <c r="A1314" s="1">
        <v>45762</v>
      </c>
      <c r="B1314" s="4">
        <v>3248.2</v>
      </c>
    </row>
    <row r="1315" spans="1:2" x14ac:dyDescent="0.3">
      <c r="A1315" s="1">
        <v>45763</v>
      </c>
      <c r="B1315" s="4">
        <v>3273.8</v>
      </c>
    </row>
    <row r="1316" spans="1:2" x14ac:dyDescent="0.3">
      <c r="A1316" s="1">
        <v>45764</v>
      </c>
      <c r="B1316" s="4">
        <v>3298.9</v>
      </c>
    </row>
    <row r="1317" spans="1:2" x14ac:dyDescent="0.3">
      <c r="A1317" s="1">
        <v>45768</v>
      </c>
      <c r="B1317" s="4">
        <v>3321.6</v>
      </c>
    </row>
    <row r="1318" spans="1:2" x14ac:dyDescent="0.3">
      <c r="A1318" s="1">
        <v>45769</v>
      </c>
      <c r="B1318" s="4">
        <v>3314.4</v>
      </c>
    </row>
    <row r="1319" spans="1:2" x14ac:dyDescent="0.3">
      <c r="A1319" s="1">
        <v>45770</v>
      </c>
      <c r="B1319" s="4">
        <v>3413</v>
      </c>
    </row>
    <row r="1320" spans="1:2" x14ac:dyDescent="0.3">
      <c r="A1320" s="1">
        <v>45771</v>
      </c>
      <c r="B1320" s="4">
        <v>3401.6</v>
      </c>
    </row>
    <row r="1321" spans="1:2" x14ac:dyDescent="0.3">
      <c r="A1321" s="1">
        <v>45772</v>
      </c>
      <c r="B1321" s="4">
        <v>3448</v>
      </c>
    </row>
    <row r="1322" spans="1:2" x14ac:dyDescent="0.3">
      <c r="A1322" s="1">
        <v>45775</v>
      </c>
      <c r="B1322" s="4">
        <v>3443.5</v>
      </c>
    </row>
    <row r="1323" spans="1:2" x14ac:dyDescent="0.3">
      <c r="A1323" s="1">
        <v>45776</v>
      </c>
      <c r="B1323" s="4">
        <v>3472.5</v>
      </c>
    </row>
    <row r="1324" spans="1:2" x14ac:dyDescent="0.3">
      <c r="A1324" s="1">
        <v>45777</v>
      </c>
      <c r="B1324" s="4">
        <v>3453.7</v>
      </c>
    </row>
    <row r="1325" spans="1:2" x14ac:dyDescent="0.3">
      <c r="A1325" s="1">
        <v>45779</v>
      </c>
      <c r="B1325" s="4">
        <v>3444.7</v>
      </c>
    </row>
    <row r="1326" spans="1:2" x14ac:dyDescent="0.3">
      <c r="A1326" s="1">
        <v>45782</v>
      </c>
      <c r="B1326" s="4">
        <v>3454.3</v>
      </c>
    </row>
    <row r="1327" spans="1:2" x14ac:dyDescent="0.3">
      <c r="A1327" s="1">
        <v>45783</v>
      </c>
      <c r="B1327" s="4">
        <v>3460</v>
      </c>
    </row>
    <row r="1328" spans="1:2" x14ac:dyDescent="0.3">
      <c r="A1328" s="1">
        <v>45784</v>
      </c>
      <c r="B1328" s="4">
        <v>3445.1</v>
      </c>
    </row>
    <row r="1329" spans="1:2" x14ac:dyDescent="0.3">
      <c r="A1329" s="1">
        <v>45785</v>
      </c>
      <c r="B1329" s="4">
        <v>3448.9</v>
      </c>
    </row>
    <row r="1330" spans="1:2" x14ac:dyDescent="0.3">
      <c r="A1330" s="1">
        <v>45786</v>
      </c>
      <c r="B1330" s="4">
        <v>3440.3</v>
      </c>
    </row>
    <row r="1331" spans="1:2" x14ac:dyDescent="0.3">
      <c r="A1331" s="1">
        <v>45789</v>
      </c>
      <c r="B1331" s="4">
        <v>3620.4</v>
      </c>
    </row>
    <row r="1332" spans="1:2" x14ac:dyDescent="0.3">
      <c r="A1332" s="1">
        <v>45790</v>
      </c>
      <c r="B1332" s="4">
        <v>3515</v>
      </c>
    </row>
    <row r="1333" spans="1:2" x14ac:dyDescent="0.3">
      <c r="A1333" s="1">
        <v>45791</v>
      </c>
      <c r="B1333" s="4">
        <v>3548.7</v>
      </c>
    </row>
    <row r="1334" spans="1:2" x14ac:dyDescent="0.3">
      <c r="A1334" s="1">
        <v>45792</v>
      </c>
      <c r="B1334" s="4">
        <v>3579.9</v>
      </c>
    </row>
    <row r="1335" spans="1:2" x14ac:dyDescent="0.3">
      <c r="A1335" s="1">
        <v>45793</v>
      </c>
      <c r="B1335" s="4">
        <v>3561.3</v>
      </c>
    </row>
    <row r="1336" spans="1:2" x14ac:dyDescent="0.3">
      <c r="A1336" s="1">
        <v>45796</v>
      </c>
      <c r="B1336" s="4">
        <v>3518.8</v>
      </c>
    </row>
    <row r="1337" spans="1:2" x14ac:dyDescent="0.3">
      <c r="A1337" s="1">
        <v>45797</v>
      </c>
      <c r="B1337" s="4">
        <v>3498.3</v>
      </c>
    </row>
    <row r="1338" spans="1:2" x14ac:dyDescent="0.3">
      <c r="A1338" s="1">
        <v>45798</v>
      </c>
      <c r="B1338" s="4">
        <v>3525.8</v>
      </c>
    </row>
    <row r="1339" spans="1:2" x14ac:dyDescent="0.3">
      <c r="A1339" s="1">
        <v>45799</v>
      </c>
      <c r="B1339" s="4">
        <v>3477</v>
      </c>
    </row>
    <row r="1340" spans="1:2" x14ac:dyDescent="0.3">
      <c r="A1340" s="1">
        <v>45800</v>
      </c>
      <c r="B1340" s="4">
        <v>3514.6</v>
      </c>
    </row>
    <row r="1341" spans="1:2" x14ac:dyDescent="0.3">
      <c r="A1341" s="1">
        <v>45803</v>
      </c>
      <c r="B1341" s="4">
        <v>3537.3</v>
      </c>
    </row>
    <row r="1342" spans="1:2" x14ac:dyDescent="0.3">
      <c r="A1342" s="1">
        <v>45804</v>
      </c>
      <c r="B1342" s="4">
        <v>3498.7</v>
      </c>
    </row>
    <row r="1343" spans="1:2" x14ac:dyDescent="0.3">
      <c r="A1343" s="1">
        <v>45805</v>
      </c>
      <c r="B1343" s="4">
        <v>3497.7</v>
      </c>
    </row>
    <row r="1344" spans="1:2" x14ac:dyDescent="0.3">
      <c r="A1344" s="1">
        <v>45806</v>
      </c>
      <c r="B1344" s="4">
        <v>3498.1</v>
      </c>
    </row>
    <row r="1345" spans="1:2" x14ac:dyDescent="0.3">
      <c r="A1345" s="1">
        <v>45807</v>
      </c>
      <c r="B1345" s="4">
        <v>3463.4</v>
      </c>
    </row>
    <row r="1346" spans="1:2" x14ac:dyDescent="0.3">
      <c r="A1346" s="1">
        <v>45810</v>
      </c>
      <c r="B1346" s="4">
        <v>3449.8</v>
      </c>
    </row>
    <row r="1347" spans="1:2" x14ac:dyDescent="0.3">
      <c r="A1347" s="1">
        <v>45811</v>
      </c>
      <c r="B1347" s="4">
        <v>3405.2</v>
      </c>
    </row>
    <row r="1348" spans="1:2" x14ac:dyDescent="0.3">
      <c r="A1348" s="1">
        <v>45812</v>
      </c>
      <c r="B1348" s="4">
        <v>3380.9</v>
      </c>
    </row>
    <row r="1349" spans="1:2" x14ac:dyDescent="0.3">
      <c r="A1349" s="1">
        <v>45813</v>
      </c>
      <c r="B1349" s="4">
        <v>3371.1</v>
      </c>
    </row>
    <row r="1350" spans="1:2" x14ac:dyDescent="0.3">
      <c r="A1350" s="1">
        <v>45814</v>
      </c>
      <c r="B1350" s="4">
        <v>3384.2</v>
      </c>
    </row>
    <row r="1351" spans="1:2" x14ac:dyDescent="0.3">
      <c r="A1351" s="1">
        <v>45817</v>
      </c>
      <c r="B1351" s="4">
        <v>3421.9</v>
      </c>
    </row>
    <row r="1352" spans="1:2" x14ac:dyDescent="0.3">
      <c r="A1352" s="1">
        <v>45818</v>
      </c>
      <c r="B1352" s="4">
        <v>3462.9</v>
      </c>
    </row>
    <row r="1353" spans="1:2" x14ac:dyDescent="0.3">
      <c r="A1353" s="1">
        <v>45819</v>
      </c>
      <c r="B1353" s="4">
        <v>3471.9</v>
      </c>
    </row>
    <row r="1354" spans="1:2" x14ac:dyDescent="0.3">
      <c r="A1354" s="1">
        <v>45820</v>
      </c>
      <c r="B1354" s="4">
        <v>3434.2</v>
      </c>
    </row>
    <row r="1355" spans="1:2" x14ac:dyDescent="0.3">
      <c r="A1355" s="1">
        <v>45821</v>
      </c>
      <c r="B1355" s="4">
        <v>3445.7</v>
      </c>
    </row>
    <row r="1356" spans="1:2" x14ac:dyDescent="0.3">
      <c r="A1356" s="1">
        <v>45824</v>
      </c>
      <c r="B1356" s="4">
        <v>3496.3</v>
      </c>
    </row>
    <row r="1357" spans="1:2" x14ac:dyDescent="0.3">
      <c r="A1357" s="1">
        <v>45825</v>
      </c>
      <c r="B1357" s="4">
        <v>3515.3</v>
      </c>
    </row>
    <row r="1358" spans="1:2" x14ac:dyDescent="0.3">
      <c r="A1358" s="1">
        <v>45826</v>
      </c>
      <c r="B1358" s="4">
        <v>3451.4</v>
      </c>
    </row>
    <row r="1359" spans="1:2" x14ac:dyDescent="0.3">
      <c r="A1359" s="1">
        <v>45827</v>
      </c>
      <c r="B1359" s="4">
        <v>3424</v>
      </c>
    </row>
    <row r="1360" spans="1:2" x14ac:dyDescent="0.3">
      <c r="A1360" s="1">
        <v>45828</v>
      </c>
      <c r="B1360" s="4">
        <v>3435.7</v>
      </c>
    </row>
    <row r="1361" spans="1:2" x14ac:dyDescent="0.3">
      <c r="A1361" s="1">
        <v>45831</v>
      </c>
      <c r="B1361" s="4">
        <v>3393.6</v>
      </c>
    </row>
    <row r="1362" spans="1:2" x14ac:dyDescent="0.3">
      <c r="A1362" s="1">
        <v>45832</v>
      </c>
      <c r="B1362" s="4">
        <v>3390.4</v>
      </c>
    </row>
    <row r="1363" spans="1:2" x14ac:dyDescent="0.3">
      <c r="A1363" s="1">
        <v>45833</v>
      </c>
      <c r="B1363" s="4">
        <v>3444.8</v>
      </c>
    </row>
    <row r="1364" spans="1:2" x14ac:dyDescent="0.3">
      <c r="A1364" s="1">
        <v>45834</v>
      </c>
      <c r="B1364" s="4">
        <v>3441.8</v>
      </c>
    </row>
    <row r="1365" spans="1:2" x14ac:dyDescent="0.3">
      <c r="A1365" s="1">
        <v>45835</v>
      </c>
      <c r="B1365" s="4">
        <v>3441.1</v>
      </c>
    </row>
    <row r="1366" spans="1:2" x14ac:dyDescent="0.3">
      <c r="A1366" s="1">
        <v>45838</v>
      </c>
      <c r="B1366" s="4">
        <v>3462</v>
      </c>
    </row>
    <row r="1367" spans="1:2" x14ac:dyDescent="0.3">
      <c r="A1367" s="1">
        <v>45839</v>
      </c>
      <c r="B1367" s="4">
        <v>3429.7</v>
      </c>
    </row>
    <row r="1368" spans="1:2" x14ac:dyDescent="0.3">
      <c r="A1368" s="1">
        <v>45840</v>
      </c>
      <c r="B1368" s="4">
        <v>3423.3</v>
      </c>
    </row>
    <row r="1369" spans="1:2" x14ac:dyDescent="0.3">
      <c r="A1369" s="1">
        <v>45841</v>
      </c>
      <c r="B1369" s="4">
        <v>3400.8</v>
      </c>
    </row>
    <row r="1370" spans="1:2" x14ac:dyDescent="0.3">
      <c r="A1370" s="1">
        <v>45842</v>
      </c>
      <c r="B1370" s="4">
        <v>3419.8</v>
      </c>
    </row>
    <row r="1371" spans="1:2" x14ac:dyDescent="0.3">
      <c r="A1371" s="1">
        <v>45845</v>
      </c>
      <c r="B1371" s="4">
        <v>3411.7</v>
      </c>
    </row>
    <row r="1372" spans="1:2" x14ac:dyDescent="0.3">
      <c r="A1372" s="1">
        <v>45846</v>
      </c>
      <c r="B1372" s="4">
        <v>3406.2</v>
      </c>
    </row>
    <row r="1373" spans="1:2" x14ac:dyDescent="0.3">
      <c r="A1373" s="1">
        <v>45847</v>
      </c>
      <c r="B1373" s="4">
        <v>3383.8</v>
      </c>
    </row>
    <row r="1374" spans="1:2" x14ac:dyDescent="0.3">
      <c r="A1374" s="1">
        <v>45848</v>
      </c>
      <c r="B1374" s="4">
        <v>3382</v>
      </c>
    </row>
    <row r="1375" spans="1:2" x14ac:dyDescent="0.3">
      <c r="A1375" s="1">
        <v>45849</v>
      </c>
      <c r="B1375" s="4">
        <v>3266</v>
      </c>
    </row>
    <row r="1376" spans="1:2" x14ac:dyDescent="0.3">
      <c r="A1376" s="1">
        <v>45852</v>
      </c>
      <c r="B1376" s="4">
        <v>3222.7</v>
      </c>
    </row>
    <row r="1377" spans="1:2" x14ac:dyDescent="0.3">
      <c r="A1377" s="1">
        <v>45853</v>
      </c>
      <c r="B1377" s="4">
        <v>3252.3</v>
      </c>
    </row>
    <row r="1378" spans="1:2" x14ac:dyDescent="0.3">
      <c r="A1378" s="1">
        <v>45854</v>
      </c>
      <c r="B1378" s="4">
        <v>3233.1</v>
      </c>
    </row>
    <row r="1379" spans="1:2" x14ac:dyDescent="0.3">
      <c r="A1379" s="1">
        <v>45855</v>
      </c>
      <c r="B1379" s="4">
        <v>3209.2</v>
      </c>
    </row>
    <row r="1380" spans="1:2" x14ac:dyDescent="0.3">
      <c r="A1380" s="1">
        <v>45856</v>
      </c>
      <c r="B1380" s="4">
        <v>3189.9</v>
      </c>
    </row>
    <row r="1381" spans="1:2" x14ac:dyDescent="0.3">
      <c r="A1381" s="1">
        <v>45859</v>
      </c>
      <c r="B1381" s="4">
        <v>3158.2</v>
      </c>
    </row>
    <row r="1382" spans="1:2" x14ac:dyDescent="0.3">
      <c r="A1382" s="1">
        <v>45860</v>
      </c>
      <c r="B1382" s="4">
        <v>3159.6</v>
      </c>
    </row>
    <row r="1383" spans="1:2" x14ac:dyDescent="0.3">
      <c r="A1383" s="1">
        <v>45861</v>
      </c>
      <c r="B1383" s="4">
        <v>3179.1</v>
      </c>
    </row>
    <row r="1384" spans="1:2" x14ac:dyDescent="0.3">
      <c r="A1384" s="1">
        <v>45862</v>
      </c>
      <c r="B1384" s="4">
        <v>3148</v>
      </c>
    </row>
    <row r="1385" spans="1:2" x14ac:dyDescent="0.3">
      <c r="A1385" s="1">
        <v>45863</v>
      </c>
      <c r="B1385" s="4">
        <v>3135.8</v>
      </c>
    </row>
    <row r="1386" spans="1:2" x14ac:dyDescent="0.3">
      <c r="A1386" s="1">
        <v>45866</v>
      </c>
      <c r="B1386" s="4">
        <v>3079.3</v>
      </c>
    </row>
    <row r="1387" spans="1:2" x14ac:dyDescent="0.3">
      <c r="A1387" s="1">
        <v>45867</v>
      </c>
      <c r="B1387" s="4">
        <v>3056</v>
      </c>
    </row>
    <row r="1388" spans="1:2" x14ac:dyDescent="0.3">
      <c r="A1388" s="1">
        <v>45868</v>
      </c>
      <c r="B1388" s="4">
        <v>3053.6</v>
      </c>
    </row>
    <row r="1389" spans="1:2" x14ac:dyDescent="0.3">
      <c r="A1389" s="1">
        <v>45869</v>
      </c>
      <c r="B1389" s="4">
        <v>3036.8</v>
      </c>
    </row>
    <row r="1390" spans="1:2" x14ac:dyDescent="0.3">
      <c r="A1390" s="1">
        <v>45870</v>
      </c>
      <c r="B1390" s="4">
        <v>3003</v>
      </c>
    </row>
    <row r="1391" spans="1:2" x14ac:dyDescent="0.3">
      <c r="A1391" s="1">
        <v>45873</v>
      </c>
      <c r="B1391" s="4">
        <v>3074.4</v>
      </c>
    </row>
    <row r="1392" spans="1:2" x14ac:dyDescent="0.3">
      <c r="A1392" s="1">
        <v>45874</v>
      </c>
      <c r="B1392" s="4">
        <v>3063.9</v>
      </c>
    </row>
    <row r="1393" spans="1:2" x14ac:dyDescent="0.3">
      <c r="A1393" s="1">
        <v>45875</v>
      </c>
      <c r="B1393" s="4">
        <v>3032.3</v>
      </c>
    </row>
    <row r="1394" spans="1:2" x14ac:dyDescent="0.3">
      <c r="A1394" s="1">
        <v>45876</v>
      </c>
      <c r="B1394" s="4">
        <v>3047</v>
      </c>
    </row>
    <row r="1395" spans="1:2" x14ac:dyDescent="0.3">
      <c r="A1395" s="1">
        <v>45877</v>
      </c>
      <c r="B1395" s="4">
        <v>3036.4</v>
      </c>
    </row>
    <row r="1396" spans="1:2" x14ac:dyDescent="0.3">
      <c r="A1396" s="1">
        <v>45880</v>
      </c>
      <c r="B1396" s="4">
        <v>3040.8</v>
      </c>
    </row>
    <row r="1397" spans="1:2" x14ac:dyDescent="0.3">
      <c r="A1397" s="1">
        <v>45881</v>
      </c>
      <c r="B1397" s="4">
        <v>3035.4</v>
      </c>
    </row>
    <row r="1398" spans="1:2" x14ac:dyDescent="0.3">
      <c r="A1398" s="1">
        <v>45882</v>
      </c>
      <c r="B1398" s="4">
        <v>3036.2</v>
      </c>
    </row>
    <row r="1399" spans="1:2" x14ac:dyDescent="0.3">
      <c r="A1399" s="1">
        <v>45883</v>
      </c>
      <c r="B1399" s="4">
        <v>3022.3</v>
      </c>
    </row>
    <row r="1400" spans="1:2" x14ac:dyDescent="0.3">
      <c r="A1400" s="1">
        <v>45887</v>
      </c>
      <c r="B1400" s="4">
        <v>3011.2</v>
      </c>
    </row>
    <row r="1401" spans="1:2" x14ac:dyDescent="0.3">
      <c r="A1401" s="1">
        <v>45888</v>
      </c>
      <c r="B1401" s="4">
        <v>3016.2</v>
      </c>
    </row>
    <row r="1402" spans="1:2" x14ac:dyDescent="0.3">
      <c r="A1402" s="1">
        <v>45889</v>
      </c>
      <c r="B1402" s="4">
        <v>3098.6</v>
      </c>
    </row>
    <row r="1403" spans="1:2" x14ac:dyDescent="0.3">
      <c r="A1403" s="1">
        <v>45890</v>
      </c>
      <c r="B1403" s="4">
        <v>3102.6</v>
      </c>
    </row>
    <row r="1404" spans="1:2" x14ac:dyDescent="0.3">
      <c r="A1404" s="1">
        <v>45891</v>
      </c>
      <c r="B1404" s="4">
        <v>3054</v>
      </c>
    </row>
    <row r="1405" spans="1:2" x14ac:dyDescent="0.3">
      <c r="A1405" s="1">
        <v>45894</v>
      </c>
      <c r="B1405" s="4">
        <v>3140.6</v>
      </c>
    </row>
    <row r="1406" spans="1:2" x14ac:dyDescent="0.3">
      <c r="A1406" s="1">
        <v>45895</v>
      </c>
      <c r="B1406" s="4">
        <v>3157.2</v>
      </c>
    </row>
    <row r="1407" spans="1:2" x14ac:dyDescent="0.3">
      <c r="A1407" s="1">
        <v>45897</v>
      </c>
      <c r="B1407" s="4">
        <v>3093.7</v>
      </c>
    </row>
    <row r="1408" spans="1:2" x14ac:dyDescent="0.3">
      <c r="A1408" s="1">
        <v>45898</v>
      </c>
      <c r="B1408" s="4">
        <v>3084.7</v>
      </c>
    </row>
    <row r="1409" spans="1:2" x14ac:dyDescent="0.3">
      <c r="A1409" s="1">
        <v>45901</v>
      </c>
      <c r="B1409" s="4">
        <v>3112.6</v>
      </c>
    </row>
    <row r="1410" spans="1:2" x14ac:dyDescent="0.3">
      <c r="A1410" s="1">
        <v>45902</v>
      </c>
      <c r="B1410" s="4">
        <v>3111.5</v>
      </c>
    </row>
    <row r="1411" spans="1:2" x14ac:dyDescent="0.3">
      <c r="A1411" s="1">
        <v>45903</v>
      </c>
      <c r="B1411" s="4">
        <v>3097.5</v>
      </c>
    </row>
    <row r="1412" spans="1:2" x14ac:dyDescent="0.3">
      <c r="A1412" s="1">
        <v>45904</v>
      </c>
      <c r="B1412" s="4">
        <v>3095.7</v>
      </c>
    </row>
    <row r="1413" spans="1:2" x14ac:dyDescent="0.3">
      <c r="A1413" s="1">
        <v>45905</v>
      </c>
      <c r="B1413" s="4">
        <v>3048.3</v>
      </c>
    </row>
    <row r="1414" spans="1:2" x14ac:dyDescent="0.3">
      <c r="A1414" s="1">
        <v>45908</v>
      </c>
      <c r="B1414" s="4">
        <v>3019</v>
      </c>
    </row>
    <row r="1415" spans="1:2" x14ac:dyDescent="0.3">
      <c r="A1415" s="1">
        <v>45909</v>
      </c>
      <c r="B1415" s="4">
        <v>3049.4</v>
      </c>
    </row>
    <row r="1416" spans="1:2" x14ac:dyDescent="0.3">
      <c r="A1416" s="1">
        <v>45910</v>
      </c>
      <c r="B1416" s="4">
        <v>3110</v>
      </c>
    </row>
    <row r="1417" spans="1:2" x14ac:dyDescent="0.3">
      <c r="A1417" s="1">
        <v>45911</v>
      </c>
      <c r="B1417" s="4">
        <v>3124.2</v>
      </c>
    </row>
    <row r="1418" spans="1:2" x14ac:dyDescent="0.3">
      <c r="A1418" s="1">
        <v>45912</v>
      </c>
      <c r="B1418" s="4">
        <v>3133.4</v>
      </c>
    </row>
    <row r="1419" spans="1:2" x14ac:dyDescent="0.3">
      <c r="A1419" s="1">
        <v>45915</v>
      </c>
      <c r="B1419" s="4">
        <v>3111.9</v>
      </c>
    </row>
    <row r="1420" spans="1:2" x14ac:dyDescent="0.3">
      <c r="A1420" s="1">
        <v>45916</v>
      </c>
      <c r="B1420" s="4">
        <v>3145.7</v>
      </c>
    </row>
    <row r="1421" spans="1:2" x14ac:dyDescent="0.3">
      <c r="A1421" s="1">
        <v>45917</v>
      </c>
      <c r="B1421" s="4">
        <v>3172.8</v>
      </c>
    </row>
    <row r="1422" spans="1:2" x14ac:dyDescent="0.3">
      <c r="A1422" s="1">
        <v>45918</v>
      </c>
      <c r="B1422" s="4">
        <v>3176.7</v>
      </c>
    </row>
    <row r="1423" spans="1:2" x14ac:dyDescent="0.3">
      <c r="A1423" s="1">
        <v>45919</v>
      </c>
      <c r="B1423" s="4">
        <v>3169.2</v>
      </c>
    </row>
    <row r="1424" spans="1:2" x14ac:dyDescent="0.3">
      <c r="A1424" s="1">
        <v>45922</v>
      </c>
      <c r="B1424" s="4">
        <v>3073.8</v>
      </c>
    </row>
    <row r="1425" spans="1:2" x14ac:dyDescent="0.3">
      <c r="A1425" s="1">
        <v>45923</v>
      </c>
      <c r="B1425" s="4">
        <v>3062.4</v>
      </c>
    </row>
    <row r="1426" spans="1:2" x14ac:dyDescent="0.3">
      <c r="A1426" s="1">
        <v>45924</v>
      </c>
      <c r="B1426" s="4">
        <v>3035.4</v>
      </c>
    </row>
    <row r="1427" spans="1:2" x14ac:dyDescent="0.3">
      <c r="A1427" s="1">
        <v>45925</v>
      </c>
      <c r="B1427" s="4">
        <v>2957.4</v>
      </c>
    </row>
    <row r="1428" spans="1:2" x14ac:dyDescent="0.3">
      <c r="A1428" s="1">
        <v>45926</v>
      </c>
      <c r="B1428" s="4">
        <v>2899.1</v>
      </c>
    </row>
    <row r="1429" spans="1:2" x14ac:dyDescent="0.3">
      <c r="A1429" s="1">
        <v>45929</v>
      </c>
      <c r="B1429" s="4">
        <v>2896.1</v>
      </c>
    </row>
    <row r="1430" spans="1:2" x14ac:dyDescent="0.3">
      <c r="A1430" s="1">
        <v>45930</v>
      </c>
      <c r="B1430" s="4">
        <v>2888.4</v>
      </c>
    </row>
    <row r="1431" spans="1:2" x14ac:dyDescent="0.3">
      <c r="A1431" s="1">
        <v>45931</v>
      </c>
      <c r="B1431" s="4">
        <v>2914.2</v>
      </c>
    </row>
    <row r="1432" spans="1:2" x14ac:dyDescent="0.3">
      <c r="A1432" s="1">
        <v>45933</v>
      </c>
      <c r="B1432" s="4">
        <v>2901.9</v>
      </c>
    </row>
    <row r="1433" spans="1:2" x14ac:dyDescent="0.3">
      <c r="A1433" s="1">
        <v>45936</v>
      </c>
      <c r="B1433" s="4">
        <v>2988.4</v>
      </c>
    </row>
    <row r="1434" spans="1:2" x14ac:dyDescent="0.3">
      <c r="A1434" s="1">
        <v>45937</v>
      </c>
      <c r="B1434" s="4">
        <v>2973.7</v>
      </c>
    </row>
    <row r="1435" spans="1:2" x14ac:dyDescent="0.3">
      <c r="A1435" s="1">
        <v>45938</v>
      </c>
      <c r="B1435" s="4">
        <v>3027.2</v>
      </c>
    </row>
    <row r="1436" spans="1:2" x14ac:dyDescent="0.3">
      <c r="A1436" s="1">
        <v>45939</v>
      </c>
      <c r="B1436" s="4">
        <v>3061.7</v>
      </c>
    </row>
    <row r="1437" spans="1:2" x14ac:dyDescent="0.3">
      <c r="A1437" s="1">
        <v>45940</v>
      </c>
      <c r="B1437" s="4">
        <v>3028.3</v>
      </c>
    </row>
    <row r="1438" spans="1:2" x14ac:dyDescent="0.3">
      <c r="A1438" s="1">
        <v>45943</v>
      </c>
      <c r="B1438" s="4">
        <v>3007.2</v>
      </c>
    </row>
    <row r="1439" spans="1:2" x14ac:dyDescent="0.3">
      <c r="A1439" s="1">
        <v>45944</v>
      </c>
      <c r="B1439" s="4">
        <v>2960.3</v>
      </c>
    </row>
    <row r="1440" spans="1:2" x14ac:dyDescent="0.3">
      <c r="A1440" s="1">
        <v>45945</v>
      </c>
      <c r="B1440" s="4">
        <v>2969.8</v>
      </c>
    </row>
    <row r="1441" spans="1:2" x14ac:dyDescent="0.3">
      <c r="A1441" s="1">
        <v>45946</v>
      </c>
      <c r="B1441" s="4">
        <v>2970.7</v>
      </c>
    </row>
    <row r="1442" spans="1:2" x14ac:dyDescent="0.3">
      <c r="A1442" s="1">
        <v>45947</v>
      </c>
      <c r="B1442" s="4">
        <v>2962.2</v>
      </c>
    </row>
    <row r="1443" spans="1:2" x14ac:dyDescent="0.3">
      <c r="A1443" s="1">
        <v>45950</v>
      </c>
      <c r="B1443" s="4">
        <v>3015.2</v>
      </c>
    </row>
    <row r="1444" spans="1:2" x14ac:dyDescent="0.3">
      <c r="A1444" s="1">
        <v>45951</v>
      </c>
      <c r="B1444" s="4">
        <v>3006.7</v>
      </c>
    </row>
    <row r="1445" spans="1:2" x14ac:dyDescent="0.3">
      <c r="A1445" s="1">
        <v>45953</v>
      </c>
      <c r="B1445" s="4">
        <v>3073.2</v>
      </c>
    </row>
    <row r="1446" spans="1:2" x14ac:dyDescent="0.3">
      <c r="A1446" s="1">
        <v>45954</v>
      </c>
      <c r="B1446" s="4">
        <v>3063.2</v>
      </c>
    </row>
    <row r="1447" spans="1:2" x14ac:dyDescent="0.3">
      <c r="A1447" s="1">
        <v>45957</v>
      </c>
      <c r="B1447" s="4">
        <v>3084.9</v>
      </c>
    </row>
    <row r="1448" spans="1:2" x14ac:dyDescent="0.3">
      <c r="A1448" s="1">
        <v>45958</v>
      </c>
      <c r="B1448" s="4">
        <v>3057.9</v>
      </c>
    </row>
    <row r="1449" spans="1:2" x14ac:dyDescent="0.3">
      <c r="A1449" s="1">
        <v>45959</v>
      </c>
      <c r="B1449" s="4">
        <v>3057.6</v>
      </c>
    </row>
    <row r="1450" spans="1:2" x14ac:dyDescent="0.3">
      <c r="A1450" s="1">
        <v>45960</v>
      </c>
      <c r="B1450" s="4">
        <v>3035.3</v>
      </c>
    </row>
    <row r="1451" spans="1:2" x14ac:dyDescent="0.3">
      <c r="A1451" s="1">
        <v>45961</v>
      </c>
      <c r="B1451" s="4">
        <v>3058</v>
      </c>
    </row>
    <row r="1452" spans="1:2" x14ac:dyDescent="0.3">
      <c r="A1452" s="1">
        <v>45964</v>
      </c>
      <c r="B1452" s="4">
        <v>3016.8</v>
      </c>
    </row>
    <row r="1453" spans="1:2" x14ac:dyDescent="0.3">
      <c r="A1453" s="1">
        <v>45965</v>
      </c>
      <c r="B1453" s="4">
        <v>2990.2</v>
      </c>
    </row>
    <row r="1454" spans="1:2" x14ac:dyDescent="0.3">
      <c r="A1454" s="1">
        <v>45967</v>
      </c>
      <c r="B1454" s="4">
        <v>3010.9</v>
      </c>
    </row>
    <row r="1455" spans="1:2" x14ac:dyDescent="0.3">
      <c r="A1455" s="1">
        <v>45968</v>
      </c>
      <c r="B1455" s="4">
        <v>2991.8</v>
      </c>
    </row>
    <row r="1456" spans="1:2" x14ac:dyDescent="0.3">
      <c r="A1456" s="1">
        <v>45971</v>
      </c>
      <c r="B1456" s="4">
        <v>3025.2</v>
      </c>
    </row>
    <row r="1457" spans="1:2" x14ac:dyDescent="0.3">
      <c r="A1457" s="1">
        <v>45972</v>
      </c>
      <c r="B1457" s="4">
        <v>3047</v>
      </c>
    </row>
    <row r="1458" spans="1:2" x14ac:dyDescent="0.3">
      <c r="A1458" s="1">
        <v>45973</v>
      </c>
      <c r="B1458" s="4">
        <v>3131.8</v>
      </c>
    </row>
    <row r="1459" spans="1:2" x14ac:dyDescent="0.3">
      <c r="A1459" s="1">
        <v>45974</v>
      </c>
      <c r="B1459" s="4">
        <v>3105.7</v>
      </c>
    </row>
    <row r="1460" spans="1:2" x14ac:dyDescent="0.3">
      <c r="A1460" s="1">
        <v>45975</v>
      </c>
      <c r="B1460" s="4">
        <v>3106</v>
      </c>
    </row>
    <row r="1461" spans="1:2" x14ac:dyDescent="0.3">
      <c r="A1461" s="1">
        <v>45978</v>
      </c>
      <c r="B1461" s="4">
        <v>3102.2</v>
      </c>
    </row>
    <row r="1462" spans="1:2" x14ac:dyDescent="0.3">
      <c r="A1462" s="1">
        <v>45979</v>
      </c>
      <c r="B1462" s="4">
        <v>3087.1</v>
      </c>
    </row>
    <row r="1463" spans="1:2" x14ac:dyDescent="0.3">
      <c r="A1463" s="1">
        <v>45980</v>
      </c>
      <c r="B1463" s="4">
        <v>3147.7</v>
      </c>
    </row>
    <row r="1464" spans="1:2" x14ac:dyDescent="0.3">
      <c r="A1464" s="1">
        <v>45981</v>
      </c>
      <c r="B1464" s="4">
        <v>3144.8</v>
      </c>
    </row>
    <row r="1465" spans="1:2" x14ac:dyDescent="0.3">
      <c r="A1465" s="1">
        <v>45982</v>
      </c>
      <c r="B1465" s="4">
        <v>3150.6</v>
      </c>
    </row>
    <row r="1466" spans="1:2" x14ac:dyDescent="0.3">
      <c r="A1466" s="1">
        <v>45985</v>
      </c>
      <c r="B1466" s="4">
        <v>3141.2</v>
      </c>
    </row>
    <row r="1467" spans="1:2" x14ac:dyDescent="0.3">
      <c r="A1467" s="1">
        <v>45986</v>
      </c>
      <c r="B1467" s="4">
        <v>3119.2</v>
      </c>
    </row>
    <row r="1468" spans="1:2" x14ac:dyDescent="0.3">
      <c r="A1468" s="1">
        <v>45987</v>
      </c>
      <c r="B1468" s="4">
        <v>3162.9</v>
      </c>
    </row>
    <row r="1469" spans="1:2" x14ac:dyDescent="0.3">
      <c r="A1469" s="1">
        <v>45988</v>
      </c>
      <c r="B1469" s="4">
        <v>3136.6</v>
      </c>
    </row>
    <row r="1470" spans="1:2" x14ac:dyDescent="0.3">
      <c r="A1470" s="1">
        <v>45989</v>
      </c>
      <c r="B1470" s="4">
        <v>3137.5</v>
      </c>
    </row>
    <row r="1471" spans="1:2" x14ac:dyDescent="0.3">
      <c r="A1471" s="1">
        <v>45992</v>
      </c>
      <c r="B1471" s="4">
        <v>3133.4</v>
      </c>
    </row>
    <row r="1472" spans="1:2" x14ac:dyDescent="0.3">
      <c r="A1472" s="1">
        <v>45993</v>
      </c>
      <c r="B1472" s="4">
        <v>3135.7</v>
      </c>
    </row>
    <row r="1473" spans="1:2" x14ac:dyDescent="0.3">
      <c r="A1473" s="1">
        <v>45994</v>
      </c>
      <c r="B1473" s="4">
        <v>3180</v>
      </c>
    </row>
    <row r="1474" spans="1:2" x14ac:dyDescent="0.3">
      <c r="A1474" s="1">
        <v>45995</v>
      </c>
      <c r="B1474" s="4">
        <v>3229.2</v>
      </c>
    </row>
    <row r="1475" spans="1:2" x14ac:dyDescent="0.3">
      <c r="A1475" s="1">
        <v>45996</v>
      </c>
      <c r="B1475" s="4">
        <v>3238.2</v>
      </c>
    </row>
    <row r="1476" spans="1:2" x14ac:dyDescent="0.3">
      <c r="A1476" s="1">
        <v>45999</v>
      </c>
      <c r="B1476" s="4">
        <v>3236.5</v>
      </c>
    </row>
    <row r="1477" spans="1:2" x14ac:dyDescent="0.3">
      <c r="A1477" s="1">
        <v>46000</v>
      </c>
      <c r="B1477" s="4">
        <v>3208.3</v>
      </c>
    </row>
    <row r="1478" spans="1:2" x14ac:dyDescent="0.3">
      <c r="A1478" s="1">
        <v>46001</v>
      </c>
      <c r="B1478" s="4">
        <v>3189.2</v>
      </c>
    </row>
    <row r="1479" spans="1:2" x14ac:dyDescent="0.3">
      <c r="A1479" s="1">
        <v>46002</v>
      </c>
      <c r="B1479" s="4">
        <v>3191.9</v>
      </c>
    </row>
    <row r="1480" spans="1:2" x14ac:dyDescent="0.3">
      <c r="A1480" s="1">
        <v>46003</v>
      </c>
      <c r="B1480" s="4">
        <v>3220.5</v>
      </c>
    </row>
    <row r="1481" spans="1:2" x14ac:dyDescent="0.3">
      <c r="A1481" s="1">
        <v>46006</v>
      </c>
      <c r="B1481" s="4">
        <v>3230.2</v>
      </c>
    </row>
    <row r="1482" spans="1:2" x14ac:dyDescent="0.3">
      <c r="A1482" s="1">
        <v>46007</v>
      </c>
      <c r="B1482" s="4">
        <v>3205.1</v>
      </c>
    </row>
    <row r="1483" spans="1:2" x14ac:dyDescent="0.3">
      <c r="A1483" s="1">
        <v>46008</v>
      </c>
      <c r="B1483" s="4">
        <v>3217.8</v>
      </c>
    </row>
    <row r="1484" spans="1:2" x14ac:dyDescent="0.3">
      <c r="A1484" s="1">
        <v>46009</v>
      </c>
      <c r="B1484" s="4">
        <v>3280.8</v>
      </c>
    </row>
    <row r="1485" spans="1:2" x14ac:dyDescent="0.3">
      <c r="A1485" s="1">
        <v>46010</v>
      </c>
      <c r="B1485" s="4">
        <v>3282</v>
      </c>
    </row>
    <row r="1486" spans="1:2" x14ac:dyDescent="0.3">
      <c r="A1486" s="1">
        <v>46013</v>
      </c>
      <c r="B1486" s="4">
        <v>3324.9</v>
      </c>
    </row>
    <row r="1487" spans="1:2" x14ac:dyDescent="0.3">
      <c r="A1487" s="1">
        <v>46014</v>
      </c>
      <c r="B1487" s="4">
        <v>3310</v>
      </c>
    </row>
    <row r="1488" spans="1:2" x14ac:dyDescent="0.3">
      <c r="A1488" s="1">
        <v>46015</v>
      </c>
      <c r="B1488" s="4">
        <v>3319</v>
      </c>
    </row>
    <row r="1489" spans="1:2" x14ac:dyDescent="0.3">
      <c r="A1489" s="1">
        <v>46017</v>
      </c>
      <c r="B1489" s="4">
        <v>3280</v>
      </c>
    </row>
    <row r="1490" spans="1:2" x14ac:dyDescent="0.3">
      <c r="A1490" s="1">
        <v>46020</v>
      </c>
      <c r="B1490" s="4">
        <v>3251.5</v>
      </c>
    </row>
    <row r="1491" spans="1:2" x14ac:dyDescent="0.3">
      <c r="A1491" s="1">
        <v>46021</v>
      </c>
      <c r="B1491" s="4">
        <v>3246.8</v>
      </c>
    </row>
    <row r="1492" spans="1:2" x14ac:dyDescent="0.3">
      <c r="A1492" s="1">
        <v>46022</v>
      </c>
      <c r="B1492" s="4">
        <v>3206.2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3FCE-B803-4B27-B647-78552E4C7C93}">
  <dimension ref="A1:B1492"/>
  <sheetViews>
    <sheetView workbookViewId="0">
      <selection activeCell="I10" sqref="I10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 s="4">
        <v>736.85</v>
      </c>
    </row>
    <row r="3" spans="1:2" x14ac:dyDescent="0.3">
      <c r="A3" s="1">
        <v>43832</v>
      </c>
      <c r="B3" s="4">
        <v>734.7</v>
      </c>
    </row>
    <row r="4" spans="1:2" x14ac:dyDescent="0.3">
      <c r="A4" s="1">
        <v>43833</v>
      </c>
      <c r="B4" s="4">
        <v>746</v>
      </c>
    </row>
    <row r="5" spans="1:2" x14ac:dyDescent="0.3">
      <c r="A5" s="1">
        <v>43836</v>
      </c>
      <c r="B5" s="4">
        <v>738.85</v>
      </c>
    </row>
    <row r="6" spans="1:2" x14ac:dyDescent="0.3">
      <c r="A6" s="1">
        <v>43837</v>
      </c>
      <c r="B6" s="4">
        <v>727.9</v>
      </c>
    </row>
    <row r="7" spans="1:2" x14ac:dyDescent="0.3">
      <c r="A7" s="1">
        <v>43838</v>
      </c>
      <c r="B7" s="4">
        <v>718.2</v>
      </c>
    </row>
    <row r="8" spans="1:2" x14ac:dyDescent="0.3">
      <c r="A8" s="1">
        <v>43839</v>
      </c>
      <c r="B8" s="4">
        <v>727.55</v>
      </c>
    </row>
    <row r="9" spans="1:2" x14ac:dyDescent="0.3">
      <c r="A9" s="1">
        <v>43840</v>
      </c>
      <c r="B9" s="4">
        <v>738.15</v>
      </c>
    </row>
    <row r="10" spans="1:2" x14ac:dyDescent="0.3">
      <c r="A10" s="1">
        <v>43843</v>
      </c>
      <c r="B10" s="4">
        <v>773.55</v>
      </c>
    </row>
    <row r="11" spans="1:2" x14ac:dyDescent="0.3">
      <c r="A11" s="1">
        <v>43844</v>
      </c>
      <c r="B11" s="4">
        <v>775.65</v>
      </c>
    </row>
    <row r="12" spans="1:2" x14ac:dyDescent="0.3">
      <c r="A12" s="1">
        <v>43845</v>
      </c>
      <c r="B12" s="4">
        <v>767.55</v>
      </c>
    </row>
    <row r="13" spans="1:2" x14ac:dyDescent="0.3">
      <c r="A13" s="1">
        <v>43846</v>
      </c>
      <c r="B13" s="4">
        <v>767</v>
      </c>
    </row>
    <row r="14" spans="1:2" x14ac:dyDescent="0.3">
      <c r="A14" s="1">
        <v>43847</v>
      </c>
      <c r="B14" s="4">
        <v>767.85</v>
      </c>
    </row>
    <row r="15" spans="1:2" x14ac:dyDescent="0.3">
      <c r="A15" s="1">
        <v>43850</v>
      </c>
      <c r="B15" s="4">
        <v>768.45</v>
      </c>
    </row>
    <row r="16" spans="1:2" x14ac:dyDescent="0.3">
      <c r="A16" s="1">
        <v>43851</v>
      </c>
      <c r="B16" s="4">
        <v>762.5</v>
      </c>
    </row>
    <row r="17" spans="1:2" x14ac:dyDescent="0.3">
      <c r="A17" s="1">
        <v>43852</v>
      </c>
      <c r="B17" s="4">
        <v>770.2</v>
      </c>
    </row>
    <row r="18" spans="1:2" x14ac:dyDescent="0.3">
      <c r="A18" s="1">
        <v>43853</v>
      </c>
      <c r="B18" s="4">
        <v>784.35</v>
      </c>
    </row>
    <row r="19" spans="1:2" x14ac:dyDescent="0.3">
      <c r="A19" s="1">
        <v>43854</v>
      </c>
      <c r="B19" s="4">
        <v>782.75</v>
      </c>
    </row>
    <row r="20" spans="1:2" x14ac:dyDescent="0.3">
      <c r="A20" s="1">
        <v>43857</v>
      </c>
      <c r="B20" s="4">
        <v>778.1</v>
      </c>
    </row>
    <row r="21" spans="1:2" x14ac:dyDescent="0.3">
      <c r="A21" s="1">
        <v>43858</v>
      </c>
      <c r="B21" s="4">
        <v>778</v>
      </c>
    </row>
    <row r="22" spans="1:2" x14ac:dyDescent="0.3">
      <c r="A22" s="1">
        <v>43859</v>
      </c>
      <c r="B22" s="4">
        <v>789.7</v>
      </c>
    </row>
    <row r="23" spans="1:2" x14ac:dyDescent="0.3">
      <c r="A23" s="1">
        <v>43860</v>
      </c>
      <c r="B23" s="4">
        <v>780.7</v>
      </c>
    </row>
    <row r="24" spans="1:2" x14ac:dyDescent="0.3">
      <c r="A24" s="1">
        <v>43861</v>
      </c>
      <c r="B24" s="4">
        <v>775.95</v>
      </c>
    </row>
    <row r="25" spans="1:2" x14ac:dyDescent="0.3">
      <c r="A25" s="1">
        <v>43862</v>
      </c>
      <c r="B25" s="4">
        <v>779.5</v>
      </c>
    </row>
    <row r="26" spans="1:2" x14ac:dyDescent="0.3">
      <c r="A26" s="1">
        <v>43864</v>
      </c>
      <c r="B26" s="4">
        <v>767.4</v>
      </c>
    </row>
    <row r="27" spans="1:2" x14ac:dyDescent="0.3">
      <c r="A27" s="1">
        <v>43865</v>
      </c>
      <c r="B27" s="4">
        <v>787.85</v>
      </c>
    </row>
    <row r="28" spans="1:2" x14ac:dyDescent="0.3">
      <c r="A28" s="1">
        <v>43866</v>
      </c>
      <c r="B28" s="4">
        <v>784.55</v>
      </c>
    </row>
    <row r="29" spans="1:2" x14ac:dyDescent="0.3">
      <c r="A29" s="1">
        <v>43867</v>
      </c>
      <c r="B29" s="4">
        <v>771.35</v>
      </c>
    </row>
    <row r="30" spans="1:2" x14ac:dyDescent="0.3">
      <c r="A30" s="1">
        <v>43868</v>
      </c>
      <c r="B30" s="4">
        <v>777.3</v>
      </c>
    </row>
    <row r="31" spans="1:2" x14ac:dyDescent="0.3">
      <c r="A31" s="1">
        <v>43871</v>
      </c>
      <c r="B31" s="4">
        <v>773.2</v>
      </c>
    </row>
    <row r="32" spans="1:2" x14ac:dyDescent="0.3">
      <c r="A32" s="1">
        <v>43872</v>
      </c>
      <c r="B32" s="4">
        <v>773.55</v>
      </c>
    </row>
    <row r="33" spans="1:2" x14ac:dyDescent="0.3">
      <c r="A33" s="1">
        <v>43873</v>
      </c>
      <c r="B33" s="4">
        <v>781.05</v>
      </c>
    </row>
    <row r="34" spans="1:2" x14ac:dyDescent="0.3">
      <c r="A34" s="1">
        <v>43874</v>
      </c>
      <c r="B34" s="4">
        <v>792.25</v>
      </c>
    </row>
    <row r="35" spans="1:2" x14ac:dyDescent="0.3">
      <c r="A35" s="1">
        <v>43875</v>
      </c>
      <c r="B35" s="4">
        <v>786.45</v>
      </c>
    </row>
    <row r="36" spans="1:2" x14ac:dyDescent="0.3">
      <c r="A36" s="1">
        <v>43878</v>
      </c>
      <c r="B36" s="4">
        <v>789.45</v>
      </c>
    </row>
    <row r="37" spans="1:2" x14ac:dyDescent="0.3">
      <c r="A37" s="1">
        <v>43879</v>
      </c>
      <c r="B37" s="4">
        <v>797.65</v>
      </c>
    </row>
    <row r="38" spans="1:2" x14ac:dyDescent="0.3">
      <c r="A38" s="1">
        <v>43880</v>
      </c>
      <c r="B38" s="4">
        <v>800.45</v>
      </c>
    </row>
    <row r="39" spans="1:2" x14ac:dyDescent="0.3">
      <c r="A39" s="1">
        <v>43881</v>
      </c>
      <c r="B39" s="4">
        <v>797</v>
      </c>
    </row>
    <row r="40" spans="1:2" x14ac:dyDescent="0.3">
      <c r="A40" s="1">
        <v>43885</v>
      </c>
      <c r="B40" s="4">
        <v>795.85</v>
      </c>
    </row>
    <row r="41" spans="1:2" x14ac:dyDescent="0.3">
      <c r="A41" s="1">
        <v>43886</v>
      </c>
      <c r="B41" s="4">
        <v>798.4</v>
      </c>
    </row>
    <row r="42" spans="1:2" x14ac:dyDescent="0.3">
      <c r="A42" s="1">
        <v>43887</v>
      </c>
      <c r="B42" s="4">
        <v>782.75</v>
      </c>
    </row>
    <row r="43" spans="1:2" x14ac:dyDescent="0.3">
      <c r="A43" s="1">
        <v>43888</v>
      </c>
      <c r="B43" s="4">
        <v>777.85</v>
      </c>
    </row>
    <row r="44" spans="1:2" x14ac:dyDescent="0.3">
      <c r="A44" s="1">
        <v>43889</v>
      </c>
      <c r="B44" s="4">
        <v>731.7</v>
      </c>
    </row>
    <row r="45" spans="1:2" x14ac:dyDescent="0.3">
      <c r="A45" s="1">
        <v>43892</v>
      </c>
      <c r="B45" s="4">
        <v>741.05</v>
      </c>
    </row>
    <row r="46" spans="1:2" x14ac:dyDescent="0.3">
      <c r="A46" s="1">
        <v>43893</v>
      </c>
      <c r="B46" s="4">
        <v>747</v>
      </c>
    </row>
    <row r="47" spans="1:2" x14ac:dyDescent="0.3">
      <c r="A47" s="1">
        <v>43894</v>
      </c>
      <c r="B47" s="4">
        <v>758.75</v>
      </c>
    </row>
    <row r="48" spans="1:2" x14ac:dyDescent="0.3">
      <c r="A48" s="1">
        <v>43895</v>
      </c>
      <c r="B48" s="4">
        <v>754.6</v>
      </c>
    </row>
    <row r="49" spans="1:2" x14ac:dyDescent="0.3">
      <c r="A49" s="1">
        <v>43896</v>
      </c>
      <c r="B49" s="4">
        <v>738.95</v>
      </c>
    </row>
    <row r="50" spans="1:2" x14ac:dyDescent="0.3">
      <c r="A50" s="1">
        <v>43899</v>
      </c>
      <c r="B50" s="4">
        <v>704.45</v>
      </c>
    </row>
    <row r="51" spans="1:2" x14ac:dyDescent="0.3">
      <c r="A51" s="1">
        <v>43901</v>
      </c>
      <c r="B51" s="4">
        <v>686</v>
      </c>
    </row>
    <row r="52" spans="1:2" x14ac:dyDescent="0.3">
      <c r="A52" s="1">
        <v>43902</v>
      </c>
      <c r="B52" s="4">
        <v>631.20000000000005</v>
      </c>
    </row>
    <row r="53" spans="1:2" x14ac:dyDescent="0.3">
      <c r="A53" s="1">
        <v>43903</v>
      </c>
      <c r="B53" s="4">
        <v>642.35</v>
      </c>
    </row>
    <row r="54" spans="1:2" x14ac:dyDescent="0.3">
      <c r="A54" s="1">
        <v>43906</v>
      </c>
      <c r="B54" s="4">
        <v>583.15</v>
      </c>
    </row>
    <row r="55" spans="1:2" x14ac:dyDescent="0.3">
      <c r="A55" s="1">
        <v>43907</v>
      </c>
      <c r="B55" s="4">
        <v>554.95000000000005</v>
      </c>
    </row>
    <row r="56" spans="1:2" x14ac:dyDescent="0.3">
      <c r="A56" s="1">
        <v>43908</v>
      </c>
      <c r="B56" s="4">
        <v>534.29999999999995</v>
      </c>
    </row>
    <row r="57" spans="1:2" x14ac:dyDescent="0.3">
      <c r="A57" s="1">
        <v>43909</v>
      </c>
      <c r="B57" s="4">
        <v>545.54999999999995</v>
      </c>
    </row>
    <row r="58" spans="1:2" x14ac:dyDescent="0.3">
      <c r="A58" s="1">
        <v>43910</v>
      </c>
      <c r="B58" s="4">
        <v>585.20000000000005</v>
      </c>
    </row>
    <row r="59" spans="1:2" x14ac:dyDescent="0.3">
      <c r="A59" s="1">
        <v>43913</v>
      </c>
      <c r="B59" s="4">
        <v>526.45000000000005</v>
      </c>
    </row>
    <row r="60" spans="1:2" x14ac:dyDescent="0.3">
      <c r="A60" s="1">
        <v>43914</v>
      </c>
      <c r="B60" s="4">
        <v>589.79999999999995</v>
      </c>
    </row>
    <row r="61" spans="1:2" x14ac:dyDescent="0.3">
      <c r="A61" s="1">
        <v>43915</v>
      </c>
      <c r="B61" s="4">
        <v>606.20000000000005</v>
      </c>
    </row>
    <row r="62" spans="1:2" x14ac:dyDescent="0.3">
      <c r="A62" s="1">
        <v>43916</v>
      </c>
      <c r="B62" s="4">
        <v>643</v>
      </c>
    </row>
    <row r="63" spans="1:2" x14ac:dyDescent="0.3">
      <c r="A63" s="1">
        <v>43917</v>
      </c>
      <c r="B63" s="4">
        <v>652.70000000000005</v>
      </c>
    </row>
    <row r="64" spans="1:2" x14ac:dyDescent="0.3">
      <c r="A64" s="1">
        <v>43920</v>
      </c>
      <c r="B64" s="4">
        <v>626.70000000000005</v>
      </c>
    </row>
    <row r="65" spans="1:2" x14ac:dyDescent="0.3">
      <c r="A65" s="1">
        <v>43921</v>
      </c>
      <c r="B65" s="4">
        <v>641.5</v>
      </c>
    </row>
    <row r="66" spans="1:2" x14ac:dyDescent="0.3">
      <c r="A66" s="1">
        <v>43922</v>
      </c>
      <c r="B66" s="4">
        <v>602.79999999999995</v>
      </c>
    </row>
    <row r="67" spans="1:2" x14ac:dyDescent="0.3">
      <c r="A67" s="1">
        <v>43924</v>
      </c>
      <c r="B67" s="4">
        <v>585.70000000000005</v>
      </c>
    </row>
    <row r="68" spans="1:2" x14ac:dyDescent="0.3">
      <c r="A68" s="1">
        <v>43928</v>
      </c>
      <c r="B68" s="4">
        <v>639</v>
      </c>
    </row>
    <row r="69" spans="1:2" x14ac:dyDescent="0.3">
      <c r="A69" s="1">
        <v>43929</v>
      </c>
      <c r="B69" s="4">
        <v>631.6</v>
      </c>
    </row>
    <row r="70" spans="1:2" x14ac:dyDescent="0.3">
      <c r="A70" s="1">
        <v>43930</v>
      </c>
      <c r="B70" s="4">
        <v>636.25</v>
      </c>
    </row>
    <row r="71" spans="1:2" x14ac:dyDescent="0.3">
      <c r="A71" s="1">
        <v>43934</v>
      </c>
      <c r="B71" s="4">
        <v>637.4</v>
      </c>
    </row>
    <row r="72" spans="1:2" x14ac:dyDescent="0.3">
      <c r="A72" s="1">
        <v>43936</v>
      </c>
      <c r="B72" s="4">
        <v>639.04999999999995</v>
      </c>
    </row>
    <row r="73" spans="1:2" x14ac:dyDescent="0.3">
      <c r="A73" s="1">
        <v>43937</v>
      </c>
      <c r="B73" s="4">
        <v>623.85</v>
      </c>
    </row>
    <row r="74" spans="1:2" x14ac:dyDescent="0.3">
      <c r="A74" s="1">
        <v>43938</v>
      </c>
      <c r="B74" s="4">
        <v>628.75</v>
      </c>
    </row>
    <row r="75" spans="1:2" x14ac:dyDescent="0.3">
      <c r="A75" s="1">
        <v>43941</v>
      </c>
      <c r="B75" s="4">
        <v>653.29999999999995</v>
      </c>
    </row>
    <row r="76" spans="1:2" x14ac:dyDescent="0.3">
      <c r="A76" s="1">
        <v>43942</v>
      </c>
      <c r="B76" s="4">
        <v>633.20000000000005</v>
      </c>
    </row>
    <row r="77" spans="1:2" x14ac:dyDescent="0.3">
      <c r="A77" s="1">
        <v>43943</v>
      </c>
      <c r="B77" s="4">
        <v>641.85</v>
      </c>
    </row>
    <row r="78" spans="1:2" x14ac:dyDescent="0.3">
      <c r="A78" s="1">
        <v>43944</v>
      </c>
      <c r="B78" s="4">
        <v>679.3</v>
      </c>
    </row>
    <row r="79" spans="1:2" x14ac:dyDescent="0.3">
      <c r="A79" s="1">
        <v>43945</v>
      </c>
      <c r="B79" s="4">
        <v>658</v>
      </c>
    </row>
    <row r="80" spans="1:2" x14ac:dyDescent="0.3">
      <c r="A80" s="1">
        <v>43948</v>
      </c>
      <c r="B80" s="4">
        <v>664.6</v>
      </c>
    </row>
    <row r="81" spans="1:2" x14ac:dyDescent="0.3">
      <c r="A81" s="1">
        <v>43949</v>
      </c>
      <c r="B81" s="4">
        <v>660.7</v>
      </c>
    </row>
    <row r="82" spans="1:2" x14ac:dyDescent="0.3">
      <c r="A82" s="1">
        <v>43950</v>
      </c>
      <c r="B82" s="4">
        <v>676.55</v>
      </c>
    </row>
    <row r="83" spans="1:2" x14ac:dyDescent="0.3">
      <c r="A83" s="1">
        <v>43951</v>
      </c>
      <c r="B83" s="4">
        <v>715.5</v>
      </c>
    </row>
    <row r="84" spans="1:2" x14ac:dyDescent="0.3">
      <c r="A84" s="1">
        <v>43955</v>
      </c>
      <c r="B84" s="4">
        <v>673.7</v>
      </c>
    </row>
    <row r="85" spans="1:2" x14ac:dyDescent="0.3">
      <c r="A85" s="1">
        <v>43956</v>
      </c>
      <c r="B85" s="4">
        <v>673.7</v>
      </c>
    </row>
    <row r="86" spans="1:2" x14ac:dyDescent="0.3">
      <c r="A86" s="1">
        <v>43957</v>
      </c>
      <c r="B86" s="4">
        <v>665.9</v>
      </c>
    </row>
    <row r="87" spans="1:2" x14ac:dyDescent="0.3">
      <c r="A87" s="1">
        <v>43958</v>
      </c>
      <c r="B87" s="4">
        <v>664.95</v>
      </c>
    </row>
    <row r="88" spans="1:2" x14ac:dyDescent="0.3">
      <c r="A88" s="1">
        <v>43959</v>
      </c>
      <c r="B88" s="4">
        <v>674.2</v>
      </c>
    </row>
    <row r="89" spans="1:2" x14ac:dyDescent="0.3">
      <c r="A89" s="1">
        <v>43962</v>
      </c>
      <c r="B89" s="4">
        <v>682.9</v>
      </c>
    </row>
    <row r="90" spans="1:2" x14ac:dyDescent="0.3">
      <c r="A90" s="1">
        <v>43963</v>
      </c>
      <c r="B90" s="4">
        <v>687.65</v>
      </c>
    </row>
    <row r="91" spans="1:2" x14ac:dyDescent="0.3">
      <c r="A91" s="1">
        <v>43964</v>
      </c>
      <c r="B91" s="4">
        <v>694.15</v>
      </c>
    </row>
    <row r="92" spans="1:2" x14ac:dyDescent="0.3">
      <c r="A92" s="1">
        <v>43965</v>
      </c>
      <c r="B92" s="4">
        <v>658.15</v>
      </c>
    </row>
    <row r="93" spans="1:2" x14ac:dyDescent="0.3">
      <c r="A93" s="1">
        <v>43966</v>
      </c>
      <c r="B93" s="4">
        <v>652.29999999999995</v>
      </c>
    </row>
    <row r="94" spans="1:2" x14ac:dyDescent="0.3">
      <c r="A94" s="1">
        <v>43969</v>
      </c>
      <c r="B94" s="4">
        <v>663.9</v>
      </c>
    </row>
    <row r="95" spans="1:2" x14ac:dyDescent="0.3">
      <c r="A95" s="1">
        <v>43970</v>
      </c>
      <c r="B95" s="4">
        <v>668.6</v>
      </c>
    </row>
    <row r="96" spans="1:2" x14ac:dyDescent="0.3">
      <c r="A96" s="1">
        <v>43971</v>
      </c>
      <c r="B96" s="4">
        <v>669.55</v>
      </c>
    </row>
    <row r="97" spans="1:2" x14ac:dyDescent="0.3">
      <c r="A97" s="1">
        <v>43972</v>
      </c>
      <c r="B97" s="4">
        <v>672.2</v>
      </c>
    </row>
    <row r="98" spans="1:2" x14ac:dyDescent="0.3">
      <c r="A98" s="1">
        <v>43973</v>
      </c>
      <c r="B98" s="4">
        <v>692.35</v>
      </c>
    </row>
    <row r="99" spans="1:2" x14ac:dyDescent="0.3">
      <c r="A99" s="1">
        <v>43977</v>
      </c>
      <c r="B99" s="4">
        <v>680.55</v>
      </c>
    </row>
    <row r="100" spans="1:2" x14ac:dyDescent="0.3">
      <c r="A100" s="1">
        <v>43978</v>
      </c>
      <c r="B100" s="4">
        <v>705.45</v>
      </c>
    </row>
    <row r="101" spans="1:2" x14ac:dyDescent="0.3">
      <c r="A101" s="1">
        <v>43979</v>
      </c>
      <c r="B101" s="4">
        <v>707.4</v>
      </c>
    </row>
    <row r="102" spans="1:2" x14ac:dyDescent="0.3">
      <c r="A102" s="1">
        <v>43980</v>
      </c>
      <c r="B102" s="4">
        <v>691</v>
      </c>
    </row>
    <row r="103" spans="1:2" x14ac:dyDescent="0.3">
      <c r="A103" s="1">
        <v>43983</v>
      </c>
      <c r="B103" s="4">
        <v>699.55</v>
      </c>
    </row>
    <row r="104" spans="1:2" x14ac:dyDescent="0.3">
      <c r="A104" s="1">
        <v>43984</v>
      </c>
      <c r="B104" s="4">
        <v>708.1</v>
      </c>
    </row>
    <row r="105" spans="1:2" x14ac:dyDescent="0.3">
      <c r="A105" s="1">
        <v>43985</v>
      </c>
      <c r="B105" s="4">
        <v>701.55</v>
      </c>
    </row>
    <row r="106" spans="1:2" x14ac:dyDescent="0.3">
      <c r="A106" s="1">
        <v>43986</v>
      </c>
      <c r="B106" s="4">
        <v>707.75</v>
      </c>
    </row>
    <row r="107" spans="1:2" x14ac:dyDescent="0.3">
      <c r="A107" s="1">
        <v>43987</v>
      </c>
      <c r="B107" s="4">
        <v>703.55</v>
      </c>
    </row>
    <row r="108" spans="1:2" x14ac:dyDescent="0.3">
      <c r="A108" s="1">
        <v>43990</v>
      </c>
      <c r="B108" s="4">
        <v>720.85</v>
      </c>
    </row>
    <row r="109" spans="1:2" x14ac:dyDescent="0.3">
      <c r="A109" s="1">
        <v>43991</v>
      </c>
      <c r="B109" s="4">
        <v>717.6</v>
      </c>
    </row>
    <row r="110" spans="1:2" x14ac:dyDescent="0.3">
      <c r="A110" s="1">
        <v>43992</v>
      </c>
      <c r="B110" s="4">
        <v>715.85</v>
      </c>
    </row>
    <row r="111" spans="1:2" x14ac:dyDescent="0.3">
      <c r="A111" s="1">
        <v>43993</v>
      </c>
      <c r="B111" s="4">
        <v>703.95</v>
      </c>
    </row>
    <row r="112" spans="1:2" x14ac:dyDescent="0.3">
      <c r="A112" s="1">
        <v>43994</v>
      </c>
      <c r="B112" s="4">
        <v>692.05</v>
      </c>
    </row>
    <row r="113" spans="1:2" x14ac:dyDescent="0.3">
      <c r="A113" s="1">
        <v>43997</v>
      </c>
      <c r="B113" s="4">
        <v>687.55</v>
      </c>
    </row>
    <row r="114" spans="1:2" x14ac:dyDescent="0.3">
      <c r="A114" s="1">
        <v>43998</v>
      </c>
      <c r="B114" s="4">
        <v>701.2</v>
      </c>
    </row>
    <row r="115" spans="1:2" x14ac:dyDescent="0.3">
      <c r="A115" s="1">
        <v>43999</v>
      </c>
      <c r="B115" s="4">
        <v>703.65</v>
      </c>
    </row>
    <row r="116" spans="1:2" x14ac:dyDescent="0.3">
      <c r="A116" s="1">
        <v>44000</v>
      </c>
      <c r="B116" s="4">
        <v>713.9</v>
      </c>
    </row>
    <row r="117" spans="1:2" x14ac:dyDescent="0.3">
      <c r="A117" s="1">
        <v>44001</v>
      </c>
      <c r="B117" s="4">
        <v>705.55</v>
      </c>
    </row>
    <row r="118" spans="1:2" x14ac:dyDescent="0.3">
      <c r="A118" s="1">
        <v>44004</v>
      </c>
      <c r="B118" s="4">
        <v>703.7</v>
      </c>
    </row>
    <row r="119" spans="1:2" x14ac:dyDescent="0.3">
      <c r="A119" s="1">
        <v>44005</v>
      </c>
      <c r="B119" s="4">
        <v>720.65</v>
      </c>
    </row>
    <row r="120" spans="1:2" x14ac:dyDescent="0.3">
      <c r="A120" s="1">
        <v>44006</v>
      </c>
      <c r="B120" s="4">
        <v>714.15</v>
      </c>
    </row>
    <row r="121" spans="1:2" x14ac:dyDescent="0.3">
      <c r="A121" s="1">
        <v>44007</v>
      </c>
      <c r="B121" s="4">
        <v>700.5</v>
      </c>
    </row>
    <row r="122" spans="1:2" x14ac:dyDescent="0.3">
      <c r="A122" s="1">
        <v>44008</v>
      </c>
      <c r="B122" s="4">
        <v>748.2</v>
      </c>
    </row>
    <row r="123" spans="1:2" x14ac:dyDescent="0.3">
      <c r="A123" s="1">
        <v>44011</v>
      </c>
      <c r="B123" s="4">
        <v>731.75</v>
      </c>
    </row>
    <row r="124" spans="1:2" x14ac:dyDescent="0.3">
      <c r="A124" s="1">
        <v>44012</v>
      </c>
      <c r="B124" s="4">
        <v>735.95</v>
      </c>
    </row>
    <row r="125" spans="1:2" x14ac:dyDescent="0.3">
      <c r="A125" s="1">
        <v>44013</v>
      </c>
      <c r="B125" s="4">
        <v>731.9</v>
      </c>
    </row>
    <row r="126" spans="1:2" x14ac:dyDescent="0.3">
      <c r="A126" s="1">
        <v>44014</v>
      </c>
      <c r="B126" s="4">
        <v>756.6</v>
      </c>
    </row>
    <row r="127" spans="1:2" x14ac:dyDescent="0.3">
      <c r="A127" s="1">
        <v>44015</v>
      </c>
      <c r="B127" s="4">
        <v>762.7</v>
      </c>
    </row>
    <row r="128" spans="1:2" x14ac:dyDescent="0.3">
      <c r="A128" s="1">
        <v>44018</v>
      </c>
      <c r="B128" s="4">
        <v>764</v>
      </c>
    </row>
    <row r="129" spans="1:2" x14ac:dyDescent="0.3">
      <c r="A129" s="1">
        <v>44019</v>
      </c>
      <c r="B129" s="4">
        <v>794.15</v>
      </c>
    </row>
    <row r="130" spans="1:2" x14ac:dyDescent="0.3">
      <c r="A130" s="1">
        <v>44020</v>
      </c>
      <c r="B130" s="4">
        <v>774.7</v>
      </c>
    </row>
    <row r="131" spans="1:2" x14ac:dyDescent="0.3">
      <c r="A131" s="1">
        <v>44021</v>
      </c>
      <c r="B131" s="4">
        <v>781.7</v>
      </c>
    </row>
    <row r="132" spans="1:2" x14ac:dyDescent="0.3">
      <c r="A132" s="1">
        <v>44022</v>
      </c>
      <c r="B132" s="4">
        <v>781.85</v>
      </c>
    </row>
    <row r="133" spans="1:2" x14ac:dyDescent="0.3">
      <c r="A133" s="1">
        <v>44025</v>
      </c>
      <c r="B133" s="4">
        <v>797.05</v>
      </c>
    </row>
    <row r="134" spans="1:2" x14ac:dyDescent="0.3">
      <c r="A134" s="1">
        <v>44026</v>
      </c>
      <c r="B134" s="4">
        <v>783.25</v>
      </c>
    </row>
    <row r="135" spans="1:2" x14ac:dyDescent="0.3">
      <c r="A135" s="1">
        <v>44027</v>
      </c>
      <c r="B135" s="4">
        <v>830.95</v>
      </c>
    </row>
    <row r="136" spans="1:2" x14ac:dyDescent="0.3">
      <c r="A136" s="1">
        <v>44028</v>
      </c>
      <c r="B136" s="4">
        <v>911</v>
      </c>
    </row>
    <row r="137" spans="1:2" x14ac:dyDescent="0.3">
      <c r="A137" s="1">
        <v>44029</v>
      </c>
      <c r="B137" s="4">
        <v>903.15</v>
      </c>
    </row>
    <row r="138" spans="1:2" x14ac:dyDescent="0.3">
      <c r="A138" s="1">
        <v>44032</v>
      </c>
      <c r="B138" s="4">
        <v>934.3</v>
      </c>
    </row>
    <row r="139" spans="1:2" x14ac:dyDescent="0.3">
      <c r="A139" s="1">
        <v>44033</v>
      </c>
      <c r="B139" s="4">
        <v>936.75</v>
      </c>
    </row>
    <row r="140" spans="1:2" x14ac:dyDescent="0.3">
      <c r="A140" s="1">
        <v>44034</v>
      </c>
      <c r="B140" s="4">
        <v>917.9</v>
      </c>
    </row>
    <row r="141" spans="1:2" x14ac:dyDescent="0.3">
      <c r="A141" s="1">
        <v>44035</v>
      </c>
      <c r="B141" s="4">
        <v>907.95</v>
      </c>
    </row>
    <row r="142" spans="1:2" x14ac:dyDescent="0.3">
      <c r="A142" s="1">
        <v>44036</v>
      </c>
      <c r="B142" s="4">
        <v>922.85</v>
      </c>
    </row>
    <row r="143" spans="1:2" x14ac:dyDescent="0.3">
      <c r="A143" s="1">
        <v>44039</v>
      </c>
      <c r="B143" s="4">
        <v>948.45</v>
      </c>
    </row>
    <row r="144" spans="1:2" x14ac:dyDescent="0.3">
      <c r="A144" s="1">
        <v>44040</v>
      </c>
      <c r="B144" s="4">
        <v>962.85</v>
      </c>
    </row>
    <row r="145" spans="1:2" x14ac:dyDescent="0.3">
      <c r="A145" s="1">
        <v>44041</v>
      </c>
      <c r="B145" s="4">
        <v>954.15</v>
      </c>
    </row>
    <row r="146" spans="1:2" x14ac:dyDescent="0.3">
      <c r="A146" s="1">
        <v>44042</v>
      </c>
      <c r="B146" s="4">
        <v>961.45</v>
      </c>
    </row>
    <row r="147" spans="1:2" x14ac:dyDescent="0.3">
      <c r="A147" s="1">
        <v>44043</v>
      </c>
      <c r="B147" s="4">
        <v>966</v>
      </c>
    </row>
    <row r="148" spans="1:2" x14ac:dyDescent="0.3">
      <c r="A148" s="1">
        <v>44046</v>
      </c>
      <c r="B148" s="4">
        <v>956.9</v>
      </c>
    </row>
    <row r="149" spans="1:2" x14ac:dyDescent="0.3">
      <c r="A149" s="1">
        <v>44047</v>
      </c>
      <c r="B149" s="4">
        <v>949.85</v>
      </c>
    </row>
    <row r="150" spans="1:2" x14ac:dyDescent="0.3">
      <c r="A150" s="1">
        <v>44048</v>
      </c>
      <c r="B150" s="4">
        <v>944.7</v>
      </c>
    </row>
    <row r="151" spans="1:2" x14ac:dyDescent="0.3">
      <c r="A151" s="1">
        <v>44049</v>
      </c>
      <c r="B151" s="4">
        <v>970.85</v>
      </c>
    </row>
    <row r="152" spans="1:2" x14ac:dyDescent="0.3">
      <c r="A152" s="1">
        <v>44050</v>
      </c>
      <c r="B152" s="4">
        <v>950.9</v>
      </c>
    </row>
    <row r="153" spans="1:2" x14ac:dyDescent="0.3">
      <c r="A153" s="1">
        <v>44053</v>
      </c>
      <c r="B153" s="4">
        <v>951.35</v>
      </c>
    </row>
    <row r="154" spans="1:2" x14ac:dyDescent="0.3">
      <c r="A154" s="1">
        <v>44054</v>
      </c>
      <c r="B154" s="4">
        <v>948.45</v>
      </c>
    </row>
    <row r="155" spans="1:2" x14ac:dyDescent="0.3">
      <c r="A155" s="1">
        <v>44055</v>
      </c>
      <c r="B155" s="4">
        <v>954.95</v>
      </c>
    </row>
    <row r="156" spans="1:2" x14ac:dyDescent="0.3">
      <c r="A156" s="1">
        <v>44056</v>
      </c>
      <c r="B156" s="4">
        <v>951.2</v>
      </c>
    </row>
    <row r="157" spans="1:2" x14ac:dyDescent="0.3">
      <c r="A157" s="1">
        <v>44057</v>
      </c>
      <c r="B157" s="4">
        <v>953.6</v>
      </c>
    </row>
    <row r="158" spans="1:2" x14ac:dyDescent="0.3">
      <c r="A158" s="1">
        <v>44060</v>
      </c>
      <c r="B158" s="4">
        <v>957.5</v>
      </c>
    </row>
    <row r="159" spans="1:2" x14ac:dyDescent="0.3">
      <c r="A159" s="1">
        <v>44061</v>
      </c>
      <c r="B159" s="4">
        <v>967.55</v>
      </c>
    </row>
    <row r="160" spans="1:2" x14ac:dyDescent="0.3">
      <c r="A160" s="1">
        <v>44062</v>
      </c>
      <c r="B160" s="4">
        <v>959.3</v>
      </c>
    </row>
    <row r="161" spans="1:2" x14ac:dyDescent="0.3">
      <c r="A161" s="1">
        <v>44063</v>
      </c>
      <c r="B161" s="4">
        <v>955.15</v>
      </c>
    </row>
    <row r="162" spans="1:2" x14ac:dyDescent="0.3">
      <c r="A162" s="1">
        <v>44064</v>
      </c>
      <c r="B162" s="4">
        <v>948.8</v>
      </c>
    </row>
    <row r="163" spans="1:2" x14ac:dyDescent="0.3">
      <c r="A163" s="1">
        <v>44067</v>
      </c>
      <c r="B163" s="4">
        <v>947.4</v>
      </c>
    </row>
    <row r="164" spans="1:2" x14ac:dyDescent="0.3">
      <c r="A164" s="1">
        <v>44068</v>
      </c>
      <c r="B164" s="4">
        <v>938.1</v>
      </c>
    </row>
    <row r="165" spans="1:2" x14ac:dyDescent="0.3">
      <c r="A165" s="1">
        <v>44069</v>
      </c>
      <c r="B165" s="4">
        <v>950.8</v>
      </c>
    </row>
    <row r="166" spans="1:2" x14ac:dyDescent="0.3">
      <c r="A166" s="1">
        <v>44070</v>
      </c>
      <c r="B166" s="4">
        <v>947.05</v>
      </c>
    </row>
    <row r="167" spans="1:2" x14ac:dyDescent="0.3">
      <c r="A167" s="1">
        <v>44071</v>
      </c>
      <c r="B167" s="4">
        <v>935.25</v>
      </c>
    </row>
    <row r="168" spans="1:2" x14ac:dyDescent="0.3">
      <c r="A168" s="1">
        <v>44074</v>
      </c>
      <c r="B168" s="4">
        <v>928.6</v>
      </c>
    </row>
    <row r="169" spans="1:2" x14ac:dyDescent="0.3">
      <c r="A169" s="1">
        <v>44075</v>
      </c>
      <c r="B169" s="4">
        <v>914.15</v>
      </c>
    </row>
    <row r="170" spans="1:2" x14ac:dyDescent="0.3">
      <c r="A170" s="1">
        <v>44076</v>
      </c>
      <c r="B170" s="4">
        <v>924</v>
      </c>
    </row>
    <row r="171" spans="1:2" x14ac:dyDescent="0.3">
      <c r="A171" s="1">
        <v>44077</v>
      </c>
      <c r="B171" s="4">
        <v>935.55</v>
      </c>
    </row>
    <row r="172" spans="1:2" x14ac:dyDescent="0.3">
      <c r="A172" s="1">
        <v>44078</v>
      </c>
      <c r="B172" s="4">
        <v>919.15</v>
      </c>
    </row>
    <row r="173" spans="1:2" x14ac:dyDescent="0.3">
      <c r="A173" s="1">
        <v>44081</v>
      </c>
      <c r="B173" s="4">
        <v>925.05</v>
      </c>
    </row>
    <row r="174" spans="1:2" x14ac:dyDescent="0.3">
      <c r="A174" s="1">
        <v>44082</v>
      </c>
      <c r="B174" s="4">
        <v>939.3</v>
      </c>
    </row>
    <row r="175" spans="1:2" x14ac:dyDescent="0.3">
      <c r="A175" s="1">
        <v>44083</v>
      </c>
      <c r="B175" s="4">
        <v>927.75</v>
      </c>
    </row>
    <row r="176" spans="1:2" x14ac:dyDescent="0.3">
      <c r="A176" s="1">
        <v>44084</v>
      </c>
      <c r="B176" s="4">
        <v>940.05</v>
      </c>
    </row>
    <row r="177" spans="1:2" x14ac:dyDescent="0.3">
      <c r="A177" s="1">
        <v>44085</v>
      </c>
      <c r="B177" s="4">
        <v>945.7</v>
      </c>
    </row>
    <row r="178" spans="1:2" x14ac:dyDescent="0.3">
      <c r="A178" s="1">
        <v>44088</v>
      </c>
      <c r="B178" s="4">
        <v>978.4</v>
      </c>
    </row>
    <row r="179" spans="1:2" x14ac:dyDescent="0.3">
      <c r="A179" s="1">
        <v>44089</v>
      </c>
      <c r="B179" s="4">
        <v>982.45</v>
      </c>
    </row>
    <row r="180" spans="1:2" x14ac:dyDescent="0.3">
      <c r="A180" s="1">
        <v>44090</v>
      </c>
      <c r="B180" s="4">
        <v>1001.75</v>
      </c>
    </row>
    <row r="181" spans="1:2" x14ac:dyDescent="0.3">
      <c r="A181" s="1">
        <v>44091</v>
      </c>
      <c r="B181" s="4">
        <v>1011</v>
      </c>
    </row>
    <row r="182" spans="1:2" x14ac:dyDescent="0.3">
      <c r="A182" s="1">
        <v>44092</v>
      </c>
      <c r="B182" s="4">
        <v>1002.15</v>
      </c>
    </row>
    <row r="183" spans="1:2" x14ac:dyDescent="0.3">
      <c r="A183" s="1">
        <v>44095</v>
      </c>
      <c r="B183" s="4">
        <v>1009.9</v>
      </c>
    </row>
    <row r="184" spans="1:2" x14ac:dyDescent="0.3">
      <c r="A184" s="1">
        <v>44096</v>
      </c>
      <c r="B184" s="4">
        <v>1007.5</v>
      </c>
    </row>
    <row r="185" spans="1:2" x14ac:dyDescent="0.3">
      <c r="A185" s="1">
        <v>44097</v>
      </c>
      <c r="B185" s="4">
        <v>1019.75</v>
      </c>
    </row>
    <row r="186" spans="1:2" x14ac:dyDescent="0.3">
      <c r="A186" s="1">
        <v>44098</v>
      </c>
      <c r="B186" s="4">
        <v>975.4</v>
      </c>
    </row>
    <row r="187" spans="1:2" x14ac:dyDescent="0.3">
      <c r="A187" s="1">
        <v>44099</v>
      </c>
      <c r="B187" s="4">
        <v>1011.45</v>
      </c>
    </row>
    <row r="188" spans="1:2" x14ac:dyDescent="0.3">
      <c r="A188" s="1">
        <v>44102</v>
      </c>
      <c r="B188" s="4">
        <v>1010.4</v>
      </c>
    </row>
    <row r="189" spans="1:2" x14ac:dyDescent="0.3">
      <c r="A189" s="1">
        <v>44103</v>
      </c>
      <c r="B189" s="4">
        <v>1009</v>
      </c>
    </row>
    <row r="190" spans="1:2" x14ac:dyDescent="0.3">
      <c r="A190" s="1">
        <v>44104</v>
      </c>
      <c r="B190" s="4">
        <v>1008.25</v>
      </c>
    </row>
    <row r="191" spans="1:2" x14ac:dyDescent="0.3">
      <c r="A191" s="1">
        <v>44105</v>
      </c>
      <c r="B191" s="4">
        <v>1017.65</v>
      </c>
    </row>
    <row r="192" spans="1:2" x14ac:dyDescent="0.3">
      <c r="A192" s="1">
        <v>44109</v>
      </c>
      <c r="B192" s="4">
        <v>1048.7</v>
      </c>
    </row>
    <row r="193" spans="1:2" x14ac:dyDescent="0.3">
      <c r="A193" s="1">
        <v>44110</v>
      </c>
      <c r="B193" s="4">
        <v>1055.75</v>
      </c>
    </row>
    <row r="194" spans="1:2" x14ac:dyDescent="0.3">
      <c r="A194" s="1">
        <v>44111</v>
      </c>
      <c r="B194" s="4">
        <v>1066.55</v>
      </c>
    </row>
    <row r="195" spans="1:2" x14ac:dyDescent="0.3">
      <c r="A195" s="1">
        <v>44112</v>
      </c>
      <c r="B195" s="4">
        <v>1093.7</v>
      </c>
    </row>
    <row r="196" spans="1:2" x14ac:dyDescent="0.3">
      <c r="A196" s="1">
        <v>44113</v>
      </c>
      <c r="B196" s="4">
        <v>1106.8</v>
      </c>
    </row>
    <row r="197" spans="1:2" x14ac:dyDescent="0.3">
      <c r="A197" s="1">
        <v>44116</v>
      </c>
      <c r="B197" s="4">
        <v>1132.0999999999999</v>
      </c>
    </row>
    <row r="198" spans="1:2" x14ac:dyDescent="0.3">
      <c r="A198" s="1">
        <v>44117</v>
      </c>
      <c r="B198" s="4">
        <v>1157.8</v>
      </c>
    </row>
    <row r="199" spans="1:2" x14ac:dyDescent="0.3">
      <c r="A199" s="1">
        <v>44118</v>
      </c>
      <c r="B199" s="4">
        <v>1137</v>
      </c>
    </row>
    <row r="200" spans="1:2" x14ac:dyDescent="0.3">
      <c r="A200" s="1">
        <v>44119</v>
      </c>
      <c r="B200" s="4">
        <v>1108.25</v>
      </c>
    </row>
    <row r="201" spans="1:2" x14ac:dyDescent="0.3">
      <c r="A201" s="1">
        <v>44120</v>
      </c>
      <c r="B201" s="4">
        <v>1127.5</v>
      </c>
    </row>
    <row r="202" spans="1:2" x14ac:dyDescent="0.3">
      <c r="A202" s="1">
        <v>44123</v>
      </c>
      <c r="B202" s="4">
        <v>1125.9000000000001</v>
      </c>
    </row>
    <row r="203" spans="1:2" x14ac:dyDescent="0.3">
      <c r="A203" s="1">
        <v>44124</v>
      </c>
      <c r="B203" s="4">
        <v>1137.5</v>
      </c>
    </row>
    <row r="204" spans="1:2" x14ac:dyDescent="0.3">
      <c r="A204" s="1">
        <v>44125</v>
      </c>
      <c r="B204" s="4">
        <v>1148.3499999999999</v>
      </c>
    </row>
    <row r="205" spans="1:2" x14ac:dyDescent="0.3">
      <c r="A205" s="1">
        <v>44126</v>
      </c>
      <c r="B205" s="4">
        <v>1129.05</v>
      </c>
    </row>
    <row r="206" spans="1:2" x14ac:dyDescent="0.3">
      <c r="A206" s="1">
        <v>44127</v>
      </c>
      <c r="B206" s="4">
        <v>1122.5</v>
      </c>
    </row>
    <row r="207" spans="1:2" x14ac:dyDescent="0.3">
      <c r="A207" s="1">
        <v>44130</v>
      </c>
      <c r="B207" s="4">
        <v>1112.45</v>
      </c>
    </row>
    <row r="208" spans="1:2" x14ac:dyDescent="0.3">
      <c r="A208" s="1">
        <v>44131</v>
      </c>
      <c r="B208" s="4">
        <v>1090.8499999999999</v>
      </c>
    </row>
    <row r="209" spans="1:2" x14ac:dyDescent="0.3">
      <c r="A209" s="1">
        <v>44132</v>
      </c>
      <c r="B209" s="4">
        <v>1076.55</v>
      </c>
    </row>
    <row r="210" spans="1:2" x14ac:dyDescent="0.3">
      <c r="A210" s="1">
        <v>44133</v>
      </c>
      <c r="B210" s="4">
        <v>1074.8499999999999</v>
      </c>
    </row>
    <row r="211" spans="1:2" x14ac:dyDescent="0.3">
      <c r="A211" s="1">
        <v>44134</v>
      </c>
      <c r="B211" s="4">
        <v>1060.5999999999999</v>
      </c>
    </row>
    <row r="212" spans="1:2" x14ac:dyDescent="0.3">
      <c r="A212" s="1">
        <v>44137</v>
      </c>
      <c r="B212" s="4">
        <v>1072.3</v>
      </c>
    </row>
    <row r="213" spans="1:2" x14ac:dyDescent="0.3">
      <c r="A213" s="1">
        <v>44138</v>
      </c>
      <c r="B213" s="4">
        <v>1062.55</v>
      </c>
    </row>
    <row r="214" spans="1:2" x14ac:dyDescent="0.3">
      <c r="A214" s="1">
        <v>44139</v>
      </c>
      <c r="B214" s="4">
        <v>1093.95</v>
      </c>
    </row>
    <row r="215" spans="1:2" x14ac:dyDescent="0.3">
      <c r="A215" s="1">
        <v>44140</v>
      </c>
      <c r="B215" s="4">
        <v>1104</v>
      </c>
    </row>
    <row r="216" spans="1:2" x14ac:dyDescent="0.3">
      <c r="A216" s="1">
        <v>44141</v>
      </c>
      <c r="B216" s="4">
        <v>1112.75</v>
      </c>
    </row>
    <row r="217" spans="1:2" x14ac:dyDescent="0.3">
      <c r="A217" s="1">
        <v>44144</v>
      </c>
      <c r="B217" s="4">
        <v>1136.55</v>
      </c>
    </row>
    <row r="218" spans="1:2" x14ac:dyDescent="0.3">
      <c r="A218" s="1">
        <v>44145</v>
      </c>
      <c r="B218" s="4">
        <v>1091.05</v>
      </c>
    </row>
    <row r="219" spans="1:2" x14ac:dyDescent="0.3">
      <c r="A219" s="1">
        <v>44146</v>
      </c>
      <c r="B219" s="4">
        <v>1122.5</v>
      </c>
    </row>
    <row r="220" spans="1:2" x14ac:dyDescent="0.3">
      <c r="A220" s="1">
        <v>44147</v>
      </c>
      <c r="B220" s="4">
        <v>1117.75</v>
      </c>
    </row>
    <row r="221" spans="1:2" x14ac:dyDescent="0.3">
      <c r="A221" s="1">
        <v>44148</v>
      </c>
      <c r="B221" s="4">
        <v>1124.2</v>
      </c>
    </row>
    <row r="222" spans="1:2" x14ac:dyDescent="0.3">
      <c r="A222" s="1">
        <v>44152</v>
      </c>
      <c r="B222" s="4">
        <v>1123.7</v>
      </c>
    </row>
    <row r="223" spans="1:2" x14ac:dyDescent="0.3">
      <c r="A223" s="1">
        <v>44153</v>
      </c>
      <c r="B223" s="4">
        <v>1110.55</v>
      </c>
    </row>
    <row r="224" spans="1:2" x14ac:dyDescent="0.3">
      <c r="A224" s="1">
        <v>44154</v>
      </c>
      <c r="B224" s="4">
        <v>1096.75</v>
      </c>
    </row>
    <row r="225" spans="1:2" x14ac:dyDescent="0.3">
      <c r="A225" s="1">
        <v>44155</v>
      </c>
      <c r="B225" s="4">
        <v>1103.3499999999999</v>
      </c>
    </row>
    <row r="226" spans="1:2" x14ac:dyDescent="0.3">
      <c r="A226" s="1">
        <v>44158</v>
      </c>
      <c r="B226" s="4">
        <v>1139.8499999999999</v>
      </c>
    </row>
    <row r="227" spans="1:2" x14ac:dyDescent="0.3">
      <c r="A227" s="1">
        <v>44159</v>
      </c>
      <c r="B227" s="4">
        <v>1140.05</v>
      </c>
    </row>
    <row r="228" spans="1:2" x14ac:dyDescent="0.3">
      <c r="A228" s="1">
        <v>44160</v>
      </c>
      <c r="B228" s="4">
        <v>1115.6500000000001</v>
      </c>
    </row>
    <row r="229" spans="1:2" x14ac:dyDescent="0.3">
      <c r="A229" s="1">
        <v>44161</v>
      </c>
      <c r="B229" s="4">
        <v>1113.2</v>
      </c>
    </row>
    <row r="230" spans="1:2" x14ac:dyDescent="0.3">
      <c r="A230" s="1">
        <v>44162</v>
      </c>
      <c r="B230" s="4">
        <v>1100</v>
      </c>
    </row>
    <row r="231" spans="1:2" x14ac:dyDescent="0.3">
      <c r="A231" s="1">
        <v>44166</v>
      </c>
      <c r="B231" s="4">
        <v>1137.8499999999999</v>
      </c>
    </row>
    <row r="232" spans="1:2" x14ac:dyDescent="0.3">
      <c r="A232" s="1">
        <v>44167</v>
      </c>
      <c r="B232" s="4">
        <v>1140.9000000000001</v>
      </c>
    </row>
    <row r="233" spans="1:2" x14ac:dyDescent="0.3">
      <c r="A233" s="1">
        <v>44168</v>
      </c>
      <c r="B233" s="4">
        <v>1126.45</v>
      </c>
    </row>
    <row r="234" spans="1:2" x14ac:dyDescent="0.3">
      <c r="A234" s="1">
        <v>44169</v>
      </c>
      <c r="B234" s="4">
        <v>1134.6500000000001</v>
      </c>
    </row>
    <row r="235" spans="1:2" x14ac:dyDescent="0.3">
      <c r="A235" s="1">
        <v>44172</v>
      </c>
      <c r="B235" s="4">
        <v>1143.5</v>
      </c>
    </row>
    <row r="236" spans="1:2" x14ac:dyDescent="0.3">
      <c r="A236" s="1">
        <v>44173</v>
      </c>
      <c r="B236" s="4">
        <v>1153.3499999999999</v>
      </c>
    </row>
    <row r="237" spans="1:2" x14ac:dyDescent="0.3">
      <c r="A237" s="1">
        <v>44174</v>
      </c>
      <c r="B237" s="4">
        <v>1175.2</v>
      </c>
    </row>
    <row r="238" spans="1:2" x14ac:dyDescent="0.3">
      <c r="A238" s="1">
        <v>44175</v>
      </c>
      <c r="B238" s="4">
        <v>1167.75</v>
      </c>
    </row>
    <row r="239" spans="1:2" x14ac:dyDescent="0.3">
      <c r="A239" s="1">
        <v>44176</v>
      </c>
      <c r="B239" s="4">
        <v>1163.2</v>
      </c>
    </row>
    <row r="240" spans="1:2" x14ac:dyDescent="0.3">
      <c r="A240" s="1">
        <v>44179</v>
      </c>
      <c r="B240" s="4">
        <v>1164.55</v>
      </c>
    </row>
    <row r="241" spans="1:2" x14ac:dyDescent="0.3">
      <c r="A241" s="1">
        <v>44180</v>
      </c>
      <c r="B241" s="4">
        <v>1154.5999999999999</v>
      </c>
    </row>
    <row r="242" spans="1:2" x14ac:dyDescent="0.3">
      <c r="A242" s="1">
        <v>44181</v>
      </c>
      <c r="B242" s="4">
        <v>1165.7</v>
      </c>
    </row>
    <row r="243" spans="1:2" x14ac:dyDescent="0.3">
      <c r="A243" s="1">
        <v>44182</v>
      </c>
      <c r="B243" s="4">
        <v>1159.2</v>
      </c>
    </row>
    <row r="244" spans="1:2" x14ac:dyDescent="0.3">
      <c r="A244" s="1">
        <v>44183</v>
      </c>
      <c r="B244" s="4">
        <v>1189.8</v>
      </c>
    </row>
    <row r="245" spans="1:2" x14ac:dyDescent="0.3">
      <c r="A245" s="1">
        <v>44186</v>
      </c>
      <c r="B245" s="4">
        <v>1177.3</v>
      </c>
    </row>
    <row r="246" spans="1:2" x14ac:dyDescent="0.3">
      <c r="A246" s="1">
        <v>44187</v>
      </c>
      <c r="B246" s="4">
        <v>1220.5</v>
      </c>
    </row>
    <row r="247" spans="1:2" x14ac:dyDescent="0.3">
      <c r="A247" s="1">
        <v>44188</v>
      </c>
      <c r="B247" s="4">
        <v>1253.05</v>
      </c>
    </row>
    <row r="248" spans="1:2" x14ac:dyDescent="0.3">
      <c r="A248" s="1">
        <v>44189</v>
      </c>
      <c r="B248" s="4">
        <v>1236.05</v>
      </c>
    </row>
    <row r="249" spans="1:2" x14ac:dyDescent="0.3">
      <c r="A249" s="1">
        <v>44193</v>
      </c>
      <c r="B249" s="4">
        <v>1240.3</v>
      </c>
    </row>
    <row r="250" spans="1:2" x14ac:dyDescent="0.3">
      <c r="A250" s="1">
        <v>44194</v>
      </c>
      <c r="B250" s="4">
        <v>1250.3</v>
      </c>
    </row>
    <row r="251" spans="1:2" x14ac:dyDescent="0.3">
      <c r="A251" s="1">
        <v>44195</v>
      </c>
      <c r="B251" s="4">
        <v>1246.8</v>
      </c>
    </row>
    <row r="252" spans="1:2" x14ac:dyDescent="0.3">
      <c r="A252" s="1">
        <v>44196</v>
      </c>
      <c r="B252" s="4">
        <v>1255.8</v>
      </c>
    </row>
    <row r="253" spans="1:2" x14ac:dyDescent="0.3">
      <c r="A253" s="1">
        <v>44197</v>
      </c>
      <c r="B253" s="4">
        <v>1260.45</v>
      </c>
    </row>
    <row r="254" spans="1:2" x14ac:dyDescent="0.3">
      <c r="A254" s="1">
        <v>44200</v>
      </c>
      <c r="B254" s="4">
        <v>1288.25</v>
      </c>
    </row>
    <row r="255" spans="1:2" x14ac:dyDescent="0.3">
      <c r="A255" s="1">
        <v>44201</v>
      </c>
      <c r="B255" s="4">
        <v>1293.8</v>
      </c>
    </row>
    <row r="256" spans="1:2" x14ac:dyDescent="0.3">
      <c r="A256" s="1">
        <v>44202</v>
      </c>
      <c r="B256" s="4">
        <v>1282.0999999999999</v>
      </c>
    </row>
    <row r="257" spans="1:2" x14ac:dyDescent="0.3">
      <c r="A257" s="1">
        <v>44203</v>
      </c>
      <c r="B257" s="4">
        <v>1262.1500000000001</v>
      </c>
    </row>
    <row r="258" spans="1:2" x14ac:dyDescent="0.3">
      <c r="A258" s="1">
        <v>44204</v>
      </c>
      <c r="B258" s="4">
        <v>1312.1</v>
      </c>
    </row>
    <row r="259" spans="1:2" x14ac:dyDescent="0.3">
      <c r="A259" s="1">
        <v>44207</v>
      </c>
      <c r="B259" s="4">
        <v>1376.2</v>
      </c>
    </row>
    <row r="260" spans="1:2" x14ac:dyDescent="0.3">
      <c r="A260" s="1">
        <v>44208</v>
      </c>
      <c r="B260" s="4">
        <v>1371.75</v>
      </c>
    </row>
    <row r="261" spans="1:2" x14ac:dyDescent="0.3">
      <c r="A261" s="1">
        <v>44209</v>
      </c>
      <c r="B261" s="4">
        <v>1387.15</v>
      </c>
    </row>
    <row r="262" spans="1:2" x14ac:dyDescent="0.3">
      <c r="A262" s="1">
        <v>44210</v>
      </c>
      <c r="B262" s="4">
        <v>1370.5</v>
      </c>
    </row>
    <row r="263" spans="1:2" x14ac:dyDescent="0.3">
      <c r="A263" s="1">
        <v>44211</v>
      </c>
      <c r="B263" s="4">
        <v>1344.95</v>
      </c>
    </row>
    <row r="264" spans="1:2" x14ac:dyDescent="0.3">
      <c r="A264" s="1">
        <v>44214</v>
      </c>
      <c r="B264" s="4">
        <v>1312.05</v>
      </c>
    </row>
    <row r="265" spans="1:2" x14ac:dyDescent="0.3">
      <c r="A265" s="1">
        <v>44215</v>
      </c>
      <c r="B265" s="4">
        <v>1316.65</v>
      </c>
    </row>
    <row r="266" spans="1:2" x14ac:dyDescent="0.3">
      <c r="A266" s="1">
        <v>44216</v>
      </c>
      <c r="B266" s="4">
        <v>1339.45</v>
      </c>
    </row>
    <row r="267" spans="1:2" x14ac:dyDescent="0.3">
      <c r="A267" s="1">
        <v>44217</v>
      </c>
      <c r="B267" s="4">
        <v>1339.7</v>
      </c>
    </row>
    <row r="268" spans="1:2" x14ac:dyDescent="0.3">
      <c r="A268" s="1">
        <v>44218</v>
      </c>
      <c r="B268" s="4">
        <v>1340.85</v>
      </c>
    </row>
    <row r="269" spans="1:2" x14ac:dyDescent="0.3">
      <c r="A269" s="1">
        <v>44221</v>
      </c>
      <c r="B269" s="4">
        <v>1325.1</v>
      </c>
    </row>
    <row r="270" spans="1:2" x14ac:dyDescent="0.3">
      <c r="A270" s="1">
        <v>44223</v>
      </c>
      <c r="B270" s="4">
        <v>1301</v>
      </c>
    </row>
    <row r="271" spans="1:2" x14ac:dyDescent="0.3">
      <c r="A271" s="1">
        <v>44224</v>
      </c>
      <c r="B271" s="4">
        <v>1276.2</v>
      </c>
    </row>
    <row r="272" spans="1:2" x14ac:dyDescent="0.3">
      <c r="A272" s="1">
        <v>44225</v>
      </c>
      <c r="B272" s="4">
        <v>1239.05</v>
      </c>
    </row>
    <row r="273" spans="1:2" x14ac:dyDescent="0.3">
      <c r="A273" s="1">
        <v>44228</v>
      </c>
      <c r="B273" s="4">
        <v>1260.9000000000001</v>
      </c>
    </row>
    <row r="274" spans="1:2" x14ac:dyDescent="0.3">
      <c r="A274" s="1">
        <v>44229</v>
      </c>
      <c r="B274" s="4">
        <v>1271.25</v>
      </c>
    </row>
    <row r="275" spans="1:2" x14ac:dyDescent="0.3">
      <c r="A275" s="1">
        <v>44230</v>
      </c>
      <c r="B275" s="4">
        <v>1284.6500000000001</v>
      </c>
    </row>
    <row r="276" spans="1:2" x14ac:dyDescent="0.3">
      <c r="A276" s="1">
        <v>44231</v>
      </c>
      <c r="B276" s="4">
        <v>1279.3499999999999</v>
      </c>
    </row>
    <row r="277" spans="1:2" x14ac:dyDescent="0.3">
      <c r="A277" s="1">
        <v>44232</v>
      </c>
      <c r="B277" s="4">
        <v>1272.0999999999999</v>
      </c>
    </row>
    <row r="278" spans="1:2" x14ac:dyDescent="0.3">
      <c r="A278" s="1">
        <v>44235</v>
      </c>
      <c r="B278" s="4">
        <v>1303.55</v>
      </c>
    </row>
    <row r="279" spans="1:2" x14ac:dyDescent="0.3">
      <c r="A279" s="1">
        <v>44236</v>
      </c>
      <c r="B279" s="4">
        <v>1305.55</v>
      </c>
    </row>
    <row r="280" spans="1:2" x14ac:dyDescent="0.3">
      <c r="A280" s="1">
        <v>44237</v>
      </c>
      <c r="B280" s="4">
        <v>1296.5</v>
      </c>
    </row>
    <row r="281" spans="1:2" x14ac:dyDescent="0.3">
      <c r="A281" s="1">
        <v>44238</v>
      </c>
      <c r="B281" s="4">
        <v>1292.6500000000001</v>
      </c>
    </row>
    <row r="282" spans="1:2" x14ac:dyDescent="0.3">
      <c r="A282" s="1">
        <v>44239</v>
      </c>
      <c r="B282" s="4">
        <v>1309.8</v>
      </c>
    </row>
    <row r="283" spans="1:2" x14ac:dyDescent="0.3">
      <c r="A283" s="1">
        <v>44242</v>
      </c>
      <c r="B283" s="4">
        <v>1309.6500000000001</v>
      </c>
    </row>
    <row r="284" spans="1:2" x14ac:dyDescent="0.3">
      <c r="A284" s="1">
        <v>44243</v>
      </c>
      <c r="B284" s="4">
        <v>1290.4000000000001</v>
      </c>
    </row>
    <row r="285" spans="1:2" x14ac:dyDescent="0.3">
      <c r="A285" s="1">
        <v>44244</v>
      </c>
      <c r="B285" s="4">
        <v>1281.3</v>
      </c>
    </row>
    <row r="286" spans="1:2" x14ac:dyDescent="0.3">
      <c r="A286" s="1">
        <v>44245</v>
      </c>
      <c r="B286" s="4">
        <v>1292.45</v>
      </c>
    </row>
    <row r="287" spans="1:2" x14ac:dyDescent="0.3">
      <c r="A287" s="1">
        <v>44246</v>
      </c>
      <c r="B287" s="4">
        <v>1291.3</v>
      </c>
    </row>
    <row r="288" spans="1:2" x14ac:dyDescent="0.3">
      <c r="A288" s="1">
        <v>44249</v>
      </c>
      <c r="B288" s="4">
        <v>1265.2</v>
      </c>
    </row>
    <row r="289" spans="1:2" x14ac:dyDescent="0.3">
      <c r="A289" s="1">
        <v>44250</v>
      </c>
      <c r="B289" s="4">
        <v>1266.3499999999999</v>
      </c>
    </row>
    <row r="290" spans="1:2" x14ac:dyDescent="0.3">
      <c r="A290" s="1">
        <v>44251</v>
      </c>
      <c r="B290" s="4">
        <v>1274.3</v>
      </c>
    </row>
    <row r="291" spans="1:2" x14ac:dyDescent="0.3">
      <c r="A291" s="1">
        <v>44252</v>
      </c>
      <c r="B291" s="4">
        <v>1274.55</v>
      </c>
    </row>
    <row r="292" spans="1:2" x14ac:dyDescent="0.3">
      <c r="A292" s="1">
        <v>44253</v>
      </c>
      <c r="B292" s="4">
        <v>1253.3</v>
      </c>
    </row>
    <row r="293" spans="1:2" x14ac:dyDescent="0.3">
      <c r="A293" s="1">
        <v>44256</v>
      </c>
      <c r="B293" s="4">
        <v>1267</v>
      </c>
    </row>
    <row r="294" spans="1:2" x14ac:dyDescent="0.3">
      <c r="A294" s="1">
        <v>44257</v>
      </c>
      <c r="B294" s="4">
        <v>1304.5</v>
      </c>
    </row>
    <row r="295" spans="1:2" x14ac:dyDescent="0.3">
      <c r="A295" s="1">
        <v>44258</v>
      </c>
      <c r="B295" s="4">
        <v>1343.55</v>
      </c>
    </row>
    <row r="296" spans="1:2" x14ac:dyDescent="0.3">
      <c r="A296" s="1">
        <v>44259</v>
      </c>
      <c r="B296" s="4">
        <v>1330.35</v>
      </c>
    </row>
    <row r="297" spans="1:2" x14ac:dyDescent="0.3">
      <c r="A297" s="1">
        <v>44260</v>
      </c>
      <c r="B297" s="4">
        <v>1316.7</v>
      </c>
    </row>
    <row r="298" spans="1:2" x14ac:dyDescent="0.3">
      <c r="A298" s="1">
        <v>44263</v>
      </c>
      <c r="B298" s="4">
        <v>1335.75</v>
      </c>
    </row>
    <row r="299" spans="1:2" x14ac:dyDescent="0.3">
      <c r="A299" s="1">
        <v>44264</v>
      </c>
      <c r="B299" s="4">
        <v>1345.55</v>
      </c>
    </row>
    <row r="300" spans="1:2" x14ac:dyDescent="0.3">
      <c r="A300" s="1">
        <v>44265</v>
      </c>
      <c r="B300" s="4">
        <v>1368.15</v>
      </c>
    </row>
    <row r="301" spans="1:2" x14ac:dyDescent="0.3">
      <c r="A301" s="1">
        <v>44267</v>
      </c>
      <c r="B301" s="4">
        <v>1374.85</v>
      </c>
    </row>
    <row r="302" spans="1:2" x14ac:dyDescent="0.3">
      <c r="A302" s="1">
        <v>44270</v>
      </c>
      <c r="B302" s="4">
        <v>1373.6</v>
      </c>
    </row>
    <row r="303" spans="1:2" x14ac:dyDescent="0.3">
      <c r="A303" s="1">
        <v>44271</v>
      </c>
      <c r="B303" s="4">
        <v>1384</v>
      </c>
    </row>
    <row r="304" spans="1:2" x14ac:dyDescent="0.3">
      <c r="A304" s="1">
        <v>44272</v>
      </c>
      <c r="B304" s="4">
        <v>1387</v>
      </c>
    </row>
    <row r="305" spans="1:2" x14ac:dyDescent="0.3">
      <c r="A305" s="1">
        <v>44273</v>
      </c>
      <c r="B305" s="4">
        <v>1337.1</v>
      </c>
    </row>
    <row r="306" spans="1:2" x14ac:dyDescent="0.3">
      <c r="A306" s="1">
        <v>44274</v>
      </c>
      <c r="B306" s="4">
        <v>1344.45</v>
      </c>
    </row>
    <row r="307" spans="1:2" x14ac:dyDescent="0.3">
      <c r="A307" s="1">
        <v>44277</v>
      </c>
      <c r="B307" s="4">
        <v>1370.8</v>
      </c>
    </row>
    <row r="308" spans="1:2" x14ac:dyDescent="0.3">
      <c r="A308" s="1">
        <v>44278</v>
      </c>
      <c r="B308" s="4">
        <v>1371.55</v>
      </c>
    </row>
    <row r="309" spans="1:2" x14ac:dyDescent="0.3">
      <c r="A309" s="1">
        <v>44279</v>
      </c>
      <c r="B309" s="4">
        <v>1353.75</v>
      </c>
    </row>
    <row r="310" spans="1:2" x14ac:dyDescent="0.3">
      <c r="A310" s="1">
        <v>44280</v>
      </c>
      <c r="B310" s="4">
        <v>1333.8</v>
      </c>
    </row>
    <row r="311" spans="1:2" x14ac:dyDescent="0.3">
      <c r="A311" s="1">
        <v>44281</v>
      </c>
      <c r="B311" s="4">
        <v>1336.2</v>
      </c>
    </row>
    <row r="312" spans="1:2" x14ac:dyDescent="0.3">
      <c r="A312" s="1">
        <v>44285</v>
      </c>
      <c r="B312" s="4">
        <v>1385.3</v>
      </c>
    </row>
    <row r="313" spans="1:2" x14ac:dyDescent="0.3">
      <c r="A313" s="1">
        <v>44286</v>
      </c>
      <c r="B313" s="4">
        <v>1368.05</v>
      </c>
    </row>
    <row r="314" spans="1:2" x14ac:dyDescent="0.3">
      <c r="A314" s="1">
        <v>44287</v>
      </c>
      <c r="B314" s="4">
        <v>1385.2</v>
      </c>
    </row>
    <row r="315" spans="1:2" x14ac:dyDescent="0.3">
      <c r="A315" s="1">
        <v>44291</v>
      </c>
      <c r="B315" s="4">
        <v>1409.9</v>
      </c>
    </row>
    <row r="316" spans="1:2" x14ac:dyDescent="0.3">
      <c r="A316" s="1">
        <v>44292</v>
      </c>
      <c r="B316" s="4">
        <v>1411.05</v>
      </c>
    </row>
    <row r="317" spans="1:2" x14ac:dyDescent="0.3">
      <c r="A317" s="1">
        <v>44293</v>
      </c>
      <c r="B317" s="4">
        <v>1430.2</v>
      </c>
    </row>
    <row r="318" spans="1:2" x14ac:dyDescent="0.3">
      <c r="A318" s="1">
        <v>44294</v>
      </c>
      <c r="B318" s="4">
        <v>1439.85</v>
      </c>
    </row>
    <row r="319" spans="1:2" x14ac:dyDescent="0.3">
      <c r="A319" s="1">
        <v>44295</v>
      </c>
      <c r="B319" s="4">
        <v>1441.05</v>
      </c>
    </row>
    <row r="320" spans="1:2" x14ac:dyDescent="0.3">
      <c r="A320" s="1">
        <v>44298</v>
      </c>
      <c r="B320" s="4">
        <v>1425.75</v>
      </c>
    </row>
    <row r="321" spans="1:2" x14ac:dyDescent="0.3">
      <c r="A321" s="1">
        <v>44299</v>
      </c>
      <c r="B321" s="4">
        <v>1397.15</v>
      </c>
    </row>
    <row r="322" spans="1:2" x14ac:dyDescent="0.3">
      <c r="A322" s="1">
        <v>44301</v>
      </c>
      <c r="B322" s="4">
        <v>1360.75</v>
      </c>
    </row>
    <row r="323" spans="1:2" x14ac:dyDescent="0.3">
      <c r="A323" s="1">
        <v>44302</v>
      </c>
      <c r="B323" s="4">
        <v>1353.75</v>
      </c>
    </row>
    <row r="324" spans="1:2" x14ac:dyDescent="0.3">
      <c r="A324" s="1">
        <v>44305</v>
      </c>
      <c r="B324" s="4">
        <v>1362.55</v>
      </c>
    </row>
    <row r="325" spans="1:2" x14ac:dyDescent="0.3">
      <c r="A325" s="1">
        <v>44306</v>
      </c>
      <c r="B325" s="4">
        <v>1351.35</v>
      </c>
    </row>
    <row r="326" spans="1:2" x14ac:dyDescent="0.3">
      <c r="A326" s="1">
        <v>44308</v>
      </c>
      <c r="B326" s="4">
        <v>1351.1</v>
      </c>
    </row>
    <row r="327" spans="1:2" x14ac:dyDescent="0.3">
      <c r="A327" s="1">
        <v>44309</v>
      </c>
      <c r="B327" s="4">
        <v>1333.8</v>
      </c>
    </row>
    <row r="328" spans="1:2" x14ac:dyDescent="0.3">
      <c r="A328" s="1">
        <v>44312</v>
      </c>
      <c r="B328" s="4">
        <v>1343.55</v>
      </c>
    </row>
    <row r="329" spans="1:2" x14ac:dyDescent="0.3">
      <c r="A329" s="1">
        <v>44313</v>
      </c>
      <c r="B329" s="4">
        <v>1348.5</v>
      </c>
    </row>
    <row r="330" spans="1:2" x14ac:dyDescent="0.3">
      <c r="A330" s="1">
        <v>44314</v>
      </c>
      <c r="B330" s="4">
        <v>1356</v>
      </c>
    </row>
    <row r="331" spans="1:2" x14ac:dyDescent="0.3">
      <c r="A331" s="1">
        <v>44315</v>
      </c>
      <c r="B331" s="4">
        <v>1356.35</v>
      </c>
    </row>
    <row r="332" spans="1:2" x14ac:dyDescent="0.3">
      <c r="A332" s="1">
        <v>44316</v>
      </c>
      <c r="B332" s="4">
        <v>1354.35</v>
      </c>
    </row>
    <row r="333" spans="1:2" x14ac:dyDescent="0.3">
      <c r="A333" s="1">
        <v>44319</v>
      </c>
      <c r="B333" s="4">
        <v>1352.05</v>
      </c>
    </row>
    <row r="334" spans="1:2" x14ac:dyDescent="0.3">
      <c r="A334" s="1">
        <v>44320</v>
      </c>
      <c r="B334" s="4">
        <v>1329.4</v>
      </c>
    </row>
    <row r="335" spans="1:2" x14ac:dyDescent="0.3">
      <c r="A335" s="1">
        <v>44321</v>
      </c>
      <c r="B335" s="4">
        <v>1341.5</v>
      </c>
    </row>
    <row r="336" spans="1:2" x14ac:dyDescent="0.3">
      <c r="A336" s="1">
        <v>44322</v>
      </c>
      <c r="B336" s="4">
        <v>1361.6</v>
      </c>
    </row>
    <row r="337" spans="1:2" x14ac:dyDescent="0.3">
      <c r="A337" s="1">
        <v>44323</v>
      </c>
      <c r="B337" s="4">
        <v>1352.55</v>
      </c>
    </row>
    <row r="338" spans="1:2" x14ac:dyDescent="0.3">
      <c r="A338" s="1">
        <v>44326</v>
      </c>
      <c r="B338" s="4">
        <v>1339.55</v>
      </c>
    </row>
    <row r="339" spans="1:2" x14ac:dyDescent="0.3">
      <c r="A339" s="1">
        <v>44327</v>
      </c>
      <c r="B339" s="4">
        <v>1330.65</v>
      </c>
    </row>
    <row r="340" spans="1:2" x14ac:dyDescent="0.3">
      <c r="A340" s="1">
        <v>44328</v>
      </c>
      <c r="B340" s="4">
        <v>1327</v>
      </c>
    </row>
    <row r="341" spans="1:2" x14ac:dyDescent="0.3">
      <c r="A341" s="1">
        <v>44330</v>
      </c>
      <c r="B341" s="4">
        <v>1316.4</v>
      </c>
    </row>
    <row r="342" spans="1:2" x14ac:dyDescent="0.3">
      <c r="A342" s="1">
        <v>44333</v>
      </c>
      <c r="B342" s="4">
        <v>1329.4</v>
      </c>
    </row>
    <row r="343" spans="1:2" x14ac:dyDescent="0.3">
      <c r="A343" s="1">
        <v>44334</v>
      </c>
      <c r="B343" s="4">
        <v>1340</v>
      </c>
    </row>
    <row r="344" spans="1:2" x14ac:dyDescent="0.3">
      <c r="A344" s="1">
        <v>44335</v>
      </c>
      <c r="B344" s="4">
        <v>1337</v>
      </c>
    </row>
    <row r="345" spans="1:2" x14ac:dyDescent="0.3">
      <c r="A345" s="1">
        <v>44336</v>
      </c>
      <c r="B345" s="4">
        <v>1339.3</v>
      </c>
    </row>
    <row r="346" spans="1:2" x14ac:dyDescent="0.3">
      <c r="A346" s="1">
        <v>44337</v>
      </c>
      <c r="B346" s="4">
        <v>1354.5</v>
      </c>
    </row>
    <row r="347" spans="1:2" x14ac:dyDescent="0.3">
      <c r="A347" s="1">
        <v>44340</v>
      </c>
      <c r="B347" s="4">
        <v>1348.05</v>
      </c>
    </row>
    <row r="348" spans="1:2" x14ac:dyDescent="0.3">
      <c r="A348" s="1">
        <v>44341</v>
      </c>
      <c r="B348" s="4">
        <v>1361.6</v>
      </c>
    </row>
    <row r="349" spans="1:2" x14ac:dyDescent="0.3">
      <c r="A349" s="1">
        <v>44342</v>
      </c>
      <c r="B349" s="4">
        <v>1397.25</v>
      </c>
    </row>
    <row r="350" spans="1:2" x14ac:dyDescent="0.3">
      <c r="A350" s="1">
        <v>44343</v>
      </c>
      <c r="B350" s="4">
        <v>1402.25</v>
      </c>
    </row>
    <row r="351" spans="1:2" x14ac:dyDescent="0.3">
      <c r="A351" s="1">
        <v>44344</v>
      </c>
      <c r="B351" s="4">
        <v>1405.05</v>
      </c>
    </row>
    <row r="352" spans="1:2" x14ac:dyDescent="0.3">
      <c r="A352" s="1">
        <v>44347</v>
      </c>
      <c r="B352" s="4">
        <v>1393.75</v>
      </c>
    </row>
    <row r="353" spans="1:2" x14ac:dyDescent="0.3">
      <c r="A353" s="1">
        <v>44348</v>
      </c>
      <c r="B353" s="4">
        <v>1387.2</v>
      </c>
    </row>
    <row r="354" spans="1:2" x14ac:dyDescent="0.3">
      <c r="A354" s="1">
        <v>44349</v>
      </c>
      <c r="B354" s="4">
        <v>1378.65</v>
      </c>
    </row>
    <row r="355" spans="1:2" x14ac:dyDescent="0.3">
      <c r="A355" s="1">
        <v>44350</v>
      </c>
      <c r="B355" s="4">
        <v>1389.65</v>
      </c>
    </row>
    <row r="356" spans="1:2" x14ac:dyDescent="0.3">
      <c r="A356" s="1">
        <v>44351</v>
      </c>
      <c r="B356" s="4">
        <v>1385.65</v>
      </c>
    </row>
    <row r="357" spans="1:2" x14ac:dyDescent="0.3">
      <c r="A357" s="1">
        <v>44354</v>
      </c>
      <c r="B357" s="4">
        <v>1389.65</v>
      </c>
    </row>
    <row r="358" spans="1:2" x14ac:dyDescent="0.3">
      <c r="A358" s="1">
        <v>44355</v>
      </c>
      <c r="B358" s="4">
        <v>1412.95</v>
      </c>
    </row>
    <row r="359" spans="1:2" x14ac:dyDescent="0.3">
      <c r="A359" s="1">
        <v>44356</v>
      </c>
      <c r="B359" s="4">
        <v>1415.3</v>
      </c>
    </row>
    <row r="360" spans="1:2" x14ac:dyDescent="0.3">
      <c r="A360" s="1">
        <v>44357</v>
      </c>
      <c r="B360" s="4">
        <v>1424.3</v>
      </c>
    </row>
    <row r="361" spans="1:2" x14ac:dyDescent="0.3">
      <c r="A361" s="1">
        <v>44358</v>
      </c>
      <c r="B361" s="4">
        <v>1446.9</v>
      </c>
    </row>
    <row r="362" spans="1:2" x14ac:dyDescent="0.3">
      <c r="A362" s="1">
        <v>44361</v>
      </c>
      <c r="B362" s="4">
        <v>1461.8</v>
      </c>
    </row>
    <row r="363" spans="1:2" x14ac:dyDescent="0.3">
      <c r="A363" s="1">
        <v>44362</v>
      </c>
      <c r="B363" s="4">
        <v>1473.9</v>
      </c>
    </row>
    <row r="364" spans="1:2" x14ac:dyDescent="0.3">
      <c r="A364" s="1">
        <v>44363</v>
      </c>
      <c r="B364" s="4">
        <v>1480.6</v>
      </c>
    </row>
    <row r="365" spans="1:2" x14ac:dyDescent="0.3">
      <c r="A365" s="1">
        <v>44364</v>
      </c>
      <c r="B365" s="4">
        <v>1495.3</v>
      </c>
    </row>
    <row r="366" spans="1:2" x14ac:dyDescent="0.3">
      <c r="A366" s="1">
        <v>44365</v>
      </c>
      <c r="B366" s="4">
        <v>1503.3</v>
      </c>
    </row>
    <row r="367" spans="1:2" x14ac:dyDescent="0.3">
      <c r="A367" s="1">
        <v>44368</v>
      </c>
      <c r="B367" s="4">
        <v>1500.3</v>
      </c>
    </row>
    <row r="368" spans="1:2" x14ac:dyDescent="0.3">
      <c r="A368" s="1">
        <v>44369</v>
      </c>
      <c r="B368" s="4">
        <v>1511.85</v>
      </c>
    </row>
    <row r="369" spans="1:2" x14ac:dyDescent="0.3">
      <c r="A369" s="1">
        <v>44370</v>
      </c>
      <c r="B369" s="4">
        <v>1503.15</v>
      </c>
    </row>
    <row r="370" spans="1:2" x14ac:dyDescent="0.3">
      <c r="A370" s="1">
        <v>44371</v>
      </c>
      <c r="B370" s="4">
        <v>1559.2</v>
      </c>
    </row>
    <row r="371" spans="1:2" x14ac:dyDescent="0.3">
      <c r="A371" s="1">
        <v>44372</v>
      </c>
      <c r="B371" s="4">
        <v>1574.2</v>
      </c>
    </row>
    <row r="372" spans="1:2" x14ac:dyDescent="0.3">
      <c r="A372" s="1">
        <v>44375</v>
      </c>
      <c r="B372" s="4">
        <v>1571.8</v>
      </c>
    </row>
    <row r="373" spans="1:2" x14ac:dyDescent="0.3">
      <c r="A373" s="1">
        <v>44376</v>
      </c>
      <c r="B373" s="4">
        <v>1563.05</v>
      </c>
    </row>
    <row r="374" spans="1:2" x14ac:dyDescent="0.3">
      <c r="A374" s="1">
        <v>44377</v>
      </c>
      <c r="B374" s="4">
        <v>1580.8</v>
      </c>
    </row>
    <row r="375" spans="1:2" x14ac:dyDescent="0.3">
      <c r="A375" s="1">
        <v>44378</v>
      </c>
      <c r="B375" s="4">
        <v>1560.4</v>
      </c>
    </row>
    <row r="376" spans="1:2" x14ac:dyDescent="0.3">
      <c r="A376" s="1">
        <v>44379</v>
      </c>
      <c r="B376" s="4">
        <v>1567.8</v>
      </c>
    </row>
    <row r="377" spans="1:2" x14ac:dyDescent="0.3">
      <c r="A377" s="1">
        <v>44382</v>
      </c>
      <c r="B377" s="4">
        <v>1578.95</v>
      </c>
    </row>
    <row r="378" spans="1:2" x14ac:dyDescent="0.3">
      <c r="A378" s="1">
        <v>44383</v>
      </c>
      <c r="B378" s="4">
        <v>1562.2</v>
      </c>
    </row>
    <row r="379" spans="1:2" x14ac:dyDescent="0.3">
      <c r="A379" s="1">
        <v>44384</v>
      </c>
      <c r="B379" s="4">
        <v>1564.6</v>
      </c>
    </row>
    <row r="380" spans="1:2" x14ac:dyDescent="0.3">
      <c r="A380" s="1">
        <v>44385</v>
      </c>
      <c r="B380" s="4">
        <v>1560.75</v>
      </c>
    </row>
    <row r="381" spans="1:2" x14ac:dyDescent="0.3">
      <c r="A381" s="1">
        <v>44386</v>
      </c>
      <c r="B381" s="4">
        <v>1562.9</v>
      </c>
    </row>
    <row r="382" spans="1:2" x14ac:dyDescent="0.3">
      <c r="A382" s="1">
        <v>44389</v>
      </c>
      <c r="B382" s="4">
        <v>1547.85</v>
      </c>
    </row>
    <row r="383" spans="1:2" x14ac:dyDescent="0.3">
      <c r="A383" s="1">
        <v>44390</v>
      </c>
      <c r="B383" s="4">
        <v>1544.95</v>
      </c>
    </row>
    <row r="384" spans="1:2" x14ac:dyDescent="0.3">
      <c r="A384" s="1">
        <v>44391</v>
      </c>
      <c r="B384" s="4">
        <v>1576.9</v>
      </c>
    </row>
    <row r="385" spans="1:2" x14ac:dyDescent="0.3">
      <c r="A385" s="1">
        <v>44392</v>
      </c>
      <c r="B385" s="4">
        <v>1580.8</v>
      </c>
    </row>
    <row r="386" spans="1:2" x14ac:dyDescent="0.3">
      <c r="A386" s="1">
        <v>44393</v>
      </c>
      <c r="B386" s="4">
        <v>1555.45</v>
      </c>
    </row>
    <row r="387" spans="1:2" x14ac:dyDescent="0.3">
      <c r="A387" s="1">
        <v>44396</v>
      </c>
      <c r="B387" s="4">
        <v>1541.7</v>
      </c>
    </row>
    <row r="388" spans="1:2" x14ac:dyDescent="0.3">
      <c r="A388" s="1">
        <v>44397</v>
      </c>
      <c r="B388" s="4">
        <v>1550.05</v>
      </c>
    </row>
    <row r="389" spans="1:2" x14ac:dyDescent="0.3">
      <c r="A389" s="1">
        <v>44399</v>
      </c>
      <c r="B389" s="4">
        <v>1590.2</v>
      </c>
    </row>
    <row r="390" spans="1:2" x14ac:dyDescent="0.3">
      <c r="A390" s="1">
        <v>44400</v>
      </c>
      <c r="B390" s="4">
        <v>1590.45</v>
      </c>
    </row>
    <row r="391" spans="1:2" x14ac:dyDescent="0.3">
      <c r="A391" s="1">
        <v>44403</v>
      </c>
      <c r="B391" s="4">
        <v>1603.9</v>
      </c>
    </row>
    <row r="392" spans="1:2" x14ac:dyDescent="0.3">
      <c r="A392" s="1">
        <v>44404</v>
      </c>
      <c r="B392" s="4">
        <v>1602.55</v>
      </c>
    </row>
    <row r="393" spans="1:2" x14ac:dyDescent="0.3">
      <c r="A393" s="1">
        <v>44405</v>
      </c>
      <c r="B393" s="4">
        <v>1605.6</v>
      </c>
    </row>
    <row r="394" spans="1:2" x14ac:dyDescent="0.3">
      <c r="A394" s="1">
        <v>44406</v>
      </c>
      <c r="B394" s="4">
        <v>1617</v>
      </c>
    </row>
    <row r="395" spans="1:2" x14ac:dyDescent="0.3">
      <c r="A395" s="1">
        <v>44407</v>
      </c>
      <c r="B395" s="4">
        <v>1610.5</v>
      </c>
    </row>
    <row r="396" spans="1:2" x14ac:dyDescent="0.3">
      <c r="A396" s="1">
        <v>44410</v>
      </c>
      <c r="B396" s="4">
        <v>1631.55</v>
      </c>
    </row>
    <row r="397" spans="1:2" x14ac:dyDescent="0.3">
      <c r="A397" s="1">
        <v>44411</v>
      </c>
      <c r="B397" s="4">
        <v>1655.2</v>
      </c>
    </row>
    <row r="398" spans="1:2" x14ac:dyDescent="0.3">
      <c r="A398" s="1">
        <v>44412</v>
      </c>
      <c r="B398" s="4">
        <v>1649.25</v>
      </c>
    </row>
    <row r="399" spans="1:2" x14ac:dyDescent="0.3">
      <c r="A399" s="1">
        <v>44413</v>
      </c>
      <c r="B399" s="4">
        <v>1653.55</v>
      </c>
    </row>
    <row r="400" spans="1:2" x14ac:dyDescent="0.3">
      <c r="A400" s="1">
        <v>44414</v>
      </c>
      <c r="B400" s="4">
        <v>1650.2</v>
      </c>
    </row>
    <row r="401" spans="1:2" x14ac:dyDescent="0.3">
      <c r="A401" s="1">
        <v>44417</v>
      </c>
      <c r="B401" s="4">
        <v>1663.3</v>
      </c>
    </row>
    <row r="402" spans="1:2" x14ac:dyDescent="0.3">
      <c r="A402" s="1">
        <v>44418</v>
      </c>
      <c r="B402" s="4">
        <v>1677.25</v>
      </c>
    </row>
    <row r="403" spans="1:2" x14ac:dyDescent="0.3">
      <c r="A403" s="1">
        <v>44419</v>
      </c>
      <c r="B403" s="4">
        <v>1677.55</v>
      </c>
    </row>
    <row r="404" spans="1:2" x14ac:dyDescent="0.3">
      <c r="A404" s="1">
        <v>44420</v>
      </c>
      <c r="B404" s="4">
        <v>1689.6</v>
      </c>
    </row>
    <row r="405" spans="1:2" x14ac:dyDescent="0.3">
      <c r="A405" s="1">
        <v>44421</v>
      </c>
      <c r="B405" s="4">
        <v>1712.2</v>
      </c>
    </row>
    <row r="406" spans="1:2" x14ac:dyDescent="0.3">
      <c r="A406" s="1">
        <v>44424</v>
      </c>
      <c r="B406" s="4">
        <v>1704.4</v>
      </c>
    </row>
    <row r="407" spans="1:2" x14ac:dyDescent="0.3">
      <c r="A407" s="1">
        <v>44425</v>
      </c>
      <c r="B407" s="4">
        <v>1741.65</v>
      </c>
    </row>
    <row r="408" spans="1:2" x14ac:dyDescent="0.3">
      <c r="A408" s="1">
        <v>44426</v>
      </c>
      <c r="B408" s="4">
        <v>1733.45</v>
      </c>
    </row>
    <row r="409" spans="1:2" x14ac:dyDescent="0.3">
      <c r="A409" s="1">
        <v>44428</v>
      </c>
      <c r="B409" s="4">
        <v>1732.95</v>
      </c>
    </row>
    <row r="410" spans="1:2" x14ac:dyDescent="0.3">
      <c r="A410" s="1">
        <v>44431</v>
      </c>
      <c r="B410" s="4">
        <v>1738.75</v>
      </c>
    </row>
    <row r="411" spans="1:2" x14ac:dyDescent="0.3">
      <c r="A411" s="1">
        <v>44432</v>
      </c>
      <c r="B411" s="4">
        <v>1720.85</v>
      </c>
    </row>
    <row r="412" spans="1:2" x14ac:dyDescent="0.3">
      <c r="A412" s="1">
        <v>44433</v>
      </c>
      <c r="B412" s="4">
        <v>1735.55</v>
      </c>
    </row>
    <row r="413" spans="1:2" x14ac:dyDescent="0.3">
      <c r="A413" s="1">
        <v>44434</v>
      </c>
      <c r="B413" s="4">
        <v>1727.7</v>
      </c>
    </row>
    <row r="414" spans="1:2" x14ac:dyDescent="0.3">
      <c r="A414" s="1">
        <v>44435</v>
      </c>
      <c r="B414" s="4">
        <v>1708.8</v>
      </c>
    </row>
    <row r="415" spans="1:2" x14ac:dyDescent="0.3">
      <c r="A415" s="1">
        <v>44438</v>
      </c>
      <c r="B415" s="4">
        <v>1698.05</v>
      </c>
    </row>
    <row r="416" spans="1:2" x14ac:dyDescent="0.3">
      <c r="A416" s="1">
        <v>44439</v>
      </c>
      <c r="B416" s="4">
        <v>1706.45</v>
      </c>
    </row>
    <row r="417" spans="1:2" x14ac:dyDescent="0.3">
      <c r="A417" s="1">
        <v>44440</v>
      </c>
      <c r="B417" s="4">
        <v>1677.75</v>
      </c>
    </row>
    <row r="418" spans="1:2" x14ac:dyDescent="0.3">
      <c r="A418" s="1">
        <v>44441</v>
      </c>
      <c r="B418" s="4">
        <v>1689.1</v>
      </c>
    </row>
    <row r="419" spans="1:2" x14ac:dyDescent="0.3">
      <c r="A419" s="1">
        <v>44442</v>
      </c>
      <c r="B419" s="4">
        <v>1700.65</v>
      </c>
    </row>
    <row r="420" spans="1:2" x14ac:dyDescent="0.3">
      <c r="A420" s="1">
        <v>44445</v>
      </c>
      <c r="B420" s="4">
        <v>1730.4</v>
      </c>
    </row>
    <row r="421" spans="1:2" x14ac:dyDescent="0.3">
      <c r="A421" s="1">
        <v>44446</v>
      </c>
      <c r="B421" s="4">
        <v>1706.65</v>
      </c>
    </row>
    <row r="422" spans="1:2" x14ac:dyDescent="0.3">
      <c r="A422" s="1">
        <v>44447</v>
      </c>
      <c r="B422" s="4">
        <v>1693.25</v>
      </c>
    </row>
    <row r="423" spans="1:2" x14ac:dyDescent="0.3">
      <c r="A423" s="1">
        <v>44448</v>
      </c>
      <c r="B423" s="4">
        <v>1691.6</v>
      </c>
    </row>
    <row r="424" spans="1:2" x14ac:dyDescent="0.3">
      <c r="A424" s="1">
        <v>44452</v>
      </c>
      <c r="B424" s="4">
        <v>1691.9</v>
      </c>
    </row>
    <row r="425" spans="1:2" x14ac:dyDescent="0.3">
      <c r="A425" s="1">
        <v>44453</v>
      </c>
      <c r="B425" s="4">
        <v>1686.15</v>
      </c>
    </row>
    <row r="426" spans="1:2" x14ac:dyDescent="0.3">
      <c r="A426" s="1">
        <v>44454</v>
      </c>
      <c r="B426" s="4">
        <v>1711.45</v>
      </c>
    </row>
    <row r="427" spans="1:2" x14ac:dyDescent="0.3">
      <c r="A427" s="1">
        <v>44455</v>
      </c>
      <c r="B427" s="4">
        <v>1702.25</v>
      </c>
    </row>
    <row r="428" spans="1:2" x14ac:dyDescent="0.3">
      <c r="A428" s="1">
        <v>44456</v>
      </c>
      <c r="B428" s="4">
        <v>1691.3</v>
      </c>
    </row>
    <row r="429" spans="1:2" x14ac:dyDescent="0.3">
      <c r="A429" s="1">
        <v>44459</v>
      </c>
      <c r="B429" s="4">
        <v>1687.85</v>
      </c>
    </row>
    <row r="430" spans="1:2" x14ac:dyDescent="0.3">
      <c r="A430" s="1">
        <v>44460</v>
      </c>
      <c r="B430" s="4">
        <v>1718.45</v>
      </c>
    </row>
    <row r="431" spans="1:2" x14ac:dyDescent="0.3">
      <c r="A431" s="1">
        <v>44461</v>
      </c>
      <c r="B431" s="4">
        <v>1716.9</v>
      </c>
    </row>
    <row r="432" spans="1:2" x14ac:dyDescent="0.3">
      <c r="A432" s="1">
        <v>44462</v>
      </c>
      <c r="B432" s="4">
        <v>1742.55</v>
      </c>
    </row>
    <row r="433" spans="1:2" x14ac:dyDescent="0.3">
      <c r="A433" s="1">
        <v>44463</v>
      </c>
      <c r="B433" s="4">
        <v>1763.85</v>
      </c>
    </row>
    <row r="434" spans="1:2" x14ac:dyDescent="0.3">
      <c r="A434" s="1">
        <v>44466</v>
      </c>
      <c r="B434" s="4">
        <v>1721.15</v>
      </c>
    </row>
    <row r="435" spans="1:2" x14ac:dyDescent="0.3">
      <c r="A435" s="1">
        <v>44467</v>
      </c>
      <c r="B435" s="4">
        <v>1687.1</v>
      </c>
    </row>
    <row r="436" spans="1:2" x14ac:dyDescent="0.3">
      <c r="A436" s="1">
        <v>44468</v>
      </c>
      <c r="B436" s="4">
        <v>1692.25</v>
      </c>
    </row>
    <row r="437" spans="1:2" x14ac:dyDescent="0.3">
      <c r="A437" s="1">
        <v>44469</v>
      </c>
      <c r="B437" s="4">
        <v>1675.2</v>
      </c>
    </row>
    <row r="438" spans="1:2" x14ac:dyDescent="0.3">
      <c r="A438" s="1">
        <v>44470</v>
      </c>
      <c r="B438" s="4">
        <v>1665.15</v>
      </c>
    </row>
    <row r="439" spans="1:2" x14ac:dyDescent="0.3">
      <c r="A439" s="1">
        <v>44473</v>
      </c>
      <c r="B439" s="4">
        <v>1678.75</v>
      </c>
    </row>
    <row r="440" spans="1:2" x14ac:dyDescent="0.3">
      <c r="A440" s="1">
        <v>44474</v>
      </c>
      <c r="B440" s="4">
        <v>1692.8</v>
      </c>
    </row>
    <row r="441" spans="1:2" x14ac:dyDescent="0.3">
      <c r="A441" s="1">
        <v>44475</v>
      </c>
      <c r="B441" s="4">
        <v>1673.55</v>
      </c>
    </row>
    <row r="442" spans="1:2" x14ac:dyDescent="0.3">
      <c r="A442" s="1">
        <v>44476</v>
      </c>
      <c r="B442" s="4">
        <v>1691</v>
      </c>
    </row>
    <row r="443" spans="1:2" x14ac:dyDescent="0.3">
      <c r="A443" s="1">
        <v>44477</v>
      </c>
      <c r="B443" s="4">
        <v>1723.85</v>
      </c>
    </row>
    <row r="444" spans="1:2" x14ac:dyDescent="0.3">
      <c r="A444" s="1">
        <v>44480</v>
      </c>
      <c r="B444" s="4">
        <v>1690.95</v>
      </c>
    </row>
    <row r="445" spans="1:2" x14ac:dyDescent="0.3">
      <c r="A445" s="1">
        <v>44481</v>
      </c>
      <c r="B445" s="4">
        <v>1685.15</v>
      </c>
    </row>
    <row r="446" spans="1:2" x14ac:dyDescent="0.3">
      <c r="A446" s="1">
        <v>44482</v>
      </c>
      <c r="B446" s="4">
        <v>1709.2</v>
      </c>
    </row>
    <row r="447" spans="1:2" x14ac:dyDescent="0.3">
      <c r="A447" s="1">
        <v>44483</v>
      </c>
      <c r="B447" s="4">
        <v>1715.75</v>
      </c>
    </row>
    <row r="448" spans="1:2" x14ac:dyDescent="0.3">
      <c r="A448" s="1">
        <v>44487</v>
      </c>
      <c r="B448" s="4">
        <v>1792.15</v>
      </c>
    </row>
    <row r="449" spans="1:2" x14ac:dyDescent="0.3">
      <c r="A449" s="1">
        <v>44488</v>
      </c>
      <c r="B449" s="4">
        <v>1822.15</v>
      </c>
    </row>
    <row r="450" spans="1:2" x14ac:dyDescent="0.3">
      <c r="A450" s="1">
        <v>44489</v>
      </c>
      <c r="B450" s="4">
        <v>1802.35</v>
      </c>
    </row>
    <row r="451" spans="1:2" x14ac:dyDescent="0.3">
      <c r="A451" s="1">
        <v>44490</v>
      </c>
      <c r="B451" s="4">
        <v>1753.65</v>
      </c>
    </row>
    <row r="452" spans="1:2" x14ac:dyDescent="0.3">
      <c r="A452" s="1">
        <v>44491</v>
      </c>
      <c r="B452" s="4">
        <v>1719.8</v>
      </c>
    </row>
    <row r="453" spans="1:2" x14ac:dyDescent="0.3">
      <c r="A453" s="1">
        <v>44494</v>
      </c>
      <c r="B453" s="4">
        <v>1707.55</v>
      </c>
    </row>
    <row r="454" spans="1:2" x14ac:dyDescent="0.3">
      <c r="A454" s="1">
        <v>44495</v>
      </c>
      <c r="B454" s="4">
        <v>1703.7</v>
      </c>
    </row>
    <row r="455" spans="1:2" x14ac:dyDescent="0.3">
      <c r="A455" s="1">
        <v>44496</v>
      </c>
      <c r="B455" s="4">
        <v>1728.95</v>
      </c>
    </row>
    <row r="456" spans="1:2" x14ac:dyDescent="0.3">
      <c r="A456" s="1">
        <v>44497</v>
      </c>
      <c r="B456" s="4">
        <v>1703.9</v>
      </c>
    </row>
    <row r="457" spans="1:2" x14ac:dyDescent="0.3">
      <c r="A457" s="1">
        <v>44498</v>
      </c>
      <c r="B457" s="4">
        <v>1667.75</v>
      </c>
    </row>
    <row r="458" spans="1:2" x14ac:dyDescent="0.3">
      <c r="A458" s="1">
        <v>44501</v>
      </c>
      <c r="B458" s="4">
        <v>1700.05</v>
      </c>
    </row>
    <row r="459" spans="1:2" x14ac:dyDescent="0.3">
      <c r="A459" s="1">
        <v>44502</v>
      </c>
      <c r="B459" s="4">
        <v>1697.9</v>
      </c>
    </row>
    <row r="460" spans="1:2" x14ac:dyDescent="0.3">
      <c r="A460" s="1">
        <v>44503</v>
      </c>
      <c r="B460" s="4">
        <v>1702.5</v>
      </c>
    </row>
    <row r="461" spans="1:2" x14ac:dyDescent="0.3">
      <c r="A461" s="1">
        <v>44504</v>
      </c>
      <c r="B461" s="4">
        <v>1708.7</v>
      </c>
    </row>
    <row r="462" spans="1:2" x14ac:dyDescent="0.3">
      <c r="A462" s="1">
        <v>44508</v>
      </c>
      <c r="B462" s="4">
        <v>1737.5</v>
      </c>
    </row>
    <row r="463" spans="1:2" x14ac:dyDescent="0.3">
      <c r="A463" s="1">
        <v>44509</v>
      </c>
      <c r="B463" s="4">
        <v>1742.5</v>
      </c>
    </row>
    <row r="464" spans="1:2" x14ac:dyDescent="0.3">
      <c r="A464" s="1">
        <v>44510</v>
      </c>
      <c r="B464" s="4">
        <v>1740.15</v>
      </c>
    </row>
    <row r="465" spans="1:2" x14ac:dyDescent="0.3">
      <c r="A465" s="1">
        <v>44511</v>
      </c>
      <c r="B465" s="4">
        <v>1733.3</v>
      </c>
    </row>
    <row r="466" spans="1:2" x14ac:dyDescent="0.3">
      <c r="A466" s="1">
        <v>44512</v>
      </c>
      <c r="B466" s="4">
        <v>1780.2</v>
      </c>
    </row>
    <row r="467" spans="1:2" x14ac:dyDescent="0.3">
      <c r="A467" s="1">
        <v>44515</v>
      </c>
      <c r="B467" s="4">
        <v>1787.15</v>
      </c>
    </row>
    <row r="468" spans="1:2" x14ac:dyDescent="0.3">
      <c r="A468" s="1">
        <v>44516</v>
      </c>
      <c r="B468" s="4">
        <v>1792.3</v>
      </c>
    </row>
    <row r="469" spans="1:2" x14ac:dyDescent="0.3">
      <c r="A469" s="1">
        <v>44517</v>
      </c>
      <c r="B469" s="4">
        <v>1787.45</v>
      </c>
    </row>
    <row r="470" spans="1:2" x14ac:dyDescent="0.3">
      <c r="A470" s="1">
        <v>44518</v>
      </c>
      <c r="B470" s="4">
        <v>1779.4</v>
      </c>
    </row>
    <row r="471" spans="1:2" x14ac:dyDescent="0.3">
      <c r="A471" s="1">
        <v>44522</v>
      </c>
      <c r="B471" s="4">
        <v>1759.4</v>
      </c>
    </row>
    <row r="472" spans="1:2" x14ac:dyDescent="0.3">
      <c r="A472" s="1">
        <v>44523</v>
      </c>
      <c r="B472" s="4">
        <v>1736.9</v>
      </c>
    </row>
    <row r="473" spans="1:2" x14ac:dyDescent="0.3">
      <c r="A473" s="1">
        <v>44524</v>
      </c>
      <c r="B473" s="4">
        <v>1696</v>
      </c>
    </row>
    <row r="474" spans="1:2" x14ac:dyDescent="0.3">
      <c r="A474" s="1">
        <v>44525</v>
      </c>
      <c r="B474" s="4">
        <v>1722.4</v>
      </c>
    </row>
    <row r="475" spans="1:2" x14ac:dyDescent="0.3">
      <c r="A475" s="1">
        <v>44526</v>
      </c>
      <c r="B475" s="4">
        <v>1691.65</v>
      </c>
    </row>
    <row r="476" spans="1:2" x14ac:dyDescent="0.3">
      <c r="A476" s="1">
        <v>44529</v>
      </c>
      <c r="B476" s="4">
        <v>1696.35</v>
      </c>
    </row>
    <row r="477" spans="1:2" x14ac:dyDescent="0.3">
      <c r="A477" s="1">
        <v>44530</v>
      </c>
      <c r="B477" s="4">
        <v>1712.65</v>
      </c>
    </row>
    <row r="478" spans="1:2" x14ac:dyDescent="0.3">
      <c r="A478" s="1">
        <v>44531</v>
      </c>
      <c r="B478" s="4">
        <v>1714.9</v>
      </c>
    </row>
    <row r="479" spans="1:2" x14ac:dyDescent="0.3">
      <c r="A479" s="1">
        <v>44532</v>
      </c>
      <c r="B479" s="4">
        <v>1748.25</v>
      </c>
    </row>
    <row r="480" spans="1:2" x14ac:dyDescent="0.3">
      <c r="A480" s="1">
        <v>44533</v>
      </c>
      <c r="B480" s="4">
        <v>1735.55</v>
      </c>
    </row>
    <row r="481" spans="1:2" x14ac:dyDescent="0.3">
      <c r="A481" s="1">
        <v>44536</v>
      </c>
      <c r="B481" s="4">
        <v>1695.3</v>
      </c>
    </row>
    <row r="482" spans="1:2" x14ac:dyDescent="0.3">
      <c r="A482" s="1">
        <v>44537</v>
      </c>
      <c r="B482" s="4">
        <v>1711.65</v>
      </c>
    </row>
    <row r="483" spans="1:2" x14ac:dyDescent="0.3">
      <c r="A483" s="1">
        <v>44538</v>
      </c>
      <c r="B483" s="4">
        <v>1753.35</v>
      </c>
    </row>
    <row r="484" spans="1:2" x14ac:dyDescent="0.3">
      <c r="A484" s="1">
        <v>44539</v>
      </c>
      <c r="B484" s="4">
        <v>1763.45</v>
      </c>
    </row>
    <row r="485" spans="1:2" x14ac:dyDescent="0.3">
      <c r="A485" s="1">
        <v>44540</v>
      </c>
      <c r="B485" s="4">
        <v>1759.25</v>
      </c>
    </row>
    <row r="486" spans="1:2" x14ac:dyDescent="0.3">
      <c r="A486" s="1">
        <v>44543</v>
      </c>
      <c r="B486" s="4">
        <v>1744.65</v>
      </c>
    </row>
    <row r="487" spans="1:2" x14ac:dyDescent="0.3">
      <c r="A487" s="1">
        <v>44544</v>
      </c>
      <c r="B487" s="4">
        <v>1752.15</v>
      </c>
    </row>
    <row r="488" spans="1:2" x14ac:dyDescent="0.3">
      <c r="A488" s="1">
        <v>44545</v>
      </c>
      <c r="B488" s="4">
        <v>1734.2</v>
      </c>
    </row>
    <row r="489" spans="1:2" x14ac:dyDescent="0.3">
      <c r="A489" s="1">
        <v>44546</v>
      </c>
      <c r="B489" s="4">
        <v>1771.6</v>
      </c>
    </row>
    <row r="490" spans="1:2" x14ac:dyDescent="0.3">
      <c r="A490" s="1">
        <v>44547</v>
      </c>
      <c r="B490" s="4">
        <v>1820.85</v>
      </c>
    </row>
    <row r="491" spans="1:2" x14ac:dyDescent="0.3">
      <c r="A491" s="1">
        <v>44550</v>
      </c>
      <c r="B491" s="4">
        <v>1798.9</v>
      </c>
    </row>
    <row r="492" spans="1:2" x14ac:dyDescent="0.3">
      <c r="A492" s="1">
        <v>44551</v>
      </c>
      <c r="B492" s="4">
        <v>1811.6</v>
      </c>
    </row>
    <row r="493" spans="1:2" x14ac:dyDescent="0.3">
      <c r="A493" s="1">
        <v>44552</v>
      </c>
      <c r="B493" s="4">
        <v>1824.7</v>
      </c>
    </row>
    <row r="494" spans="1:2" x14ac:dyDescent="0.3">
      <c r="A494" s="1">
        <v>44553</v>
      </c>
      <c r="B494" s="4">
        <v>1857.6</v>
      </c>
    </row>
    <row r="495" spans="1:2" x14ac:dyDescent="0.3">
      <c r="A495" s="1">
        <v>44554</v>
      </c>
      <c r="B495" s="4">
        <v>1863.5</v>
      </c>
    </row>
    <row r="496" spans="1:2" x14ac:dyDescent="0.3">
      <c r="A496" s="1">
        <v>44557</v>
      </c>
      <c r="B496" s="4">
        <v>1866.15</v>
      </c>
    </row>
    <row r="497" spans="1:2" x14ac:dyDescent="0.3">
      <c r="A497" s="1">
        <v>44558</v>
      </c>
      <c r="B497" s="4">
        <v>1888</v>
      </c>
    </row>
    <row r="498" spans="1:2" x14ac:dyDescent="0.3">
      <c r="A498" s="1">
        <v>44559</v>
      </c>
      <c r="B498" s="4">
        <v>1885.55</v>
      </c>
    </row>
    <row r="499" spans="1:2" x14ac:dyDescent="0.3">
      <c r="A499" s="1">
        <v>44560</v>
      </c>
      <c r="B499" s="4">
        <v>1892.85</v>
      </c>
    </row>
    <row r="500" spans="1:2" x14ac:dyDescent="0.3">
      <c r="A500" s="1">
        <v>44561</v>
      </c>
      <c r="B500" s="4">
        <v>1887.75</v>
      </c>
    </row>
    <row r="501" spans="1:2" x14ac:dyDescent="0.3">
      <c r="A501" s="1">
        <v>44564</v>
      </c>
      <c r="B501" s="4">
        <v>1898.45</v>
      </c>
    </row>
    <row r="502" spans="1:2" x14ac:dyDescent="0.3">
      <c r="A502" s="1">
        <v>44565</v>
      </c>
      <c r="B502" s="4">
        <v>1899.15</v>
      </c>
    </row>
    <row r="503" spans="1:2" x14ac:dyDescent="0.3">
      <c r="A503" s="1">
        <v>44566</v>
      </c>
      <c r="B503" s="4">
        <v>1844.65</v>
      </c>
    </row>
    <row r="504" spans="1:2" x14ac:dyDescent="0.3">
      <c r="A504" s="1">
        <v>44567</v>
      </c>
      <c r="B504" s="4">
        <v>1817.8</v>
      </c>
    </row>
    <row r="505" spans="1:2" x14ac:dyDescent="0.3">
      <c r="A505" s="1">
        <v>44568</v>
      </c>
      <c r="B505" s="4">
        <v>1814.3</v>
      </c>
    </row>
    <row r="506" spans="1:2" x14ac:dyDescent="0.3">
      <c r="A506" s="1">
        <v>44571</v>
      </c>
      <c r="B506" s="4">
        <v>1850.75</v>
      </c>
    </row>
    <row r="507" spans="1:2" x14ac:dyDescent="0.3">
      <c r="A507" s="1">
        <v>44572</v>
      </c>
      <c r="B507" s="4">
        <v>1855.6</v>
      </c>
    </row>
    <row r="508" spans="1:2" x14ac:dyDescent="0.3">
      <c r="A508" s="1">
        <v>44573</v>
      </c>
      <c r="B508" s="4">
        <v>1877.45</v>
      </c>
    </row>
    <row r="509" spans="1:2" x14ac:dyDescent="0.3">
      <c r="A509" s="1">
        <v>44574</v>
      </c>
      <c r="B509" s="4">
        <v>1896.8</v>
      </c>
    </row>
    <row r="510" spans="1:2" x14ac:dyDescent="0.3">
      <c r="A510" s="1">
        <v>44575</v>
      </c>
      <c r="B510" s="4">
        <v>1929.35</v>
      </c>
    </row>
    <row r="511" spans="1:2" x14ac:dyDescent="0.3">
      <c r="A511" s="1">
        <v>44578</v>
      </c>
      <c r="B511" s="4">
        <v>1939.5</v>
      </c>
    </row>
    <row r="512" spans="1:2" x14ac:dyDescent="0.3">
      <c r="A512" s="1">
        <v>44579</v>
      </c>
      <c r="B512" s="4">
        <v>1920.75</v>
      </c>
    </row>
    <row r="513" spans="1:2" x14ac:dyDescent="0.3">
      <c r="A513" s="1">
        <v>44580</v>
      </c>
      <c r="B513" s="4">
        <v>1867.05</v>
      </c>
    </row>
    <row r="514" spans="1:2" x14ac:dyDescent="0.3">
      <c r="A514" s="1">
        <v>44581</v>
      </c>
      <c r="B514" s="4">
        <v>1823.7</v>
      </c>
    </row>
    <row r="515" spans="1:2" x14ac:dyDescent="0.3">
      <c r="A515" s="1">
        <v>44582</v>
      </c>
      <c r="B515" s="4">
        <v>1785.7</v>
      </c>
    </row>
    <row r="516" spans="1:2" x14ac:dyDescent="0.3">
      <c r="A516" s="1">
        <v>44585</v>
      </c>
      <c r="B516" s="4">
        <v>1736.8</v>
      </c>
    </row>
    <row r="517" spans="1:2" x14ac:dyDescent="0.3">
      <c r="A517" s="1">
        <v>44586</v>
      </c>
      <c r="B517" s="4">
        <v>1722.15</v>
      </c>
    </row>
    <row r="518" spans="1:2" x14ac:dyDescent="0.3">
      <c r="A518" s="1">
        <v>44588</v>
      </c>
      <c r="B518" s="4">
        <v>1678.6</v>
      </c>
    </row>
    <row r="519" spans="1:2" x14ac:dyDescent="0.3">
      <c r="A519" s="1">
        <v>44589</v>
      </c>
      <c r="B519" s="4">
        <v>1686.2</v>
      </c>
    </row>
    <row r="520" spans="1:2" x14ac:dyDescent="0.3">
      <c r="A520" s="1">
        <v>44592</v>
      </c>
      <c r="B520" s="4">
        <v>1736.2</v>
      </c>
    </row>
    <row r="521" spans="1:2" x14ac:dyDescent="0.3">
      <c r="A521" s="1">
        <v>44593</v>
      </c>
      <c r="B521" s="4">
        <v>1772.05</v>
      </c>
    </row>
    <row r="522" spans="1:2" x14ac:dyDescent="0.3">
      <c r="A522" s="1">
        <v>44594</v>
      </c>
      <c r="B522" s="4">
        <v>1787.1</v>
      </c>
    </row>
    <row r="523" spans="1:2" x14ac:dyDescent="0.3">
      <c r="A523" s="1">
        <v>44595</v>
      </c>
      <c r="B523" s="4">
        <v>1738.55</v>
      </c>
    </row>
    <row r="524" spans="1:2" x14ac:dyDescent="0.3">
      <c r="A524" s="1">
        <v>44596</v>
      </c>
      <c r="B524" s="4">
        <v>1741.1</v>
      </c>
    </row>
    <row r="525" spans="1:2" x14ac:dyDescent="0.3">
      <c r="A525" s="1">
        <v>44599</v>
      </c>
      <c r="B525" s="4">
        <v>1715</v>
      </c>
    </row>
    <row r="526" spans="1:2" x14ac:dyDescent="0.3">
      <c r="A526" s="1">
        <v>44600</v>
      </c>
      <c r="B526" s="4">
        <v>1717.3</v>
      </c>
    </row>
    <row r="527" spans="1:2" x14ac:dyDescent="0.3">
      <c r="A527" s="1">
        <v>44601</v>
      </c>
      <c r="B527" s="4">
        <v>1737.3</v>
      </c>
    </row>
    <row r="528" spans="1:2" x14ac:dyDescent="0.3">
      <c r="A528" s="1">
        <v>44602</v>
      </c>
      <c r="B528" s="4">
        <v>1769.6</v>
      </c>
    </row>
    <row r="529" spans="1:2" x14ac:dyDescent="0.3">
      <c r="A529" s="1">
        <v>44603</v>
      </c>
      <c r="B529" s="4">
        <v>1721.35</v>
      </c>
    </row>
    <row r="530" spans="1:2" x14ac:dyDescent="0.3">
      <c r="A530" s="1">
        <v>44606</v>
      </c>
      <c r="B530" s="4">
        <v>1682.2</v>
      </c>
    </row>
    <row r="531" spans="1:2" x14ac:dyDescent="0.3">
      <c r="A531" s="1">
        <v>44607</v>
      </c>
      <c r="B531" s="4">
        <v>1738.25</v>
      </c>
    </row>
    <row r="532" spans="1:2" x14ac:dyDescent="0.3">
      <c r="A532" s="1">
        <v>44608</v>
      </c>
      <c r="B532" s="4">
        <v>1733.3</v>
      </c>
    </row>
    <row r="533" spans="1:2" x14ac:dyDescent="0.3">
      <c r="A533" s="1">
        <v>44609</v>
      </c>
      <c r="B533" s="4">
        <v>1724.8</v>
      </c>
    </row>
    <row r="534" spans="1:2" x14ac:dyDescent="0.3">
      <c r="A534" s="1">
        <v>44610</v>
      </c>
      <c r="B534" s="4">
        <v>1706.95</v>
      </c>
    </row>
    <row r="535" spans="1:2" x14ac:dyDescent="0.3">
      <c r="A535" s="1">
        <v>44613</v>
      </c>
      <c r="B535" s="4">
        <v>1730.7</v>
      </c>
    </row>
    <row r="536" spans="1:2" x14ac:dyDescent="0.3">
      <c r="A536" s="1">
        <v>44614</v>
      </c>
      <c r="B536" s="4">
        <v>1734.35</v>
      </c>
    </row>
    <row r="537" spans="1:2" x14ac:dyDescent="0.3">
      <c r="A537" s="1">
        <v>44615</v>
      </c>
      <c r="B537" s="4">
        <v>1742.85</v>
      </c>
    </row>
    <row r="538" spans="1:2" x14ac:dyDescent="0.3">
      <c r="A538" s="1">
        <v>44616</v>
      </c>
      <c r="B538" s="4">
        <v>1678.15</v>
      </c>
    </row>
    <row r="539" spans="1:2" x14ac:dyDescent="0.3">
      <c r="A539" s="1">
        <v>44617</v>
      </c>
      <c r="B539" s="4">
        <v>1694.6</v>
      </c>
    </row>
    <row r="540" spans="1:2" x14ac:dyDescent="0.3">
      <c r="A540" s="1">
        <v>44620</v>
      </c>
      <c r="B540" s="4">
        <v>1715.6</v>
      </c>
    </row>
    <row r="541" spans="1:2" x14ac:dyDescent="0.3">
      <c r="A541" s="1">
        <v>44622</v>
      </c>
      <c r="B541" s="4">
        <v>1702.8</v>
      </c>
    </row>
    <row r="542" spans="1:2" x14ac:dyDescent="0.3">
      <c r="A542" s="1">
        <v>44623</v>
      </c>
      <c r="B542" s="4">
        <v>1720.85</v>
      </c>
    </row>
    <row r="543" spans="1:2" x14ac:dyDescent="0.3">
      <c r="A543" s="1">
        <v>44624</v>
      </c>
      <c r="B543" s="4">
        <v>1723.3</v>
      </c>
    </row>
    <row r="544" spans="1:2" x14ac:dyDescent="0.3">
      <c r="A544" s="1">
        <v>44627</v>
      </c>
      <c r="B544" s="4">
        <v>1739.85</v>
      </c>
    </row>
    <row r="545" spans="1:2" x14ac:dyDescent="0.3">
      <c r="A545" s="1">
        <v>44628</v>
      </c>
      <c r="B545" s="4">
        <v>1778.2</v>
      </c>
    </row>
    <row r="546" spans="1:2" x14ac:dyDescent="0.3">
      <c r="A546" s="1">
        <v>44629</v>
      </c>
      <c r="B546" s="4">
        <v>1813.35</v>
      </c>
    </row>
    <row r="547" spans="1:2" x14ac:dyDescent="0.3">
      <c r="A547" s="1">
        <v>44630</v>
      </c>
      <c r="B547" s="4">
        <v>1825.9</v>
      </c>
    </row>
    <row r="548" spans="1:2" x14ac:dyDescent="0.3">
      <c r="A548" s="1">
        <v>44631</v>
      </c>
      <c r="B548" s="4">
        <v>1822</v>
      </c>
    </row>
    <row r="549" spans="1:2" x14ac:dyDescent="0.3">
      <c r="A549" s="1">
        <v>44634</v>
      </c>
      <c r="B549" s="4">
        <v>1890.7</v>
      </c>
    </row>
    <row r="550" spans="1:2" x14ac:dyDescent="0.3">
      <c r="A550" s="1">
        <v>44635</v>
      </c>
      <c r="B550" s="4">
        <v>1839.3</v>
      </c>
    </row>
    <row r="551" spans="1:2" x14ac:dyDescent="0.3">
      <c r="A551" s="1">
        <v>44636</v>
      </c>
      <c r="B551" s="4">
        <v>1889.4</v>
      </c>
    </row>
    <row r="552" spans="1:2" x14ac:dyDescent="0.3">
      <c r="A552" s="1">
        <v>44637</v>
      </c>
      <c r="B552" s="4">
        <v>1854.6</v>
      </c>
    </row>
    <row r="553" spans="1:2" x14ac:dyDescent="0.3">
      <c r="A553" s="1">
        <v>44641</v>
      </c>
      <c r="B553" s="4">
        <v>1853.05</v>
      </c>
    </row>
    <row r="554" spans="1:2" x14ac:dyDescent="0.3">
      <c r="A554" s="1">
        <v>44642</v>
      </c>
      <c r="B554" s="4">
        <v>1887.4</v>
      </c>
    </row>
    <row r="555" spans="1:2" x14ac:dyDescent="0.3">
      <c r="A555" s="1">
        <v>44643</v>
      </c>
      <c r="B555" s="4">
        <v>1872.4</v>
      </c>
    </row>
    <row r="556" spans="1:2" x14ac:dyDescent="0.3">
      <c r="A556" s="1">
        <v>44644</v>
      </c>
      <c r="B556" s="4">
        <v>1886.7</v>
      </c>
    </row>
    <row r="557" spans="1:2" x14ac:dyDescent="0.3">
      <c r="A557" s="1">
        <v>44645</v>
      </c>
      <c r="B557" s="4">
        <v>1876.55</v>
      </c>
    </row>
    <row r="558" spans="1:2" x14ac:dyDescent="0.3">
      <c r="A558" s="1">
        <v>44648</v>
      </c>
      <c r="B558" s="4">
        <v>1873.9</v>
      </c>
    </row>
    <row r="559" spans="1:2" x14ac:dyDescent="0.3">
      <c r="A559" s="1">
        <v>44649</v>
      </c>
      <c r="B559" s="4">
        <v>1886</v>
      </c>
    </row>
    <row r="560" spans="1:2" x14ac:dyDescent="0.3">
      <c r="A560" s="1">
        <v>44650</v>
      </c>
      <c r="B560" s="4">
        <v>1903.95</v>
      </c>
    </row>
    <row r="561" spans="1:2" x14ac:dyDescent="0.3">
      <c r="A561" s="1">
        <v>44651</v>
      </c>
      <c r="B561" s="4">
        <v>1906.85</v>
      </c>
    </row>
    <row r="562" spans="1:2" x14ac:dyDescent="0.3">
      <c r="A562" s="1">
        <v>44652</v>
      </c>
      <c r="B562" s="4">
        <v>1903.55</v>
      </c>
    </row>
    <row r="563" spans="1:2" x14ac:dyDescent="0.3">
      <c r="A563" s="1">
        <v>44655</v>
      </c>
      <c r="B563" s="4">
        <v>1882.95</v>
      </c>
    </row>
    <row r="564" spans="1:2" x14ac:dyDescent="0.3">
      <c r="A564" s="1">
        <v>44656</v>
      </c>
      <c r="B564" s="4">
        <v>1861.1</v>
      </c>
    </row>
    <row r="565" spans="1:2" x14ac:dyDescent="0.3">
      <c r="A565" s="1">
        <v>44657</v>
      </c>
      <c r="B565" s="4">
        <v>1828.85</v>
      </c>
    </row>
    <row r="566" spans="1:2" x14ac:dyDescent="0.3">
      <c r="A566" s="1">
        <v>44658</v>
      </c>
      <c r="B566" s="4">
        <v>1811</v>
      </c>
    </row>
    <row r="567" spans="1:2" x14ac:dyDescent="0.3">
      <c r="A567" s="1">
        <v>44659</v>
      </c>
      <c r="B567" s="4">
        <v>1814.6</v>
      </c>
    </row>
    <row r="568" spans="1:2" x14ac:dyDescent="0.3">
      <c r="A568" s="1">
        <v>44662</v>
      </c>
      <c r="B568" s="4">
        <v>1766.55</v>
      </c>
    </row>
    <row r="569" spans="1:2" x14ac:dyDescent="0.3">
      <c r="A569" s="1">
        <v>44663</v>
      </c>
      <c r="B569" s="4">
        <v>1742.45</v>
      </c>
    </row>
    <row r="570" spans="1:2" x14ac:dyDescent="0.3">
      <c r="A570" s="1">
        <v>44664</v>
      </c>
      <c r="B570" s="4">
        <v>1748.55</v>
      </c>
    </row>
    <row r="571" spans="1:2" x14ac:dyDescent="0.3">
      <c r="A571" s="1">
        <v>44669</v>
      </c>
      <c r="B571" s="4">
        <v>1621.4</v>
      </c>
    </row>
    <row r="572" spans="1:2" x14ac:dyDescent="0.3">
      <c r="A572" s="1">
        <v>44670</v>
      </c>
      <c r="B572" s="4">
        <v>1562</v>
      </c>
    </row>
    <row r="573" spans="1:2" x14ac:dyDescent="0.3">
      <c r="A573" s="1">
        <v>44671</v>
      </c>
      <c r="B573" s="4">
        <v>1587.7</v>
      </c>
    </row>
    <row r="574" spans="1:2" x14ac:dyDescent="0.3">
      <c r="A574" s="1">
        <v>44672</v>
      </c>
      <c r="B574" s="4">
        <v>1618.8</v>
      </c>
    </row>
    <row r="575" spans="1:2" x14ac:dyDescent="0.3">
      <c r="A575" s="1">
        <v>44673</v>
      </c>
      <c r="B575" s="4">
        <v>1585.45</v>
      </c>
    </row>
    <row r="576" spans="1:2" x14ac:dyDescent="0.3">
      <c r="A576" s="1">
        <v>44676</v>
      </c>
      <c r="B576" s="4">
        <v>1561.1</v>
      </c>
    </row>
    <row r="577" spans="1:2" x14ac:dyDescent="0.3">
      <c r="A577" s="1">
        <v>44677</v>
      </c>
      <c r="B577" s="4">
        <v>1581</v>
      </c>
    </row>
    <row r="578" spans="1:2" x14ac:dyDescent="0.3">
      <c r="A578" s="1">
        <v>44678</v>
      </c>
      <c r="B578" s="4">
        <v>1552.8</v>
      </c>
    </row>
    <row r="579" spans="1:2" x14ac:dyDescent="0.3">
      <c r="A579" s="1">
        <v>44679</v>
      </c>
      <c r="B579" s="4">
        <v>1582.6</v>
      </c>
    </row>
    <row r="580" spans="1:2" x14ac:dyDescent="0.3">
      <c r="A580" s="1">
        <v>44680</v>
      </c>
      <c r="B580" s="4">
        <v>1567.55</v>
      </c>
    </row>
    <row r="581" spans="1:2" x14ac:dyDescent="0.3">
      <c r="A581" s="1">
        <v>44683</v>
      </c>
      <c r="B581" s="4">
        <v>1541</v>
      </c>
    </row>
    <row r="582" spans="1:2" x14ac:dyDescent="0.3">
      <c r="A582" s="1">
        <v>44685</v>
      </c>
      <c r="B582" s="4">
        <v>1535.55</v>
      </c>
    </row>
    <row r="583" spans="1:2" x14ac:dyDescent="0.3">
      <c r="A583" s="1">
        <v>44686</v>
      </c>
      <c r="B583" s="4">
        <v>1585.15</v>
      </c>
    </row>
    <row r="584" spans="1:2" x14ac:dyDescent="0.3">
      <c r="A584" s="1">
        <v>44687</v>
      </c>
      <c r="B584" s="4">
        <v>1542.85</v>
      </c>
    </row>
    <row r="585" spans="1:2" x14ac:dyDescent="0.3">
      <c r="A585" s="1">
        <v>44690</v>
      </c>
      <c r="B585" s="4">
        <v>1570.35</v>
      </c>
    </row>
    <row r="586" spans="1:2" x14ac:dyDescent="0.3">
      <c r="A586" s="1">
        <v>44691</v>
      </c>
      <c r="B586" s="4">
        <v>1553</v>
      </c>
    </row>
    <row r="587" spans="1:2" x14ac:dyDescent="0.3">
      <c r="A587" s="1">
        <v>44692</v>
      </c>
      <c r="B587" s="4">
        <v>1526.75</v>
      </c>
    </row>
    <row r="588" spans="1:2" x14ac:dyDescent="0.3">
      <c r="A588" s="1">
        <v>44693</v>
      </c>
      <c r="B588" s="4">
        <v>1508.8</v>
      </c>
    </row>
    <row r="589" spans="1:2" x14ac:dyDescent="0.3">
      <c r="A589" s="1">
        <v>44694</v>
      </c>
      <c r="B589" s="4">
        <v>1504.4</v>
      </c>
    </row>
    <row r="590" spans="1:2" x14ac:dyDescent="0.3">
      <c r="A590" s="1">
        <v>44697</v>
      </c>
      <c r="B590" s="4">
        <v>1489.1</v>
      </c>
    </row>
    <row r="591" spans="1:2" x14ac:dyDescent="0.3">
      <c r="A591" s="1">
        <v>44698</v>
      </c>
      <c r="B591" s="4">
        <v>1509.94</v>
      </c>
    </row>
    <row r="592" spans="1:2" x14ac:dyDescent="0.3">
      <c r="A592" s="1">
        <v>44699</v>
      </c>
      <c r="B592" s="4">
        <v>1500.74</v>
      </c>
    </row>
    <row r="593" spans="1:2" x14ac:dyDescent="0.3">
      <c r="A593" s="1">
        <v>44700</v>
      </c>
      <c r="B593" s="4">
        <v>1419.15</v>
      </c>
    </row>
    <row r="594" spans="1:2" x14ac:dyDescent="0.3">
      <c r="A594" s="1">
        <v>44701</v>
      </c>
      <c r="B594" s="4">
        <v>1446.99</v>
      </c>
    </row>
    <row r="595" spans="1:2" x14ac:dyDescent="0.3">
      <c r="A595" s="1">
        <v>44704</v>
      </c>
      <c r="B595" s="4">
        <v>1460.17</v>
      </c>
    </row>
    <row r="596" spans="1:2" x14ac:dyDescent="0.3">
      <c r="A596" s="1">
        <v>44705</v>
      </c>
      <c r="B596" s="4">
        <v>1432.93</v>
      </c>
    </row>
    <row r="597" spans="1:2" x14ac:dyDescent="0.3">
      <c r="A597" s="1">
        <v>44706</v>
      </c>
      <c r="B597" s="4">
        <v>1402.55</v>
      </c>
    </row>
    <row r="598" spans="1:2" x14ac:dyDescent="0.3">
      <c r="A598" s="1">
        <v>44707</v>
      </c>
      <c r="B598" s="4">
        <v>1415.97</v>
      </c>
    </row>
    <row r="599" spans="1:2" x14ac:dyDescent="0.3">
      <c r="A599" s="1">
        <v>44708</v>
      </c>
      <c r="B599" s="4">
        <v>1453.16</v>
      </c>
    </row>
    <row r="600" spans="1:2" x14ac:dyDescent="0.3">
      <c r="A600" s="1">
        <v>44711</v>
      </c>
      <c r="B600" s="4">
        <v>1518.24</v>
      </c>
    </row>
    <row r="601" spans="1:2" x14ac:dyDescent="0.3">
      <c r="A601" s="1">
        <v>44712</v>
      </c>
      <c r="B601" s="4">
        <v>1495.17</v>
      </c>
    </row>
    <row r="602" spans="1:2" x14ac:dyDescent="0.3">
      <c r="A602" s="1">
        <v>44713</v>
      </c>
      <c r="B602" s="4">
        <v>1470.26</v>
      </c>
    </row>
    <row r="603" spans="1:2" x14ac:dyDescent="0.3">
      <c r="A603" s="1">
        <v>44714</v>
      </c>
      <c r="B603" s="4">
        <v>1499.55</v>
      </c>
    </row>
    <row r="604" spans="1:2" x14ac:dyDescent="0.3">
      <c r="A604" s="1">
        <v>44715</v>
      </c>
      <c r="B604" s="4">
        <v>1513.17</v>
      </c>
    </row>
    <row r="605" spans="1:2" x14ac:dyDescent="0.3">
      <c r="A605" s="1">
        <v>44718</v>
      </c>
      <c r="B605" s="4">
        <v>1521.48</v>
      </c>
    </row>
    <row r="606" spans="1:2" x14ac:dyDescent="0.3">
      <c r="A606" s="1">
        <v>44719</v>
      </c>
      <c r="B606" s="4">
        <v>1498.26</v>
      </c>
    </row>
    <row r="607" spans="1:2" x14ac:dyDescent="0.3">
      <c r="A607" s="1">
        <v>44720</v>
      </c>
      <c r="B607" s="4">
        <v>1491.59</v>
      </c>
    </row>
    <row r="608" spans="1:2" x14ac:dyDescent="0.3">
      <c r="A608" s="1">
        <v>44721</v>
      </c>
      <c r="B608" s="4">
        <v>1506.51</v>
      </c>
    </row>
    <row r="609" spans="1:2" x14ac:dyDescent="0.3">
      <c r="A609" s="1">
        <v>44722</v>
      </c>
      <c r="B609" s="4">
        <v>1468.52</v>
      </c>
    </row>
    <row r="610" spans="1:2" x14ac:dyDescent="0.3">
      <c r="A610" s="1">
        <v>44725</v>
      </c>
      <c r="B610" s="4">
        <v>1416.52</v>
      </c>
    </row>
    <row r="611" spans="1:2" x14ac:dyDescent="0.3">
      <c r="A611" s="1">
        <v>44726</v>
      </c>
      <c r="B611" s="4">
        <v>1432.48</v>
      </c>
    </row>
    <row r="612" spans="1:2" x14ac:dyDescent="0.3">
      <c r="A612" s="1">
        <v>44727</v>
      </c>
      <c r="B612" s="4">
        <v>1414.23</v>
      </c>
    </row>
    <row r="613" spans="1:2" x14ac:dyDescent="0.3">
      <c r="A613" s="1">
        <v>44728</v>
      </c>
      <c r="B613" s="4">
        <v>1389.37</v>
      </c>
    </row>
    <row r="614" spans="1:2" x14ac:dyDescent="0.3">
      <c r="A614" s="1">
        <v>44729</v>
      </c>
      <c r="B614" s="4">
        <v>1379.53</v>
      </c>
    </row>
    <row r="615" spans="1:2" x14ac:dyDescent="0.3">
      <c r="A615" s="1">
        <v>44732</v>
      </c>
      <c r="B615" s="4">
        <v>1406.22</v>
      </c>
    </row>
    <row r="616" spans="1:2" x14ac:dyDescent="0.3">
      <c r="A616" s="1">
        <v>44733</v>
      </c>
      <c r="B616" s="4">
        <v>1441.78</v>
      </c>
    </row>
    <row r="617" spans="1:2" x14ac:dyDescent="0.3">
      <c r="A617" s="1">
        <v>44734</v>
      </c>
      <c r="B617" s="4">
        <v>1429.2</v>
      </c>
    </row>
    <row r="618" spans="1:2" x14ac:dyDescent="0.3">
      <c r="A618" s="1">
        <v>44735</v>
      </c>
      <c r="B618" s="4">
        <v>1444.31</v>
      </c>
    </row>
    <row r="619" spans="1:2" x14ac:dyDescent="0.3">
      <c r="A619" s="1">
        <v>44736</v>
      </c>
      <c r="B619" s="4">
        <v>1433.02</v>
      </c>
    </row>
    <row r="620" spans="1:2" x14ac:dyDescent="0.3">
      <c r="A620" s="1">
        <v>44739</v>
      </c>
      <c r="B620" s="4">
        <v>1466.34</v>
      </c>
    </row>
    <row r="621" spans="1:2" x14ac:dyDescent="0.3">
      <c r="A621" s="1">
        <v>44740</v>
      </c>
      <c r="B621" s="4">
        <v>1471.85</v>
      </c>
    </row>
    <row r="622" spans="1:2" x14ac:dyDescent="0.3">
      <c r="A622" s="1">
        <v>44741</v>
      </c>
      <c r="B622" s="4">
        <v>1455.05</v>
      </c>
    </row>
    <row r="623" spans="1:2" x14ac:dyDescent="0.3">
      <c r="A623" s="1">
        <v>44742</v>
      </c>
      <c r="B623" s="4">
        <v>1453.71</v>
      </c>
    </row>
    <row r="624" spans="1:2" x14ac:dyDescent="0.3">
      <c r="A624" s="1">
        <v>44743</v>
      </c>
      <c r="B624" s="4">
        <v>1471.11</v>
      </c>
    </row>
    <row r="625" spans="1:2" x14ac:dyDescent="0.3">
      <c r="A625" s="1">
        <v>44746</v>
      </c>
      <c r="B625" s="4">
        <v>1479.66</v>
      </c>
    </row>
    <row r="626" spans="1:2" x14ac:dyDescent="0.3">
      <c r="A626" s="1">
        <v>44747</v>
      </c>
      <c r="B626" s="4">
        <v>1467.68</v>
      </c>
    </row>
    <row r="627" spans="1:2" x14ac:dyDescent="0.3">
      <c r="A627" s="1">
        <v>44748</v>
      </c>
      <c r="B627" s="4">
        <v>1483.29</v>
      </c>
    </row>
    <row r="628" spans="1:2" x14ac:dyDescent="0.3">
      <c r="A628" s="1">
        <v>44749</v>
      </c>
      <c r="B628" s="4">
        <v>1490.3</v>
      </c>
    </row>
    <row r="629" spans="1:2" x14ac:dyDescent="0.3">
      <c r="A629" s="1">
        <v>44750</v>
      </c>
      <c r="B629" s="4">
        <v>1505.96</v>
      </c>
    </row>
    <row r="630" spans="1:2" x14ac:dyDescent="0.3">
      <c r="A630" s="1">
        <v>44753</v>
      </c>
      <c r="B630" s="4">
        <v>1464.89</v>
      </c>
    </row>
    <row r="631" spans="1:2" x14ac:dyDescent="0.3">
      <c r="A631" s="1">
        <v>44754</v>
      </c>
      <c r="B631" s="4">
        <v>1430.54</v>
      </c>
    </row>
    <row r="632" spans="1:2" x14ac:dyDescent="0.3">
      <c r="A632" s="1">
        <v>44755</v>
      </c>
      <c r="B632" s="4">
        <v>1436.35</v>
      </c>
    </row>
    <row r="633" spans="1:2" x14ac:dyDescent="0.3">
      <c r="A633" s="1">
        <v>44756</v>
      </c>
      <c r="B633" s="4">
        <v>1420.84</v>
      </c>
    </row>
    <row r="634" spans="1:2" x14ac:dyDescent="0.3">
      <c r="A634" s="1">
        <v>44757</v>
      </c>
      <c r="B634" s="4">
        <v>1422.33</v>
      </c>
    </row>
    <row r="635" spans="1:2" x14ac:dyDescent="0.3">
      <c r="A635" s="1">
        <v>44760</v>
      </c>
      <c r="B635" s="4">
        <v>1481.55</v>
      </c>
    </row>
    <row r="636" spans="1:2" x14ac:dyDescent="0.3">
      <c r="A636" s="1">
        <v>44761</v>
      </c>
      <c r="B636" s="4">
        <v>1475.83</v>
      </c>
    </row>
    <row r="637" spans="1:2" x14ac:dyDescent="0.3">
      <c r="A637" s="1">
        <v>44762</v>
      </c>
      <c r="B637" s="4">
        <v>1506.81</v>
      </c>
    </row>
    <row r="638" spans="1:2" x14ac:dyDescent="0.3">
      <c r="A638" s="1">
        <v>44763</v>
      </c>
      <c r="B638" s="4">
        <v>1524.31</v>
      </c>
    </row>
    <row r="639" spans="1:2" x14ac:dyDescent="0.3">
      <c r="A639" s="1">
        <v>44764</v>
      </c>
      <c r="B639" s="4">
        <v>1497.86</v>
      </c>
    </row>
    <row r="640" spans="1:2" x14ac:dyDescent="0.3">
      <c r="A640" s="1">
        <v>44767</v>
      </c>
      <c r="B640" s="4">
        <v>1495.17</v>
      </c>
    </row>
    <row r="641" spans="1:2" x14ac:dyDescent="0.3">
      <c r="A641" s="1">
        <v>44768</v>
      </c>
      <c r="B641" s="4">
        <v>1443.02</v>
      </c>
    </row>
    <row r="642" spans="1:2" x14ac:dyDescent="0.3">
      <c r="A642" s="1">
        <v>44769</v>
      </c>
      <c r="B642" s="4">
        <v>1462.81</v>
      </c>
    </row>
    <row r="643" spans="1:2" x14ac:dyDescent="0.3">
      <c r="A643" s="1">
        <v>44770</v>
      </c>
      <c r="B643" s="4">
        <v>1508.9</v>
      </c>
    </row>
    <row r="644" spans="1:2" x14ac:dyDescent="0.3">
      <c r="A644" s="1">
        <v>44771</v>
      </c>
      <c r="B644" s="4">
        <v>1541.02</v>
      </c>
    </row>
    <row r="645" spans="1:2" x14ac:dyDescent="0.3">
      <c r="A645" s="1">
        <v>44774</v>
      </c>
      <c r="B645" s="4">
        <v>1542.36</v>
      </c>
    </row>
    <row r="646" spans="1:2" x14ac:dyDescent="0.3">
      <c r="A646" s="1">
        <v>44775</v>
      </c>
      <c r="B646" s="4">
        <v>1534.95</v>
      </c>
    </row>
    <row r="647" spans="1:2" x14ac:dyDescent="0.3">
      <c r="A647" s="1">
        <v>44776</v>
      </c>
      <c r="B647" s="4">
        <v>1557.32</v>
      </c>
    </row>
    <row r="648" spans="1:2" x14ac:dyDescent="0.3">
      <c r="A648" s="1">
        <v>44777</v>
      </c>
      <c r="B648" s="4">
        <v>1590.93</v>
      </c>
    </row>
    <row r="649" spans="1:2" x14ac:dyDescent="0.3">
      <c r="A649" s="1">
        <v>44778</v>
      </c>
      <c r="B649" s="4">
        <v>1607.59</v>
      </c>
    </row>
    <row r="650" spans="1:2" x14ac:dyDescent="0.3">
      <c r="A650" s="1">
        <v>44781</v>
      </c>
      <c r="B650" s="4">
        <v>1610.32</v>
      </c>
    </row>
    <row r="651" spans="1:2" x14ac:dyDescent="0.3">
      <c r="A651" s="1">
        <v>44783</v>
      </c>
      <c r="B651" s="4">
        <v>1593.47</v>
      </c>
    </row>
    <row r="652" spans="1:2" x14ac:dyDescent="0.3">
      <c r="A652" s="1">
        <v>44784</v>
      </c>
      <c r="B652" s="4">
        <v>1610.87</v>
      </c>
    </row>
    <row r="653" spans="1:2" x14ac:dyDescent="0.3">
      <c r="A653" s="1">
        <v>44785</v>
      </c>
      <c r="B653" s="4">
        <v>1585.17</v>
      </c>
    </row>
    <row r="654" spans="1:2" x14ac:dyDescent="0.3">
      <c r="A654" s="1">
        <v>44789</v>
      </c>
      <c r="B654" s="4">
        <v>1587.5</v>
      </c>
    </row>
    <row r="655" spans="1:2" x14ac:dyDescent="0.3">
      <c r="A655" s="1">
        <v>44790</v>
      </c>
      <c r="B655" s="4">
        <v>1597.25</v>
      </c>
    </row>
    <row r="656" spans="1:2" x14ac:dyDescent="0.3">
      <c r="A656" s="1">
        <v>44791</v>
      </c>
      <c r="B656" s="4">
        <v>1574.08</v>
      </c>
    </row>
    <row r="657" spans="1:2" x14ac:dyDescent="0.3">
      <c r="A657" s="1">
        <v>44792</v>
      </c>
      <c r="B657" s="4">
        <v>1588.15</v>
      </c>
    </row>
    <row r="658" spans="1:2" x14ac:dyDescent="0.3">
      <c r="A658" s="1">
        <v>44795</v>
      </c>
      <c r="B658" s="4">
        <v>1566.82</v>
      </c>
    </row>
    <row r="659" spans="1:2" x14ac:dyDescent="0.3">
      <c r="A659" s="1">
        <v>44796</v>
      </c>
      <c r="B659" s="4">
        <v>1533.76</v>
      </c>
    </row>
    <row r="660" spans="1:2" x14ac:dyDescent="0.3">
      <c r="A660" s="1">
        <v>44797</v>
      </c>
      <c r="B660" s="4">
        <v>1528.88</v>
      </c>
    </row>
    <row r="661" spans="1:2" x14ac:dyDescent="0.3">
      <c r="A661" s="1">
        <v>44798</v>
      </c>
      <c r="B661" s="4">
        <v>1509.64</v>
      </c>
    </row>
    <row r="662" spans="1:2" x14ac:dyDescent="0.3">
      <c r="A662" s="1">
        <v>44799</v>
      </c>
      <c r="B662" s="4">
        <v>1513.02</v>
      </c>
    </row>
    <row r="663" spans="1:2" x14ac:dyDescent="0.3">
      <c r="A663" s="1">
        <v>44802</v>
      </c>
      <c r="B663" s="4">
        <v>1453.56</v>
      </c>
    </row>
    <row r="664" spans="1:2" x14ac:dyDescent="0.3">
      <c r="A664" s="1">
        <v>44803</v>
      </c>
      <c r="B664" s="4">
        <v>1484.58</v>
      </c>
    </row>
    <row r="665" spans="1:2" x14ac:dyDescent="0.3">
      <c r="A665" s="1">
        <v>44805</v>
      </c>
      <c r="B665" s="4">
        <v>1455.99</v>
      </c>
    </row>
    <row r="666" spans="1:2" x14ac:dyDescent="0.3">
      <c r="A666" s="1">
        <v>44806</v>
      </c>
      <c r="B666" s="4">
        <v>1444.86</v>
      </c>
    </row>
    <row r="667" spans="1:2" x14ac:dyDescent="0.3">
      <c r="A667" s="1">
        <v>44809</v>
      </c>
      <c r="B667" s="4">
        <v>1453.11</v>
      </c>
    </row>
    <row r="668" spans="1:2" x14ac:dyDescent="0.3">
      <c r="A668" s="1">
        <v>44810</v>
      </c>
      <c r="B668" s="4">
        <v>1446.95</v>
      </c>
    </row>
    <row r="669" spans="1:2" x14ac:dyDescent="0.3">
      <c r="A669" s="1">
        <v>44811</v>
      </c>
      <c r="B669" s="4">
        <v>1449.48</v>
      </c>
    </row>
    <row r="670" spans="1:2" x14ac:dyDescent="0.3">
      <c r="A670" s="1">
        <v>44812</v>
      </c>
      <c r="B670" s="4">
        <v>1467.63</v>
      </c>
    </row>
    <row r="671" spans="1:2" x14ac:dyDescent="0.3">
      <c r="A671" s="1">
        <v>44813</v>
      </c>
      <c r="B671" s="4">
        <v>1503.18</v>
      </c>
    </row>
    <row r="672" spans="1:2" x14ac:dyDescent="0.3">
      <c r="A672" s="1">
        <v>44816</v>
      </c>
      <c r="B672" s="4">
        <v>1527.59</v>
      </c>
    </row>
    <row r="673" spans="1:2" x14ac:dyDescent="0.3">
      <c r="A673" s="1">
        <v>44817</v>
      </c>
      <c r="B673" s="4">
        <v>1536.29</v>
      </c>
    </row>
    <row r="674" spans="1:2" x14ac:dyDescent="0.3">
      <c r="A674" s="1">
        <v>44818</v>
      </c>
      <c r="B674" s="4">
        <v>1467.13</v>
      </c>
    </row>
    <row r="675" spans="1:2" x14ac:dyDescent="0.3">
      <c r="A675" s="1">
        <v>44819</v>
      </c>
      <c r="B675" s="4">
        <v>1424.77</v>
      </c>
    </row>
    <row r="676" spans="1:2" x14ac:dyDescent="0.3">
      <c r="A676" s="1">
        <v>44820</v>
      </c>
      <c r="B676" s="4">
        <v>1369.33</v>
      </c>
    </row>
    <row r="677" spans="1:2" x14ac:dyDescent="0.3">
      <c r="A677" s="1">
        <v>44823</v>
      </c>
      <c r="B677" s="4">
        <v>1382.51</v>
      </c>
    </row>
    <row r="678" spans="1:2" x14ac:dyDescent="0.3">
      <c r="A678" s="1">
        <v>44824</v>
      </c>
      <c r="B678" s="4">
        <v>1380.77</v>
      </c>
    </row>
    <row r="679" spans="1:2" x14ac:dyDescent="0.3">
      <c r="A679" s="1">
        <v>44825</v>
      </c>
      <c r="B679" s="4">
        <v>1369.53</v>
      </c>
    </row>
    <row r="680" spans="1:2" x14ac:dyDescent="0.3">
      <c r="A680" s="1">
        <v>44826</v>
      </c>
      <c r="B680" s="4">
        <v>1360.28</v>
      </c>
    </row>
    <row r="681" spans="1:2" x14ac:dyDescent="0.3">
      <c r="A681" s="1">
        <v>44827</v>
      </c>
      <c r="B681" s="4">
        <v>1357.8</v>
      </c>
    </row>
    <row r="682" spans="1:2" x14ac:dyDescent="0.3">
      <c r="A682" s="1">
        <v>44830</v>
      </c>
      <c r="B682" s="4">
        <v>1372.52</v>
      </c>
    </row>
    <row r="683" spans="1:2" x14ac:dyDescent="0.3">
      <c r="A683" s="1">
        <v>44831</v>
      </c>
      <c r="B683" s="4">
        <v>1385.74</v>
      </c>
    </row>
    <row r="684" spans="1:2" x14ac:dyDescent="0.3">
      <c r="A684" s="1">
        <v>44832</v>
      </c>
      <c r="B684" s="4">
        <v>1386.88</v>
      </c>
    </row>
    <row r="685" spans="1:2" x14ac:dyDescent="0.3">
      <c r="A685" s="1">
        <v>44833</v>
      </c>
      <c r="B685" s="4">
        <v>1390.81</v>
      </c>
    </row>
    <row r="686" spans="1:2" x14ac:dyDescent="0.3">
      <c r="A686" s="1">
        <v>44834</v>
      </c>
      <c r="B686" s="4">
        <v>1405.53</v>
      </c>
    </row>
    <row r="687" spans="1:2" x14ac:dyDescent="0.3">
      <c r="A687" s="1">
        <v>44837</v>
      </c>
      <c r="B687" s="4">
        <v>1385.94</v>
      </c>
    </row>
    <row r="688" spans="1:2" x14ac:dyDescent="0.3">
      <c r="A688" s="1">
        <v>44838</v>
      </c>
      <c r="B688" s="4">
        <v>1421.39</v>
      </c>
    </row>
    <row r="689" spans="1:2" x14ac:dyDescent="0.3">
      <c r="A689" s="1">
        <v>44840</v>
      </c>
      <c r="B689" s="4">
        <v>1446.99</v>
      </c>
    </row>
    <row r="690" spans="1:2" x14ac:dyDescent="0.3">
      <c r="A690" s="1">
        <v>44841</v>
      </c>
      <c r="B690" s="4">
        <v>1443.07</v>
      </c>
    </row>
    <row r="691" spans="1:2" x14ac:dyDescent="0.3">
      <c r="A691" s="1">
        <v>44844</v>
      </c>
      <c r="B691" s="4">
        <v>1454.45</v>
      </c>
    </row>
    <row r="692" spans="1:2" x14ac:dyDescent="0.3">
      <c r="A692" s="1">
        <v>44845</v>
      </c>
      <c r="B692" s="4">
        <v>1415.82</v>
      </c>
    </row>
    <row r="693" spans="1:2" x14ac:dyDescent="0.3">
      <c r="A693" s="1">
        <v>44846</v>
      </c>
      <c r="B693" s="4">
        <v>1420.69</v>
      </c>
    </row>
    <row r="694" spans="1:2" x14ac:dyDescent="0.3">
      <c r="A694" s="1">
        <v>44847</v>
      </c>
      <c r="B694" s="4">
        <v>1411.94</v>
      </c>
    </row>
    <row r="695" spans="1:2" x14ac:dyDescent="0.3">
      <c r="A695" s="1">
        <v>44848</v>
      </c>
      <c r="B695" s="4">
        <v>1465.99</v>
      </c>
    </row>
    <row r="696" spans="1:2" x14ac:dyDescent="0.3">
      <c r="A696" s="1">
        <v>44851</v>
      </c>
      <c r="B696" s="4">
        <v>1481.6</v>
      </c>
    </row>
    <row r="697" spans="1:2" x14ac:dyDescent="0.3">
      <c r="A697" s="1">
        <v>44852</v>
      </c>
      <c r="B697" s="4">
        <v>1495.27</v>
      </c>
    </row>
    <row r="698" spans="1:2" x14ac:dyDescent="0.3">
      <c r="A698" s="1">
        <v>44853</v>
      </c>
      <c r="B698" s="4">
        <v>1477.13</v>
      </c>
    </row>
    <row r="699" spans="1:2" x14ac:dyDescent="0.3">
      <c r="A699" s="1">
        <v>44854</v>
      </c>
      <c r="B699" s="4">
        <v>1492.49</v>
      </c>
    </row>
    <row r="700" spans="1:2" x14ac:dyDescent="0.3">
      <c r="A700" s="1">
        <v>44855</v>
      </c>
      <c r="B700" s="4">
        <v>1492.09</v>
      </c>
    </row>
    <row r="701" spans="1:2" x14ac:dyDescent="0.3">
      <c r="A701" s="1">
        <v>44858</v>
      </c>
      <c r="B701" s="4">
        <v>1509.34</v>
      </c>
    </row>
    <row r="702" spans="1:2" x14ac:dyDescent="0.3">
      <c r="A702" s="1">
        <v>44859</v>
      </c>
      <c r="B702" s="4">
        <v>1517.75</v>
      </c>
    </row>
    <row r="703" spans="1:2" x14ac:dyDescent="0.3">
      <c r="A703" s="1">
        <v>44861</v>
      </c>
      <c r="B703" s="4">
        <v>1515.41</v>
      </c>
    </row>
    <row r="704" spans="1:2" x14ac:dyDescent="0.3">
      <c r="A704" s="1">
        <v>44862</v>
      </c>
      <c r="B704" s="4">
        <v>1504.77</v>
      </c>
    </row>
    <row r="705" spans="1:2" x14ac:dyDescent="0.3">
      <c r="A705" s="1">
        <v>44865</v>
      </c>
      <c r="B705" s="4">
        <v>1529.03</v>
      </c>
    </row>
    <row r="706" spans="1:2" x14ac:dyDescent="0.3">
      <c r="A706" s="1">
        <v>44866</v>
      </c>
      <c r="B706" s="4">
        <v>1564.19</v>
      </c>
    </row>
    <row r="707" spans="1:2" x14ac:dyDescent="0.3">
      <c r="A707" s="1">
        <v>44867</v>
      </c>
      <c r="B707" s="4">
        <v>1544.59</v>
      </c>
    </row>
    <row r="708" spans="1:2" x14ac:dyDescent="0.3">
      <c r="A708" s="1">
        <v>44868</v>
      </c>
      <c r="B708" s="4">
        <v>1522.17</v>
      </c>
    </row>
    <row r="709" spans="1:2" x14ac:dyDescent="0.3">
      <c r="A709" s="1">
        <v>44869</v>
      </c>
      <c r="B709" s="4">
        <v>1505.52</v>
      </c>
    </row>
    <row r="710" spans="1:2" x14ac:dyDescent="0.3">
      <c r="A710" s="1">
        <v>44872</v>
      </c>
      <c r="B710" s="4">
        <v>1499</v>
      </c>
    </row>
    <row r="711" spans="1:2" x14ac:dyDescent="0.3">
      <c r="A711" s="1">
        <v>44874</v>
      </c>
      <c r="B711" s="4">
        <v>1502.73</v>
      </c>
    </row>
    <row r="712" spans="1:2" x14ac:dyDescent="0.3">
      <c r="A712" s="1">
        <v>44875</v>
      </c>
      <c r="B712" s="4">
        <v>1493.53</v>
      </c>
    </row>
    <row r="713" spans="1:2" x14ac:dyDescent="0.3">
      <c r="A713" s="1">
        <v>44876</v>
      </c>
      <c r="B713" s="4">
        <v>1561.3</v>
      </c>
    </row>
    <row r="714" spans="1:2" x14ac:dyDescent="0.3">
      <c r="A714" s="1">
        <v>44879</v>
      </c>
      <c r="B714" s="4">
        <v>1576.42</v>
      </c>
    </row>
    <row r="715" spans="1:2" x14ac:dyDescent="0.3">
      <c r="A715" s="1">
        <v>44880</v>
      </c>
      <c r="B715" s="4">
        <v>1585.07</v>
      </c>
    </row>
    <row r="716" spans="1:2" x14ac:dyDescent="0.3">
      <c r="A716" s="1">
        <v>44881</v>
      </c>
      <c r="B716" s="4">
        <v>1593.82</v>
      </c>
    </row>
    <row r="717" spans="1:2" x14ac:dyDescent="0.3">
      <c r="A717" s="1">
        <v>44882</v>
      </c>
      <c r="B717" s="4">
        <v>1578.5</v>
      </c>
    </row>
    <row r="718" spans="1:2" x14ac:dyDescent="0.3">
      <c r="A718" s="1">
        <v>44883</v>
      </c>
      <c r="B718" s="4">
        <v>1584.47</v>
      </c>
    </row>
    <row r="719" spans="1:2" x14ac:dyDescent="0.3">
      <c r="A719" s="1">
        <v>44886</v>
      </c>
      <c r="B719" s="4">
        <v>1559.41</v>
      </c>
    </row>
    <row r="720" spans="1:2" x14ac:dyDescent="0.3">
      <c r="A720" s="1">
        <v>44887</v>
      </c>
      <c r="B720" s="4">
        <v>1576.17</v>
      </c>
    </row>
    <row r="721" spans="1:2" x14ac:dyDescent="0.3">
      <c r="A721" s="1">
        <v>44888</v>
      </c>
      <c r="B721" s="4">
        <v>1574.28</v>
      </c>
    </row>
    <row r="722" spans="1:2" x14ac:dyDescent="0.3">
      <c r="A722" s="1">
        <v>44889</v>
      </c>
      <c r="B722" s="4">
        <v>1620.67</v>
      </c>
    </row>
    <row r="723" spans="1:2" x14ac:dyDescent="0.3">
      <c r="A723" s="1">
        <v>44890</v>
      </c>
      <c r="B723" s="4">
        <v>1626.48</v>
      </c>
    </row>
    <row r="724" spans="1:2" x14ac:dyDescent="0.3">
      <c r="A724" s="1">
        <v>44893</v>
      </c>
      <c r="B724" s="4">
        <v>1614.3</v>
      </c>
    </row>
    <row r="725" spans="1:2" x14ac:dyDescent="0.3">
      <c r="A725" s="1">
        <v>44894</v>
      </c>
      <c r="B725" s="4">
        <v>1619.92</v>
      </c>
    </row>
    <row r="726" spans="1:2" x14ac:dyDescent="0.3">
      <c r="A726" s="1">
        <v>44895</v>
      </c>
      <c r="B726" s="4">
        <v>1625.79</v>
      </c>
    </row>
    <row r="727" spans="1:2" x14ac:dyDescent="0.3">
      <c r="A727" s="1">
        <v>44896</v>
      </c>
      <c r="B727" s="4">
        <v>1647.81</v>
      </c>
    </row>
    <row r="728" spans="1:2" x14ac:dyDescent="0.3">
      <c r="A728" s="1">
        <v>44897</v>
      </c>
      <c r="B728" s="4">
        <v>1628.72</v>
      </c>
    </row>
    <row r="729" spans="1:2" x14ac:dyDescent="0.3">
      <c r="A729" s="1">
        <v>44900</v>
      </c>
      <c r="B729" s="4">
        <v>1630.56</v>
      </c>
    </row>
    <row r="730" spans="1:2" x14ac:dyDescent="0.3">
      <c r="A730" s="1">
        <v>44901</v>
      </c>
      <c r="B730" s="4">
        <v>1603.86</v>
      </c>
    </row>
    <row r="731" spans="1:2" x14ac:dyDescent="0.3">
      <c r="A731" s="1">
        <v>44902</v>
      </c>
      <c r="B731" s="4">
        <v>1596.5</v>
      </c>
    </row>
    <row r="732" spans="1:2" x14ac:dyDescent="0.3">
      <c r="A732" s="1">
        <v>44903</v>
      </c>
      <c r="B732" s="4">
        <v>1611.07</v>
      </c>
    </row>
    <row r="733" spans="1:2" x14ac:dyDescent="0.3">
      <c r="A733" s="1">
        <v>44904</v>
      </c>
      <c r="B733" s="4">
        <v>1560.51</v>
      </c>
    </row>
    <row r="734" spans="1:2" x14ac:dyDescent="0.3">
      <c r="A734" s="1">
        <v>44907</v>
      </c>
      <c r="B734" s="4">
        <v>1538.53</v>
      </c>
    </row>
    <row r="735" spans="1:2" x14ac:dyDescent="0.3">
      <c r="A735" s="1">
        <v>44908</v>
      </c>
      <c r="B735" s="4">
        <v>1563.34</v>
      </c>
    </row>
    <row r="736" spans="1:2" x14ac:dyDescent="0.3">
      <c r="A736" s="1">
        <v>44909</v>
      </c>
      <c r="B736" s="4">
        <v>1570.55</v>
      </c>
    </row>
    <row r="737" spans="1:2" x14ac:dyDescent="0.3">
      <c r="A737" s="1">
        <v>44910</v>
      </c>
      <c r="B737" s="4">
        <v>1531.87</v>
      </c>
    </row>
    <row r="738" spans="1:2" x14ac:dyDescent="0.3">
      <c r="A738" s="1">
        <v>44911</v>
      </c>
      <c r="B738" s="4">
        <v>1513.67</v>
      </c>
    </row>
    <row r="739" spans="1:2" x14ac:dyDescent="0.3">
      <c r="A739" s="1">
        <v>44914</v>
      </c>
      <c r="B739" s="4">
        <v>1498.9</v>
      </c>
    </row>
    <row r="740" spans="1:2" x14ac:dyDescent="0.3">
      <c r="A740" s="1">
        <v>44915</v>
      </c>
      <c r="B740" s="4">
        <v>1498.85</v>
      </c>
    </row>
    <row r="741" spans="1:2" x14ac:dyDescent="0.3">
      <c r="A741" s="1">
        <v>44916</v>
      </c>
      <c r="B741" s="4">
        <v>1501.09</v>
      </c>
    </row>
    <row r="742" spans="1:2" x14ac:dyDescent="0.3">
      <c r="A742" s="1">
        <v>44917</v>
      </c>
      <c r="B742" s="4">
        <v>1513.52</v>
      </c>
    </row>
    <row r="743" spans="1:2" x14ac:dyDescent="0.3">
      <c r="A743" s="1">
        <v>44918</v>
      </c>
      <c r="B743" s="4">
        <v>1488.71</v>
      </c>
    </row>
    <row r="744" spans="1:2" x14ac:dyDescent="0.3">
      <c r="A744" s="1">
        <v>44921</v>
      </c>
      <c r="B744" s="4">
        <v>1493.98</v>
      </c>
    </row>
    <row r="745" spans="1:2" x14ac:dyDescent="0.3">
      <c r="A745" s="1">
        <v>44922</v>
      </c>
      <c r="B745" s="4">
        <v>1506.36</v>
      </c>
    </row>
    <row r="746" spans="1:2" x14ac:dyDescent="0.3">
      <c r="A746" s="1">
        <v>44923</v>
      </c>
      <c r="B746" s="4">
        <v>1501.69</v>
      </c>
    </row>
    <row r="747" spans="1:2" x14ac:dyDescent="0.3">
      <c r="A747" s="1">
        <v>44924</v>
      </c>
      <c r="B747" s="4">
        <v>1509.05</v>
      </c>
    </row>
    <row r="748" spans="1:2" x14ac:dyDescent="0.3">
      <c r="A748" s="1">
        <v>44925</v>
      </c>
      <c r="B748" s="4">
        <v>1499.75</v>
      </c>
    </row>
    <row r="749" spans="1:2" x14ac:dyDescent="0.3">
      <c r="A749" s="1">
        <v>44928</v>
      </c>
      <c r="B749" s="4">
        <v>1515.46</v>
      </c>
    </row>
    <row r="750" spans="1:2" x14ac:dyDescent="0.3">
      <c r="A750" s="1">
        <v>44929</v>
      </c>
      <c r="B750" s="4">
        <v>1514.02</v>
      </c>
    </row>
    <row r="751" spans="1:2" x14ac:dyDescent="0.3">
      <c r="A751" s="1">
        <v>44930</v>
      </c>
      <c r="B751" s="4">
        <v>1486.42</v>
      </c>
    </row>
    <row r="752" spans="1:2" x14ac:dyDescent="0.3">
      <c r="A752" s="1">
        <v>44931</v>
      </c>
      <c r="B752" s="4">
        <v>1466.93</v>
      </c>
    </row>
    <row r="753" spans="1:2" x14ac:dyDescent="0.3">
      <c r="A753" s="1">
        <v>44932</v>
      </c>
      <c r="B753" s="4">
        <v>1440.38</v>
      </c>
    </row>
    <row r="754" spans="1:2" x14ac:dyDescent="0.3">
      <c r="A754" s="1">
        <v>44935</v>
      </c>
      <c r="B754" s="4">
        <v>1476.13</v>
      </c>
    </row>
    <row r="755" spans="1:2" x14ac:dyDescent="0.3">
      <c r="A755" s="1">
        <v>44936</v>
      </c>
      <c r="B755" s="4">
        <v>1461.51</v>
      </c>
    </row>
    <row r="756" spans="1:2" x14ac:dyDescent="0.3">
      <c r="A756" s="1">
        <v>44937</v>
      </c>
      <c r="B756" s="4">
        <v>1463.01</v>
      </c>
    </row>
    <row r="757" spans="1:2" x14ac:dyDescent="0.3">
      <c r="A757" s="1">
        <v>44938</v>
      </c>
      <c r="B757" s="4">
        <v>1472.3</v>
      </c>
    </row>
    <row r="758" spans="1:2" x14ac:dyDescent="0.3">
      <c r="A758" s="1">
        <v>44939</v>
      </c>
      <c r="B758" s="4">
        <v>1495.22</v>
      </c>
    </row>
    <row r="759" spans="1:2" x14ac:dyDescent="0.3">
      <c r="A759" s="1">
        <v>44942</v>
      </c>
      <c r="B759" s="4">
        <v>1516.95</v>
      </c>
    </row>
    <row r="760" spans="1:2" x14ac:dyDescent="0.3">
      <c r="A760" s="1">
        <v>44943</v>
      </c>
      <c r="B760" s="4">
        <v>1530.87</v>
      </c>
    </row>
    <row r="761" spans="1:2" x14ac:dyDescent="0.3">
      <c r="A761" s="1">
        <v>44944</v>
      </c>
      <c r="B761" s="4">
        <v>1536.74</v>
      </c>
    </row>
    <row r="762" spans="1:2" x14ac:dyDescent="0.3">
      <c r="A762" s="1">
        <v>44945</v>
      </c>
      <c r="B762" s="4">
        <v>1530.28</v>
      </c>
    </row>
    <row r="763" spans="1:2" x14ac:dyDescent="0.3">
      <c r="A763" s="1">
        <v>44946</v>
      </c>
      <c r="B763" s="4">
        <v>1517</v>
      </c>
    </row>
    <row r="764" spans="1:2" x14ac:dyDescent="0.3">
      <c r="A764" s="1">
        <v>44949</v>
      </c>
      <c r="B764" s="4">
        <v>1539.32</v>
      </c>
    </row>
    <row r="765" spans="1:2" x14ac:dyDescent="0.3">
      <c r="A765" s="1">
        <v>44950</v>
      </c>
      <c r="B765" s="4">
        <v>1543.2</v>
      </c>
    </row>
    <row r="766" spans="1:2" x14ac:dyDescent="0.3">
      <c r="A766" s="1">
        <v>44951</v>
      </c>
      <c r="B766" s="4">
        <v>1534.35</v>
      </c>
    </row>
    <row r="767" spans="1:2" x14ac:dyDescent="0.3">
      <c r="A767" s="1">
        <v>44953</v>
      </c>
      <c r="B767" s="4">
        <v>1510.64</v>
      </c>
    </row>
    <row r="768" spans="1:2" x14ac:dyDescent="0.3">
      <c r="A768" s="1">
        <v>44956</v>
      </c>
      <c r="B768" s="4">
        <v>1530.18</v>
      </c>
    </row>
    <row r="769" spans="1:2" x14ac:dyDescent="0.3">
      <c r="A769" s="1">
        <v>44957</v>
      </c>
      <c r="B769" s="4">
        <v>1525.16</v>
      </c>
    </row>
    <row r="770" spans="1:2" x14ac:dyDescent="0.3">
      <c r="A770" s="1">
        <v>44958</v>
      </c>
      <c r="B770" s="4">
        <v>1542.41</v>
      </c>
    </row>
    <row r="771" spans="1:2" x14ac:dyDescent="0.3">
      <c r="A771" s="1">
        <v>44959</v>
      </c>
      <c r="B771" s="4">
        <v>1574.88</v>
      </c>
    </row>
    <row r="772" spans="1:2" x14ac:dyDescent="0.3">
      <c r="A772" s="1">
        <v>44960</v>
      </c>
      <c r="B772" s="4">
        <v>1590.44</v>
      </c>
    </row>
    <row r="773" spans="1:2" x14ac:dyDescent="0.3">
      <c r="A773" s="1">
        <v>44963</v>
      </c>
      <c r="B773" s="4">
        <v>1561.05</v>
      </c>
    </row>
    <row r="774" spans="1:2" x14ac:dyDescent="0.3">
      <c r="A774" s="1">
        <v>44964</v>
      </c>
      <c r="B774" s="4">
        <v>1553.64</v>
      </c>
    </row>
    <row r="775" spans="1:2" x14ac:dyDescent="0.3">
      <c r="A775" s="1">
        <v>44965</v>
      </c>
      <c r="B775" s="4">
        <v>1581.59</v>
      </c>
    </row>
    <row r="776" spans="1:2" x14ac:dyDescent="0.3">
      <c r="A776" s="1">
        <v>44966</v>
      </c>
      <c r="B776" s="4">
        <v>1607.94</v>
      </c>
    </row>
    <row r="777" spans="1:2" x14ac:dyDescent="0.3">
      <c r="A777" s="1">
        <v>44967</v>
      </c>
      <c r="B777" s="4">
        <v>1599.54</v>
      </c>
    </row>
    <row r="778" spans="1:2" x14ac:dyDescent="0.3">
      <c r="A778" s="1">
        <v>44970</v>
      </c>
      <c r="B778" s="4">
        <v>1558.67</v>
      </c>
    </row>
    <row r="779" spans="1:2" x14ac:dyDescent="0.3">
      <c r="A779" s="1">
        <v>44971</v>
      </c>
      <c r="B779" s="4">
        <v>1584.32</v>
      </c>
    </row>
    <row r="780" spans="1:2" x14ac:dyDescent="0.3">
      <c r="A780" s="1">
        <v>44972</v>
      </c>
      <c r="B780" s="4">
        <v>1588.1</v>
      </c>
    </row>
    <row r="781" spans="1:2" x14ac:dyDescent="0.3">
      <c r="A781" s="1">
        <v>44973</v>
      </c>
      <c r="B781" s="4">
        <v>1592.82</v>
      </c>
    </row>
    <row r="782" spans="1:2" x14ac:dyDescent="0.3">
      <c r="A782" s="1">
        <v>44974</v>
      </c>
      <c r="B782" s="4">
        <v>1574.92</v>
      </c>
    </row>
    <row r="783" spans="1:2" x14ac:dyDescent="0.3">
      <c r="A783" s="1">
        <v>44977</v>
      </c>
      <c r="B783" s="4">
        <v>1583.53</v>
      </c>
    </row>
    <row r="784" spans="1:2" x14ac:dyDescent="0.3">
      <c r="A784" s="1">
        <v>44978</v>
      </c>
      <c r="B784" s="4">
        <v>1570.65</v>
      </c>
    </row>
    <row r="785" spans="1:2" x14ac:dyDescent="0.3">
      <c r="A785" s="1">
        <v>44979</v>
      </c>
      <c r="B785" s="4">
        <v>1553.05</v>
      </c>
    </row>
    <row r="786" spans="1:2" x14ac:dyDescent="0.3">
      <c r="A786" s="1">
        <v>44980</v>
      </c>
      <c r="B786" s="4">
        <v>1542.01</v>
      </c>
    </row>
    <row r="787" spans="1:2" x14ac:dyDescent="0.3">
      <c r="A787" s="1">
        <v>44981</v>
      </c>
      <c r="B787" s="4">
        <v>1541.96</v>
      </c>
    </row>
    <row r="788" spans="1:2" x14ac:dyDescent="0.3">
      <c r="A788" s="1">
        <v>44984</v>
      </c>
      <c r="B788" s="4">
        <v>1500.84</v>
      </c>
    </row>
    <row r="789" spans="1:2" x14ac:dyDescent="0.3">
      <c r="A789" s="1">
        <v>44985</v>
      </c>
      <c r="B789" s="4">
        <v>1479.21</v>
      </c>
    </row>
    <row r="790" spans="1:2" x14ac:dyDescent="0.3">
      <c r="A790" s="1">
        <v>44986</v>
      </c>
      <c r="B790" s="4">
        <v>1487.67</v>
      </c>
    </row>
    <row r="791" spans="1:2" x14ac:dyDescent="0.3">
      <c r="A791" s="1">
        <v>44987</v>
      </c>
      <c r="B791" s="4">
        <v>1463.9</v>
      </c>
    </row>
    <row r="792" spans="1:2" x14ac:dyDescent="0.3">
      <c r="A792" s="1">
        <v>44988</v>
      </c>
      <c r="B792" s="4">
        <v>1471.01</v>
      </c>
    </row>
    <row r="793" spans="1:2" x14ac:dyDescent="0.3">
      <c r="A793" s="1">
        <v>44991</v>
      </c>
      <c r="B793" s="4">
        <v>1499</v>
      </c>
    </row>
    <row r="794" spans="1:2" x14ac:dyDescent="0.3">
      <c r="A794" s="1">
        <v>44993</v>
      </c>
      <c r="B794" s="4">
        <v>1484.33</v>
      </c>
    </row>
    <row r="795" spans="1:2" x14ac:dyDescent="0.3">
      <c r="A795" s="1">
        <v>44994</v>
      </c>
      <c r="B795" s="4">
        <v>1472.1</v>
      </c>
    </row>
    <row r="796" spans="1:2" x14ac:dyDescent="0.3">
      <c r="A796" s="1">
        <v>44995</v>
      </c>
      <c r="B796" s="4">
        <v>1463.3</v>
      </c>
    </row>
    <row r="797" spans="1:2" x14ac:dyDescent="0.3">
      <c r="A797" s="1">
        <v>44998</v>
      </c>
      <c r="B797" s="4">
        <v>1427.06</v>
      </c>
    </row>
    <row r="798" spans="1:2" x14ac:dyDescent="0.3">
      <c r="A798" s="1">
        <v>44999</v>
      </c>
      <c r="B798" s="4">
        <v>1412.04</v>
      </c>
    </row>
    <row r="799" spans="1:2" x14ac:dyDescent="0.3">
      <c r="A799" s="1">
        <v>45000</v>
      </c>
      <c r="B799" s="4">
        <v>1411.69</v>
      </c>
    </row>
    <row r="800" spans="1:2" x14ac:dyDescent="0.3">
      <c r="A800" s="1">
        <v>45001</v>
      </c>
      <c r="B800" s="4">
        <v>1396.23</v>
      </c>
    </row>
    <row r="801" spans="1:2" x14ac:dyDescent="0.3">
      <c r="A801" s="1">
        <v>45002</v>
      </c>
      <c r="B801" s="4">
        <v>1412.74</v>
      </c>
    </row>
    <row r="802" spans="1:2" x14ac:dyDescent="0.3">
      <c r="A802" s="1">
        <v>45005</v>
      </c>
      <c r="B802" s="4">
        <v>1395.78</v>
      </c>
    </row>
    <row r="803" spans="1:2" x14ac:dyDescent="0.3">
      <c r="A803" s="1">
        <v>45006</v>
      </c>
      <c r="B803" s="4">
        <v>1382.91</v>
      </c>
    </row>
    <row r="804" spans="1:2" x14ac:dyDescent="0.3">
      <c r="A804" s="1">
        <v>45007</v>
      </c>
      <c r="B804" s="4">
        <v>1381.46</v>
      </c>
    </row>
    <row r="805" spans="1:2" x14ac:dyDescent="0.3">
      <c r="A805" s="1">
        <v>45008</v>
      </c>
      <c r="B805" s="4">
        <v>1366.85</v>
      </c>
    </row>
    <row r="806" spans="1:2" x14ac:dyDescent="0.3">
      <c r="A806" s="1">
        <v>45009</v>
      </c>
      <c r="B806" s="4">
        <v>1372.91</v>
      </c>
    </row>
    <row r="807" spans="1:2" x14ac:dyDescent="0.3">
      <c r="A807" s="1">
        <v>45012</v>
      </c>
      <c r="B807" s="4">
        <v>1381.17</v>
      </c>
    </row>
    <row r="808" spans="1:2" x14ac:dyDescent="0.3">
      <c r="A808" s="1">
        <v>45013</v>
      </c>
      <c r="B808" s="4">
        <v>1369.88</v>
      </c>
    </row>
    <row r="809" spans="1:2" x14ac:dyDescent="0.3">
      <c r="A809" s="1">
        <v>45014</v>
      </c>
      <c r="B809" s="4">
        <v>1375.8</v>
      </c>
    </row>
    <row r="810" spans="1:2" x14ac:dyDescent="0.3">
      <c r="A810" s="1">
        <v>45016</v>
      </c>
      <c r="B810" s="4">
        <v>1419.95</v>
      </c>
    </row>
    <row r="811" spans="1:2" x14ac:dyDescent="0.3">
      <c r="A811" s="1">
        <v>45019</v>
      </c>
      <c r="B811" s="4">
        <v>1402.94</v>
      </c>
    </row>
    <row r="812" spans="1:2" x14ac:dyDescent="0.3">
      <c r="A812" s="1">
        <v>45021</v>
      </c>
      <c r="B812" s="4">
        <v>1415.57</v>
      </c>
    </row>
    <row r="813" spans="1:2" x14ac:dyDescent="0.3">
      <c r="A813" s="1">
        <v>45022</v>
      </c>
      <c r="B813" s="4">
        <v>1413.93</v>
      </c>
    </row>
    <row r="814" spans="1:2" x14ac:dyDescent="0.3">
      <c r="A814" s="1">
        <v>45026</v>
      </c>
      <c r="B814" s="4">
        <v>1419.6</v>
      </c>
    </row>
    <row r="815" spans="1:2" x14ac:dyDescent="0.3">
      <c r="A815" s="1">
        <v>45027</v>
      </c>
      <c r="B815" s="4">
        <v>1398.27</v>
      </c>
    </row>
    <row r="816" spans="1:2" x14ac:dyDescent="0.3">
      <c r="A816" s="1">
        <v>45028</v>
      </c>
      <c r="B816" s="4">
        <v>1420.3</v>
      </c>
    </row>
    <row r="817" spans="1:2" x14ac:dyDescent="0.3">
      <c r="A817" s="1">
        <v>45029</v>
      </c>
      <c r="B817" s="4">
        <v>1381.42</v>
      </c>
    </row>
    <row r="818" spans="1:2" x14ac:dyDescent="0.3">
      <c r="A818" s="1">
        <v>45033</v>
      </c>
      <c r="B818" s="4">
        <v>1251.25</v>
      </c>
    </row>
    <row r="819" spans="1:2" x14ac:dyDescent="0.3">
      <c r="A819" s="1">
        <v>45034</v>
      </c>
      <c r="B819" s="4">
        <v>1252.29</v>
      </c>
    </row>
    <row r="820" spans="1:2" x14ac:dyDescent="0.3">
      <c r="A820" s="1">
        <v>45035</v>
      </c>
      <c r="B820" s="4">
        <v>1225.3</v>
      </c>
    </row>
    <row r="821" spans="1:2" x14ac:dyDescent="0.3">
      <c r="A821" s="1">
        <v>45036</v>
      </c>
      <c r="B821" s="4">
        <v>1216.54</v>
      </c>
    </row>
    <row r="822" spans="1:2" x14ac:dyDescent="0.3">
      <c r="A822" s="1">
        <v>45037</v>
      </c>
      <c r="B822" s="4">
        <v>1220.47</v>
      </c>
    </row>
    <row r="823" spans="1:2" x14ac:dyDescent="0.3">
      <c r="A823" s="1">
        <v>45040</v>
      </c>
      <c r="B823" s="4">
        <v>1219.43</v>
      </c>
    </row>
    <row r="824" spans="1:2" x14ac:dyDescent="0.3">
      <c r="A824" s="1">
        <v>45041</v>
      </c>
      <c r="B824" s="4">
        <v>1218.04</v>
      </c>
    </row>
    <row r="825" spans="1:2" x14ac:dyDescent="0.3">
      <c r="A825" s="1">
        <v>45042</v>
      </c>
      <c r="B825" s="4">
        <v>1220.67</v>
      </c>
    </row>
    <row r="826" spans="1:2" x14ac:dyDescent="0.3">
      <c r="A826" s="1">
        <v>45043</v>
      </c>
      <c r="B826" s="4">
        <v>1239.27</v>
      </c>
    </row>
    <row r="827" spans="1:2" x14ac:dyDescent="0.3">
      <c r="A827" s="1">
        <v>45044</v>
      </c>
      <c r="B827" s="4">
        <v>1245.73</v>
      </c>
    </row>
    <row r="828" spans="1:2" x14ac:dyDescent="0.3">
      <c r="A828" s="1">
        <v>45048</v>
      </c>
      <c r="B828" s="4">
        <v>1270.29</v>
      </c>
    </row>
    <row r="829" spans="1:2" x14ac:dyDescent="0.3">
      <c r="A829" s="1">
        <v>45049</v>
      </c>
      <c r="B829" s="4">
        <v>1262.04</v>
      </c>
    </row>
    <row r="830" spans="1:2" x14ac:dyDescent="0.3">
      <c r="A830" s="1">
        <v>45050</v>
      </c>
      <c r="B830" s="4">
        <v>1266.4100000000001</v>
      </c>
    </row>
    <row r="831" spans="1:2" x14ac:dyDescent="0.3">
      <c r="A831" s="1">
        <v>45051</v>
      </c>
      <c r="B831" s="4">
        <v>1252.04</v>
      </c>
    </row>
    <row r="832" spans="1:2" x14ac:dyDescent="0.3">
      <c r="A832" s="1">
        <v>45054</v>
      </c>
      <c r="B832" s="4">
        <v>1258.51</v>
      </c>
    </row>
    <row r="833" spans="1:2" x14ac:dyDescent="0.3">
      <c r="A833" s="1">
        <v>45055</v>
      </c>
      <c r="B833" s="4">
        <v>1263.58</v>
      </c>
    </row>
    <row r="834" spans="1:2" x14ac:dyDescent="0.3">
      <c r="A834" s="1">
        <v>45056</v>
      </c>
      <c r="B834" s="4">
        <v>1256.17</v>
      </c>
    </row>
    <row r="835" spans="1:2" x14ac:dyDescent="0.3">
      <c r="A835" s="1">
        <v>45057</v>
      </c>
      <c r="B835" s="4">
        <v>1249.06</v>
      </c>
    </row>
    <row r="836" spans="1:2" x14ac:dyDescent="0.3">
      <c r="A836" s="1">
        <v>45058</v>
      </c>
      <c r="B836" s="4">
        <v>1238.22</v>
      </c>
    </row>
    <row r="837" spans="1:2" x14ac:dyDescent="0.3">
      <c r="A837" s="1">
        <v>45061</v>
      </c>
      <c r="B837" s="4">
        <v>1251.3</v>
      </c>
    </row>
    <row r="838" spans="1:2" x14ac:dyDescent="0.3">
      <c r="A838" s="1">
        <v>45062</v>
      </c>
      <c r="B838" s="4">
        <v>1257.21</v>
      </c>
    </row>
    <row r="839" spans="1:2" x14ac:dyDescent="0.3">
      <c r="A839" s="1">
        <v>45063</v>
      </c>
      <c r="B839" s="4">
        <v>1239.9100000000001</v>
      </c>
    </row>
    <row r="840" spans="1:2" x14ac:dyDescent="0.3">
      <c r="A840" s="1">
        <v>45064</v>
      </c>
      <c r="B840" s="4">
        <v>1239.02</v>
      </c>
    </row>
    <row r="841" spans="1:2" x14ac:dyDescent="0.3">
      <c r="A841" s="1">
        <v>45065</v>
      </c>
      <c r="B841" s="4">
        <v>1261.79</v>
      </c>
    </row>
    <row r="842" spans="1:2" x14ac:dyDescent="0.3">
      <c r="A842" s="1">
        <v>45068</v>
      </c>
      <c r="B842" s="4">
        <v>1285.56</v>
      </c>
    </row>
    <row r="843" spans="1:2" x14ac:dyDescent="0.3">
      <c r="A843" s="1">
        <v>45069</v>
      </c>
      <c r="B843" s="4">
        <v>1292.77</v>
      </c>
    </row>
    <row r="844" spans="1:2" x14ac:dyDescent="0.3">
      <c r="A844" s="1">
        <v>45070</v>
      </c>
      <c r="B844" s="4">
        <v>1291.3699999999999</v>
      </c>
    </row>
    <row r="845" spans="1:2" x14ac:dyDescent="0.3">
      <c r="A845" s="1">
        <v>45071</v>
      </c>
      <c r="B845" s="4">
        <v>1297.04</v>
      </c>
    </row>
    <row r="846" spans="1:2" x14ac:dyDescent="0.3">
      <c r="A846" s="1">
        <v>45072</v>
      </c>
      <c r="B846" s="4">
        <v>1310.07</v>
      </c>
    </row>
    <row r="847" spans="1:2" x14ac:dyDescent="0.3">
      <c r="A847" s="1">
        <v>45075</v>
      </c>
      <c r="B847" s="4">
        <v>1307.03</v>
      </c>
    </row>
    <row r="848" spans="1:2" x14ac:dyDescent="0.3">
      <c r="A848" s="1">
        <v>45076</v>
      </c>
      <c r="B848" s="4">
        <v>1316.43</v>
      </c>
    </row>
    <row r="849" spans="1:2" x14ac:dyDescent="0.3">
      <c r="A849" s="1">
        <v>45077</v>
      </c>
      <c r="B849" s="4">
        <v>1310.91</v>
      </c>
    </row>
    <row r="850" spans="1:2" x14ac:dyDescent="0.3">
      <c r="A850" s="1">
        <v>45078</v>
      </c>
      <c r="B850" s="4">
        <v>1312.11</v>
      </c>
    </row>
    <row r="851" spans="1:2" x14ac:dyDescent="0.3">
      <c r="A851" s="1">
        <v>45079</v>
      </c>
      <c r="B851" s="4">
        <v>1291.72</v>
      </c>
    </row>
    <row r="852" spans="1:2" x14ac:dyDescent="0.3">
      <c r="A852" s="1">
        <v>45082</v>
      </c>
      <c r="B852" s="4">
        <v>1297.19</v>
      </c>
    </row>
    <row r="853" spans="1:2" x14ac:dyDescent="0.3">
      <c r="A853" s="1">
        <v>45083</v>
      </c>
      <c r="B853" s="4">
        <v>1271.83</v>
      </c>
    </row>
    <row r="854" spans="1:2" x14ac:dyDescent="0.3">
      <c r="A854" s="1">
        <v>45084</v>
      </c>
      <c r="B854" s="4">
        <v>1281.73</v>
      </c>
    </row>
    <row r="855" spans="1:2" x14ac:dyDescent="0.3">
      <c r="A855" s="1">
        <v>45085</v>
      </c>
      <c r="B855" s="4">
        <v>1275.6099999999999</v>
      </c>
    </row>
    <row r="856" spans="1:2" x14ac:dyDescent="0.3">
      <c r="A856" s="1">
        <v>45086</v>
      </c>
      <c r="B856" s="4">
        <v>1258.8599999999999</v>
      </c>
    </row>
    <row r="857" spans="1:2" x14ac:dyDescent="0.3">
      <c r="A857" s="1">
        <v>45089</v>
      </c>
      <c r="B857" s="4">
        <v>1284.71</v>
      </c>
    </row>
    <row r="858" spans="1:2" x14ac:dyDescent="0.3">
      <c r="A858" s="1">
        <v>45090</v>
      </c>
      <c r="B858" s="4">
        <v>1297.54</v>
      </c>
    </row>
    <row r="859" spans="1:2" x14ac:dyDescent="0.3">
      <c r="A859" s="1">
        <v>45091</v>
      </c>
      <c r="B859" s="4">
        <v>1293.1099999999999</v>
      </c>
    </row>
    <row r="860" spans="1:2" x14ac:dyDescent="0.3">
      <c r="A860" s="1">
        <v>45092</v>
      </c>
      <c r="B860" s="4">
        <v>1279.5899999999999</v>
      </c>
    </row>
    <row r="861" spans="1:2" x14ac:dyDescent="0.3">
      <c r="A861" s="1">
        <v>45093</v>
      </c>
      <c r="B861" s="4">
        <v>1284.4100000000001</v>
      </c>
    </row>
    <row r="862" spans="1:2" x14ac:dyDescent="0.3">
      <c r="A862" s="1">
        <v>45096</v>
      </c>
      <c r="B862" s="4">
        <v>1286.75</v>
      </c>
    </row>
    <row r="863" spans="1:2" x14ac:dyDescent="0.3">
      <c r="A863" s="1">
        <v>45097</v>
      </c>
      <c r="B863" s="4">
        <v>1296.0999999999999</v>
      </c>
    </row>
    <row r="864" spans="1:2" x14ac:dyDescent="0.3">
      <c r="A864" s="1">
        <v>45098</v>
      </c>
      <c r="B864" s="4">
        <v>1292.07</v>
      </c>
    </row>
    <row r="865" spans="1:2" x14ac:dyDescent="0.3">
      <c r="A865" s="1">
        <v>45099</v>
      </c>
      <c r="B865" s="4">
        <v>1274.3699999999999</v>
      </c>
    </row>
    <row r="866" spans="1:2" x14ac:dyDescent="0.3">
      <c r="A866" s="1">
        <v>45100</v>
      </c>
      <c r="B866" s="4">
        <v>1257.9100000000001</v>
      </c>
    </row>
    <row r="867" spans="1:2" x14ac:dyDescent="0.3">
      <c r="A867" s="1">
        <v>45103</v>
      </c>
      <c r="B867" s="4">
        <v>1263.23</v>
      </c>
    </row>
    <row r="868" spans="1:2" x14ac:dyDescent="0.3">
      <c r="A868" s="1">
        <v>45104</v>
      </c>
      <c r="B868" s="4">
        <v>1271.98</v>
      </c>
    </row>
    <row r="869" spans="1:2" x14ac:dyDescent="0.3">
      <c r="A869" s="1">
        <v>45105</v>
      </c>
      <c r="B869" s="4">
        <v>1286.0999999999999</v>
      </c>
    </row>
    <row r="870" spans="1:2" x14ac:dyDescent="0.3">
      <c r="A870" s="1">
        <v>45107</v>
      </c>
      <c r="B870" s="4">
        <v>1328.02</v>
      </c>
    </row>
    <row r="871" spans="1:2" x14ac:dyDescent="0.3">
      <c r="A871" s="1">
        <v>45110</v>
      </c>
      <c r="B871" s="4">
        <v>1326.23</v>
      </c>
    </row>
    <row r="872" spans="1:2" x14ac:dyDescent="0.3">
      <c r="A872" s="1">
        <v>45111</v>
      </c>
      <c r="B872" s="4">
        <v>1337.61</v>
      </c>
    </row>
    <row r="873" spans="1:2" x14ac:dyDescent="0.3">
      <c r="A873" s="1">
        <v>45112</v>
      </c>
      <c r="B873" s="4">
        <v>1339.75</v>
      </c>
    </row>
    <row r="874" spans="1:2" x14ac:dyDescent="0.3">
      <c r="A874" s="1">
        <v>45113</v>
      </c>
      <c r="B874" s="4">
        <v>1336.37</v>
      </c>
    </row>
    <row r="875" spans="1:2" x14ac:dyDescent="0.3">
      <c r="A875" s="1">
        <v>45114</v>
      </c>
      <c r="B875" s="4">
        <v>1322.75</v>
      </c>
    </row>
    <row r="876" spans="1:2" x14ac:dyDescent="0.3">
      <c r="A876" s="1">
        <v>45117</v>
      </c>
      <c r="B876" s="4">
        <v>1321.7</v>
      </c>
    </row>
    <row r="877" spans="1:2" x14ac:dyDescent="0.3">
      <c r="A877" s="1">
        <v>45118</v>
      </c>
      <c r="B877" s="4">
        <v>1341.04</v>
      </c>
    </row>
    <row r="878" spans="1:2" x14ac:dyDescent="0.3">
      <c r="A878" s="1">
        <v>45119</v>
      </c>
      <c r="B878" s="4">
        <v>1325.83</v>
      </c>
    </row>
    <row r="879" spans="1:2" x14ac:dyDescent="0.3">
      <c r="A879" s="1">
        <v>45120</v>
      </c>
      <c r="B879" s="4">
        <v>1357.45</v>
      </c>
    </row>
    <row r="880" spans="1:2" x14ac:dyDescent="0.3">
      <c r="A880" s="1">
        <v>45121</v>
      </c>
      <c r="B880" s="4">
        <v>1417.96</v>
      </c>
    </row>
    <row r="881" spans="1:2" x14ac:dyDescent="0.3">
      <c r="A881" s="1">
        <v>45124</v>
      </c>
      <c r="B881" s="4">
        <v>1414.98</v>
      </c>
    </row>
    <row r="882" spans="1:2" x14ac:dyDescent="0.3">
      <c r="A882" s="1">
        <v>45125</v>
      </c>
      <c r="B882" s="4">
        <v>1466.93</v>
      </c>
    </row>
    <row r="883" spans="1:2" x14ac:dyDescent="0.3">
      <c r="A883" s="1">
        <v>45126</v>
      </c>
      <c r="B883" s="4">
        <v>1466.68</v>
      </c>
    </row>
    <row r="884" spans="1:2" x14ac:dyDescent="0.3">
      <c r="A884" s="1">
        <v>45127</v>
      </c>
      <c r="B884" s="4">
        <v>1441.38</v>
      </c>
    </row>
    <row r="885" spans="1:2" x14ac:dyDescent="0.3">
      <c r="A885" s="1">
        <v>45128</v>
      </c>
      <c r="B885" s="4">
        <v>1324.14</v>
      </c>
    </row>
    <row r="886" spans="1:2" x14ac:dyDescent="0.3">
      <c r="A886" s="1">
        <v>45131</v>
      </c>
      <c r="B886" s="4">
        <v>1329.11</v>
      </c>
    </row>
    <row r="887" spans="1:2" x14ac:dyDescent="0.3">
      <c r="A887" s="1">
        <v>45132</v>
      </c>
      <c r="B887" s="4">
        <v>1327.12</v>
      </c>
    </row>
    <row r="888" spans="1:2" x14ac:dyDescent="0.3">
      <c r="A888" s="1">
        <v>45133</v>
      </c>
      <c r="B888" s="4">
        <v>1341.29</v>
      </c>
    </row>
    <row r="889" spans="1:2" x14ac:dyDescent="0.3">
      <c r="A889" s="1">
        <v>45134</v>
      </c>
      <c r="B889" s="4">
        <v>1345.57</v>
      </c>
    </row>
    <row r="890" spans="1:2" x14ac:dyDescent="0.3">
      <c r="A890" s="1">
        <v>45135</v>
      </c>
      <c r="B890" s="4">
        <v>1332.99</v>
      </c>
    </row>
    <row r="891" spans="1:2" x14ac:dyDescent="0.3">
      <c r="A891" s="1">
        <v>45138</v>
      </c>
      <c r="B891" s="4">
        <v>1348.1</v>
      </c>
    </row>
    <row r="892" spans="1:2" x14ac:dyDescent="0.3">
      <c r="A892" s="1">
        <v>45139</v>
      </c>
      <c r="B892" s="4">
        <v>1357.55</v>
      </c>
    </row>
    <row r="893" spans="1:2" x14ac:dyDescent="0.3">
      <c r="A893" s="1">
        <v>45140</v>
      </c>
      <c r="B893" s="4">
        <v>1349.25</v>
      </c>
    </row>
    <row r="894" spans="1:2" x14ac:dyDescent="0.3">
      <c r="A894" s="1">
        <v>45141</v>
      </c>
      <c r="B894" s="4">
        <v>1356.65</v>
      </c>
    </row>
    <row r="895" spans="1:2" x14ac:dyDescent="0.3">
      <c r="A895" s="1">
        <v>45142</v>
      </c>
      <c r="B895" s="4">
        <v>1370.63</v>
      </c>
    </row>
    <row r="896" spans="1:2" x14ac:dyDescent="0.3">
      <c r="A896" s="1">
        <v>45145</v>
      </c>
      <c r="B896" s="4">
        <v>1385.19</v>
      </c>
    </row>
    <row r="897" spans="1:2" x14ac:dyDescent="0.3">
      <c r="A897" s="1">
        <v>45146</v>
      </c>
      <c r="B897" s="4">
        <v>1382.41</v>
      </c>
    </row>
    <row r="898" spans="1:2" x14ac:dyDescent="0.3">
      <c r="A898" s="1">
        <v>45147</v>
      </c>
      <c r="B898" s="4">
        <v>1386.59</v>
      </c>
    </row>
    <row r="899" spans="1:2" x14ac:dyDescent="0.3">
      <c r="A899" s="1">
        <v>45148</v>
      </c>
      <c r="B899" s="4">
        <v>1381.31</v>
      </c>
    </row>
    <row r="900" spans="1:2" x14ac:dyDescent="0.3">
      <c r="A900" s="1">
        <v>45149</v>
      </c>
      <c r="B900" s="4">
        <v>1364.16</v>
      </c>
    </row>
    <row r="901" spans="1:2" x14ac:dyDescent="0.3">
      <c r="A901" s="1">
        <v>45152</v>
      </c>
      <c r="B901" s="4">
        <v>1385.74</v>
      </c>
    </row>
    <row r="902" spans="1:2" x14ac:dyDescent="0.3">
      <c r="A902" s="1">
        <v>45154</v>
      </c>
      <c r="B902" s="4">
        <v>1410.55</v>
      </c>
    </row>
    <row r="903" spans="1:2" x14ac:dyDescent="0.3">
      <c r="A903" s="1">
        <v>45155</v>
      </c>
      <c r="B903" s="4">
        <v>1403.64</v>
      </c>
    </row>
    <row r="904" spans="1:2" x14ac:dyDescent="0.3">
      <c r="A904" s="1">
        <v>45156</v>
      </c>
      <c r="B904" s="4">
        <v>1381.02</v>
      </c>
    </row>
    <row r="905" spans="1:2" x14ac:dyDescent="0.3">
      <c r="A905" s="1">
        <v>45159</v>
      </c>
      <c r="B905" s="4">
        <v>1397.52</v>
      </c>
    </row>
    <row r="906" spans="1:2" x14ac:dyDescent="0.3">
      <c r="A906" s="1">
        <v>45160</v>
      </c>
      <c r="B906" s="4">
        <v>1395.88</v>
      </c>
    </row>
    <row r="907" spans="1:2" x14ac:dyDescent="0.3">
      <c r="A907" s="1">
        <v>45161</v>
      </c>
      <c r="B907" s="4">
        <v>1400.06</v>
      </c>
    </row>
    <row r="908" spans="1:2" x14ac:dyDescent="0.3">
      <c r="A908" s="1">
        <v>45162</v>
      </c>
      <c r="B908" s="4">
        <v>1415.62</v>
      </c>
    </row>
    <row r="909" spans="1:2" x14ac:dyDescent="0.3">
      <c r="A909" s="1">
        <v>45163</v>
      </c>
      <c r="B909" s="4">
        <v>1412.14</v>
      </c>
    </row>
    <row r="910" spans="1:2" x14ac:dyDescent="0.3">
      <c r="A910" s="1">
        <v>45166</v>
      </c>
      <c r="B910" s="4">
        <v>1407.72</v>
      </c>
    </row>
    <row r="911" spans="1:2" x14ac:dyDescent="0.3">
      <c r="A911" s="1">
        <v>45167</v>
      </c>
      <c r="B911" s="4">
        <v>1409.7</v>
      </c>
    </row>
    <row r="912" spans="1:2" x14ac:dyDescent="0.3">
      <c r="A912" s="1">
        <v>45168</v>
      </c>
      <c r="B912" s="4">
        <v>1427.11</v>
      </c>
    </row>
    <row r="913" spans="1:2" x14ac:dyDescent="0.3">
      <c r="A913" s="1">
        <v>45169</v>
      </c>
      <c r="B913" s="4">
        <v>1427.41</v>
      </c>
    </row>
    <row r="914" spans="1:2" x14ac:dyDescent="0.3">
      <c r="A914" s="1">
        <v>45170</v>
      </c>
      <c r="B914" s="4">
        <v>1435.76</v>
      </c>
    </row>
    <row r="915" spans="1:2" x14ac:dyDescent="0.3">
      <c r="A915" s="1">
        <v>45173</v>
      </c>
      <c r="B915" s="4">
        <v>1456.89</v>
      </c>
    </row>
    <row r="916" spans="1:2" x14ac:dyDescent="0.3">
      <c r="A916" s="1">
        <v>45174</v>
      </c>
      <c r="B916" s="4">
        <v>1470.61</v>
      </c>
    </row>
    <row r="917" spans="1:2" x14ac:dyDescent="0.3">
      <c r="A917" s="1">
        <v>45175</v>
      </c>
      <c r="B917" s="4">
        <v>1469.17</v>
      </c>
    </row>
    <row r="918" spans="1:2" x14ac:dyDescent="0.3">
      <c r="A918" s="1">
        <v>45176</v>
      </c>
      <c r="B918" s="4">
        <v>1457.98</v>
      </c>
    </row>
    <row r="919" spans="1:2" x14ac:dyDescent="0.3">
      <c r="A919" s="1">
        <v>45177</v>
      </c>
      <c r="B919" s="4">
        <v>1461.36</v>
      </c>
    </row>
    <row r="920" spans="1:2" x14ac:dyDescent="0.3">
      <c r="A920" s="1">
        <v>45180</v>
      </c>
      <c r="B920" s="4">
        <v>1468.18</v>
      </c>
    </row>
    <row r="921" spans="1:2" x14ac:dyDescent="0.3">
      <c r="A921" s="1">
        <v>45181</v>
      </c>
      <c r="B921" s="4">
        <v>1492.69</v>
      </c>
    </row>
    <row r="922" spans="1:2" x14ac:dyDescent="0.3">
      <c r="A922" s="1">
        <v>45182</v>
      </c>
      <c r="B922" s="4">
        <v>1489.95</v>
      </c>
    </row>
    <row r="923" spans="1:2" x14ac:dyDescent="0.3">
      <c r="A923" s="1">
        <v>45183</v>
      </c>
      <c r="B923" s="4">
        <v>1498.51</v>
      </c>
    </row>
    <row r="924" spans="1:2" x14ac:dyDescent="0.3">
      <c r="A924" s="1">
        <v>45184</v>
      </c>
      <c r="B924" s="4">
        <v>1503.13</v>
      </c>
    </row>
    <row r="925" spans="1:2" x14ac:dyDescent="0.3">
      <c r="A925" s="1">
        <v>45187</v>
      </c>
      <c r="B925" s="4">
        <v>1483.44</v>
      </c>
    </row>
    <row r="926" spans="1:2" x14ac:dyDescent="0.3">
      <c r="A926" s="1">
        <v>45189</v>
      </c>
      <c r="B926" s="4">
        <v>1481.9</v>
      </c>
    </row>
    <row r="927" spans="1:2" x14ac:dyDescent="0.3">
      <c r="A927" s="1">
        <v>45190</v>
      </c>
      <c r="B927" s="4">
        <v>1493.33</v>
      </c>
    </row>
    <row r="928" spans="1:2" x14ac:dyDescent="0.3">
      <c r="A928" s="1">
        <v>45191</v>
      </c>
      <c r="B928" s="4">
        <v>1487.77</v>
      </c>
    </row>
    <row r="929" spans="1:2" x14ac:dyDescent="0.3">
      <c r="A929" s="1">
        <v>45194</v>
      </c>
      <c r="B929" s="4">
        <v>1465.89</v>
      </c>
    </row>
    <row r="930" spans="1:2" x14ac:dyDescent="0.3">
      <c r="A930" s="1">
        <v>45195</v>
      </c>
      <c r="B930" s="4">
        <v>1452.46</v>
      </c>
    </row>
    <row r="931" spans="1:2" x14ac:dyDescent="0.3">
      <c r="A931" s="1">
        <v>45196</v>
      </c>
      <c r="B931" s="4">
        <v>1458.78</v>
      </c>
    </row>
    <row r="932" spans="1:2" x14ac:dyDescent="0.3">
      <c r="A932" s="1">
        <v>45197</v>
      </c>
      <c r="B932" s="4">
        <v>1431.38</v>
      </c>
    </row>
    <row r="933" spans="1:2" x14ac:dyDescent="0.3">
      <c r="A933" s="1">
        <v>45198</v>
      </c>
      <c r="B933" s="4">
        <v>1427.41</v>
      </c>
    </row>
    <row r="934" spans="1:2" x14ac:dyDescent="0.3">
      <c r="A934" s="1">
        <v>45202</v>
      </c>
      <c r="B934" s="4">
        <v>1425.96</v>
      </c>
    </row>
    <row r="935" spans="1:2" x14ac:dyDescent="0.3">
      <c r="A935" s="1">
        <v>45203</v>
      </c>
      <c r="B935" s="4">
        <v>1436.26</v>
      </c>
    </row>
    <row r="936" spans="1:2" x14ac:dyDescent="0.3">
      <c r="A936" s="1">
        <v>45204</v>
      </c>
      <c r="B936" s="4">
        <v>1455.25</v>
      </c>
    </row>
    <row r="937" spans="1:2" x14ac:dyDescent="0.3">
      <c r="A937" s="1">
        <v>45205</v>
      </c>
      <c r="B937" s="4">
        <v>1470.41</v>
      </c>
    </row>
    <row r="938" spans="1:2" x14ac:dyDescent="0.3">
      <c r="A938" s="1">
        <v>45208</v>
      </c>
      <c r="B938" s="4">
        <v>1467.18</v>
      </c>
    </row>
    <row r="939" spans="1:2" x14ac:dyDescent="0.3">
      <c r="A939" s="1">
        <v>45209</v>
      </c>
      <c r="B939" s="4">
        <v>1486.77</v>
      </c>
    </row>
    <row r="940" spans="1:2" x14ac:dyDescent="0.3">
      <c r="A940" s="1">
        <v>45210</v>
      </c>
      <c r="B940" s="4">
        <v>1486.03</v>
      </c>
    </row>
    <row r="941" spans="1:2" x14ac:dyDescent="0.3">
      <c r="A941" s="1">
        <v>45211</v>
      </c>
      <c r="B941" s="4">
        <v>1457.29</v>
      </c>
    </row>
    <row r="942" spans="1:2" x14ac:dyDescent="0.3">
      <c r="A942" s="1">
        <v>45212</v>
      </c>
      <c r="B942" s="4">
        <v>1423.13</v>
      </c>
    </row>
    <row r="943" spans="1:2" x14ac:dyDescent="0.3">
      <c r="A943" s="1">
        <v>45215</v>
      </c>
      <c r="B943" s="4">
        <v>1426.11</v>
      </c>
    </row>
    <row r="944" spans="1:2" x14ac:dyDescent="0.3">
      <c r="A944" s="1">
        <v>45216</v>
      </c>
      <c r="B944" s="4">
        <v>1434.37</v>
      </c>
    </row>
    <row r="945" spans="1:2" x14ac:dyDescent="0.3">
      <c r="A945" s="1">
        <v>45217</v>
      </c>
      <c r="B945" s="4">
        <v>1432.48</v>
      </c>
    </row>
    <row r="946" spans="1:2" x14ac:dyDescent="0.3">
      <c r="A946" s="1">
        <v>45218</v>
      </c>
      <c r="B946" s="4">
        <v>1425.62</v>
      </c>
    </row>
    <row r="947" spans="1:2" x14ac:dyDescent="0.3">
      <c r="A947" s="1">
        <v>45219</v>
      </c>
      <c r="B947" s="4">
        <v>1419.25</v>
      </c>
    </row>
    <row r="948" spans="1:2" x14ac:dyDescent="0.3">
      <c r="A948" s="1">
        <v>45222</v>
      </c>
      <c r="B948" s="4">
        <v>1400.76</v>
      </c>
    </row>
    <row r="949" spans="1:2" x14ac:dyDescent="0.3">
      <c r="A949" s="1">
        <v>45224</v>
      </c>
      <c r="B949" s="4">
        <v>1362.37</v>
      </c>
    </row>
    <row r="950" spans="1:2" x14ac:dyDescent="0.3">
      <c r="A950" s="1">
        <v>45225</v>
      </c>
      <c r="B950" s="4">
        <v>1351.83</v>
      </c>
    </row>
    <row r="951" spans="1:2" x14ac:dyDescent="0.3">
      <c r="A951" s="1">
        <v>45226</v>
      </c>
      <c r="B951" s="4">
        <v>1372.61</v>
      </c>
    </row>
    <row r="952" spans="1:2" x14ac:dyDescent="0.3">
      <c r="A952" s="1">
        <v>45229</v>
      </c>
      <c r="B952" s="4">
        <v>1369.33</v>
      </c>
    </row>
    <row r="953" spans="1:2" x14ac:dyDescent="0.3">
      <c r="A953" s="1">
        <v>45230</v>
      </c>
      <c r="B953" s="4">
        <v>1360.73</v>
      </c>
    </row>
    <row r="954" spans="1:2" x14ac:dyDescent="0.3">
      <c r="A954" s="1">
        <v>45231</v>
      </c>
      <c r="B954" s="4">
        <v>1346.56</v>
      </c>
    </row>
    <row r="955" spans="1:2" x14ac:dyDescent="0.3">
      <c r="A955" s="1">
        <v>45232</v>
      </c>
      <c r="B955" s="4">
        <v>1362.47</v>
      </c>
    </row>
    <row r="956" spans="1:2" x14ac:dyDescent="0.3">
      <c r="A956" s="1">
        <v>45233</v>
      </c>
      <c r="B956" s="4">
        <v>1381.27</v>
      </c>
    </row>
    <row r="957" spans="1:2" x14ac:dyDescent="0.3">
      <c r="A957" s="1">
        <v>45236</v>
      </c>
      <c r="B957" s="4">
        <v>1395.44</v>
      </c>
    </row>
    <row r="958" spans="1:2" x14ac:dyDescent="0.3">
      <c r="A958" s="1">
        <v>45237</v>
      </c>
      <c r="B958" s="4">
        <v>1396.43</v>
      </c>
    </row>
    <row r="959" spans="1:2" x14ac:dyDescent="0.3">
      <c r="A959" s="1">
        <v>45238</v>
      </c>
      <c r="B959" s="4">
        <v>1383.2</v>
      </c>
    </row>
    <row r="960" spans="1:2" x14ac:dyDescent="0.3">
      <c r="A960" s="1">
        <v>45239</v>
      </c>
      <c r="B960" s="4">
        <v>1367.1</v>
      </c>
    </row>
    <row r="961" spans="1:2" x14ac:dyDescent="0.3">
      <c r="A961" s="1">
        <v>45240</v>
      </c>
      <c r="B961" s="4">
        <v>1361.18</v>
      </c>
    </row>
    <row r="962" spans="1:2" x14ac:dyDescent="0.3">
      <c r="A962" s="1">
        <v>45242</v>
      </c>
      <c r="B962" s="4">
        <v>1388.2</v>
      </c>
    </row>
    <row r="963" spans="1:2" x14ac:dyDescent="0.3">
      <c r="A963" s="1">
        <v>45243</v>
      </c>
      <c r="B963" s="4">
        <v>1365.85</v>
      </c>
    </row>
    <row r="964" spans="1:2" x14ac:dyDescent="0.3">
      <c r="A964" s="1">
        <v>45245</v>
      </c>
      <c r="B964" s="4">
        <v>1402.6</v>
      </c>
    </row>
    <row r="965" spans="1:2" x14ac:dyDescent="0.3">
      <c r="A965" s="1">
        <v>45246</v>
      </c>
      <c r="B965" s="4">
        <v>1436.8</v>
      </c>
    </row>
    <row r="966" spans="1:2" x14ac:dyDescent="0.3">
      <c r="A966" s="1">
        <v>45247</v>
      </c>
      <c r="B966" s="4">
        <v>1429.49</v>
      </c>
    </row>
    <row r="967" spans="1:2" x14ac:dyDescent="0.3">
      <c r="A967" s="1">
        <v>45250</v>
      </c>
      <c r="B967" s="4">
        <v>1428.55</v>
      </c>
    </row>
    <row r="968" spans="1:2" x14ac:dyDescent="0.3">
      <c r="A968" s="1">
        <v>45251</v>
      </c>
      <c r="B968" s="4">
        <v>1430.94</v>
      </c>
    </row>
    <row r="969" spans="1:2" x14ac:dyDescent="0.3">
      <c r="A969" s="1">
        <v>45252</v>
      </c>
      <c r="B969" s="4">
        <v>1449.63</v>
      </c>
    </row>
    <row r="970" spans="1:2" x14ac:dyDescent="0.3">
      <c r="A970" s="1">
        <v>45253</v>
      </c>
      <c r="B970" s="4">
        <v>1441.13</v>
      </c>
    </row>
    <row r="971" spans="1:2" x14ac:dyDescent="0.3">
      <c r="A971" s="1">
        <v>45254</v>
      </c>
      <c r="B971" s="4">
        <v>1429.34</v>
      </c>
    </row>
    <row r="972" spans="1:2" x14ac:dyDescent="0.3">
      <c r="A972" s="1">
        <v>45258</v>
      </c>
      <c r="B972" s="4">
        <v>1434.61</v>
      </c>
    </row>
    <row r="973" spans="1:2" x14ac:dyDescent="0.3">
      <c r="A973" s="1">
        <v>45259</v>
      </c>
      <c r="B973" s="4">
        <v>1451.42</v>
      </c>
    </row>
    <row r="974" spans="1:2" x14ac:dyDescent="0.3">
      <c r="A974" s="1">
        <v>45260</v>
      </c>
      <c r="B974" s="4">
        <v>1446.99</v>
      </c>
    </row>
    <row r="975" spans="1:2" x14ac:dyDescent="0.3">
      <c r="A975" s="1">
        <v>45261</v>
      </c>
      <c r="B975" s="4">
        <v>1444.16</v>
      </c>
    </row>
    <row r="976" spans="1:2" x14ac:dyDescent="0.3">
      <c r="A976" s="1">
        <v>45264</v>
      </c>
      <c r="B976" s="4">
        <v>1456.14</v>
      </c>
    </row>
    <row r="977" spans="1:2" x14ac:dyDescent="0.3">
      <c r="A977" s="1">
        <v>45265</v>
      </c>
      <c r="B977" s="4">
        <v>1445.8</v>
      </c>
    </row>
    <row r="978" spans="1:2" x14ac:dyDescent="0.3">
      <c r="A978" s="1">
        <v>45266</v>
      </c>
      <c r="B978" s="4">
        <v>1466.04</v>
      </c>
    </row>
    <row r="979" spans="1:2" x14ac:dyDescent="0.3">
      <c r="A979" s="1">
        <v>45267</v>
      </c>
      <c r="B979" s="4">
        <v>1457.69</v>
      </c>
    </row>
    <row r="980" spans="1:2" x14ac:dyDescent="0.3">
      <c r="A980" s="1">
        <v>45268</v>
      </c>
      <c r="B980" s="4">
        <v>1482.79</v>
      </c>
    </row>
    <row r="981" spans="1:2" x14ac:dyDescent="0.3">
      <c r="A981" s="1">
        <v>45271</v>
      </c>
      <c r="B981" s="4">
        <v>1480.16</v>
      </c>
    </row>
    <row r="982" spans="1:2" x14ac:dyDescent="0.3">
      <c r="A982" s="1">
        <v>45272</v>
      </c>
      <c r="B982" s="4">
        <v>1467.78</v>
      </c>
    </row>
    <row r="983" spans="1:2" x14ac:dyDescent="0.3">
      <c r="A983" s="1">
        <v>45273</v>
      </c>
      <c r="B983" s="4">
        <v>1440.88</v>
      </c>
    </row>
    <row r="984" spans="1:2" x14ac:dyDescent="0.3">
      <c r="A984" s="1">
        <v>45274</v>
      </c>
      <c r="B984" s="4">
        <v>1493.04</v>
      </c>
    </row>
    <row r="985" spans="1:2" x14ac:dyDescent="0.3">
      <c r="A985" s="1">
        <v>45275</v>
      </c>
      <c r="B985" s="4">
        <v>1569.56</v>
      </c>
    </row>
    <row r="986" spans="1:2" x14ac:dyDescent="0.3">
      <c r="A986" s="1">
        <v>45278</v>
      </c>
      <c r="B986" s="4">
        <v>1555.58</v>
      </c>
    </row>
    <row r="987" spans="1:2" x14ac:dyDescent="0.3">
      <c r="A987" s="1">
        <v>45279</v>
      </c>
      <c r="B987" s="4">
        <v>1549.57</v>
      </c>
    </row>
    <row r="988" spans="1:2" x14ac:dyDescent="0.3">
      <c r="A988" s="1">
        <v>45280</v>
      </c>
      <c r="B988" s="4">
        <v>1527.79</v>
      </c>
    </row>
    <row r="989" spans="1:2" x14ac:dyDescent="0.3">
      <c r="A989" s="1">
        <v>45281</v>
      </c>
      <c r="B989" s="4">
        <v>1527.39</v>
      </c>
    </row>
    <row r="990" spans="1:2" x14ac:dyDescent="0.3">
      <c r="A990" s="1">
        <v>45282</v>
      </c>
      <c r="B990" s="4">
        <v>1554.14</v>
      </c>
    </row>
    <row r="991" spans="1:2" x14ac:dyDescent="0.3">
      <c r="A991" s="1">
        <v>45286</v>
      </c>
      <c r="B991" s="4">
        <v>1535.3</v>
      </c>
    </row>
    <row r="992" spans="1:2" x14ac:dyDescent="0.3">
      <c r="A992" s="1">
        <v>45287</v>
      </c>
      <c r="B992" s="4">
        <v>1558.32</v>
      </c>
    </row>
    <row r="993" spans="1:2" x14ac:dyDescent="0.3">
      <c r="A993" s="1">
        <v>45288</v>
      </c>
      <c r="B993" s="4">
        <v>1553.89</v>
      </c>
    </row>
    <row r="994" spans="1:2" x14ac:dyDescent="0.3">
      <c r="A994" s="1">
        <v>45289</v>
      </c>
      <c r="B994" s="4">
        <v>1534.25</v>
      </c>
    </row>
    <row r="995" spans="1:2" x14ac:dyDescent="0.3">
      <c r="A995" s="1">
        <v>45292</v>
      </c>
      <c r="B995" s="4">
        <v>1542.66</v>
      </c>
    </row>
    <row r="996" spans="1:2" x14ac:dyDescent="0.3">
      <c r="A996" s="1">
        <v>45293</v>
      </c>
      <c r="B996" s="4">
        <v>1525.8</v>
      </c>
    </row>
    <row r="997" spans="1:2" x14ac:dyDescent="0.3">
      <c r="A997" s="1">
        <v>45294</v>
      </c>
      <c r="B997" s="4">
        <v>1481.65</v>
      </c>
    </row>
    <row r="998" spans="1:2" x14ac:dyDescent="0.3">
      <c r="A998" s="1">
        <v>45295</v>
      </c>
      <c r="B998" s="4">
        <v>1504.22</v>
      </c>
    </row>
    <row r="999" spans="1:2" x14ac:dyDescent="0.3">
      <c r="A999" s="1">
        <v>45296</v>
      </c>
      <c r="B999" s="4">
        <v>1523.96</v>
      </c>
    </row>
    <row r="1000" spans="1:2" x14ac:dyDescent="0.3">
      <c r="A1000" s="1">
        <v>45299</v>
      </c>
      <c r="B1000" s="4">
        <v>1514.27</v>
      </c>
    </row>
    <row r="1001" spans="1:2" x14ac:dyDescent="0.3">
      <c r="A1001" s="1">
        <v>45300</v>
      </c>
      <c r="B1001" s="4">
        <v>1520.73</v>
      </c>
    </row>
    <row r="1002" spans="1:2" x14ac:dyDescent="0.3">
      <c r="A1002" s="1">
        <v>45301</v>
      </c>
      <c r="B1002" s="4">
        <v>1511.38</v>
      </c>
    </row>
    <row r="1003" spans="1:2" x14ac:dyDescent="0.3">
      <c r="A1003" s="1">
        <v>45302</v>
      </c>
      <c r="B1003" s="4">
        <v>1485.83</v>
      </c>
    </row>
    <row r="1004" spans="1:2" x14ac:dyDescent="0.3">
      <c r="A1004" s="1">
        <v>45303</v>
      </c>
      <c r="B1004" s="4">
        <v>1603.71</v>
      </c>
    </row>
    <row r="1005" spans="1:2" x14ac:dyDescent="0.3">
      <c r="A1005" s="1">
        <v>45306</v>
      </c>
      <c r="B1005" s="4">
        <v>1642.84</v>
      </c>
    </row>
    <row r="1006" spans="1:2" x14ac:dyDescent="0.3">
      <c r="A1006" s="1">
        <v>45307</v>
      </c>
      <c r="B1006" s="4">
        <v>1622.41</v>
      </c>
    </row>
    <row r="1007" spans="1:2" x14ac:dyDescent="0.3">
      <c r="A1007" s="1">
        <v>45308</v>
      </c>
      <c r="B1007" s="4">
        <v>1631.01</v>
      </c>
    </row>
    <row r="1008" spans="1:2" x14ac:dyDescent="0.3">
      <c r="A1008" s="1">
        <v>45309</v>
      </c>
      <c r="B1008" s="4">
        <v>1633.4</v>
      </c>
    </row>
    <row r="1009" spans="1:2" x14ac:dyDescent="0.3">
      <c r="A1009" s="1">
        <v>45310</v>
      </c>
      <c r="B1009" s="4">
        <v>1649.9</v>
      </c>
    </row>
    <row r="1010" spans="1:2" x14ac:dyDescent="0.3">
      <c r="A1010" s="1">
        <v>45311</v>
      </c>
      <c r="B1010" s="4">
        <v>1648.85</v>
      </c>
    </row>
    <row r="1011" spans="1:2" x14ac:dyDescent="0.3">
      <c r="A1011" s="1">
        <v>45314</v>
      </c>
      <c r="B1011" s="4">
        <v>1632.95</v>
      </c>
    </row>
    <row r="1012" spans="1:2" x14ac:dyDescent="0.3">
      <c r="A1012" s="1">
        <v>45315</v>
      </c>
      <c r="B1012" s="4">
        <v>1666.01</v>
      </c>
    </row>
    <row r="1013" spans="1:2" x14ac:dyDescent="0.3">
      <c r="A1013" s="1">
        <v>45316</v>
      </c>
      <c r="B1013" s="4">
        <v>1659.75</v>
      </c>
    </row>
    <row r="1014" spans="1:2" x14ac:dyDescent="0.3">
      <c r="A1014" s="1">
        <v>45320</v>
      </c>
      <c r="B1014" s="4">
        <v>1647.32</v>
      </c>
    </row>
    <row r="1015" spans="1:2" x14ac:dyDescent="0.3">
      <c r="A1015" s="1">
        <v>45321</v>
      </c>
      <c r="B1015" s="4">
        <v>1642.19</v>
      </c>
    </row>
    <row r="1016" spans="1:2" x14ac:dyDescent="0.3">
      <c r="A1016" s="1">
        <v>45322</v>
      </c>
      <c r="B1016" s="4">
        <v>1651.59</v>
      </c>
    </row>
    <row r="1017" spans="1:2" x14ac:dyDescent="0.3">
      <c r="A1017" s="1">
        <v>45323</v>
      </c>
      <c r="B1017" s="4">
        <v>1647.76</v>
      </c>
    </row>
    <row r="1018" spans="1:2" x14ac:dyDescent="0.3">
      <c r="A1018" s="1">
        <v>45324</v>
      </c>
      <c r="B1018" s="4">
        <v>1683.86</v>
      </c>
    </row>
    <row r="1019" spans="1:2" x14ac:dyDescent="0.3">
      <c r="A1019" s="1">
        <v>45327</v>
      </c>
      <c r="B1019" s="4">
        <v>1677.74</v>
      </c>
    </row>
    <row r="1020" spans="1:2" x14ac:dyDescent="0.3">
      <c r="A1020" s="1">
        <v>45328</v>
      </c>
      <c r="B1020" s="4">
        <v>1719.76</v>
      </c>
    </row>
    <row r="1021" spans="1:2" x14ac:dyDescent="0.3">
      <c r="A1021" s="1">
        <v>45329</v>
      </c>
      <c r="B1021" s="4">
        <v>1684.26</v>
      </c>
    </row>
    <row r="1022" spans="1:2" x14ac:dyDescent="0.3">
      <c r="A1022" s="1">
        <v>45330</v>
      </c>
      <c r="B1022" s="4">
        <v>1682.62</v>
      </c>
    </row>
    <row r="1023" spans="1:2" x14ac:dyDescent="0.3">
      <c r="A1023" s="1">
        <v>45331</v>
      </c>
      <c r="B1023" s="4">
        <v>1659.99</v>
      </c>
    </row>
    <row r="1024" spans="1:2" x14ac:dyDescent="0.3">
      <c r="A1024" s="1">
        <v>45334</v>
      </c>
      <c r="B1024" s="4">
        <v>1670.69</v>
      </c>
    </row>
    <row r="1025" spans="1:2" x14ac:dyDescent="0.3">
      <c r="A1025" s="1">
        <v>45335</v>
      </c>
      <c r="B1025" s="4">
        <v>1675.11</v>
      </c>
    </row>
    <row r="1026" spans="1:2" x14ac:dyDescent="0.3">
      <c r="A1026" s="1">
        <v>45336</v>
      </c>
      <c r="B1026" s="4">
        <v>1656.86</v>
      </c>
    </row>
    <row r="1027" spans="1:2" x14ac:dyDescent="0.3">
      <c r="A1027" s="1">
        <v>45337</v>
      </c>
      <c r="B1027" s="4">
        <v>1666.96</v>
      </c>
    </row>
    <row r="1028" spans="1:2" x14ac:dyDescent="0.3">
      <c r="A1028" s="1">
        <v>45338</v>
      </c>
      <c r="B1028" s="4">
        <v>1692.11</v>
      </c>
    </row>
    <row r="1029" spans="1:2" x14ac:dyDescent="0.3">
      <c r="A1029" s="1">
        <v>45341</v>
      </c>
      <c r="B1029" s="4">
        <v>1690.22</v>
      </c>
    </row>
    <row r="1030" spans="1:2" x14ac:dyDescent="0.3">
      <c r="A1030" s="1">
        <v>45342</v>
      </c>
      <c r="B1030" s="4">
        <v>1675.81</v>
      </c>
    </row>
    <row r="1031" spans="1:2" x14ac:dyDescent="0.3">
      <c r="A1031" s="1">
        <v>45343</v>
      </c>
      <c r="B1031" s="4">
        <v>1646.27</v>
      </c>
    </row>
    <row r="1032" spans="1:2" x14ac:dyDescent="0.3">
      <c r="A1032" s="1">
        <v>45344</v>
      </c>
      <c r="B1032" s="4">
        <v>1671.93</v>
      </c>
    </row>
    <row r="1033" spans="1:2" x14ac:dyDescent="0.3">
      <c r="A1033" s="1">
        <v>45345</v>
      </c>
      <c r="B1033" s="4">
        <v>1667.45</v>
      </c>
    </row>
    <row r="1034" spans="1:2" x14ac:dyDescent="0.3">
      <c r="A1034" s="1">
        <v>45348</v>
      </c>
      <c r="B1034" s="4">
        <v>1650.85</v>
      </c>
    </row>
    <row r="1035" spans="1:2" x14ac:dyDescent="0.3">
      <c r="A1035" s="1">
        <v>45349</v>
      </c>
      <c r="B1035" s="4">
        <v>1654.28</v>
      </c>
    </row>
    <row r="1036" spans="1:2" x14ac:dyDescent="0.3">
      <c r="A1036" s="1">
        <v>45350</v>
      </c>
      <c r="B1036" s="4">
        <v>1661.88</v>
      </c>
    </row>
    <row r="1037" spans="1:2" x14ac:dyDescent="0.3">
      <c r="A1037" s="1">
        <v>45351</v>
      </c>
      <c r="B1037" s="4">
        <v>1664.52</v>
      </c>
    </row>
    <row r="1038" spans="1:2" x14ac:dyDescent="0.3">
      <c r="A1038" s="1">
        <v>45352</v>
      </c>
      <c r="B1038" s="4">
        <v>1645.43</v>
      </c>
    </row>
    <row r="1039" spans="1:2" x14ac:dyDescent="0.3">
      <c r="A1039" s="1">
        <v>45353</v>
      </c>
      <c r="B1039" s="4">
        <v>1656.3</v>
      </c>
    </row>
    <row r="1040" spans="1:2" x14ac:dyDescent="0.3">
      <c r="A1040" s="1">
        <v>45355</v>
      </c>
      <c r="B1040" s="4">
        <v>1628.03</v>
      </c>
    </row>
    <row r="1041" spans="1:2" x14ac:dyDescent="0.3">
      <c r="A1041" s="1">
        <v>45356</v>
      </c>
      <c r="B1041" s="4">
        <v>1597.5</v>
      </c>
    </row>
    <row r="1042" spans="1:2" x14ac:dyDescent="0.3">
      <c r="A1042" s="1">
        <v>45357</v>
      </c>
      <c r="B1042" s="4">
        <v>1608.48</v>
      </c>
    </row>
    <row r="1043" spans="1:2" x14ac:dyDescent="0.3">
      <c r="A1043" s="1">
        <v>45358</v>
      </c>
      <c r="B1043" s="4">
        <v>1607.39</v>
      </c>
    </row>
    <row r="1044" spans="1:2" x14ac:dyDescent="0.3">
      <c r="A1044" s="1">
        <v>45362</v>
      </c>
      <c r="B1044" s="4">
        <v>1591.63</v>
      </c>
    </row>
    <row r="1045" spans="1:2" x14ac:dyDescent="0.3">
      <c r="A1045" s="1">
        <v>45363</v>
      </c>
      <c r="B1045" s="4">
        <v>1603.91</v>
      </c>
    </row>
    <row r="1046" spans="1:2" x14ac:dyDescent="0.3">
      <c r="A1046" s="1">
        <v>45364</v>
      </c>
      <c r="B1046" s="4">
        <v>1602.37</v>
      </c>
    </row>
    <row r="1047" spans="1:2" x14ac:dyDescent="0.3">
      <c r="A1047" s="1">
        <v>45365</v>
      </c>
      <c r="B1047" s="4">
        <v>1644.04</v>
      </c>
    </row>
    <row r="1048" spans="1:2" x14ac:dyDescent="0.3">
      <c r="A1048" s="1">
        <v>45366</v>
      </c>
      <c r="B1048" s="4">
        <v>1624.84</v>
      </c>
    </row>
    <row r="1049" spans="1:2" x14ac:dyDescent="0.3">
      <c r="A1049" s="1">
        <v>45369</v>
      </c>
      <c r="B1049" s="4">
        <v>1593.67</v>
      </c>
    </row>
    <row r="1050" spans="1:2" x14ac:dyDescent="0.3">
      <c r="A1050" s="1">
        <v>45370</v>
      </c>
      <c r="B1050" s="4">
        <v>1552.7</v>
      </c>
    </row>
    <row r="1051" spans="1:2" x14ac:dyDescent="0.3">
      <c r="A1051" s="1">
        <v>45371</v>
      </c>
      <c r="B1051" s="4">
        <v>1546.24</v>
      </c>
    </row>
    <row r="1052" spans="1:2" x14ac:dyDescent="0.3">
      <c r="A1052" s="1">
        <v>45372</v>
      </c>
      <c r="B1052" s="4">
        <v>1545.99</v>
      </c>
    </row>
    <row r="1053" spans="1:2" x14ac:dyDescent="0.3">
      <c r="A1053" s="1">
        <v>45373</v>
      </c>
      <c r="B1053" s="4">
        <v>1500.39</v>
      </c>
    </row>
    <row r="1054" spans="1:2" x14ac:dyDescent="0.3">
      <c r="A1054" s="1">
        <v>45377</v>
      </c>
      <c r="B1054" s="4">
        <v>1484.29</v>
      </c>
    </row>
    <row r="1055" spans="1:2" x14ac:dyDescent="0.3">
      <c r="A1055" s="1">
        <v>45378</v>
      </c>
      <c r="B1055" s="4">
        <v>1475.54</v>
      </c>
    </row>
    <row r="1056" spans="1:2" x14ac:dyDescent="0.3">
      <c r="A1056" s="1">
        <v>45379</v>
      </c>
      <c r="B1056" s="4">
        <v>1489.66</v>
      </c>
    </row>
    <row r="1057" spans="1:2" x14ac:dyDescent="0.3">
      <c r="A1057" s="1">
        <v>45383</v>
      </c>
      <c r="B1057" s="4">
        <v>1487.07</v>
      </c>
    </row>
    <row r="1058" spans="1:2" x14ac:dyDescent="0.3">
      <c r="A1058" s="1">
        <v>45384</v>
      </c>
      <c r="B1058" s="4">
        <v>1474.54</v>
      </c>
    </row>
    <row r="1059" spans="1:2" x14ac:dyDescent="0.3">
      <c r="A1059" s="1">
        <v>45385</v>
      </c>
      <c r="B1059" s="4">
        <v>1472.35</v>
      </c>
    </row>
    <row r="1060" spans="1:2" x14ac:dyDescent="0.3">
      <c r="A1060" s="1">
        <v>45386</v>
      </c>
      <c r="B1060" s="4">
        <v>1478.37</v>
      </c>
    </row>
    <row r="1061" spans="1:2" x14ac:dyDescent="0.3">
      <c r="A1061" s="1">
        <v>45387</v>
      </c>
      <c r="B1061" s="4">
        <v>1470.81</v>
      </c>
    </row>
    <row r="1062" spans="1:2" x14ac:dyDescent="0.3">
      <c r="A1062" s="1">
        <v>45390</v>
      </c>
      <c r="B1062" s="4">
        <v>1468.43</v>
      </c>
    </row>
    <row r="1063" spans="1:2" x14ac:dyDescent="0.3">
      <c r="A1063" s="1">
        <v>45391</v>
      </c>
      <c r="B1063" s="4">
        <v>1486.47</v>
      </c>
    </row>
    <row r="1064" spans="1:2" x14ac:dyDescent="0.3">
      <c r="A1064" s="1">
        <v>45392</v>
      </c>
      <c r="B1064" s="4">
        <v>1498.36</v>
      </c>
    </row>
    <row r="1065" spans="1:2" x14ac:dyDescent="0.3">
      <c r="A1065" s="1">
        <v>45394</v>
      </c>
      <c r="B1065" s="4">
        <v>1476.43</v>
      </c>
    </row>
    <row r="1066" spans="1:2" x14ac:dyDescent="0.3">
      <c r="A1066" s="1">
        <v>45397</v>
      </c>
      <c r="B1066" s="4">
        <v>1459.92</v>
      </c>
    </row>
    <row r="1067" spans="1:2" x14ac:dyDescent="0.3">
      <c r="A1067" s="1">
        <v>45398</v>
      </c>
      <c r="B1067" s="4">
        <v>1406.52</v>
      </c>
    </row>
    <row r="1068" spans="1:2" x14ac:dyDescent="0.3">
      <c r="A1068" s="1">
        <v>45400</v>
      </c>
      <c r="B1068" s="4">
        <v>1411.3</v>
      </c>
    </row>
    <row r="1069" spans="1:2" x14ac:dyDescent="0.3">
      <c r="A1069" s="1">
        <v>45401</v>
      </c>
      <c r="B1069" s="4">
        <v>1403.34</v>
      </c>
    </row>
    <row r="1070" spans="1:2" x14ac:dyDescent="0.3">
      <c r="A1070" s="1">
        <v>45404</v>
      </c>
      <c r="B1070" s="4">
        <v>1424.72</v>
      </c>
    </row>
    <row r="1071" spans="1:2" x14ac:dyDescent="0.3">
      <c r="A1071" s="1">
        <v>45405</v>
      </c>
      <c r="B1071" s="4">
        <v>1434.32</v>
      </c>
    </row>
    <row r="1072" spans="1:2" x14ac:dyDescent="0.3">
      <c r="A1072" s="1">
        <v>45406</v>
      </c>
      <c r="B1072" s="4">
        <v>1422.73</v>
      </c>
    </row>
    <row r="1073" spans="1:2" x14ac:dyDescent="0.3">
      <c r="A1073" s="1">
        <v>45407</v>
      </c>
      <c r="B1073" s="4">
        <v>1430.39</v>
      </c>
    </row>
    <row r="1074" spans="1:2" x14ac:dyDescent="0.3">
      <c r="A1074" s="1">
        <v>45408</v>
      </c>
      <c r="B1074" s="4">
        <v>1422.23</v>
      </c>
    </row>
    <row r="1075" spans="1:2" x14ac:dyDescent="0.3">
      <c r="A1075" s="1">
        <v>45411</v>
      </c>
      <c r="B1075" s="4">
        <v>1426.71</v>
      </c>
    </row>
    <row r="1076" spans="1:2" x14ac:dyDescent="0.3">
      <c r="A1076" s="1">
        <v>45412</v>
      </c>
      <c r="B1076" s="4">
        <v>1412.59</v>
      </c>
    </row>
    <row r="1077" spans="1:2" x14ac:dyDescent="0.3">
      <c r="A1077" s="1">
        <v>45414</v>
      </c>
      <c r="B1077" s="4">
        <v>1406.52</v>
      </c>
    </row>
    <row r="1078" spans="1:2" x14ac:dyDescent="0.3">
      <c r="A1078" s="1">
        <v>45415</v>
      </c>
      <c r="B1078" s="4">
        <v>1408.36</v>
      </c>
    </row>
    <row r="1079" spans="1:2" x14ac:dyDescent="0.3">
      <c r="A1079" s="1">
        <v>45418</v>
      </c>
      <c r="B1079" s="4">
        <v>1417.91</v>
      </c>
    </row>
    <row r="1080" spans="1:2" x14ac:dyDescent="0.3">
      <c r="A1080" s="1">
        <v>45419</v>
      </c>
      <c r="B1080" s="4">
        <v>1432.88</v>
      </c>
    </row>
    <row r="1081" spans="1:2" x14ac:dyDescent="0.3">
      <c r="A1081" s="1">
        <v>45420</v>
      </c>
      <c r="B1081" s="4">
        <v>1419.3</v>
      </c>
    </row>
    <row r="1082" spans="1:2" x14ac:dyDescent="0.3">
      <c r="A1082" s="1">
        <v>45421</v>
      </c>
      <c r="B1082" s="4">
        <v>1431.48</v>
      </c>
    </row>
    <row r="1083" spans="1:2" x14ac:dyDescent="0.3">
      <c r="A1083" s="1">
        <v>45422</v>
      </c>
      <c r="B1083" s="4">
        <v>1416.92</v>
      </c>
    </row>
    <row r="1084" spans="1:2" x14ac:dyDescent="0.3">
      <c r="A1084" s="1">
        <v>45425</v>
      </c>
      <c r="B1084" s="4">
        <v>1415.47</v>
      </c>
    </row>
    <row r="1085" spans="1:2" x14ac:dyDescent="0.3">
      <c r="A1085" s="1">
        <v>45426</v>
      </c>
      <c r="B1085" s="4">
        <v>1416.72</v>
      </c>
    </row>
    <row r="1086" spans="1:2" x14ac:dyDescent="0.3">
      <c r="A1086" s="1">
        <v>45427</v>
      </c>
      <c r="B1086" s="4">
        <v>1411.99</v>
      </c>
    </row>
    <row r="1087" spans="1:2" x14ac:dyDescent="0.3">
      <c r="A1087" s="1">
        <v>45428</v>
      </c>
      <c r="B1087" s="4">
        <v>1445.2</v>
      </c>
    </row>
    <row r="1088" spans="1:2" x14ac:dyDescent="0.3">
      <c r="A1088" s="1">
        <v>45429</v>
      </c>
      <c r="B1088" s="4">
        <v>1436.21</v>
      </c>
    </row>
    <row r="1089" spans="1:2" x14ac:dyDescent="0.3">
      <c r="A1089" s="1">
        <v>45430</v>
      </c>
      <c r="B1089" s="4">
        <v>1443.65</v>
      </c>
    </row>
    <row r="1090" spans="1:2" x14ac:dyDescent="0.3">
      <c r="A1090" s="1">
        <v>45433</v>
      </c>
      <c r="B1090" s="4">
        <v>1426.11</v>
      </c>
    </row>
    <row r="1091" spans="1:2" x14ac:dyDescent="0.3">
      <c r="A1091" s="1">
        <v>45434</v>
      </c>
      <c r="B1091" s="4">
        <v>1446.65</v>
      </c>
    </row>
    <row r="1092" spans="1:2" x14ac:dyDescent="0.3">
      <c r="A1092" s="1">
        <v>45435</v>
      </c>
      <c r="B1092" s="4">
        <v>1464.15</v>
      </c>
    </row>
    <row r="1093" spans="1:2" x14ac:dyDescent="0.3">
      <c r="A1093" s="1">
        <v>45436</v>
      </c>
      <c r="B1093" s="4">
        <v>1456.89</v>
      </c>
    </row>
    <row r="1094" spans="1:2" x14ac:dyDescent="0.3">
      <c r="A1094" s="1">
        <v>45439</v>
      </c>
      <c r="B1094" s="4">
        <v>1463.1</v>
      </c>
    </row>
    <row r="1095" spans="1:2" x14ac:dyDescent="0.3">
      <c r="A1095" s="1">
        <v>45440</v>
      </c>
      <c r="B1095" s="4">
        <v>1458.83</v>
      </c>
    </row>
    <row r="1096" spans="1:2" x14ac:dyDescent="0.3">
      <c r="A1096" s="1">
        <v>45441</v>
      </c>
      <c r="B1096" s="4">
        <v>1442.82</v>
      </c>
    </row>
    <row r="1097" spans="1:2" x14ac:dyDescent="0.3">
      <c r="A1097" s="1">
        <v>45442</v>
      </c>
      <c r="B1097" s="4">
        <v>1419.45</v>
      </c>
    </row>
    <row r="1098" spans="1:2" x14ac:dyDescent="0.3">
      <c r="A1098" s="1">
        <v>45443</v>
      </c>
      <c r="B1098" s="4">
        <v>1406.9</v>
      </c>
    </row>
    <row r="1099" spans="1:2" x14ac:dyDescent="0.3">
      <c r="A1099" s="1">
        <v>45446</v>
      </c>
      <c r="B1099" s="4">
        <v>1405.9</v>
      </c>
    </row>
    <row r="1100" spans="1:2" x14ac:dyDescent="0.3">
      <c r="A1100" s="1">
        <v>45447</v>
      </c>
      <c r="B1100" s="4">
        <v>1393.65</v>
      </c>
    </row>
    <row r="1101" spans="1:2" x14ac:dyDescent="0.3">
      <c r="A1101" s="1">
        <v>45448</v>
      </c>
      <c r="B1101" s="4">
        <v>1430.1</v>
      </c>
    </row>
    <row r="1102" spans="1:2" x14ac:dyDescent="0.3">
      <c r="A1102" s="1">
        <v>45449</v>
      </c>
      <c r="B1102" s="4">
        <v>1472.25</v>
      </c>
    </row>
    <row r="1103" spans="1:2" x14ac:dyDescent="0.3">
      <c r="A1103" s="1">
        <v>45450</v>
      </c>
      <c r="B1103" s="4">
        <v>1533.6</v>
      </c>
    </row>
    <row r="1104" spans="1:2" x14ac:dyDescent="0.3">
      <c r="A1104" s="1">
        <v>45453</v>
      </c>
      <c r="B1104" s="4">
        <v>1499.75</v>
      </c>
    </row>
    <row r="1105" spans="1:2" x14ac:dyDescent="0.3">
      <c r="A1105" s="1">
        <v>45454</v>
      </c>
      <c r="B1105" s="4">
        <v>1495.75</v>
      </c>
    </row>
    <row r="1106" spans="1:2" x14ac:dyDescent="0.3">
      <c r="A1106" s="1">
        <v>45455</v>
      </c>
      <c r="B1106" s="4">
        <v>1485.2</v>
      </c>
    </row>
    <row r="1107" spans="1:2" x14ac:dyDescent="0.3">
      <c r="A1107" s="1">
        <v>45456</v>
      </c>
      <c r="B1107" s="4">
        <v>1493.95</v>
      </c>
    </row>
    <row r="1108" spans="1:2" x14ac:dyDescent="0.3">
      <c r="A1108" s="1">
        <v>45457</v>
      </c>
      <c r="B1108" s="4">
        <v>1488.9</v>
      </c>
    </row>
    <row r="1109" spans="1:2" x14ac:dyDescent="0.3">
      <c r="A1109" s="1">
        <v>45461</v>
      </c>
      <c r="B1109" s="4">
        <v>1498.2</v>
      </c>
    </row>
    <row r="1110" spans="1:2" x14ac:dyDescent="0.3">
      <c r="A1110" s="1">
        <v>45462</v>
      </c>
      <c r="B1110" s="4">
        <v>1511.35</v>
      </c>
    </row>
    <row r="1111" spans="1:2" x14ac:dyDescent="0.3">
      <c r="A1111" s="1">
        <v>45463</v>
      </c>
      <c r="B1111" s="4">
        <v>1515.4</v>
      </c>
    </row>
    <row r="1112" spans="1:2" x14ac:dyDescent="0.3">
      <c r="A1112" s="1">
        <v>45464</v>
      </c>
      <c r="B1112" s="4">
        <v>1532.7</v>
      </c>
    </row>
    <row r="1113" spans="1:2" x14ac:dyDescent="0.3">
      <c r="A1113" s="1">
        <v>45467</v>
      </c>
      <c r="B1113" s="4">
        <v>1527.15</v>
      </c>
    </row>
    <row r="1114" spans="1:2" x14ac:dyDescent="0.3">
      <c r="A1114" s="1">
        <v>45468</v>
      </c>
      <c r="B1114" s="4">
        <v>1541.95</v>
      </c>
    </row>
    <row r="1115" spans="1:2" x14ac:dyDescent="0.3">
      <c r="A1115" s="1">
        <v>45469</v>
      </c>
      <c r="B1115" s="4">
        <v>1540.7</v>
      </c>
    </row>
    <row r="1116" spans="1:2" x14ac:dyDescent="0.3">
      <c r="A1116" s="1">
        <v>45470</v>
      </c>
      <c r="B1116" s="4">
        <v>1573.35</v>
      </c>
    </row>
    <row r="1117" spans="1:2" x14ac:dyDescent="0.3">
      <c r="A1117" s="1">
        <v>45471</v>
      </c>
      <c r="B1117" s="4">
        <v>1566.75</v>
      </c>
    </row>
    <row r="1118" spans="1:2" x14ac:dyDescent="0.3">
      <c r="A1118" s="1">
        <v>45474</v>
      </c>
      <c r="B1118" s="4">
        <v>1590.8</v>
      </c>
    </row>
    <row r="1119" spans="1:2" x14ac:dyDescent="0.3">
      <c r="A1119" s="1">
        <v>45475</v>
      </c>
      <c r="B1119" s="4">
        <v>1621.05</v>
      </c>
    </row>
    <row r="1120" spans="1:2" x14ac:dyDescent="0.3">
      <c r="A1120" s="1">
        <v>45476</v>
      </c>
      <c r="B1120" s="4">
        <v>1627.4</v>
      </c>
    </row>
    <row r="1121" spans="1:2" x14ac:dyDescent="0.3">
      <c r="A1121" s="1">
        <v>45477</v>
      </c>
      <c r="B1121" s="4">
        <v>1650.65</v>
      </c>
    </row>
    <row r="1122" spans="1:2" x14ac:dyDescent="0.3">
      <c r="A1122" s="1">
        <v>45478</v>
      </c>
      <c r="B1122" s="4">
        <v>1647.45</v>
      </c>
    </row>
    <row r="1123" spans="1:2" x14ac:dyDescent="0.3">
      <c r="A1123" s="1">
        <v>45481</v>
      </c>
      <c r="B1123" s="4">
        <v>1661.65</v>
      </c>
    </row>
    <row r="1124" spans="1:2" x14ac:dyDescent="0.3">
      <c r="A1124" s="1">
        <v>45482</v>
      </c>
      <c r="B1124" s="4">
        <v>1657.15</v>
      </c>
    </row>
    <row r="1125" spans="1:2" x14ac:dyDescent="0.3">
      <c r="A1125" s="1">
        <v>45483</v>
      </c>
      <c r="B1125" s="4">
        <v>1648.25</v>
      </c>
    </row>
    <row r="1126" spans="1:2" x14ac:dyDescent="0.3">
      <c r="A1126" s="1">
        <v>45484</v>
      </c>
      <c r="B1126" s="4">
        <v>1652.7</v>
      </c>
    </row>
    <row r="1127" spans="1:2" x14ac:dyDescent="0.3">
      <c r="A1127" s="1">
        <v>45485</v>
      </c>
      <c r="B1127" s="4">
        <v>1711.75</v>
      </c>
    </row>
    <row r="1128" spans="1:2" x14ac:dyDescent="0.3">
      <c r="A1128" s="1">
        <v>45488</v>
      </c>
      <c r="B1128" s="4">
        <v>1707.05</v>
      </c>
    </row>
    <row r="1129" spans="1:2" x14ac:dyDescent="0.3">
      <c r="A1129" s="1">
        <v>45489</v>
      </c>
      <c r="B1129" s="4">
        <v>1726.05</v>
      </c>
    </row>
    <row r="1130" spans="1:2" x14ac:dyDescent="0.3">
      <c r="A1130" s="1">
        <v>45491</v>
      </c>
      <c r="B1130" s="4">
        <v>1758.05</v>
      </c>
    </row>
    <row r="1131" spans="1:2" x14ac:dyDescent="0.3">
      <c r="A1131" s="1">
        <v>45492</v>
      </c>
      <c r="B1131" s="4">
        <v>1792.95</v>
      </c>
    </row>
    <row r="1132" spans="1:2" x14ac:dyDescent="0.3">
      <c r="A1132" s="1">
        <v>45495</v>
      </c>
      <c r="B1132" s="4">
        <v>1810.85</v>
      </c>
    </row>
    <row r="1133" spans="1:2" x14ac:dyDescent="0.3">
      <c r="A1133" s="1">
        <v>45496</v>
      </c>
      <c r="B1133" s="4">
        <v>1836.9</v>
      </c>
    </row>
    <row r="1134" spans="1:2" x14ac:dyDescent="0.3">
      <c r="A1134" s="1">
        <v>45497</v>
      </c>
      <c r="B1134" s="4">
        <v>1833.95</v>
      </c>
    </row>
    <row r="1135" spans="1:2" x14ac:dyDescent="0.3">
      <c r="A1135" s="1">
        <v>45498</v>
      </c>
      <c r="B1135" s="4">
        <v>1824.85</v>
      </c>
    </row>
    <row r="1136" spans="1:2" x14ac:dyDescent="0.3">
      <c r="A1136" s="1">
        <v>45499</v>
      </c>
      <c r="B1136" s="4">
        <v>1878.9</v>
      </c>
    </row>
    <row r="1137" spans="1:2" x14ac:dyDescent="0.3">
      <c r="A1137" s="1">
        <v>45502</v>
      </c>
      <c r="B1137" s="4">
        <v>1871.1</v>
      </c>
    </row>
    <row r="1138" spans="1:2" x14ac:dyDescent="0.3">
      <c r="A1138" s="1">
        <v>45503</v>
      </c>
      <c r="B1138" s="4">
        <v>1877.15</v>
      </c>
    </row>
    <row r="1139" spans="1:2" x14ac:dyDescent="0.3">
      <c r="A1139" s="1">
        <v>45504</v>
      </c>
      <c r="B1139" s="4">
        <v>1868.25</v>
      </c>
    </row>
    <row r="1140" spans="1:2" x14ac:dyDescent="0.3">
      <c r="A1140" s="1">
        <v>45505</v>
      </c>
      <c r="B1140" s="4">
        <v>1852.6</v>
      </c>
    </row>
    <row r="1141" spans="1:2" x14ac:dyDescent="0.3">
      <c r="A1141" s="1">
        <v>45506</v>
      </c>
      <c r="B1141" s="4">
        <v>1821.2</v>
      </c>
    </row>
    <row r="1142" spans="1:2" x14ac:dyDescent="0.3">
      <c r="A1142" s="1">
        <v>45509</v>
      </c>
      <c r="B1142" s="4">
        <v>1751.9</v>
      </c>
    </row>
    <row r="1143" spans="1:2" x14ac:dyDescent="0.3">
      <c r="A1143" s="1">
        <v>45510</v>
      </c>
      <c r="B1143" s="4">
        <v>1751.1</v>
      </c>
    </row>
    <row r="1144" spans="1:2" x14ac:dyDescent="0.3">
      <c r="A1144" s="1">
        <v>45511</v>
      </c>
      <c r="B1144" s="4">
        <v>1791.65</v>
      </c>
    </row>
    <row r="1145" spans="1:2" x14ac:dyDescent="0.3">
      <c r="A1145" s="1">
        <v>45512</v>
      </c>
      <c r="B1145" s="4">
        <v>1743.15</v>
      </c>
    </row>
    <row r="1146" spans="1:2" x14ac:dyDescent="0.3">
      <c r="A1146" s="1">
        <v>45513</v>
      </c>
      <c r="B1146" s="4">
        <v>1770.75</v>
      </c>
    </row>
    <row r="1147" spans="1:2" x14ac:dyDescent="0.3">
      <c r="A1147" s="1">
        <v>45516</v>
      </c>
      <c r="B1147" s="4">
        <v>1797.4</v>
      </c>
    </row>
    <row r="1148" spans="1:2" x14ac:dyDescent="0.3">
      <c r="A1148" s="1">
        <v>45517</v>
      </c>
      <c r="B1148" s="4">
        <v>1797.45</v>
      </c>
    </row>
    <row r="1149" spans="1:2" x14ac:dyDescent="0.3">
      <c r="A1149" s="1">
        <v>45518</v>
      </c>
      <c r="B1149" s="4">
        <v>1823.25</v>
      </c>
    </row>
    <row r="1150" spans="1:2" x14ac:dyDescent="0.3">
      <c r="A1150" s="1">
        <v>45520</v>
      </c>
      <c r="B1150" s="4">
        <v>1858.95</v>
      </c>
    </row>
    <row r="1151" spans="1:2" x14ac:dyDescent="0.3">
      <c r="A1151" s="1">
        <v>45523</v>
      </c>
      <c r="B1151" s="4">
        <v>1864.8</v>
      </c>
    </row>
    <row r="1152" spans="1:2" x14ac:dyDescent="0.3">
      <c r="A1152" s="1">
        <v>45524</v>
      </c>
      <c r="B1152" s="4">
        <v>1872.2</v>
      </c>
    </row>
    <row r="1153" spans="1:2" x14ac:dyDescent="0.3">
      <c r="A1153" s="1">
        <v>45525</v>
      </c>
      <c r="B1153" s="4">
        <v>1872.7</v>
      </c>
    </row>
    <row r="1154" spans="1:2" x14ac:dyDescent="0.3">
      <c r="A1154" s="1">
        <v>45526</v>
      </c>
      <c r="B1154" s="4">
        <v>1880.25</v>
      </c>
    </row>
    <row r="1155" spans="1:2" x14ac:dyDescent="0.3">
      <c r="A1155" s="1">
        <v>45527</v>
      </c>
      <c r="B1155" s="4">
        <v>1862.1</v>
      </c>
    </row>
    <row r="1156" spans="1:2" x14ac:dyDescent="0.3">
      <c r="A1156" s="1">
        <v>45530</v>
      </c>
      <c r="B1156" s="4">
        <v>1876.15</v>
      </c>
    </row>
    <row r="1157" spans="1:2" x14ac:dyDescent="0.3">
      <c r="A1157" s="1">
        <v>45531</v>
      </c>
      <c r="B1157" s="4">
        <v>1900.1</v>
      </c>
    </row>
    <row r="1158" spans="1:2" x14ac:dyDescent="0.3">
      <c r="A1158" s="1">
        <v>45532</v>
      </c>
      <c r="B1158" s="4">
        <v>1939.1</v>
      </c>
    </row>
    <row r="1159" spans="1:2" x14ac:dyDescent="0.3">
      <c r="A1159" s="1">
        <v>45533</v>
      </c>
      <c r="B1159" s="4">
        <v>1933.35</v>
      </c>
    </row>
    <row r="1160" spans="1:2" x14ac:dyDescent="0.3">
      <c r="A1160" s="1">
        <v>45534</v>
      </c>
      <c r="B1160" s="4">
        <v>1943.7</v>
      </c>
    </row>
    <row r="1161" spans="1:2" x14ac:dyDescent="0.3">
      <c r="A1161" s="1">
        <v>45537</v>
      </c>
      <c r="B1161" s="4">
        <v>1964.5</v>
      </c>
    </row>
    <row r="1162" spans="1:2" x14ac:dyDescent="0.3">
      <c r="A1162" s="1">
        <v>45538</v>
      </c>
      <c r="B1162" s="4">
        <v>1941.25</v>
      </c>
    </row>
    <row r="1163" spans="1:2" x14ac:dyDescent="0.3">
      <c r="A1163" s="1">
        <v>45539</v>
      </c>
      <c r="B1163" s="4">
        <v>1922.45</v>
      </c>
    </row>
    <row r="1164" spans="1:2" x14ac:dyDescent="0.3">
      <c r="A1164" s="1">
        <v>45540</v>
      </c>
      <c r="B1164" s="4">
        <v>1933.15</v>
      </c>
    </row>
    <row r="1165" spans="1:2" x14ac:dyDescent="0.3">
      <c r="A1165" s="1">
        <v>45541</v>
      </c>
      <c r="B1165" s="4">
        <v>1901.85</v>
      </c>
    </row>
    <row r="1166" spans="1:2" x14ac:dyDescent="0.3">
      <c r="A1166" s="1">
        <v>45544</v>
      </c>
      <c r="B1166" s="4">
        <v>1894.65</v>
      </c>
    </row>
    <row r="1167" spans="1:2" x14ac:dyDescent="0.3">
      <c r="A1167" s="1">
        <v>45545</v>
      </c>
      <c r="B1167" s="4">
        <v>1912.3</v>
      </c>
    </row>
    <row r="1168" spans="1:2" x14ac:dyDescent="0.3">
      <c r="A1168" s="1">
        <v>45546</v>
      </c>
      <c r="B1168" s="4">
        <v>1910.15</v>
      </c>
    </row>
    <row r="1169" spans="1:2" x14ac:dyDescent="0.3">
      <c r="A1169" s="1">
        <v>45547</v>
      </c>
      <c r="B1169" s="4">
        <v>1950.45</v>
      </c>
    </row>
    <row r="1170" spans="1:2" x14ac:dyDescent="0.3">
      <c r="A1170" s="1">
        <v>45548</v>
      </c>
      <c r="B1170" s="4">
        <v>1944.1</v>
      </c>
    </row>
    <row r="1171" spans="1:2" x14ac:dyDescent="0.3">
      <c r="A1171" s="1">
        <v>45551</v>
      </c>
      <c r="B1171" s="4">
        <v>1950.25</v>
      </c>
    </row>
    <row r="1172" spans="1:2" x14ac:dyDescent="0.3">
      <c r="A1172" s="1">
        <v>45552</v>
      </c>
      <c r="B1172" s="4">
        <v>1952.55</v>
      </c>
    </row>
    <row r="1173" spans="1:2" x14ac:dyDescent="0.3">
      <c r="A1173" s="1">
        <v>45553</v>
      </c>
      <c r="B1173" s="4">
        <v>1892.15</v>
      </c>
    </row>
    <row r="1174" spans="1:2" x14ac:dyDescent="0.3">
      <c r="A1174" s="1">
        <v>45554</v>
      </c>
      <c r="B1174" s="4">
        <v>1894.2</v>
      </c>
    </row>
    <row r="1175" spans="1:2" x14ac:dyDescent="0.3">
      <c r="A1175" s="1">
        <v>45555</v>
      </c>
      <c r="B1175" s="4">
        <v>1905.75</v>
      </c>
    </row>
    <row r="1176" spans="1:2" x14ac:dyDescent="0.3">
      <c r="A1176" s="1">
        <v>45558</v>
      </c>
      <c r="B1176" s="4">
        <v>1896.45</v>
      </c>
    </row>
    <row r="1177" spans="1:2" x14ac:dyDescent="0.3">
      <c r="A1177" s="1">
        <v>45559</v>
      </c>
      <c r="B1177" s="4">
        <v>1898.6</v>
      </c>
    </row>
    <row r="1178" spans="1:2" x14ac:dyDescent="0.3">
      <c r="A1178" s="1">
        <v>45560</v>
      </c>
      <c r="B1178" s="4">
        <v>1895.3</v>
      </c>
    </row>
    <row r="1179" spans="1:2" x14ac:dyDescent="0.3">
      <c r="A1179" s="1">
        <v>45561</v>
      </c>
      <c r="B1179" s="4">
        <v>1900.25</v>
      </c>
    </row>
    <row r="1180" spans="1:2" x14ac:dyDescent="0.3">
      <c r="A1180" s="1">
        <v>45562</v>
      </c>
      <c r="B1180" s="4">
        <v>1906.75</v>
      </c>
    </row>
    <row r="1181" spans="1:2" x14ac:dyDescent="0.3">
      <c r="A1181" s="1">
        <v>45565</v>
      </c>
      <c r="B1181" s="4">
        <v>1875.6</v>
      </c>
    </row>
    <row r="1182" spans="1:2" x14ac:dyDescent="0.3">
      <c r="A1182" s="1">
        <v>45566</v>
      </c>
      <c r="B1182" s="4">
        <v>1904.35</v>
      </c>
    </row>
    <row r="1183" spans="1:2" x14ac:dyDescent="0.3">
      <c r="A1183" s="1">
        <v>45568</v>
      </c>
      <c r="B1183" s="4">
        <v>1893.4</v>
      </c>
    </row>
    <row r="1184" spans="1:2" x14ac:dyDescent="0.3">
      <c r="A1184" s="1">
        <v>45569</v>
      </c>
      <c r="B1184" s="4">
        <v>1918.15</v>
      </c>
    </row>
    <row r="1185" spans="1:2" x14ac:dyDescent="0.3">
      <c r="A1185" s="1">
        <v>45572</v>
      </c>
      <c r="B1185" s="4">
        <v>1934.3</v>
      </c>
    </row>
    <row r="1186" spans="1:2" x14ac:dyDescent="0.3">
      <c r="A1186" s="1">
        <v>45573</v>
      </c>
      <c r="B1186" s="4">
        <v>1948.55</v>
      </c>
    </row>
    <row r="1187" spans="1:2" x14ac:dyDescent="0.3">
      <c r="A1187" s="1">
        <v>45574</v>
      </c>
      <c r="B1187" s="4">
        <v>1952.75</v>
      </c>
    </row>
    <row r="1188" spans="1:2" x14ac:dyDescent="0.3">
      <c r="A1188" s="1">
        <v>45575</v>
      </c>
      <c r="B1188" s="4">
        <v>1919</v>
      </c>
    </row>
    <row r="1189" spans="1:2" x14ac:dyDescent="0.3">
      <c r="A1189" s="1">
        <v>45576</v>
      </c>
      <c r="B1189" s="4">
        <v>1935.1</v>
      </c>
    </row>
    <row r="1190" spans="1:2" x14ac:dyDescent="0.3">
      <c r="A1190" s="1">
        <v>45579</v>
      </c>
      <c r="B1190" s="4">
        <v>1958.9</v>
      </c>
    </row>
    <row r="1191" spans="1:2" x14ac:dyDescent="0.3">
      <c r="A1191" s="1">
        <v>45580</v>
      </c>
      <c r="B1191" s="4">
        <v>1959.3</v>
      </c>
    </row>
    <row r="1192" spans="1:2" x14ac:dyDescent="0.3">
      <c r="A1192" s="1">
        <v>45581</v>
      </c>
      <c r="B1192" s="4">
        <v>1920.1</v>
      </c>
    </row>
    <row r="1193" spans="1:2" x14ac:dyDescent="0.3">
      <c r="A1193" s="1">
        <v>45582</v>
      </c>
      <c r="B1193" s="4">
        <v>1968.1</v>
      </c>
    </row>
    <row r="1194" spans="1:2" x14ac:dyDescent="0.3">
      <c r="A1194" s="1">
        <v>45583</v>
      </c>
      <c r="B1194" s="4">
        <v>1879.6</v>
      </c>
    </row>
    <row r="1195" spans="1:2" x14ac:dyDescent="0.3">
      <c r="A1195" s="1">
        <v>45586</v>
      </c>
      <c r="B1195" s="4">
        <v>1852.75</v>
      </c>
    </row>
    <row r="1196" spans="1:2" x14ac:dyDescent="0.3">
      <c r="A1196" s="1">
        <v>45587</v>
      </c>
      <c r="B1196" s="4">
        <v>1851.6</v>
      </c>
    </row>
    <row r="1197" spans="1:2" x14ac:dyDescent="0.3">
      <c r="A1197" s="1">
        <v>45588</v>
      </c>
      <c r="B1197" s="4">
        <v>1873.4</v>
      </c>
    </row>
    <row r="1198" spans="1:2" x14ac:dyDescent="0.3">
      <c r="A1198" s="1">
        <v>45589</v>
      </c>
      <c r="B1198" s="4">
        <v>1863.35</v>
      </c>
    </row>
    <row r="1199" spans="1:2" x14ac:dyDescent="0.3">
      <c r="A1199" s="1">
        <v>45590</v>
      </c>
      <c r="B1199" s="4">
        <v>1862.05</v>
      </c>
    </row>
    <row r="1200" spans="1:2" x14ac:dyDescent="0.3">
      <c r="A1200" s="1">
        <v>45593</v>
      </c>
      <c r="B1200" s="4">
        <v>1865.35</v>
      </c>
    </row>
    <row r="1201" spans="1:2" x14ac:dyDescent="0.3">
      <c r="A1201" s="1">
        <v>45594</v>
      </c>
      <c r="B1201" s="4">
        <v>1839.3</v>
      </c>
    </row>
    <row r="1202" spans="1:2" x14ac:dyDescent="0.3">
      <c r="A1202" s="1">
        <v>45595</v>
      </c>
      <c r="B1202" s="4">
        <v>1802.1</v>
      </c>
    </row>
    <row r="1203" spans="1:2" x14ac:dyDescent="0.3">
      <c r="A1203" s="1">
        <v>45596</v>
      </c>
      <c r="B1203" s="4">
        <v>1757.25</v>
      </c>
    </row>
    <row r="1204" spans="1:2" x14ac:dyDescent="0.3">
      <c r="A1204" s="1">
        <v>45597</v>
      </c>
      <c r="B1204" s="4">
        <v>1760.85</v>
      </c>
    </row>
    <row r="1205" spans="1:2" x14ac:dyDescent="0.3">
      <c r="A1205" s="1">
        <v>45600</v>
      </c>
      <c r="B1205" s="4">
        <v>1763.65</v>
      </c>
    </row>
    <row r="1206" spans="1:2" x14ac:dyDescent="0.3">
      <c r="A1206" s="1">
        <v>45601</v>
      </c>
      <c r="B1206" s="4">
        <v>1754.2</v>
      </c>
    </row>
    <row r="1207" spans="1:2" x14ac:dyDescent="0.3">
      <c r="A1207" s="1">
        <v>45602</v>
      </c>
      <c r="B1207" s="4">
        <v>1823.7</v>
      </c>
    </row>
    <row r="1208" spans="1:2" x14ac:dyDescent="0.3">
      <c r="A1208" s="1">
        <v>45603</v>
      </c>
      <c r="B1208" s="4">
        <v>1803.05</v>
      </c>
    </row>
    <row r="1209" spans="1:2" x14ac:dyDescent="0.3">
      <c r="A1209" s="1">
        <v>45604</v>
      </c>
      <c r="B1209" s="4">
        <v>1829.95</v>
      </c>
    </row>
    <row r="1210" spans="1:2" x14ac:dyDescent="0.3">
      <c r="A1210" s="1">
        <v>45607</v>
      </c>
      <c r="B1210" s="4">
        <v>1860.1</v>
      </c>
    </row>
    <row r="1211" spans="1:2" x14ac:dyDescent="0.3">
      <c r="A1211" s="1">
        <v>45608</v>
      </c>
      <c r="B1211" s="4">
        <v>1868.8</v>
      </c>
    </row>
    <row r="1212" spans="1:2" x14ac:dyDescent="0.3">
      <c r="A1212" s="1">
        <v>45609</v>
      </c>
      <c r="B1212" s="4">
        <v>1868.4</v>
      </c>
    </row>
    <row r="1213" spans="1:2" x14ac:dyDescent="0.3">
      <c r="A1213" s="1">
        <v>45610</v>
      </c>
      <c r="B1213" s="4">
        <v>1864.55</v>
      </c>
    </row>
    <row r="1214" spans="1:2" x14ac:dyDescent="0.3">
      <c r="A1214" s="1">
        <v>45614</v>
      </c>
      <c r="B1214" s="4">
        <v>1811.45</v>
      </c>
    </row>
    <row r="1215" spans="1:2" x14ac:dyDescent="0.3">
      <c r="A1215" s="1">
        <v>45615</v>
      </c>
      <c r="B1215" s="4">
        <v>1824.75</v>
      </c>
    </row>
    <row r="1216" spans="1:2" x14ac:dyDescent="0.3">
      <c r="A1216" s="1">
        <v>45617</v>
      </c>
      <c r="B1216" s="4">
        <v>1834.05</v>
      </c>
    </row>
    <row r="1217" spans="1:2" x14ac:dyDescent="0.3">
      <c r="A1217" s="1">
        <v>45618</v>
      </c>
      <c r="B1217" s="4">
        <v>1902.25</v>
      </c>
    </row>
    <row r="1218" spans="1:2" x14ac:dyDescent="0.3">
      <c r="A1218" s="1">
        <v>45621</v>
      </c>
      <c r="B1218" s="4">
        <v>1889.7</v>
      </c>
    </row>
    <row r="1219" spans="1:2" x14ac:dyDescent="0.3">
      <c r="A1219" s="1">
        <v>45622</v>
      </c>
      <c r="B1219" s="4">
        <v>1924.15</v>
      </c>
    </row>
    <row r="1220" spans="1:2" x14ac:dyDescent="0.3">
      <c r="A1220" s="1">
        <v>45623</v>
      </c>
      <c r="B1220" s="4">
        <v>1924.5</v>
      </c>
    </row>
    <row r="1221" spans="1:2" x14ac:dyDescent="0.3">
      <c r="A1221" s="1">
        <v>45624</v>
      </c>
      <c r="B1221" s="4">
        <v>1856.65</v>
      </c>
    </row>
    <row r="1222" spans="1:2" x14ac:dyDescent="0.3">
      <c r="A1222" s="1">
        <v>45625</v>
      </c>
      <c r="B1222" s="4">
        <v>1857.85</v>
      </c>
    </row>
    <row r="1223" spans="1:2" x14ac:dyDescent="0.3">
      <c r="A1223" s="1">
        <v>45628</v>
      </c>
      <c r="B1223" s="4">
        <v>1879.8</v>
      </c>
    </row>
    <row r="1224" spans="1:2" x14ac:dyDescent="0.3">
      <c r="A1224" s="1">
        <v>45629</v>
      </c>
      <c r="B1224" s="4">
        <v>1892.1</v>
      </c>
    </row>
    <row r="1225" spans="1:2" x14ac:dyDescent="0.3">
      <c r="A1225" s="1">
        <v>45630</v>
      </c>
      <c r="B1225" s="4">
        <v>1889.25</v>
      </c>
    </row>
    <row r="1226" spans="1:2" x14ac:dyDescent="0.3">
      <c r="A1226" s="1">
        <v>45631</v>
      </c>
      <c r="B1226" s="4">
        <v>1934.85</v>
      </c>
    </row>
    <row r="1227" spans="1:2" x14ac:dyDescent="0.3">
      <c r="A1227" s="1">
        <v>45632</v>
      </c>
      <c r="B1227" s="4">
        <v>1922.4</v>
      </c>
    </row>
    <row r="1228" spans="1:2" x14ac:dyDescent="0.3">
      <c r="A1228" s="1">
        <v>45635</v>
      </c>
      <c r="B1228" s="4">
        <v>1923.65</v>
      </c>
    </row>
    <row r="1229" spans="1:2" x14ac:dyDescent="0.3">
      <c r="A1229" s="1">
        <v>45636</v>
      </c>
      <c r="B1229" s="4">
        <v>1948.55</v>
      </c>
    </row>
    <row r="1230" spans="1:2" x14ac:dyDescent="0.3">
      <c r="A1230" s="1">
        <v>45637</v>
      </c>
      <c r="B1230" s="4">
        <v>1974.15</v>
      </c>
    </row>
    <row r="1231" spans="1:2" x14ac:dyDescent="0.3">
      <c r="A1231" s="1">
        <v>45638</v>
      </c>
      <c r="B1231" s="4">
        <v>1987</v>
      </c>
    </row>
    <row r="1232" spans="1:2" x14ac:dyDescent="0.3">
      <c r="A1232" s="1">
        <v>45639</v>
      </c>
      <c r="B1232" s="4">
        <v>1999.7</v>
      </c>
    </row>
    <row r="1233" spans="1:2" x14ac:dyDescent="0.3">
      <c r="A1233" s="1">
        <v>45642</v>
      </c>
      <c r="B1233" s="4">
        <v>1980.05</v>
      </c>
    </row>
    <row r="1234" spans="1:2" x14ac:dyDescent="0.3">
      <c r="A1234" s="1">
        <v>45643</v>
      </c>
      <c r="B1234" s="4">
        <v>1976.6</v>
      </c>
    </row>
    <row r="1235" spans="1:2" x14ac:dyDescent="0.3">
      <c r="A1235" s="1">
        <v>45644</v>
      </c>
      <c r="B1235" s="4">
        <v>1979.15</v>
      </c>
    </row>
    <row r="1236" spans="1:2" x14ac:dyDescent="0.3">
      <c r="A1236" s="1">
        <v>45645</v>
      </c>
      <c r="B1236" s="4">
        <v>1946.2</v>
      </c>
    </row>
    <row r="1237" spans="1:2" x14ac:dyDescent="0.3">
      <c r="A1237" s="1">
        <v>45646</v>
      </c>
      <c r="B1237" s="4">
        <v>1922.15</v>
      </c>
    </row>
    <row r="1238" spans="1:2" x14ac:dyDescent="0.3">
      <c r="A1238" s="1">
        <v>45649</v>
      </c>
      <c r="B1238" s="4">
        <v>1924.3</v>
      </c>
    </row>
    <row r="1239" spans="1:2" x14ac:dyDescent="0.3">
      <c r="A1239" s="1">
        <v>45650</v>
      </c>
      <c r="B1239" s="4">
        <v>1909.05</v>
      </c>
    </row>
    <row r="1240" spans="1:2" x14ac:dyDescent="0.3">
      <c r="A1240" s="1">
        <v>45652</v>
      </c>
      <c r="B1240" s="4">
        <v>1907.4</v>
      </c>
    </row>
    <row r="1241" spans="1:2" x14ac:dyDescent="0.3">
      <c r="A1241" s="1">
        <v>45653</v>
      </c>
      <c r="B1241" s="4">
        <v>1916.75</v>
      </c>
    </row>
    <row r="1242" spans="1:2" x14ac:dyDescent="0.3">
      <c r="A1242" s="1">
        <v>45656</v>
      </c>
      <c r="B1242" s="4">
        <v>1906</v>
      </c>
    </row>
    <row r="1243" spans="1:2" x14ac:dyDescent="0.3">
      <c r="A1243" s="1">
        <v>45657</v>
      </c>
      <c r="B1243" s="4">
        <v>1880</v>
      </c>
    </row>
    <row r="1244" spans="1:2" x14ac:dyDescent="0.3">
      <c r="A1244" s="1">
        <v>45658</v>
      </c>
      <c r="B1244" s="4">
        <v>1882.5</v>
      </c>
    </row>
    <row r="1245" spans="1:2" x14ac:dyDescent="0.3">
      <c r="A1245" s="1">
        <v>45659</v>
      </c>
      <c r="B1245" s="4">
        <v>1957.85</v>
      </c>
    </row>
    <row r="1246" spans="1:2" x14ac:dyDescent="0.3">
      <c r="A1246" s="1">
        <v>45660</v>
      </c>
      <c r="B1246" s="4">
        <v>1938.75</v>
      </c>
    </row>
    <row r="1247" spans="1:2" x14ac:dyDescent="0.3">
      <c r="A1247" s="1">
        <v>45663</v>
      </c>
      <c r="B1247" s="4">
        <v>1937.85</v>
      </c>
    </row>
    <row r="1248" spans="1:2" x14ac:dyDescent="0.3">
      <c r="A1248" s="1">
        <v>45664</v>
      </c>
      <c r="B1248" s="4">
        <v>1930.85</v>
      </c>
    </row>
    <row r="1249" spans="1:2" x14ac:dyDescent="0.3">
      <c r="A1249" s="1">
        <v>45665</v>
      </c>
      <c r="B1249" s="4">
        <v>1933.15</v>
      </c>
    </row>
    <row r="1250" spans="1:2" x14ac:dyDescent="0.3">
      <c r="A1250" s="1">
        <v>45666</v>
      </c>
      <c r="B1250" s="4">
        <v>1917.3</v>
      </c>
    </row>
    <row r="1251" spans="1:2" x14ac:dyDescent="0.3">
      <c r="A1251" s="1">
        <v>45667</v>
      </c>
      <c r="B1251" s="4">
        <v>1966.95</v>
      </c>
    </row>
    <row r="1252" spans="1:2" x14ac:dyDescent="0.3">
      <c r="A1252" s="1">
        <v>45670</v>
      </c>
      <c r="B1252" s="4">
        <v>1962.2</v>
      </c>
    </row>
    <row r="1253" spans="1:2" x14ac:dyDescent="0.3">
      <c r="A1253" s="1">
        <v>45671</v>
      </c>
      <c r="B1253" s="4">
        <v>1940.05</v>
      </c>
    </row>
    <row r="1254" spans="1:2" x14ac:dyDescent="0.3">
      <c r="A1254" s="1">
        <v>45672</v>
      </c>
      <c r="B1254" s="4">
        <v>1949.65</v>
      </c>
    </row>
    <row r="1255" spans="1:2" x14ac:dyDescent="0.3">
      <c r="A1255" s="1">
        <v>45673</v>
      </c>
      <c r="B1255" s="4">
        <v>1928.45</v>
      </c>
    </row>
    <row r="1256" spans="1:2" x14ac:dyDescent="0.3">
      <c r="A1256" s="1">
        <v>45674</v>
      </c>
      <c r="B1256" s="4">
        <v>1815.45</v>
      </c>
    </row>
    <row r="1257" spans="1:2" x14ac:dyDescent="0.3">
      <c r="A1257" s="1">
        <v>45677</v>
      </c>
      <c r="B1257" s="4">
        <v>1813.3</v>
      </c>
    </row>
    <row r="1258" spans="1:2" x14ac:dyDescent="0.3">
      <c r="A1258" s="1">
        <v>45678</v>
      </c>
      <c r="B1258" s="4">
        <v>1800.7</v>
      </c>
    </row>
    <row r="1259" spans="1:2" x14ac:dyDescent="0.3">
      <c r="A1259" s="1">
        <v>45679</v>
      </c>
      <c r="B1259" s="4">
        <v>1856.45</v>
      </c>
    </row>
    <row r="1260" spans="1:2" x14ac:dyDescent="0.3">
      <c r="A1260" s="1">
        <v>45680</v>
      </c>
      <c r="B1260" s="4">
        <v>1865.45</v>
      </c>
    </row>
    <row r="1261" spans="1:2" x14ac:dyDescent="0.3">
      <c r="A1261" s="1">
        <v>45681</v>
      </c>
      <c r="B1261" s="4">
        <v>1875.45</v>
      </c>
    </row>
    <row r="1262" spans="1:2" x14ac:dyDescent="0.3">
      <c r="A1262" s="1">
        <v>45684</v>
      </c>
      <c r="B1262" s="4">
        <v>1822</v>
      </c>
    </row>
    <row r="1263" spans="1:2" x14ac:dyDescent="0.3">
      <c r="A1263" s="1">
        <v>45685</v>
      </c>
      <c r="B1263" s="4">
        <v>1829.75</v>
      </c>
    </row>
    <row r="1264" spans="1:2" x14ac:dyDescent="0.3">
      <c r="A1264" s="1">
        <v>45686</v>
      </c>
      <c r="B1264" s="4">
        <v>1881.25</v>
      </c>
    </row>
    <row r="1265" spans="1:2" x14ac:dyDescent="0.3">
      <c r="A1265" s="1">
        <v>45687</v>
      </c>
      <c r="B1265" s="4">
        <v>1859.95</v>
      </c>
    </row>
    <row r="1266" spans="1:2" x14ac:dyDescent="0.3">
      <c r="A1266" s="1">
        <v>45688</v>
      </c>
      <c r="B1266" s="4">
        <v>1879.8</v>
      </c>
    </row>
    <row r="1267" spans="1:2" x14ac:dyDescent="0.3">
      <c r="A1267" s="1">
        <v>45689</v>
      </c>
      <c r="B1267" s="4">
        <v>1851.35</v>
      </c>
    </row>
    <row r="1268" spans="1:2" x14ac:dyDescent="0.3">
      <c r="A1268" s="1">
        <v>45691</v>
      </c>
      <c r="B1268" s="4">
        <v>1863.3</v>
      </c>
    </row>
    <row r="1269" spans="1:2" x14ac:dyDescent="0.3">
      <c r="A1269" s="1">
        <v>45692</v>
      </c>
      <c r="B1269" s="4">
        <v>1898.8</v>
      </c>
    </row>
    <row r="1270" spans="1:2" x14ac:dyDescent="0.3">
      <c r="A1270" s="1">
        <v>45693</v>
      </c>
      <c r="B1270" s="4">
        <v>1897.05</v>
      </c>
    </row>
    <row r="1271" spans="1:2" x14ac:dyDescent="0.3">
      <c r="A1271" s="1">
        <v>45694</v>
      </c>
      <c r="B1271" s="4">
        <v>1915.65</v>
      </c>
    </row>
    <row r="1272" spans="1:2" x14ac:dyDescent="0.3">
      <c r="A1272" s="1">
        <v>45695</v>
      </c>
      <c r="B1272" s="4">
        <v>1903.65</v>
      </c>
    </row>
    <row r="1273" spans="1:2" x14ac:dyDescent="0.3">
      <c r="A1273" s="1">
        <v>45698</v>
      </c>
      <c r="B1273" s="4">
        <v>1880.3</v>
      </c>
    </row>
    <row r="1274" spans="1:2" x14ac:dyDescent="0.3">
      <c r="A1274" s="1">
        <v>45699</v>
      </c>
      <c r="B1274" s="4">
        <v>1875.65</v>
      </c>
    </row>
    <row r="1275" spans="1:2" x14ac:dyDescent="0.3">
      <c r="A1275" s="1">
        <v>45700</v>
      </c>
      <c r="B1275" s="4">
        <v>1863.15</v>
      </c>
    </row>
    <row r="1276" spans="1:2" x14ac:dyDescent="0.3">
      <c r="A1276" s="1">
        <v>45701</v>
      </c>
      <c r="B1276" s="4">
        <v>1843.25</v>
      </c>
    </row>
    <row r="1277" spans="1:2" x14ac:dyDescent="0.3">
      <c r="A1277" s="1">
        <v>45702</v>
      </c>
      <c r="B1277" s="4">
        <v>1856.4</v>
      </c>
    </row>
    <row r="1278" spans="1:2" x14ac:dyDescent="0.3">
      <c r="A1278" s="1">
        <v>45705</v>
      </c>
      <c r="B1278" s="4">
        <v>1842.3</v>
      </c>
    </row>
    <row r="1279" spans="1:2" x14ac:dyDescent="0.3">
      <c r="A1279" s="1">
        <v>45706</v>
      </c>
      <c r="B1279" s="4">
        <v>1851.95</v>
      </c>
    </row>
    <row r="1280" spans="1:2" x14ac:dyDescent="0.3">
      <c r="A1280" s="1">
        <v>45707</v>
      </c>
      <c r="B1280" s="4">
        <v>1810.8</v>
      </c>
    </row>
    <row r="1281" spans="1:2" x14ac:dyDescent="0.3">
      <c r="A1281" s="1">
        <v>45708</v>
      </c>
      <c r="B1281" s="4">
        <v>1825.15</v>
      </c>
    </row>
    <row r="1282" spans="1:2" x14ac:dyDescent="0.3">
      <c r="A1282" s="1">
        <v>45709</v>
      </c>
      <c r="B1282" s="4">
        <v>1815</v>
      </c>
    </row>
    <row r="1283" spans="1:2" x14ac:dyDescent="0.3">
      <c r="A1283" s="1">
        <v>45712</v>
      </c>
      <c r="B1283" s="4">
        <v>1764.1</v>
      </c>
    </row>
    <row r="1284" spans="1:2" x14ac:dyDescent="0.3">
      <c r="A1284" s="1">
        <v>45713</v>
      </c>
      <c r="B1284" s="4">
        <v>1767.7</v>
      </c>
    </row>
    <row r="1285" spans="1:2" x14ac:dyDescent="0.3">
      <c r="A1285" s="1">
        <v>45715</v>
      </c>
      <c r="B1285" s="4">
        <v>1764.3</v>
      </c>
    </row>
    <row r="1286" spans="1:2" x14ac:dyDescent="0.3">
      <c r="A1286" s="1">
        <v>45716</v>
      </c>
      <c r="B1286" s="4">
        <v>1687.7</v>
      </c>
    </row>
    <row r="1287" spans="1:2" x14ac:dyDescent="0.3">
      <c r="A1287" s="1">
        <v>45719</v>
      </c>
      <c r="B1287" s="4">
        <v>1708.6</v>
      </c>
    </row>
    <row r="1288" spans="1:2" x14ac:dyDescent="0.3">
      <c r="A1288" s="1">
        <v>45720</v>
      </c>
      <c r="B1288" s="4">
        <v>1688.3</v>
      </c>
    </row>
    <row r="1289" spans="1:2" x14ac:dyDescent="0.3">
      <c r="A1289" s="1">
        <v>45721</v>
      </c>
      <c r="B1289" s="4">
        <v>1711.5</v>
      </c>
    </row>
    <row r="1290" spans="1:2" x14ac:dyDescent="0.3">
      <c r="A1290" s="1">
        <v>45722</v>
      </c>
      <c r="B1290" s="4">
        <v>1715.85</v>
      </c>
    </row>
    <row r="1291" spans="1:2" x14ac:dyDescent="0.3">
      <c r="A1291" s="1">
        <v>45723</v>
      </c>
      <c r="B1291" s="4">
        <v>1686</v>
      </c>
    </row>
    <row r="1292" spans="1:2" x14ac:dyDescent="0.3">
      <c r="A1292" s="1">
        <v>45726</v>
      </c>
      <c r="B1292" s="4">
        <v>1701.45</v>
      </c>
    </row>
    <row r="1293" spans="1:2" x14ac:dyDescent="0.3">
      <c r="A1293" s="1">
        <v>45727</v>
      </c>
      <c r="B1293" s="4">
        <v>1661.6</v>
      </c>
    </row>
    <row r="1294" spans="1:2" x14ac:dyDescent="0.3">
      <c r="A1294" s="1">
        <v>45728</v>
      </c>
      <c r="B1294" s="4">
        <v>1590.85</v>
      </c>
    </row>
    <row r="1295" spans="1:2" x14ac:dyDescent="0.3">
      <c r="A1295" s="1">
        <v>45729</v>
      </c>
      <c r="B1295" s="4">
        <v>1579.85</v>
      </c>
    </row>
    <row r="1296" spans="1:2" x14ac:dyDescent="0.3">
      <c r="A1296" s="1">
        <v>45733</v>
      </c>
      <c r="B1296" s="4">
        <v>1590.05</v>
      </c>
    </row>
    <row r="1297" spans="1:2" x14ac:dyDescent="0.3">
      <c r="A1297" s="1">
        <v>45734</v>
      </c>
      <c r="B1297" s="4">
        <v>1609.35</v>
      </c>
    </row>
    <row r="1298" spans="1:2" x14ac:dyDescent="0.3">
      <c r="A1298" s="1">
        <v>45735</v>
      </c>
      <c r="B1298" s="4">
        <v>1586.55</v>
      </c>
    </row>
    <row r="1299" spans="1:2" x14ac:dyDescent="0.3">
      <c r="A1299" s="1">
        <v>45736</v>
      </c>
      <c r="B1299" s="4">
        <v>1615.55</v>
      </c>
    </row>
    <row r="1300" spans="1:2" x14ac:dyDescent="0.3">
      <c r="A1300" s="1">
        <v>45737</v>
      </c>
      <c r="B1300" s="4">
        <v>1592.55</v>
      </c>
    </row>
    <row r="1301" spans="1:2" x14ac:dyDescent="0.3">
      <c r="A1301" s="1">
        <v>45740</v>
      </c>
      <c r="B1301" s="4">
        <v>1592.75</v>
      </c>
    </row>
    <row r="1302" spans="1:2" x14ac:dyDescent="0.3">
      <c r="A1302" s="1">
        <v>45741</v>
      </c>
      <c r="B1302" s="4">
        <v>1628.45</v>
      </c>
    </row>
    <row r="1303" spans="1:2" x14ac:dyDescent="0.3">
      <c r="A1303" s="1">
        <v>45742</v>
      </c>
      <c r="B1303" s="4">
        <v>1599.45</v>
      </c>
    </row>
    <row r="1304" spans="1:2" x14ac:dyDescent="0.3">
      <c r="A1304" s="1">
        <v>45743</v>
      </c>
      <c r="B1304" s="4">
        <v>1603.55</v>
      </c>
    </row>
    <row r="1305" spans="1:2" x14ac:dyDescent="0.3">
      <c r="A1305" s="1">
        <v>45744</v>
      </c>
      <c r="B1305" s="4">
        <v>1570.65</v>
      </c>
    </row>
    <row r="1306" spans="1:2" x14ac:dyDescent="0.3">
      <c r="A1306" s="1">
        <v>45748</v>
      </c>
      <c r="B1306" s="4">
        <v>1526.5</v>
      </c>
    </row>
    <row r="1307" spans="1:2" x14ac:dyDescent="0.3">
      <c r="A1307" s="1">
        <v>45749</v>
      </c>
      <c r="B1307" s="4">
        <v>1550.15</v>
      </c>
    </row>
    <row r="1308" spans="1:2" x14ac:dyDescent="0.3">
      <c r="A1308" s="1">
        <v>45750</v>
      </c>
      <c r="B1308" s="4">
        <v>1496.5</v>
      </c>
    </row>
    <row r="1309" spans="1:2" x14ac:dyDescent="0.3">
      <c r="A1309" s="1">
        <v>45751</v>
      </c>
      <c r="B1309" s="4">
        <v>1451.65</v>
      </c>
    </row>
    <row r="1310" spans="1:2" x14ac:dyDescent="0.3">
      <c r="A1310" s="1">
        <v>45754</v>
      </c>
      <c r="B1310" s="4">
        <v>1396.75</v>
      </c>
    </row>
    <row r="1311" spans="1:2" x14ac:dyDescent="0.3">
      <c r="A1311" s="1">
        <v>45755</v>
      </c>
      <c r="B1311" s="4">
        <v>1428.8</v>
      </c>
    </row>
    <row r="1312" spans="1:2" x14ac:dyDescent="0.3">
      <c r="A1312" s="1">
        <v>45756</v>
      </c>
      <c r="B1312" s="4">
        <v>1403.7</v>
      </c>
    </row>
    <row r="1313" spans="1:2" x14ac:dyDescent="0.3">
      <c r="A1313" s="1">
        <v>45758</v>
      </c>
      <c r="B1313" s="4">
        <v>1409.45</v>
      </c>
    </row>
    <row r="1314" spans="1:2" x14ac:dyDescent="0.3">
      <c r="A1314" s="1">
        <v>45762</v>
      </c>
      <c r="B1314" s="4">
        <v>1426</v>
      </c>
    </row>
    <row r="1315" spans="1:2" x14ac:dyDescent="0.3">
      <c r="A1315" s="1">
        <v>45763</v>
      </c>
      <c r="B1315" s="4">
        <v>1413.1</v>
      </c>
    </row>
    <row r="1316" spans="1:2" x14ac:dyDescent="0.3">
      <c r="A1316" s="1">
        <v>45764</v>
      </c>
      <c r="B1316" s="4">
        <v>1419.5</v>
      </c>
    </row>
    <row r="1317" spans="1:2" x14ac:dyDescent="0.3">
      <c r="A1317" s="1">
        <v>45768</v>
      </c>
      <c r="B1317" s="4">
        <v>1451</v>
      </c>
    </row>
    <row r="1318" spans="1:2" x14ac:dyDescent="0.3">
      <c r="A1318" s="1">
        <v>45769</v>
      </c>
      <c r="B1318" s="4">
        <v>1422.8</v>
      </c>
    </row>
    <row r="1319" spans="1:2" x14ac:dyDescent="0.3">
      <c r="A1319" s="1">
        <v>45770</v>
      </c>
      <c r="B1319" s="4">
        <v>1474.9</v>
      </c>
    </row>
    <row r="1320" spans="1:2" x14ac:dyDescent="0.3">
      <c r="A1320" s="1">
        <v>45771</v>
      </c>
      <c r="B1320" s="4">
        <v>1471.4</v>
      </c>
    </row>
    <row r="1321" spans="1:2" x14ac:dyDescent="0.3">
      <c r="A1321" s="1">
        <v>45772</v>
      </c>
      <c r="B1321" s="4">
        <v>1480.2</v>
      </c>
    </row>
    <row r="1322" spans="1:2" x14ac:dyDescent="0.3">
      <c r="A1322" s="1">
        <v>45775</v>
      </c>
      <c r="B1322" s="4">
        <v>1482.1</v>
      </c>
    </row>
    <row r="1323" spans="1:2" x14ac:dyDescent="0.3">
      <c r="A1323" s="1">
        <v>45776</v>
      </c>
      <c r="B1323" s="4">
        <v>1497.5</v>
      </c>
    </row>
    <row r="1324" spans="1:2" x14ac:dyDescent="0.3">
      <c r="A1324" s="1">
        <v>45777</v>
      </c>
      <c r="B1324" s="4">
        <v>1500.1</v>
      </c>
    </row>
    <row r="1325" spans="1:2" x14ac:dyDescent="0.3">
      <c r="A1325" s="1">
        <v>45779</v>
      </c>
      <c r="B1325" s="4">
        <v>1506.8</v>
      </c>
    </row>
    <row r="1326" spans="1:2" x14ac:dyDescent="0.3">
      <c r="A1326" s="1">
        <v>45782</v>
      </c>
      <c r="B1326" s="4">
        <v>1508.6</v>
      </c>
    </row>
    <row r="1327" spans="1:2" x14ac:dyDescent="0.3">
      <c r="A1327" s="1">
        <v>45783</v>
      </c>
      <c r="B1327" s="4">
        <v>1511.5</v>
      </c>
    </row>
    <row r="1328" spans="1:2" x14ac:dyDescent="0.3">
      <c r="A1328" s="1">
        <v>45784</v>
      </c>
      <c r="B1328" s="4">
        <v>1508.3</v>
      </c>
    </row>
    <row r="1329" spans="1:2" x14ac:dyDescent="0.3">
      <c r="A1329" s="1">
        <v>45785</v>
      </c>
      <c r="B1329" s="4">
        <v>1511.4</v>
      </c>
    </row>
    <row r="1330" spans="1:2" x14ac:dyDescent="0.3">
      <c r="A1330" s="1">
        <v>45786</v>
      </c>
      <c r="B1330" s="4">
        <v>1507.6</v>
      </c>
    </row>
    <row r="1331" spans="1:2" x14ac:dyDescent="0.3">
      <c r="A1331" s="1">
        <v>45789</v>
      </c>
      <c r="B1331" s="4">
        <v>1626.9</v>
      </c>
    </row>
    <row r="1332" spans="1:2" x14ac:dyDescent="0.3">
      <c r="A1332" s="1">
        <v>45790</v>
      </c>
      <c r="B1332" s="4">
        <v>1568.6</v>
      </c>
    </row>
    <row r="1333" spans="1:2" x14ac:dyDescent="0.3">
      <c r="A1333" s="1">
        <v>45791</v>
      </c>
      <c r="B1333" s="4">
        <v>1592.4</v>
      </c>
    </row>
    <row r="1334" spans="1:2" x14ac:dyDescent="0.3">
      <c r="A1334" s="1">
        <v>45792</v>
      </c>
      <c r="B1334" s="4">
        <v>1613</v>
      </c>
    </row>
    <row r="1335" spans="1:2" x14ac:dyDescent="0.3">
      <c r="A1335" s="1">
        <v>45793</v>
      </c>
      <c r="B1335" s="4">
        <v>1589.9</v>
      </c>
    </row>
    <row r="1336" spans="1:2" x14ac:dyDescent="0.3">
      <c r="A1336" s="1">
        <v>45796</v>
      </c>
      <c r="B1336" s="4">
        <v>1559.8</v>
      </c>
    </row>
    <row r="1337" spans="1:2" x14ac:dyDescent="0.3">
      <c r="A1337" s="1">
        <v>45797</v>
      </c>
      <c r="B1337" s="4">
        <v>1560.6</v>
      </c>
    </row>
    <row r="1338" spans="1:2" x14ac:dyDescent="0.3">
      <c r="A1338" s="1">
        <v>45798</v>
      </c>
      <c r="B1338" s="4">
        <v>1568.5</v>
      </c>
    </row>
    <row r="1339" spans="1:2" x14ac:dyDescent="0.3">
      <c r="A1339" s="1">
        <v>45799</v>
      </c>
      <c r="B1339" s="4">
        <v>1547.5</v>
      </c>
    </row>
    <row r="1340" spans="1:2" x14ac:dyDescent="0.3">
      <c r="A1340" s="1">
        <v>45800</v>
      </c>
      <c r="B1340" s="4">
        <v>1564.8</v>
      </c>
    </row>
    <row r="1341" spans="1:2" x14ac:dyDescent="0.3">
      <c r="A1341" s="1">
        <v>45803</v>
      </c>
      <c r="B1341" s="4">
        <v>1580.5</v>
      </c>
    </row>
    <row r="1342" spans="1:2" x14ac:dyDescent="0.3">
      <c r="A1342" s="1">
        <v>45804</v>
      </c>
      <c r="B1342" s="4">
        <v>1570.1</v>
      </c>
    </row>
    <row r="1343" spans="1:2" x14ac:dyDescent="0.3">
      <c r="A1343" s="1">
        <v>45805</v>
      </c>
      <c r="B1343" s="4">
        <v>1571.8</v>
      </c>
    </row>
    <row r="1344" spans="1:2" x14ac:dyDescent="0.3">
      <c r="A1344" s="1">
        <v>45806</v>
      </c>
      <c r="B1344" s="4">
        <v>1585.6</v>
      </c>
    </row>
    <row r="1345" spans="1:2" x14ac:dyDescent="0.3">
      <c r="A1345" s="1">
        <v>45807</v>
      </c>
      <c r="B1345" s="4">
        <v>1562.7</v>
      </c>
    </row>
    <row r="1346" spans="1:2" x14ac:dyDescent="0.3">
      <c r="A1346" s="1">
        <v>45810</v>
      </c>
      <c r="B1346" s="4">
        <v>1553.8</v>
      </c>
    </row>
    <row r="1347" spans="1:2" x14ac:dyDescent="0.3">
      <c r="A1347" s="1">
        <v>45811</v>
      </c>
      <c r="B1347" s="4">
        <v>1543</v>
      </c>
    </row>
    <row r="1348" spans="1:2" x14ac:dyDescent="0.3">
      <c r="A1348" s="1">
        <v>45812</v>
      </c>
      <c r="B1348" s="4">
        <v>1551.2</v>
      </c>
    </row>
    <row r="1349" spans="1:2" x14ac:dyDescent="0.3">
      <c r="A1349" s="1">
        <v>45813</v>
      </c>
      <c r="B1349" s="4">
        <v>1554.3</v>
      </c>
    </row>
    <row r="1350" spans="1:2" x14ac:dyDescent="0.3">
      <c r="A1350" s="1">
        <v>45814</v>
      </c>
      <c r="B1350" s="4">
        <v>1563.8</v>
      </c>
    </row>
    <row r="1351" spans="1:2" x14ac:dyDescent="0.3">
      <c r="A1351" s="1">
        <v>45817</v>
      </c>
      <c r="B1351" s="4">
        <v>1572.9</v>
      </c>
    </row>
    <row r="1352" spans="1:2" x14ac:dyDescent="0.3">
      <c r="A1352" s="1">
        <v>45818</v>
      </c>
      <c r="B1352" s="4">
        <v>1596</v>
      </c>
    </row>
    <row r="1353" spans="1:2" x14ac:dyDescent="0.3">
      <c r="A1353" s="1">
        <v>45819</v>
      </c>
      <c r="B1353" s="4">
        <v>1631.1</v>
      </c>
    </row>
    <row r="1354" spans="1:2" x14ac:dyDescent="0.3">
      <c r="A1354" s="1">
        <v>45820</v>
      </c>
      <c r="B1354" s="4">
        <v>1608.6</v>
      </c>
    </row>
    <row r="1355" spans="1:2" x14ac:dyDescent="0.3">
      <c r="A1355" s="1">
        <v>45821</v>
      </c>
      <c r="B1355" s="4">
        <v>1602</v>
      </c>
    </row>
    <row r="1356" spans="1:2" x14ac:dyDescent="0.3">
      <c r="A1356" s="1">
        <v>45824</v>
      </c>
      <c r="B1356" s="4">
        <v>1623.8</v>
      </c>
    </row>
    <row r="1357" spans="1:2" x14ac:dyDescent="0.3">
      <c r="A1357" s="1">
        <v>45825</v>
      </c>
      <c r="B1357" s="4">
        <v>1639.9</v>
      </c>
    </row>
    <row r="1358" spans="1:2" x14ac:dyDescent="0.3">
      <c r="A1358" s="1">
        <v>45826</v>
      </c>
      <c r="B1358" s="4">
        <v>1632.9</v>
      </c>
    </row>
    <row r="1359" spans="1:2" x14ac:dyDescent="0.3">
      <c r="A1359" s="1">
        <v>45827</v>
      </c>
      <c r="B1359" s="4">
        <v>1618.4</v>
      </c>
    </row>
    <row r="1360" spans="1:2" x14ac:dyDescent="0.3">
      <c r="A1360" s="1">
        <v>45828</v>
      </c>
      <c r="B1360" s="4">
        <v>1622.9</v>
      </c>
    </row>
    <row r="1361" spans="1:2" x14ac:dyDescent="0.3">
      <c r="A1361" s="1">
        <v>45831</v>
      </c>
      <c r="B1361" s="4">
        <v>1584</v>
      </c>
    </row>
    <row r="1362" spans="1:2" x14ac:dyDescent="0.3">
      <c r="A1362" s="1">
        <v>45832</v>
      </c>
      <c r="B1362" s="4">
        <v>1581.6</v>
      </c>
    </row>
    <row r="1363" spans="1:2" x14ac:dyDescent="0.3">
      <c r="A1363" s="1">
        <v>45833</v>
      </c>
      <c r="B1363" s="4">
        <v>1614.9</v>
      </c>
    </row>
    <row r="1364" spans="1:2" x14ac:dyDescent="0.3">
      <c r="A1364" s="1">
        <v>45834</v>
      </c>
      <c r="B1364" s="4">
        <v>1616</v>
      </c>
    </row>
    <row r="1365" spans="1:2" x14ac:dyDescent="0.3">
      <c r="A1365" s="1">
        <v>45835</v>
      </c>
      <c r="B1365" s="4">
        <v>1608</v>
      </c>
    </row>
    <row r="1366" spans="1:2" x14ac:dyDescent="0.3">
      <c r="A1366" s="1">
        <v>45838</v>
      </c>
      <c r="B1366" s="4">
        <v>1601.8</v>
      </c>
    </row>
    <row r="1367" spans="1:2" x14ac:dyDescent="0.3">
      <c r="A1367" s="1">
        <v>45839</v>
      </c>
      <c r="B1367" s="4">
        <v>1606.8</v>
      </c>
    </row>
    <row r="1368" spans="1:2" x14ac:dyDescent="0.3">
      <c r="A1368" s="1">
        <v>45840</v>
      </c>
      <c r="B1368" s="4">
        <v>1610.5</v>
      </c>
    </row>
    <row r="1369" spans="1:2" x14ac:dyDescent="0.3">
      <c r="A1369" s="1">
        <v>45841</v>
      </c>
      <c r="B1369" s="4">
        <v>1618.7</v>
      </c>
    </row>
    <row r="1370" spans="1:2" x14ac:dyDescent="0.3">
      <c r="A1370" s="1">
        <v>45842</v>
      </c>
      <c r="B1370" s="4">
        <v>1640.7</v>
      </c>
    </row>
    <row r="1371" spans="1:2" x14ac:dyDescent="0.3">
      <c r="A1371" s="1">
        <v>45845</v>
      </c>
      <c r="B1371" s="4">
        <v>1627</v>
      </c>
    </row>
    <row r="1372" spans="1:2" x14ac:dyDescent="0.3">
      <c r="A1372" s="1">
        <v>45846</v>
      </c>
      <c r="B1372" s="4">
        <v>1638.7</v>
      </c>
    </row>
    <row r="1373" spans="1:2" x14ac:dyDescent="0.3">
      <c r="A1373" s="1">
        <v>45847</v>
      </c>
      <c r="B1373" s="4">
        <v>1633.7</v>
      </c>
    </row>
    <row r="1374" spans="1:2" x14ac:dyDescent="0.3">
      <c r="A1374" s="1">
        <v>45848</v>
      </c>
      <c r="B1374" s="4">
        <v>1615.8</v>
      </c>
    </row>
    <row r="1375" spans="1:2" x14ac:dyDescent="0.3">
      <c r="A1375" s="1">
        <v>45849</v>
      </c>
      <c r="B1375" s="4">
        <v>1594.9</v>
      </c>
    </row>
    <row r="1376" spans="1:2" x14ac:dyDescent="0.3">
      <c r="A1376" s="1">
        <v>45852</v>
      </c>
      <c r="B1376" s="4">
        <v>1570.3</v>
      </c>
    </row>
    <row r="1377" spans="1:2" x14ac:dyDescent="0.3">
      <c r="A1377" s="1">
        <v>45853</v>
      </c>
      <c r="B1377" s="4">
        <v>1585.6</v>
      </c>
    </row>
    <row r="1378" spans="1:2" x14ac:dyDescent="0.3">
      <c r="A1378" s="1">
        <v>45854</v>
      </c>
      <c r="B1378" s="4">
        <v>1607.9</v>
      </c>
    </row>
    <row r="1379" spans="1:2" x14ac:dyDescent="0.3">
      <c r="A1379" s="1">
        <v>45855</v>
      </c>
      <c r="B1379" s="4">
        <v>1583.5</v>
      </c>
    </row>
    <row r="1380" spans="1:2" x14ac:dyDescent="0.3">
      <c r="A1380" s="1">
        <v>45856</v>
      </c>
      <c r="B1380" s="4">
        <v>1586.1</v>
      </c>
    </row>
    <row r="1381" spans="1:2" x14ac:dyDescent="0.3">
      <c r="A1381" s="1">
        <v>45859</v>
      </c>
      <c r="B1381" s="4">
        <v>1584.3</v>
      </c>
    </row>
    <row r="1382" spans="1:2" x14ac:dyDescent="0.3">
      <c r="A1382" s="1">
        <v>45860</v>
      </c>
      <c r="B1382" s="4">
        <v>1570.9</v>
      </c>
    </row>
    <row r="1383" spans="1:2" x14ac:dyDescent="0.3">
      <c r="A1383" s="1">
        <v>45861</v>
      </c>
      <c r="B1383" s="4">
        <v>1574.5</v>
      </c>
    </row>
    <row r="1384" spans="1:2" x14ac:dyDescent="0.3">
      <c r="A1384" s="1">
        <v>45862</v>
      </c>
      <c r="B1384" s="4">
        <v>1552.5</v>
      </c>
    </row>
    <row r="1385" spans="1:2" x14ac:dyDescent="0.3">
      <c r="A1385" s="1">
        <v>45863</v>
      </c>
      <c r="B1385" s="4">
        <v>1515.7</v>
      </c>
    </row>
    <row r="1386" spans="1:2" x14ac:dyDescent="0.3">
      <c r="A1386" s="1">
        <v>45866</v>
      </c>
      <c r="B1386" s="4">
        <v>1516</v>
      </c>
    </row>
    <row r="1387" spans="1:2" x14ac:dyDescent="0.3">
      <c r="A1387" s="1">
        <v>45867</v>
      </c>
      <c r="B1387" s="4">
        <v>1513.7</v>
      </c>
    </row>
    <row r="1388" spans="1:2" x14ac:dyDescent="0.3">
      <c r="A1388" s="1">
        <v>45868</v>
      </c>
      <c r="B1388" s="4">
        <v>1519</v>
      </c>
    </row>
    <row r="1389" spans="1:2" x14ac:dyDescent="0.3">
      <c r="A1389" s="1">
        <v>45869</v>
      </c>
      <c r="B1389" s="4">
        <v>1509</v>
      </c>
    </row>
    <row r="1390" spans="1:2" x14ac:dyDescent="0.3">
      <c r="A1390" s="1">
        <v>45870</v>
      </c>
      <c r="B1390" s="4">
        <v>1469.6</v>
      </c>
    </row>
    <row r="1391" spans="1:2" x14ac:dyDescent="0.3">
      <c r="A1391" s="1">
        <v>45873</v>
      </c>
      <c r="B1391" s="4">
        <v>1480.5</v>
      </c>
    </row>
    <row r="1392" spans="1:2" x14ac:dyDescent="0.3">
      <c r="A1392" s="1">
        <v>45874</v>
      </c>
      <c r="B1392" s="4">
        <v>1460.3</v>
      </c>
    </row>
    <row r="1393" spans="1:2" x14ac:dyDescent="0.3">
      <c r="A1393" s="1">
        <v>45875</v>
      </c>
      <c r="B1393" s="4">
        <v>1436.7</v>
      </c>
    </row>
    <row r="1394" spans="1:2" x14ac:dyDescent="0.3">
      <c r="A1394" s="1">
        <v>45876</v>
      </c>
      <c r="B1394" s="4">
        <v>1436.9</v>
      </c>
    </row>
    <row r="1395" spans="1:2" x14ac:dyDescent="0.3">
      <c r="A1395" s="1">
        <v>45877</v>
      </c>
      <c r="B1395" s="4">
        <v>1423.1</v>
      </c>
    </row>
    <row r="1396" spans="1:2" x14ac:dyDescent="0.3">
      <c r="A1396" s="1">
        <v>45880</v>
      </c>
      <c r="B1396" s="4">
        <v>1428.2</v>
      </c>
    </row>
    <row r="1397" spans="1:2" x14ac:dyDescent="0.3">
      <c r="A1397" s="1">
        <v>45881</v>
      </c>
      <c r="B1397" s="4">
        <v>1424.1</v>
      </c>
    </row>
    <row r="1398" spans="1:2" x14ac:dyDescent="0.3">
      <c r="A1398" s="1">
        <v>45882</v>
      </c>
      <c r="B1398" s="4">
        <v>1426.6</v>
      </c>
    </row>
    <row r="1399" spans="1:2" x14ac:dyDescent="0.3">
      <c r="A1399" s="1">
        <v>45883</v>
      </c>
      <c r="B1399" s="4">
        <v>1447.7</v>
      </c>
    </row>
    <row r="1400" spans="1:2" x14ac:dyDescent="0.3">
      <c r="A1400" s="1">
        <v>45887</v>
      </c>
      <c r="B1400" s="4">
        <v>1435.8</v>
      </c>
    </row>
    <row r="1401" spans="1:2" x14ac:dyDescent="0.3">
      <c r="A1401" s="1">
        <v>45888</v>
      </c>
      <c r="B1401" s="4">
        <v>1440</v>
      </c>
    </row>
    <row r="1402" spans="1:2" x14ac:dyDescent="0.3">
      <c r="A1402" s="1">
        <v>45889</v>
      </c>
      <c r="B1402" s="4">
        <v>1496.2</v>
      </c>
    </row>
    <row r="1403" spans="1:2" x14ac:dyDescent="0.3">
      <c r="A1403" s="1">
        <v>45890</v>
      </c>
      <c r="B1403" s="4">
        <v>1496.4</v>
      </c>
    </row>
    <row r="1404" spans="1:2" x14ac:dyDescent="0.3">
      <c r="A1404" s="1">
        <v>45891</v>
      </c>
      <c r="B1404" s="4">
        <v>1487.5</v>
      </c>
    </row>
    <row r="1405" spans="1:2" x14ac:dyDescent="0.3">
      <c r="A1405" s="1">
        <v>45894</v>
      </c>
      <c r="B1405" s="4">
        <v>1532.1</v>
      </c>
    </row>
    <row r="1406" spans="1:2" x14ac:dyDescent="0.3">
      <c r="A1406" s="1">
        <v>45895</v>
      </c>
      <c r="B1406" s="4">
        <v>1529.6</v>
      </c>
    </row>
    <row r="1407" spans="1:2" x14ac:dyDescent="0.3">
      <c r="A1407" s="1">
        <v>45897</v>
      </c>
      <c r="B1407" s="4">
        <v>1500.1</v>
      </c>
    </row>
    <row r="1408" spans="1:2" x14ac:dyDescent="0.3">
      <c r="A1408" s="1">
        <v>45898</v>
      </c>
      <c r="B1408" s="4">
        <v>1469.6</v>
      </c>
    </row>
    <row r="1409" spans="1:2" x14ac:dyDescent="0.3">
      <c r="A1409" s="1">
        <v>45901</v>
      </c>
      <c r="B1409" s="4">
        <v>1499.4</v>
      </c>
    </row>
    <row r="1410" spans="1:2" x14ac:dyDescent="0.3">
      <c r="A1410" s="1">
        <v>45902</v>
      </c>
      <c r="B1410" s="4">
        <v>1498.7</v>
      </c>
    </row>
    <row r="1411" spans="1:2" x14ac:dyDescent="0.3">
      <c r="A1411" s="1">
        <v>45903</v>
      </c>
      <c r="B1411" s="4">
        <v>1479.1</v>
      </c>
    </row>
    <row r="1412" spans="1:2" x14ac:dyDescent="0.3">
      <c r="A1412" s="1">
        <v>45904</v>
      </c>
      <c r="B1412" s="4">
        <v>1463</v>
      </c>
    </row>
    <row r="1413" spans="1:2" x14ac:dyDescent="0.3">
      <c r="A1413" s="1">
        <v>45905</v>
      </c>
      <c r="B1413" s="4">
        <v>1444.6</v>
      </c>
    </row>
    <row r="1414" spans="1:2" x14ac:dyDescent="0.3">
      <c r="A1414" s="1">
        <v>45908</v>
      </c>
      <c r="B1414" s="4">
        <v>1432.9</v>
      </c>
    </row>
    <row r="1415" spans="1:2" x14ac:dyDescent="0.3">
      <c r="A1415" s="1">
        <v>45909</v>
      </c>
      <c r="B1415" s="4">
        <v>1504.3</v>
      </c>
    </row>
    <row r="1416" spans="1:2" x14ac:dyDescent="0.3">
      <c r="A1416" s="1">
        <v>45910</v>
      </c>
      <c r="B1416" s="4">
        <v>1532.6</v>
      </c>
    </row>
    <row r="1417" spans="1:2" x14ac:dyDescent="0.3">
      <c r="A1417" s="1">
        <v>45911</v>
      </c>
      <c r="B1417" s="4">
        <v>1509.7</v>
      </c>
    </row>
    <row r="1418" spans="1:2" x14ac:dyDescent="0.3">
      <c r="A1418" s="1">
        <v>45912</v>
      </c>
      <c r="B1418" s="4">
        <v>1525.6</v>
      </c>
    </row>
    <row r="1419" spans="1:2" x14ac:dyDescent="0.3">
      <c r="A1419" s="1">
        <v>45915</v>
      </c>
      <c r="B1419" s="4">
        <v>1508.4</v>
      </c>
    </row>
    <row r="1420" spans="1:2" x14ac:dyDescent="0.3">
      <c r="A1420" s="1">
        <v>45916</v>
      </c>
      <c r="B1420" s="4">
        <v>1511.3</v>
      </c>
    </row>
    <row r="1421" spans="1:2" x14ac:dyDescent="0.3">
      <c r="A1421" s="1">
        <v>45917</v>
      </c>
      <c r="B1421" s="4">
        <v>1522.4</v>
      </c>
    </row>
    <row r="1422" spans="1:2" x14ac:dyDescent="0.3">
      <c r="A1422" s="1">
        <v>45918</v>
      </c>
      <c r="B1422" s="4">
        <v>1540.6</v>
      </c>
    </row>
    <row r="1423" spans="1:2" x14ac:dyDescent="0.3">
      <c r="A1423" s="1">
        <v>45919</v>
      </c>
      <c r="B1423" s="4">
        <v>1540.2</v>
      </c>
    </row>
    <row r="1424" spans="1:2" x14ac:dyDescent="0.3">
      <c r="A1424" s="1">
        <v>45922</v>
      </c>
      <c r="B1424" s="4">
        <v>1499.5</v>
      </c>
    </row>
    <row r="1425" spans="1:2" x14ac:dyDescent="0.3">
      <c r="A1425" s="1">
        <v>45923</v>
      </c>
      <c r="B1425" s="4">
        <v>1497.5</v>
      </c>
    </row>
    <row r="1426" spans="1:2" x14ac:dyDescent="0.3">
      <c r="A1426" s="1">
        <v>45924</v>
      </c>
      <c r="B1426" s="4">
        <v>1494.6</v>
      </c>
    </row>
    <row r="1427" spans="1:2" x14ac:dyDescent="0.3">
      <c r="A1427" s="1">
        <v>45925</v>
      </c>
      <c r="B1427" s="4">
        <v>1484.8</v>
      </c>
    </row>
    <row r="1428" spans="1:2" x14ac:dyDescent="0.3">
      <c r="A1428" s="1">
        <v>45926</v>
      </c>
      <c r="B1428" s="4">
        <v>1448.9</v>
      </c>
    </row>
    <row r="1429" spans="1:2" x14ac:dyDescent="0.3">
      <c r="A1429" s="1">
        <v>45929</v>
      </c>
      <c r="B1429" s="4">
        <v>1441.8</v>
      </c>
    </row>
    <row r="1430" spans="1:2" x14ac:dyDescent="0.3">
      <c r="A1430" s="1">
        <v>45930</v>
      </c>
      <c r="B1430" s="4">
        <v>1441.8</v>
      </c>
    </row>
    <row r="1431" spans="1:2" x14ac:dyDescent="0.3">
      <c r="A1431" s="1">
        <v>45931</v>
      </c>
      <c r="B1431" s="4">
        <v>1445.8</v>
      </c>
    </row>
    <row r="1432" spans="1:2" x14ac:dyDescent="0.3">
      <c r="A1432" s="1">
        <v>45933</v>
      </c>
      <c r="B1432" s="4">
        <v>1446.6</v>
      </c>
    </row>
    <row r="1433" spans="1:2" x14ac:dyDescent="0.3">
      <c r="A1433" s="1">
        <v>45936</v>
      </c>
      <c r="B1433" s="4">
        <v>1476</v>
      </c>
    </row>
    <row r="1434" spans="1:2" x14ac:dyDescent="0.3">
      <c r="A1434" s="1">
        <v>45937</v>
      </c>
      <c r="B1434" s="4">
        <v>1458.5</v>
      </c>
    </row>
    <row r="1435" spans="1:2" x14ac:dyDescent="0.3">
      <c r="A1435" s="1">
        <v>45938</v>
      </c>
      <c r="B1435" s="4">
        <v>1495</v>
      </c>
    </row>
    <row r="1436" spans="1:2" x14ac:dyDescent="0.3">
      <c r="A1436" s="1">
        <v>45939</v>
      </c>
      <c r="B1436" s="4">
        <v>1509.3</v>
      </c>
    </row>
    <row r="1437" spans="1:2" x14ac:dyDescent="0.3">
      <c r="A1437" s="1">
        <v>45940</v>
      </c>
      <c r="B1437" s="4">
        <v>1514.9</v>
      </c>
    </row>
    <row r="1438" spans="1:2" x14ac:dyDescent="0.3">
      <c r="A1438" s="1">
        <v>45943</v>
      </c>
      <c r="B1438" s="4">
        <v>1493.2</v>
      </c>
    </row>
    <row r="1439" spans="1:2" x14ac:dyDescent="0.3">
      <c r="A1439" s="1">
        <v>45944</v>
      </c>
      <c r="B1439" s="4">
        <v>1489.9</v>
      </c>
    </row>
    <row r="1440" spans="1:2" x14ac:dyDescent="0.3">
      <c r="A1440" s="1">
        <v>45945</v>
      </c>
      <c r="B1440" s="4">
        <v>1474.4</v>
      </c>
    </row>
    <row r="1441" spans="1:2" x14ac:dyDescent="0.3">
      <c r="A1441" s="1">
        <v>45946</v>
      </c>
      <c r="B1441" s="4">
        <v>1471.5</v>
      </c>
    </row>
    <row r="1442" spans="1:2" x14ac:dyDescent="0.3">
      <c r="A1442" s="1">
        <v>45947</v>
      </c>
      <c r="B1442" s="4">
        <v>1441.1</v>
      </c>
    </row>
    <row r="1443" spans="1:2" x14ac:dyDescent="0.3">
      <c r="A1443" s="1">
        <v>45950</v>
      </c>
      <c r="B1443" s="4">
        <v>1460.9</v>
      </c>
    </row>
    <row r="1444" spans="1:2" x14ac:dyDescent="0.3">
      <c r="A1444" s="1">
        <v>45951</v>
      </c>
      <c r="B1444" s="4">
        <v>1472.4</v>
      </c>
    </row>
    <row r="1445" spans="1:2" x14ac:dyDescent="0.3">
      <c r="A1445" s="1">
        <v>45953</v>
      </c>
      <c r="B1445" s="4">
        <v>1528.5</v>
      </c>
    </row>
    <row r="1446" spans="1:2" x14ac:dyDescent="0.3">
      <c r="A1446" s="1">
        <v>45954</v>
      </c>
      <c r="B1446" s="4">
        <v>1525.4</v>
      </c>
    </row>
    <row r="1447" spans="1:2" x14ac:dyDescent="0.3">
      <c r="A1447" s="1">
        <v>45957</v>
      </c>
      <c r="B1447" s="4">
        <v>1504.5</v>
      </c>
    </row>
    <row r="1448" spans="1:2" x14ac:dyDescent="0.3">
      <c r="A1448" s="1">
        <v>45958</v>
      </c>
      <c r="B1448" s="4">
        <v>1500.2</v>
      </c>
    </row>
    <row r="1449" spans="1:2" x14ac:dyDescent="0.3">
      <c r="A1449" s="1">
        <v>45959</v>
      </c>
      <c r="B1449" s="4">
        <v>1510.4</v>
      </c>
    </row>
    <row r="1450" spans="1:2" x14ac:dyDescent="0.3">
      <c r="A1450" s="1">
        <v>45960</v>
      </c>
      <c r="B1450" s="4">
        <v>1493.8</v>
      </c>
    </row>
    <row r="1451" spans="1:2" x14ac:dyDescent="0.3">
      <c r="A1451" s="1">
        <v>45961</v>
      </c>
      <c r="B1451" s="4">
        <v>1482.3</v>
      </c>
    </row>
    <row r="1452" spans="1:2" x14ac:dyDescent="0.3">
      <c r="A1452" s="1">
        <v>45964</v>
      </c>
      <c r="B1452" s="4">
        <v>1485.5</v>
      </c>
    </row>
    <row r="1453" spans="1:2" x14ac:dyDescent="0.3">
      <c r="A1453" s="1">
        <v>45965</v>
      </c>
      <c r="B1453" s="4">
        <v>1467.9</v>
      </c>
    </row>
    <row r="1454" spans="1:2" x14ac:dyDescent="0.3">
      <c r="A1454" s="1">
        <v>45967</v>
      </c>
      <c r="B1454" s="4">
        <v>1466.7</v>
      </c>
    </row>
    <row r="1455" spans="1:2" x14ac:dyDescent="0.3">
      <c r="A1455" s="1">
        <v>45968</v>
      </c>
      <c r="B1455" s="4">
        <v>1476.8</v>
      </c>
    </row>
    <row r="1456" spans="1:2" x14ac:dyDescent="0.3">
      <c r="A1456" s="1">
        <v>45971</v>
      </c>
      <c r="B1456" s="4">
        <v>1513.5</v>
      </c>
    </row>
    <row r="1457" spans="1:2" x14ac:dyDescent="0.3">
      <c r="A1457" s="1">
        <v>45972</v>
      </c>
      <c r="B1457" s="4">
        <v>1530.3</v>
      </c>
    </row>
    <row r="1458" spans="1:2" x14ac:dyDescent="0.3">
      <c r="A1458" s="1">
        <v>45973</v>
      </c>
      <c r="B1458" s="4">
        <v>1551.7</v>
      </c>
    </row>
    <row r="1459" spans="1:2" x14ac:dyDescent="0.3">
      <c r="A1459" s="1">
        <v>45974</v>
      </c>
      <c r="B1459" s="4">
        <v>1541.8</v>
      </c>
    </row>
    <row r="1460" spans="1:2" x14ac:dyDescent="0.3">
      <c r="A1460" s="1">
        <v>45975</v>
      </c>
      <c r="B1460" s="4">
        <v>1502.8</v>
      </c>
    </row>
    <row r="1461" spans="1:2" x14ac:dyDescent="0.3">
      <c r="A1461" s="1">
        <v>45978</v>
      </c>
      <c r="B1461" s="4">
        <v>1507.6</v>
      </c>
    </row>
    <row r="1462" spans="1:2" x14ac:dyDescent="0.3">
      <c r="A1462" s="1">
        <v>45979</v>
      </c>
      <c r="B1462" s="4">
        <v>1486.4</v>
      </c>
    </row>
    <row r="1463" spans="1:2" x14ac:dyDescent="0.3">
      <c r="A1463" s="1">
        <v>45980</v>
      </c>
      <c r="B1463" s="4">
        <v>1541.1</v>
      </c>
    </row>
    <row r="1464" spans="1:2" x14ac:dyDescent="0.3">
      <c r="A1464" s="1">
        <v>45981</v>
      </c>
      <c r="B1464" s="4">
        <v>1536.5</v>
      </c>
    </row>
    <row r="1465" spans="1:2" x14ac:dyDescent="0.3">
      <c r="A1465" s="1">
        <v>45982</v>
      </c>
      <c r="B1465" s="4">
        <v>1545</v>
      </c>
    </row>
    <row r="1466" spans="1:2" x14ac:dyDescent="0.3">
      <c r="A1466" s="1">
        <v>45985</v>
      </c>
      <c r="B1466" s="4">
        <v>1548</v>
      </c>
    </row>
    <row r="1467" spans="1:2" x14ac:dyDescent="0.3">
      <c r="A1467" s="1">
        <v>45986</v>
      </c>
      <c r="B1467" s="4">
        <v>1530.6</v>
      </c>
    </row>
    <row r="1468" spans="1:2" x14ac:dyDescent="0.3">
      <c r="A1468" s="1">
        <v>45987</v>
      </c>
      <c r="B1468" s="4">
        <v>1557.9</v>
      </c>
    </row>
    <row r="1469" spans="1:2" x14ac:dyDescent="0.3">
      <c r="A1469" s="1">
        <v>45988</v>
      </c>
      <c r="B1469" s="4">
        <v>1566.4</v>
      </c>
    </row>
    <row r="1470" spans="1:2" x14ac:dyDescent="0.3">
      <c r="A1470" s="1">
        <v>45989</v>
      </c>
      <c r="B1470" s="4">
        <v>1560.1</v>
      </c>
    </row>
    <row r="1471" spans="1:2" x14ac:dyDescent="0.3">
      <c r="A1471" s="1">
        <v>45992</v>
      </c>
      <c r="B1471" s="4">
        <v>1564</v>
      </c>
    </row>
    <row r="1472" spans="1:2" x14ac:dyDescent="0.3">
      <c r="A1472" s="1">
        <v>45993</v>
      </c>
      <c r="B1472" s="4">
        <v>1561</v>
      </c>
    </row>
    <row r="1473" spans="1:2" x14ac:dyDescent="0.3">
      <c r="A1473" s="1">
        <v>45994</v>
      </c>
      <c r="B1473" s="4">
        <v>1578.7</v>
      </c>
    </row>
    <row r="1474" spans="1:2" x14ac:dyDescent="0.3">
      <c r="A1474" s="1">
        <v>45995</v>
      </c>
      <c r="B1474" s="4">
        <v>1597.6</v>
      </c>
    </row>
    <row r="1475" spans="1:2" x14ac:dyDescent="0.3">
      <c r="A1475" s="1">
        <v>45996</v>
      </c>
      <c r="B1475" s="4">
        <v>1616.2</v>
      </c>
    </row>
    <row r="1476" spans="1:2" x14ac:dyDescent="0.3">
      <c r="A1476" s="1">
        <v>45999</v>
      </c>
      <c r="B1476" s="4">
        <v>1610.8</v>
      </c>
    </row>
    <row r="1477" spans="1:2" x14ac:dyDescent="0.3">
      <c r="A1477" s="1">
        <v>46000</v>
      </c>
      <c r="B1477" s="4">
        <v>1599</v>
      </c>
    </row>
    <row r="1478" spans="1:2" x14ac:dyDescent="0.3">
      <c r="A1478" s="1">
        <v>46001</v>
      </c>
      <c r="B1478" s="4">
        <v>1584.8</v>
      </c>
    </row>
    <row r="1479" spans="1:2" x14ac:dyDescent="0.3">
      <c r="A1479" s="1">
        <v>46002</v>
      </c>
      <c r="B1479" s="4">
        <v>1598</v>
      </c>
    </row>
    <row r="1480" spans="1:2" x14ac:dyDescent="0.3">
      <c r="A1480" s="1">
        <v>46003</v>
      </c>
      <c r="B1480" s="4">
        <v>1598.2</v>
      </c>
    </row>
    <row r="1481" spans="1:2" x14ac:dyDescent="0.3">
      <c r="A1481" s="1">
        <v>46006</v>
      </c>
      <c r="B1481" s="4">
        <v>1606.8</v>
      </c>
    </row>
    <row r="1482" spans="1:2" x14ac:dyDescent="0.3">
      <c r="A1482" s="1">
        <v>46007</v>
      </c>
      <c r="B1482" s="4">
        <v>1592.9</v>
      </c>
    </row>
    <row r="1483" spans="1:2" x14ac:dyDescent="0.3">
      <c r="A1483" s="1">
        <v>46008</v>
      </c>
      <c r="B1483" s="4">
        <v>1602</v>
      </c>
    </row>
    <row r="1484" spans="1:2" x14ac:dyDescent="0.3">
      <c r="A1484" s="1">
        <v>46009</v>
      </c>
      <c r="B1484" s="4">
        <v>1626.8</v>
      </c>
    </row>
    <row r="1485" spans="1:2" x14ac:dyDescent="0.3">
      <c r="A1485" s="1">
        <v>46010</v>
      </c>
      <c r="B1485" s="4">
        <v>1638.7</v>
      </c>
    </row>
    <row r="1486" spans="1:2" x14ac:dyDescent="0.3">
      <c r="A1486" s="1">
        <v>46013</v>
      </c>
      <c r="B1486" s="4">
        <v>1689.6</v>
      </c>
    </row>
    <row r="1487" spans="1:2" x14ac:dyDescent="0.3">
      <c r="A1487" s="1">
        <v>46014</v>
      </c>
      <c r="B1487" s="4">
        <v>1668.3</v>
      </c>
    </row>
    <row r="1488" spans="1:2" x14ac:dyDescent="0.3">
      <c r="A1488" s="1">
        <v>46015</v>
      </c>
      <c r="B1488" s="4">
        <v>1663.4</v>
      </c>
    </row>
    <row r="1489" spans="1:2" x14ac:dyDescent="0.3">
      <c r="A1489" s="1">
        <v>46017</v>
      </c>
      <c r="B1489" s="4">
        <v>1656.1</v>
      </c>
    </row>
    <row r="1490" spans="1:2" x14ac:dyDescent="0.3">
      <c r="A1490" s="1">
        <v>46020</v>
      </c>
      <c r="B1490" s="4">
        <v>1644.7</v>
      </c>
    </row>
    <row r="1491" spans="1:2" x14ac:dyDescent="0.3">
      <c r="A1491" s="1">
        <v>46021</v>
      </c>
      <c r="B1491" s="4">
        <v>1621.6</v>
      </c>
    </row>
    <row r="1492" spans="1:2" x14ac:dyDescent="0.3">
      <c r="A1492" s="1">
        <v>46022</v>
      </c>
      <c r="B1492" s="4">
        <v>1615.4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069B-2026-4135-8626-B3F3A916B6A6}">
  <dimension ref="A1:B1492"/>
  <sheetViews>
    <sheetView workbookViewId="0">
      <selection activeCell="I9" sqref="I9"/>
    </sheetView>
  </sheetViews>
  <sheetFormatPr defaultRowHeight="14.4" x14ac:dyDescent="0.3"/>
  <cols>
    <col min="1" max="1" width="10.33203125" bestFit="1" customWidth="1"/>
    <col min="2" max="2" width="8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s="1">
        <v>43831</v>
      </c>
      <c r="B2" s="4">
        <v>1309.95</v>
      </c>
    </row>
    <row r="3" spans="1:2" x14ac:dyDescent="0.3">
      <c r="A3" s="1">
        <v>43832</v>
      </c>
      <c r="B3" s="4">
        <v>1345.3</v>
      </c>
    </row>
    <row r="4" spans="1:2" x14ac:dyDescent="0.3">
      <c r="A4" s="1">
        <v>43833</v>
      </c>
      <c r="B4" s="4">
        <v>1335.05</v>
      </c>
    </row>
    <row r="5" spans="1:2" x14ac:dyDescent="0.3">
      <c r="A5" s="1">
        <v>43836</v>
      </c>
      <c r="B5" s="4">
        <v>1316.75</v>
      </c>
    </row>
    <row r="6" spans="1:2" x14ac:dyDescent="0.3">
      <c r="A6" s="1">
        <v>43837</v>
      </c>
      <c r="B6" s="4">
        <v>1320.5</v>
      </c>
    </row>
    <row r="7" spans="1:2" x14ac:dyDescent="0.3">
      <c r="A7" s="1">
        <v>43838</v>
      </c>
      <c r="B7" s="4">
        <v>1291.55</v>
      </c>
    </row>
    <row r="8" spans="1:2" x14ac:dyDescent="0.3">
      <c r="A8" s="1">
        <v>43839</v>
      </c>
      <c r="B8" s="4">
        <v>1316.15</v>
      </c>
    </row>
    <row r="9" spans="1:2" x14ac:dyDescent="0.3">
      <c r="A9" s="1">
        <v>43840</v>
      </c>
      <c r="B9" s="4">
        <v>1324.6</v>
      </c>
    </row>
    <row r="10" spans="1:2" x14ac:dyDescent="0.3">
      <c r="A10" s="1">
        <v>43843</v>
      </c>
      <c r="B10" s="4">
        <v>1334.7</v>
      </c>
    </row>
    <row r="11" spans="1:2" x14ac:dyDescent="0.3">
      <c r="A11" s="1">
        <v>43844</v>
      </c>
      <c r="B11" s="4">
        <v>1326.1</v>
      </c>
    </row>
    <row r="12" spans="1:2" x14ac:dyDescent="0.3">
      <c r="A12" s="1">
        <v>43845</v>
      </c>
      <c r="B12" s="4">
        <v>1323.6</v>
      </c>
    </row>
    <row r="13" spans="1:2" x14ac:dyDescent="0.3">
      <c r="A13" s="1">
        <v>43846</v>
      </c>
      <c r="B13" s="4">
        <v>1319.3</v>
      </c>
    </row>
    <row r="14" spans="1:2" x14ac:dyDescent="0.3">
      <c r="A14" s="1">
        <v>43847</v>
      </c>
      <c r="B14" s="4">
        <v>1304.2</v>
      </c>
    </row>
    <row r="15" spans="1:2" x14ac:dyDescent="0.3">
      <c r="A15" s="1">
        <v>43850</v>
      </c>
      <c r="B15" s="4">
        <v>1309.5999999999999</v>
      </c>
    </row>
    <row r="16" spans="1:2" x14ac:dyDescent="0.3">
      <c r="A16" s="1">
        <v>43851</v>
      </c>
      <c r="B16" s="4">
        <v>1302.3499999999999</v>
      </c>
    </row>
    <row r="17" spans="1:2" x14ac:dyDescent="0.3">
      <c r="A17" s="1">
        <v>43852</v>
      </c>
      <c r="B17" s="4">
        <v>1294.2</v>
      </c>
    </row>
    <row r="18" spans="1:2" x14ac:dyDescent="0.3">
      <c r="A18" s="1">
        <v>43853</v>
      </c>
      <c r="B18" s="4">
        <v>1332.3</v>
      </c>
    </row>
    <row r="19" spans="1:2" x14ac:dyDescent="0.3">
      <c r="A19" s="1">
        <v>43854</v>
      </c>
      <c r="B19" s="4">
        <v>1359.2</v>
      </c>
    </row>
    <row r="20" spans="1:2" x14ac:dyDescent="0.3">
      <c r="A20" s="1">
        <v>43857</v>
      </c>
      <c r="B20" s="4">
        <v>1348.6</v>
      </c>
    </row>
    <row r="21" spans="1:2" x14ac:dyDescent="0.3">
      <c r="A21" s="1">
        <v>43858</v>
      </c>
      <c r="B21" s="4">
        <v>1346.65</v>
      </c>
    </row>
    <row r="22" spans="1:2" x14ac:dyDescent="0.3">
      <c r="A22" s="1">
        <v>43859</v>
      </c>
      <c r="B22" s="4">
        <v>1365.7</v>
      </c>
    </row>
    <row r="23" spans="1:2" x14ac:dyDescent="0.3">
      <c r="A23" s="1">
        <v>43860</v>
      </c>
      <c r="B23" s="4">
        <v>1370.2</v>
      </c>
    </row>
    <row r="24" spans="1:2" x14ac:dyDescent="0.3">
      <c r="A24" s="1">
        <v>43861</v>
      </c>
      <c r="B24" s="4">
        <v>1369.3</v>
      </c>
    </row>
    <row r="25" spans="1:2" x14ac:dyDescent="0.3">
      <c r="A25" s="1">
        <v>43862</v>
      </c>
      <c r="B25" s="4">
        <v>1287.4000000000001</v>
      </c>
    </row>
    <row r="26" spans="1:2" x14ac:dyDescent="0.3">
      <c r="A26" s="1">
        <v>43864</v>
      </c>
      <c r="B26" s="4">
        <v>1286.6500000000001</v>
      </c>
    </row>
    <row r="27" spans="1:2" x14ac:dyDescent="0.3">
      <c r="A27" s="1">
        <v>43865</v>
      </c>
      <c r="B27" s="4">
        <v>1291.75</v>
      </c>
    </row>
    <row r="28" spans="1:2" x14ac:dyDescent="0.3">
      <c r="A28" s="1">
        <v>43866</v>
      </c>
      <c r="B28" s="4">
        <v>1310.05</v>
      </c>
    </row>
    <row r="29" spans="1:2" x14ac:dyDescent="0.3">
      <c r="A29" s="1">
        <v>43867</v>
      </c>
      <c r="B29" s="4">
        <v>1317.6</v>
      </c>
    </row>
    <row r="30" spans="1:2" x14ac:dyDescent="0.3">
      <c r="A30" s="1">
        <v>43868</v>
      </c>
      <c r="B30" s="4">
        <v>1299</v>
      </c>
    </row>
    <row r="31" spans="1:2" x14ac:dyDescent="0.3">
      <c r="A31" s="1">
        <v>43871</v>
      </c>
      <c r="B31" s="4">
        <v>1285.3</v>
      </c>
    </row>
    <row r="32" spans="1:2" x14ac:dyDescent="0.3">
      <c r="A32" s="1">
        <v>43872</v>
      </c>
      <c r="B32" s="4">
        <v>1286.9000000000001</v>
      </c>
    </row>
    <row r="33" spans="1:2" x14ac:dyDescent="0.3">
      <c r="A33" s="1">
        <v>43873</v>
      </c>
      <c r="B33" s="4">
        <v>1297.3</v>
      </c>
    </row>
    <row r="34" spans="1:2" x14ac:dyDescent="0.3">
      <c r="A34" s="1">
        <v>43874</v>
      </c>
      <c r="B34" s="4">
        <v>1292.25</v>
      </c>
    </row>
    <row r="35" spans="1:2" x14ac:dyDescent="0.3">
      <c r="A35" s="1">
        <v>43875</v>
      </c>
      <c r="B35" s="4">
        <v>1295.1500000000001</v>
      </c>
    </row>
    <row r="36" spans="1:2" x14ac:dyDescent="0.3">
      <c r="A36" s="1">
        <v>43878</v>
      </c>
      <c r="B36" s="4">
        <v>1280.2</v>
      </c>
    </row>
    <row r="37" spans="1:2" x14ac:dyDescent="0.3">
      <c r="A37" s="1">
        <v>43879</v>
      </c>
      <c r="B37" s="4">
        <v>1286.3499999999999</v>
      </c>
    </row>
    <row r="38" spans="1:2" x14ac:dyDescent="0.3">
      <c r="A38" s="1">
        <v>43880</v>
      </c>
      <c r="B38" s="4">
        <v>1281.4000000000001</v>
      </c>
    </row>
    <row r="39" spans="1:2" x14ac:dyDescent="0.3">
      <c r="A39" s="1">
        <v>43881</v>
      </c>
      <c r="B39" s="4">
        <v>1280.5999999999999</v>
      </c>
    </row>
    <row r="40" spans="1:2" x14ac:dyDescent="0.3">
      <c r="A40" s="1">
        <v>43885</v>
      </c>
      <c r="B40" s="4">
        <v>1259.7</v>
      </c>
    </row>
    <row r="41" spans="1:2" x14ac:dyDescent="0.3">
      <c r="A41" s="1">
        <v>43886</v>
      </c>
      <c r="B41" s="4">
        <v>1242.05</v>
      </c>
    </row>
    <row r="42" spans="1:2" x14ac:dyDescent="0.3">
      <c r="A42" s="1">
        <v>43887</v>
      </c>
      <c r="B42" s="4">
        <v>1211.1500000000001</v>
      </c>
    </row>
    <row r="43" spans="1:2" x14ac:dyDescent="0.3">
      <c r="A43" s="1">
        <v>43888</v>
      </c>
      <c r="B43" s="4">
        <v>1210.3499999999999</v>
      </c>
    </row>
    <row r="44" spans="1:2" x14ac:dyDescent="0.3">
      <c r="A44" s="1">
        <v>43889</v>
      </c>
      <c r="B44" s="4">
        <v>1187.55</v>
      </c>
    </row>
    <row r="45" spans="1:2" x14ac:dyDescent="0.3">
      <c r="A45" s="1">
        <v>43892</v>
      </c>
      <c r="B45" s="4">
        <v>1160.9000000000001</v>
      </c>
    </row>
    <row r="46" spans="1:2" x14ac:dyDescent="0.3">
      <c r="A46" s="1">
        <v>43893</v>
      </c>
      <c r="B46" s="4">
        <v>1181.3</v>
      </c>
    </row>
    <row r="47" spans="1:2" x14ac:dyDescent="0.3">
      <c r="A47" s="1">
        <v>43894</v>
      </c>
      <c r="B47" s="4">
        <v>1176.6500000000001</v>
      </c>
    </row>
    <row r="48" spans="1:2" x14ac:dyDescent="0.3">
      <c r="A48" s="1">
        <v>43895</v>
      </c>
      <c r="B48" s="4">
        <v>1182.45</v>
      </c>
    </row>
    <row r="49" spans="1:2" x14ac:dyDescent="0.3">
      <c r="A49" s="1">
        <v>43896</v>
      </c>
      <c r="B49" s="4">
        <v>1158.9000000000001</v>
      </c>
    </row>
    <row r="50" spans="1:2" x14ac:dyDescent="0.3">
      <c r="A50" s="1">
        <v>43899</v>
      </c>
      <c r="B50" s="4">
        <v>1101.95</v>
      </c>
    </row>
    <row r="51" spans="1:2" x14ac:dyDescent="0.3">
      <c r="A51" s="1">
        <v>43901</v>
      </c>
      <c r="B51" s="4">
        <v>1116.95</v>
      </c>
    </row>
    <row r="52" spans="1:2" x14ac:dyDescent="0.3">
      <c r="A52" s="1">
        <v>43902</v>
      </c>
      <c r="B52" s="4">
        <v>1016.55</v>
      </c>
    </row>
    <row r="53" spans="1:2" x14ac:dyDescent="0.3">
      <c r="A53" s="1">
        <v>43903</v>
      </c>
      <c r="B53" s="4">
        <v>1051.45</v>
      </c>
    </row>
    <row r="54" spans="1:2" x14ac:dyDescent="0.3">
      <c r="A54" s="1">
        <v>43906</v>
      </c>
      <c r="B54" s="4">
        <v>968.7</v>
      </c>
    </row>
    <row r="55" spans="1:2" x14ac:dyDescent="0.3">
      <c r="A55" s="1">
        <v>43907</v>
      </c>
      <c r="B55" s="4">
        <v>956.75</v>
      </c>
    </row>
    <row r="56" spans="1:2" x14ac:dyDescent="0.3">
      <c r="A56" s="1">
        <v>43908</v>
      </c>
      <c r="B56" s="4">
        <v>904.55</v>
      </c>
    </row>
    <row r="57" spans="1:2" x14ac:dyDescent="0.3">
      <c r="A57" s="1">
        <v>43909</v>
      </c>
      <c r="B57" s="4">
        <v>843.1</v>
      </c>
    </row>
    <row r="58" spans="1:2" x14ac:dyDescent="0.3">
      <c r="A58" s="1">
        <v>43910</v>
      </c>
      <c r="B58" s="4">
        <v>864.7</v>
      </c>
    </row>
    <row r="59" spans="1:2" x14ac:dyDescent="0.3">
      <c r="A59" s="1">
        <v>43913</v>
      </c>
      <c r="B59" s="4">
        <v>724.05</v>
      </c>
    </row>
    <row r="60" spans="1:2" x14ac:dyDescent="0.3">
      <c r="A60" s="1">
        <v>43914</v>
      </c>
      <c r="B60" s="4">
        <v>707.9</v>
      </c>
    </row>
    <row r="61" spans="1:2" x14ac:dyDescent="0.3">
      <c r="A61" s="1">
        <v>43915</v>
      </c>
      <c r="B61" s="4">
        <v>765.75</v>
      </c>
    </row>
    <row r="62" spans="1:2" x14ac:dyDescent="0.3">
      <c r="A62" s="1">
        <v>43916</v>
      </c>
      <c r="B62" s="4">
        <v>838</v>
      </c>
    </row>
    <row r="63" spans="1:2" x14ac:dyDescent="0.3">
      <c r="A63" s="1">
        <v>43917</v>
      </c>
      <c r="B63" s="4">
        <v>837.05</v>
      </c>
    </row>
    <row r="64" spans="1:2" x14ac:dyDescent="0.3">
      <c r="A64" s="1">
        <v>43920</v>
      </c>
      <c r="B64" s="4">
        <v>798.65</v>
      </c>
    </row>
    <row r="65" spans="1:2" x14ac:dyDescent="0.3">
      <c r="A65" s="1">
        <v>43921</v>
      </c>
      <c r="B65" s="4">
        <v>808.5</v>
      </c>
    </row>
    <row r="66" spans="1:2" x14ac:dyDescent="0.3">
      <c r="A66" s="1">
        <v>43922</v>
      </c>
      <c r="B66" s="4">
        <v>774.35</v>
      </c>
    </row>
    <row r="67" spans="1:2" x14ac:dyDescent="0.3">
      <c r="A67" s="1">
        <v>43924</v>
      </c>
      <c r="B67" s="4">
        <v>774.65</v>
      </c>
    </row>
    <row r="68" spans="1:2" x14ac:dyDescent="0.3">
      <c r="A68" s="1">
        <v>43928</v>
      </c>
      <c r="B68" s="4">
        <v>801.65</v>
      </c>
    </row>
    <row r="69" spans="1:2" x14ac:dyDescent="0.3">
      <c r="A69" s="1">
        <v>43929</v>
      </c>
      <c r="B69" s="4">
        <v>807.1</v>
      </c>
    </row>
    <row r="70" spans="1:2" x14ac:dyDescent="0.3">
      <c r="A70" s="1">
        <v>43930</v>
      </c>
      <c r="B70" s="4">
        <v>812.8</v>
      </c>
    </row>
    <row r="71" spans="1:2" x14ac:dyDescent="0.3">
      <c r="A71" s="1">
        <v>43934</v>
      </c>
      <c r="B71" s="4">
        <v>865.45</v>
      </c>
    </row>
    <row r="72" spans="1:2" x14ac:dyDescent="0.3">
      <c r="A72" s="1">
        <v>43936</v>
      </c>
      <c r="B72" s="4">
        <v>880.15</v>
      </c>
    </row>
    <row r="73" spans="1:2" x14ac:dyDescent="0.3">
      <c r="A73" s="1">
        <v>43937</v>
      </c>
      <c r="B73" s="4">
        <v>911.65</v>
      </c>
    </row>
    <row r="74" spans="1:2" x14ac:dyDescent="0.3">
      <c r="A74" s="1">
        <v>43938</v>
      </c>
      <c r="B74" s="4">
        <v>932.9</v>
      </c>
    </row>
    <row r="75" spans="1:2" x14ac:dyDescent="0.3">
      <c r="A75" s="1">
        <v>43941</v>
      </c>
      <c r="B75" s="4">
        <v>915.6</v>
      </c>
    </row>
    <row r="76" spans="1:2" x14ac:dyDescent="0.3">
      <c r="A76" s="1">
        <v>43942</v>
      </c>
      <c r="B76" s="4">
        <v>870.35</v>
      </c>
    </row>
    <row r="77" spans="1:2" x14ac:dyDescent="0.3">
      <c r="A77" s="1">
        <v>43943</v>
      </c>
      <c r="B77" s="4">
        <v>852.6</v>
      </c>
    </row>
    <row r="78" spans="1:2" x14ac:dyDescent="0.3">
      <c r="A78" s="1">
        <v>43944</v>
      </c>
      <c r="B78" s="4">
        <v>840.6</v>
      </c>
    </row>
    <row r="79" spans="1:2" x14ac:dyDescent="0.3">
      <c r="A79" s="1">
        <v>43945</v>
      </c>
      <c r="B79" s="4">
        <v>851.2</v>
      </c>
    </row>
    <row r="80" spans="1:2" x14ac:dyDescent="0.3">
      <c r="A80" s="1">
        <v>43948</v>
      </c>
      <c r="B80" s="4">
        <v>855.25</v>
      </c>
    </row>
    <row r="81" spans="1:2" x14ac:dyDescent="0.3">
      <c r="A81" s="1">
        <v>43949</v>
      </c>
      <c r="B81" s="4">
        <v>857.15</v>
      </c>
    </row>
    <row r="82" spans="1:2" x14ac:dyDescent="0.3">
      <c r="A82" s="1">
        <v>43950</v>
      </c>
      <c r="B82" s="4">
        <v>875.35</v>
      </c>
    </row>
    <row r="83" spans="1:2" x14ac:dyDescent="0.3">
      <c r="A83" s="1">
        <v>43951</v>
      </c>
      <c r="B83" s="4">
        <v>897.55</v>
      </c>
    </row>
    <row r="84" spans="1:2" x14ac:dyDescent="0.3">
      <c r="A84" s="1">
        <v>43955</v>
      </c>
      <c r="B84" s="4">
        <v>850.65</v>
      </c>
    </row>
    <row r="85" spans="1:2" x14ac:dyDescent="0.3">
      <c r="A85" s="1">
        <v>43956</v>
      </c>
      <c r="B85" s="4">
        <v>836.9</v>
      </c>
    </row>
    <row r="86" spans="1:2" x14ac:dyDescent="0.3">
      <c r="A86" s="1">
        <v>43957</v>
      </c>
      <c r="B86" s="4">
        <v>837.3</v>
      </c>
    </row>
    <row r="87" spans="1:2" x14ac:dyDescent="0.3">
      <c r="A87" s="1">
        <v>43958</v>
      </c>
      <c r="B87" s="4">
        <v>822.85</v>
      </c>
    </row>
    <row r="88" spans="1:2" x14ac:dyDescent="0.3">
      <c r="A88" s="1">
        <v>43959</v>
      </c>
      <c r="B88" s="4">
        <v>815.95</v>
      </c>
    </row>
    <row r="89" spans="1:2" x14ac:dyDescent="0.3">
      <c r="A89" s="1">
        <v>43962</v>
      </c>
      <c r="B89" s="4">
        <v>821.6</v>
      </c>
    </row>
    <row r="90" spans="1:2" x14ac:dyDescent="0.3">
      <c r="A90" s="1">
        <v>43963</v>
      </c>
      <c r="B90" s="4">
        <v>814.8</v>
      </c>
    </row>
    <row r="91" spans="1:2" x14ac:dyDescent="0.3">
      <c r="A91" s="1">
        <v>43964</v>
      </c>
      <c r="B91" s="4">
        <v>862.9</v>
      </c>
    </row>
    <row r="92" spans="1:2" x14ac:dyDescent="0.3">
      <c r="A92" s="1">
        <v>43965</v>
      </c>
      <c r="B92" s="4">
        <v>871.65</v>
      </c>
    </row>
    <row r="93" spans="1:2" x14ac:dyDescent="0.3">
      <c r="A93" s="1">
        <v>43966</v>
      </c>
      <c r="B93" s="4">
        <v>864.4</v>
      </c>
    </row>
    <row r="94" spans="1:2" x14ac:dyDescent="0.3">
      <c r="A94" s="1">
        <v>43969</v>
      </c>
      <c r="B94" s="4">
        <v>813.35</v>
      </c>
    </row>
    <row r="95" spans="1:2" x14ac:dyDescent="0.3">
      <c r="A95" s="1">
        <v>43970</v>
      </c>
      <c r="B95" s="4">
        <v>796.35</v>
      </c>
    </row>
    <row r="96" spans="1:2" x14ac:dyDescent="0.3">
      <c r="A96" s="1">
        <v>43971</v>
      </c>
      <c r="B96" s="4">
        <v>835</v>
      </c>
    </row>
    <row r="97" spans="1:2" x14ac:dyDescent="0.3">
      <c r="A97" s="1">
        <v>43972</v>
      </c>
      <c r="B97" s="4">
        <v>820.5</v>
      </c>
    </row>
    <row r="98" spans="1:2" x14ac:dyDescent="0.3">
      <c r="A98" s="1">
        <v>43973</v>
      </c>
      <c r="B98" s="4">
        <v>815.7</v>
      </c>
    </row>
    <row r="99" spans="1:2" x14ac:dyDescent="0.3">
      <c r="A99" s="1">
        <v>43977</v>
      </c>
      <c r="B99" s="4">
        <v>825.55</v>
      </c>
    </row>
    <row r="100" spans="1:2" x14ac:dyDescent="0.3">
      <c r="A100" s="1">
        <v>43978</v>
      </c>
      <c r="B100" s="4">
        <v>850.85</v>
      </c>
    </row>
    <row r="101" spans="1:2" x14ac:dyDescent="0.3">
      <c r="A101" s="1">
        <v>43979</v>
      </c>
      <c r="B101" s="4">
        <v>905.5</v>
      </c>
    </row>
    <row r="102" spans="1:2" x14ac:dyDescent="0.3">
      <c r="A102" s="1">
        <v>43980</v>
      </c>
      <c r="B102" s="4">
        <v>932.25</v>
      </c>
    </row>
    <row r="103" spans="1:2" x14ac:dyDescent="0.3">
      <c r="A103" s="1">
        <v>43983</v>
      </c>
      <c r="B103" s="4">
        <v>928.15</v>
      </c>
    </row>
    <row r="104" spans="1:2" x14ac:dyDescent="0.3">
      <c r="A104" s="1">
        <v>43984</v>
      </c>
      <c r="B104" s="4">
        <v>945.45</v>
      </c>
    </row>
    <row r="105" spans="1:2" x14ac:dyDescent="0.3">
      <c r="A105" s="1">
        <v>43985</v>
      </c>
      <c r="B105" s="4">
        <v>961.3</v>
      </c>
    </row>
    <row r="106" spans="1:2" x14ac:dyDescent="0.3">
      <c r="A106" s="1">
        <v>43986</v>
      </c>
      <c r="B106" s="4">
        <v>930.7</v>
      </c>
    </row>
    <row r="107" spans="1:2" x14ac:dyDescent="0.3">
      <c r="A107" s="1">
        <v>43987</v>
      </c>
      <c r="B107" s="4">
        <v>955.25</v>
      </c>
    </row>
    <row r="108" spans="1:2" x14ac:dyDescent="0.3">
      <c r="A108" s="1">
        <v>43990</v>
      </c>
      <c r="B108" s="4">
        <v>961.35</v>
      </c>
    </row>
    <row r="109" spans="1:2" x14ac:dyDescent="0.3">
      <c r="A109" s="1">
        <v>43991</v>
      </c>
      <c r="B109" s="4">
        <v>953.3</v>
      </c>
    </row>
    <row r="110" spans="1:2" x14ac:dyDescent="0.3">
      <c r="A110" s="1">
        <v>43992</v>
      </c>
      <c r="B110" s="4">
        <v>946.55</v>
      </c>
    </row>
    <row r="111" spans="1:2" x14ac:dyDescent="0.3">
      <c r="A111" s="1">
        <v>43993</v>
      </c>
      <c r="B111" s="4">
        <v>930.45</v>
      </c>
    </row>
    <row r="112" spans="1:2" x14ac:dyDescent="0.3">
      <c r="A112" s="1">
        <v>43994</v>
      </c>
      <c r="B112" s="4">
        <v>926.4</v>
      </c>
    </row>
    <row r="113" spans="1:2" x14ac:dyDescent="0.3">
      <c r="A113" s="1">
        <v>43997</v>
      </c>
      <c r="B113" s="4">
        <v>899.9</v>
      </c>
    </row>
    <row r="114" spans="1:2" x14ac:dyDescent="0.3">
      <c r="A114" s="1">
        <v>43998</v>
      </c>
      <c r="B114" s="4">
        <v>895.05</v>
      </c>
    </row>
    <row r="115" spans="1:2" x14ac:dyDescent="0.3">
      <c r="A115" s="1">
        <v>43999</v>
      </c>
      <c r="B115" s="4">
        <v>884.8</v>
      </c>
    </row>
    <row r="116" spans="1:2" x14ac:dyDescent="0.3">
      <c r="A116" s="1">
        <v>44000</v>
      </c>
      <c r="B116" s="4">
        <v>896.65</v>
      </c>
    </row>
    <row r="117" spans="1:2" x14ac:dyDescent="0.3">
      <c r="A117" s="1">
        <v>44001</v>
      </c>
      <c r="B117" s="4">
        <v>898.2</v>
      </c>
    </row>
    <row r="118" spans="1:2" x14ac:dyDescent="0.3">
      <c r="A118" s="1">
        <v>44004</v>
      </c>
      <c r="B118" s="4">
        <v>907.45</v>
      </c>
    </row>
    <row r="119" spans="1:2" x14ac:dyDescent="0.3">
      <c r="A119" s="1">
        <v>44005</v>
      </c>
      <c r="B119" s="4">
        <v>967.6</v>
      </c>
    </row>
    <row r="120" spans="1:2" x14ac:dyDescent="0.3">
      <c r="A120" s="1">
        <v>44006</v>
      </c>
      <c r="B120" s="4">
        <v>955.55</v>
      </c>
    </row>
    <row r="121" spans="1:2" x14ac:dyDescent="0.3">
      <c r="A121" s="1">
        <v>44007</v>
      </c>
      <c r="B121" s="4">
        <v>943.1</v>
      </c>
    </row>
    <row r="122" spans="1:2" x14ac:dyDescent="0.3">
      <c r="A122" s="1">
        <v>44008</v>
      </c>
      <c r="B122" s="4">
        <v>962.2</v>
      </c>
    </row>
    <row r="123" spans="1:2" x14ac:dyDescent="0.3">
      <c r="A123" s="1">
        <v>44011</v>
      </c>
      <c r="B123" s="4">
        <v>936.6</v>
      </c>
    </row>
    <row r="124" spans="1:2" x14ac:dyDescent="0.3">
      <c r="A124" s="1">
        <v>44012</v>
      </c>
      <c r="B124" s="4">
        <v>943.65</v>
      </c>
    </row>
    <row r="125" spans="1:2" x14ac:dyDescent="0.3">
      <c r="A125" s="1">
        <v>44013</v>
      </c>
      <c r="B125" s="4">
        <v>924.3</v>
      </c>
    </row>
    <row r="126" spans="1:2" x14ac:dyDescent="0.3">
      <c r="A126" s="1">
        <v>44014</v>
      </c>
      <c r="B126" s="4">
        <v>941.3</v>
      </c>
    </row>
    <row r="127" spans="1:2" x14ac:dyDescent="0.3">
      <c r="A127" s="1">
        <v>44015</v>
      </c>
      <c r="B127" s="4">
        <v>944.25</v>
      </c>
    </row>
    <row r="128" spans="1:2" x14ac:dyDescent="0.3">
      <c r="A128" s="1">
        <v>44018</v>
      </c>
      <c r="B128" s="4">
        <v>951.2</v>
      </c>
    </row>
    <row r="129" spans="1:2" x14ac:dyDescent="0.3">
      <c r="A129" s="1">
        <v>44019</v>
      </c>
      <c r="B129" s="4">
        <v>943.6</v>
      </c>
    </row>
    <row r="130" spans="1:2" x14ac:dyDescent="0.3">
      <c r="A130" s="1">
        <v>44020</v>
      </c>
      <c r="B130" s="4">
        <v>941.25</v>
      </c>
    </row>
    <row r="131" spans="1:2" x14ac:dyDescent="0.3">
      <c r="A131" s="1">
        <v>44021</v>
      </c>
      <c r="B131" s="4">
        <v>944.95</v>
      </c>
    </row>
    <row r="132" spans="1:2" x14ac:dyDescent="0.3">
      <c r="A132" s="1">
        <v>44022</v>
      </c>
      <c r="B132" s="4">
        <v>932.15</v>
      </c>
    </row>
    <row r="133" spans="1:2" x14ac:dyDescent="0.3">
      <c r="A133" s="1">
        <v>44025</v>
      </c>
      <c r="B133" s="4">
        <v>928.15</v>
      </c>
    </row>
    <row r="134" spans="1:2" x14ac:dyDescent="0.3">
      <c r="A134" s="1">
        <v>44026</v>
      </c>
      <c r="B134" s="4">
        <v>912.9</v>
      </c>
    </row>
    <row r="135" spans="1:2" x14ac:dyDescent="0.3">
      <c r="A135" s="1">
        <v>44027</v>
      </c>
      <c r="B135" s="4">
        <v>912.2</v>
      </c>
    </row>
    <row r="136" spans="1:2" x14ac:dyDescent="0.3">
      <c r="A136" s="1">
        <v>44028</v>
      </c>
      <c r="B136" s="4">
        <v>921.15</v>
      </c>
    </row>
    <row r="137" spans="1:2" x14ac:dyDescent="0.3">
      <c r="A137" s="1">
        <v>44029</v>
      </c>
      <c r="B137" s="4">
        <v>925.55</v>
      </c>
    </row>
    <row r="138" spans="1:2" x14ac:dyDescent="0.3">
      <c r="A138" s="1">
        <v>44032</v>
      </c>
      <c r="B138" s="4">
        <v>919.6</v>
      </c>
    </row>
    <row r="139" spans="1:2" x14ac:dyDescent="0.3">
      <c r="A139" s="1">
        <v>44033</v>
      </c>
      <c r="B139" s="4">
        <v>938.05</v>
      </c>
    </row>
    <row r="140" spans="1:2" x14ac:dyDescent="0.3">
      <c r="A140" s="1">
        <v>44034</v>
      </c>
      <c r="B140" s="4">
        <v>920.9</v>
      </c>
    </row>
    <row r="141" spans="1:2" x14ac:dyDescent="0.3">
      <c r="A141" s="1">
        <v>44035</v>
      </c>
      <c r="B141" s="4">
        <v>916.55</v>
      </c>
    </row>
    <row r="142" spans="1:2" x14ac:dyDescent="0.3">
      <c r="A142" s="1">
        <v>44036</v>
      </c>
      <c r="B142" s="4">
        <v>904.4</v>
      </c>
    </row>
    <row r="143" spans="1:2" x14ac:dyDescent="0.3">
      <c r="A143" s="1">
        <v>44039</v>
      </c>
      <c r="B143" s="4">
        <v>903.8</v>
      </c>
    </row>
    <row r="144" spans="1:2" x14ac:dyDescent="0.3">
      <c r="A144" s="1">
        <v>44040</v>
      </c>
      <c r="B144" s="4">
        <v>913.5</v>
      </c>
    </row>
    <row r="145" spans="1:2" x14ac:dyDescent="0.3">
      <c r="A145" s="1">
        <v>44041</v>
      </c>
      <c r="B145" s="4">
        <v>921.95</v>
      </c>
    </row>
    <row r="146" spans="1:2" x14ac:dyDescent="0.3">
      <c r="A146" s="1">
        <v>44042</v>
      </c>
      <c r="B146" s="4">
        <v>908.25</v>
      </c>
    </row>
    <row r="147" spans="1:2" x14ac:dyDescent="0.3">
      <c r="A147" s="1">
        <v>44043</v>
      </c>
      <c r="B147" s="4">
        <v>913.45</v>
      </c>
    </row>
    <row r="148" spans="1:2" x14ac:dyDescent="0.3">
      <c r="A148" s="1">
        <v>44046</v>
      </c>
      <c r="B148" s="4">
        <v>915.9</v>
      </c>
    </row>
    <row r="149" spans="1:2" x14ac:dyDescent="0.3">
      <c r="A149" s="1">
        <v>44047</v>
      </c>
      <c r="B149" s="4">
        <v>924.25</v>
      </c>
    </row>
    <row r="150" spans="1:2" x14ac:dyDescent="0.3">
      <c r="A150" s="1">
        <v>44048</v>
      </c>
      <c r="B150" s="4">
        <v>925.75</v>
      </c>
    </row>
    <row r="151" spans="1:2" x14ac:dyDescent="0.3">
      <c r="A151" s="1">
        <v>44049</v>
      </c>
      <c r="B151" s="4">
        <v>922.15</v>
      </c>
    </row>
    <row r="152" spans="1:2" x14ac:dyDescent="0.3">
      <c r="A152" s="1">
        <v>44050</v>
      </c>
      <c r="B152" s="4">
        <v>915.65</v>
      </c>
    </row>
    <row r="153" spans="1:2" x14ac:dyDescent="0.3">
      <c r="A153" s="1">
        <v>44053</v>
      </c>
      <c r="B153" s="4">
        <v>960.05</v>
      </c>
    </row>
    <row r="154" spans="1:2" x14ac:dyDescent="0.3">
      <c r="A154" s="1">
        <v>44054</v>
      </c>
      <c r="B154" s="4">
        <v>961.9</v>
      </c>
    </row>
    <row r="155" spans="1:2" x14ac:dyDescent="0.3">
      <c r="A155" s="1">
        <v>44055</v>
      </c>
      <c r="B155" s="4">
        <v>949.75</v>
      </c>
    </row>
    <row r="156" spans="1:2" x14ac:dyDescent="0.3">
      <c r="A156" s="1">
        <v>44056</v>
      </c>
      <c r="B156" s="4">
        <v>990.7</v>
      </c>
    </row>
    <row r="157" spans="1:2" x14ac:dyDescent="0.3">
      <c r="A157" s="1">
        <v>44057</v>
      </c>
      <c r="B157" s="4">
        <v>982.8</v>
      </c>
    </row>
    <row r="158" spans="1:2" x14ac:dyDescent="0.3">
      <c r="A158" s="1">
        <v>44060</v>
      </c>
      <c r="B158" s="4">
        <v>1000.8</v>
      </c>
    </row>
    <row r="159" spans="1:2" x14ac:dyDescent="0.3">
      <c r="A159" s="1">
        <v>44061</v>
      </c>
      <c r="B159" s="4">
        <v>1004.55</v>
      </c>
    </row>
    <row r="160" spans="1:2" x14ac:dyDescent="0.3">
      <c r="A160" s="1">
        <v>44062</v>
      </c>
      <c r="B160" s="4">
        <v>1009.1</v>
      </c>
    </row>
    <row r="161" spans="1:2" x14ac:dyDescent="0.3">
      <c r="A161" s="1">
        <v>44063</v>
      </c>
      <c r="B161" s="4">
        <v>995.75</v>
      </c>
    </row>
    <row r="162" spans="1:2" x14ac:dyDescent="0.3">
      <c r="A162" s="1">
        <v>44064</v>
      </c>
      <c r="B162" s="4">
        <v>994.15</v>
      </c>
    </row>
    <row r="163" spans="1:2" x14ac:dyDescent="0.3">
      <c r="A163" s="1">
        <v>44067</v>
      </c>
      <c r="B163" s="4">
        <v>991.35</v>
      </c>
    </row>
    <row r="164" spans="1:2" x14ac:dyDescent="0.3">
      <c r="A164" s="1">
        <v>44068</v>
      </c>
      <c r="B164" s="4">
        <v>980.4</v>
      </c>
    </row>
    <row r="165" spans="1:2" x14ac:dyDescent="0.3">
      <c r="A165" s="1">
        <v>44069</v>
      </c>
      <c r="B165" s="4">
        <v>968.95</v>
      </c>
    </row>
    <row r="166" spans="1:2" x14ac:dyDescent="0.3">
      <c r="A166" s="1">
        <v>44070</v>
      </c>
      <c r="B166" s="4">
        <v>975.6</v>
      </c>
    </row>
    <row r="167" spans="1:2" x14ac:dyDescent="0.3">
      <c r="A167" s="1">
        <v>44071</v>
      </c>
      <c r="B167" s="4">
        <v>981.85</v>
      </c>
    </row>
    <row r="168" spans="1:2" x14ac:dyDescent="0.3">
      <c r="A168" s="1">
        <v>44074</v>
      </c>
      <c r="B168" s="4">
        <v>944.95</v>
      </c>
    </row>
    <row r="169" spans="1:2" x14ac:dyDescent="0.3">
      <c r="A169" s="1">
        <v>44075</v>
      </c>
      <c r="B169" s="4">
        <v>955.2</v>
      </c>
    </row>
    <row r="170" spans="1:2" x14ac:dyDescent="0.3">
      <c r="A170" s="1">
        <v>44076</v>
      </c>
      <c r="B170" s="4">
        <v>955.55</v>
      </c>
    </row>
    <row r="171" spans="1:2" x14ac:dyDescent="0.3">
      <c r="A171" s="1">
        <v>44077</v>
      </c>
      <c r="B171" s="4">
        <v>961.15</v>
      </c>
    </row>
    <row r="172" spans="1:2" x14ac:dyDescent="0.3">
      <c r="A172" s="1">
        <v>44078</v>
      </c>
      <c r="B172" s="4">
        <v>942.5</v>
      </c>
    </row>
    <row r="173" spans="1:2" x14ac:dyDescent="0.3">
      <c r="A173" s="1">
        <v>44081</v>
      </c>
      <c r="B173" s="4">
        <v>932.15</v>
      </c>
    </row>
    <row r="174" spans="1:2" x14ac:dyDescent="0.3">
      <c r="A174" s="1">
        <v>44082</v>
      </c>
      <c r="B174" s="4">
        <v>916.7</v>
      </c>
    </row>
    <row r="175" spans="1:2" x14ac:dyDescent="0.3">
      <c r="A175" s="1">
        <v>44083</v>
      </c>
      <c r="B175" s="4">
        <v>909.5</v>
      </c>
    </row>
    <row r="176" spans="1:2" x14ac:dyDescent="0.3">
      <c r="A176" s="1">
        <v>44084</v>
      </c>
      <c r="B176" s="4">
        <v>920.95</v>
      </c>
    </row>
    <row r="177" spans="1:2" x14ac:dyDescent="0.3">
      <c r="A177" s="1">
        <v>44085</v>
      </c>
      <c r="B177" s="4">
        <v>917.4</v>
      </c>
    </row>
    <row r="178" spans="1:2" x14ac:dyDescent="0.3">
      <c r="A178" s="1">
        <v>44088</v>
      </c>
      <c r="B178" s="4">
        <v>902.1</v>
      </c>
    </row>
    <row r="179" spans="1:2" x14ac:dyDescent="0.3">
      <c r="A179" s="1">
        <v>44089</v>
      </c>
      <c r="B179" s="4">
        <v>909.95</v>
      </c>
    </row>
    <row r="180" spans="1:2" x14ac:dyDescent="0.3">
      <c r="A180" s="1">
        <v>44090</v>
      </c>
      <c r="B180" s="4">
        <v>921.8</v>
      </c>
    </row>
    <row r="181" spans="1:2" x14ac:dyDescent="0.3">
      <c r="A181" s="1">
        <v>44091</v>
      </c>
      <c r="B181" s="4">
        <v>906.3</v>
      </c>
    </row>
    <row r="182" spans="1:2" x14ac:dyDescent="0.3">
      <c r="A182" s="1">
        <v>44092</v>
      </c>
      <c r="B182" s="4">
        <v>900.7</v>
      </c>
    </row>
    <row r="183" spans="1:2" x14ac:dyDescent="0.3">
      <c r="A183" s="1">
        <v>44095</v>
      </c>
      <c r="B183" s="4">
        <v>881.85</v>
      </c>
    </row>
    <row r="184" spans="1:2" x14ac:dyDescent="0.3">
      <c r="A184" s="1">
        <v>44096</v>
      </c>
      <c r="B184" s="4">
        <v>856.5</v>
      </c>
    </row>
    <row r="185" spans="1:2" x14ac:dyDescent="0.3">
      <c r="A185" s="1">
        <v>44097</v>
      </c>
      <c r="B185" s="4">
        <v>860.6</v>
      </c>
    </row>
    <row r="186" spans="1:2" x14ac:dyDescent="0.3">
      <c r="A186" s="1">
        <v>44098</v>
      </c>
      <c r="B186" s="4">
        <v>850.7</v>
      </c>
    </row>
    <row r="187" spans="1:2" x14ac:dyDescent="0.3">
      <c r="A187" s="1">
        <v>44099</v>
      </c>
      <c r="B187" s="4">
        <v>889.25</v>
      </c>
    </row>
    <row r="188" spans="1:2" x14ac:dyDescent="0.3">
      <c r="A188" s="1">
        <v>44102</v>
      </c>
      <c r="B188" s="4">
        <v>902.85</v>
      </c>
    </row>
    <row r="189" spans="1:2" x14ac:dyDescent="0.3">
      <c r="A189" s="1">
        <v>44103</v>
      </c>
      <c r="B189" s="4">
        <v>895.45</v>
      </c>
    </row>
    <row r="190" spans="1:2" x14ac:dyDescent="0.3">
      <c r="A190" s="1">
        <v>44104</v>
      </c>
      <c r="B190" s="4">
        <v>901.6</v>
      </c>
    </row>
    <row r="191" spans="1:2" x14ac:dyDescent="0.3">
      <c r="A191" s="1">
        <v>44105</v>
      </c>
      <c r="B191" s="4">
        <v>902.8</v>
      </c>
    </row>
    <row r="192" spans="1:2" x14ac:dyDescent="0.3">
      <c r="A192" s="1">
        <v>44109</v>
      </c>
      <c r="B192" s="4">
        <v>896.95</v>
      </c>
    </row>
    <row r="193" spans="1:2" x14ac:dyDescent="0.3">
      <c r="A193" s="1">
        <v>44110</v>
      </c>
      <c r="B193" s="4">
        <v>892.6</v>
      </c>
    </row>
    <row r="194" spans="1:2" x14ac:dyDescent="0.3">
      <c r="A194" s="1">
        <v>44111</v>
      </c>
      <c r="B194" s="4">
        <v>887.9</v>
      </c>
    </row>
    <row r="195" spans="1:2" x14ac:dyDescent="0.3">
      <c r="A195" s="1">
        <v>44112</v>
      </c>
      <c r="B195" s="4">
        <v>881.05</v>
      </c>
    </row>
    <row r="196" spans="1:2" x14ac:dyDescent="0.3">
      <c r="A196" s="1">
        <v>44113</v>
      </c>
      <c r="B196" s="4">
        <v>908.45</v>
      </c>
    </row>
    <row r="197" spans="1:2" x14ac:dyDescent="0.3">
      <c r="A197" s="1">
        <v>44116</v>
      </c>
      <c r="B197" s="4">
        <v>905.75</v>
      </c>
    </row>
    <row r="198" spans="1:2" x14ac:dyDescent="0.3">
      <c r="A198" s="1">
        <v>44117</v>
      </c>
      <c r="B198" s="4">
        <v>896.45</v>
      </c>
    </row>
    <row r="199" spans="1:2" x14ac:dyDescent="0.3">
      <c r="A199" s="1">
        <v>44118</v>
      </c>
      <c r="B199" s="4">
        <v>915.2</v>
      </c>
    </row>
    <row r="200" spans="1:2" x14ac:dyDescent="0.3">
      <c r="A200" s="1">
        <v>44119</v>
      </c>
      <c r="B200" s="4">
        <v>888.8</v>
      </c>
    </row>
    <row r="201" spans="1:2" x14ac:dyDescent="0.3">
      <c r="A201" s="1">
        <v>44120</v>
      </c>
      <c r="B201" s="4">
        <v>894.1</v>
      </c>
    </row>
    <row r="202" spans="1:2" x14ac:dyDescent="0.3">
      <c r="A202" s="1">
        <v>44123</v>
      </c>
      <c r="B202" s="4">
        <v>902.9</v>
      </c>
    </row>
    <row r="203" spans="1:2" x14ac:dyDescent="0.3">
      <c r="A203" s="1">
        <v>44124</v>
      </c>
      <c r="B203" s="4">
        <v>917.3</v>
      </c>
    </row>
    <row r="204" spans="1:2" x14ac:dyDescent="0.3">
      <c r="A204" s="1">
        <v>44125</v>
      </c>
      <c r="B204" s="4">
        <v>924.45</v>
      </c>
    </row>
    <row r="205" spans="1:2" x14ac:dyDescent="0.3">
      <c r="A205" s="1">
        <v>44126</v>
      </c>
      <c r="B205" s="4">
        <v>936.3</v>
      </c>
    </row>
    <row r="206" spans="1:2" x14ac:dyDescent="0.3">
      <c r="A206" s="1">
        <v>44127</v>
      </c>
      <c r="B206" s="4">
        <v>923.37</v>
      </c>
    </row>
    <row r="207" spans="1:2" x14ac:dyDescent="0.3">
      <c r="A207" s="1">
        <v>44130</v>
      </c>
      <c r="B207" s="4">
        <v>933.67</v>
      </c>
    </row>
    <row r="208" spans="1:2" x14ac:dyDescent="0.3">
      <c r="A208" s="1">
        <v>44131</v>
      </c>
      <c r="B208" s="4">
        <v>963.3</v>
      </c>
    </row>
    <row r="209" spans="1:2" x14ac:dyDescent="0.3">
      <c r="A209" s="1">
        <v>44132</v>
      </c>
      <c r="B209" s="4">
        <v>964.18</v>
      </c>
    </row>
    <row r="210" spans="1:2" x14ac:dyDescent="0.3">
      <c r="A210" s="1">
        <v>44133</v>
      </c>
      <c r="B210" s="4">
        <v>916.75</v>
      </c>
    </row>
    <row r="211" spans="1:2" x14ac:dyDescent="0.3">
      <c r="A211" s="1">
        <v>44134</v>
      </c>
      <c r="B211" s="4">
        <v>911.85</v>
      </c>
    </row>
    <row r="212" spans="1:2" x14ac:dyDescent="0.3">
      <c r="A212" s="1">
        <v>44137</v>
      </c>
      <c r="B212" s="4">
        <v>911.65</v>
      </c>
    </row>
    <row r="213" spans="1:2" x14ac:dyDescent="0.3">
      <c r="A213" s="1">
        <v>44138</v>
      </c>
      <c r="B213" s="4">
        <v>929.75</v>
      </c>
    </row>
    <row r="214" spans="1:2" x14ac:dyDescent="0.3">
      <c r="A214" s="1">
        <v>44139</v>
      </c>
      <c r="B214" s="4">
        <v>939.85</v>
      </c>
    </row>
    <row r="215" spans="1:2" x14ac:dyDescent="0.3">
      <c r="A215" s="1">
        <v>44140</v>
      </c>
      <c r="B215" s="4">
        <v>958.1</v>
      </c>
    </row>
    <row r="216" spans="1:2" x14ac:dyDescent="0.3">
      <c r="A216" s="1">
        <v>44141</v>
      </c>
      <c r="B216" s="4">
        <v>960.75</v>
      </c>
    </row>
    <row r="217" spans="1:2" x14ac:dyDescent="0.3">
      <c r="A217" s="1">
        <v>44144</v>
      </c>
      <c r="B217" s="4">
        <v>965.85</v>
      </c>
    </row>
    <row r="218" spans="1:2" x14ac:dyDescent="0.3">
      <c r="A218" s="1">
        <v>44145</v>
      </c>
      <c r="B218" s="4">
        <v>1033.7</v>
      </c>
    </row>
    <row r="219" spans="1:2" x14ac:dyDescent="0.3">
      <c r="A219" s="1">
        <v>44146</v>
      </c>
      <c r="B219" s="4">
        <v>1059.45</v>
      </c>
    </row>
    <row r="220" spans="1:2" x14ac:dyDescent="0.3">
      <c r="A220" s="1">
        <v>44147</v>
      </c>
      <c r="B220" s="4">
        <v>1073.2</v>
      </c>
    </row>
    <row r="221" spans="1:2" x14ac:dyDescent="0.3">
      <c r="A221" s="1">
        <v>44148</v>
      </c>
      <c r="B221" s="4">
        <v>1051.5</v>
      </c>
    </row>
    <row r="222" spans="1:2" x14ac:dyDescent="0.3">
      <c r="A222" s="1">
        <v>44152</v>
      </c>
      <c r="B222" s="4">
        <v>1080.9000000000001</v>
      </c>
    </row>
    <row r="223" spans="1:2" x14ac:dyDescent="0.3">
      <c r="A223" s="1">
        <v>44153</v>
      </c>
      <c r="B223" s="4">
        <v>1148.1500000000001</v>
      </c>
    </row>
    <row r="224" spans="1:2" x14ac:dyDescent="0.3">
      <c r="A224" s="1">
        <v>44154</v>
      </c>
      <c r="B224" s="4">
        <v>1134.25</v>
      </c>
    </row>
    <row r="225" spans="1:2" x14ac:dyDescent="0.3">
      <c r="A225" s="1">
        <v>44155</v>
      </c>
      <c r="B225" s="4">
        <v>1132.3</v>
      </c>
    </row>
    <row r="226" spans="1:2" x14ac:dyDescent="0.3">
      <c r="A226" s="1">
        <v>44158</v>
      </c>
      <c r="B226" s="4">
        <v>1125.8499999999999</v>
      </c>
    </row>
    <row r="227" spans="1:2" x14ac:dyDescent="0.3">
      <c r="A227" s="1">
        <v>44159</v>
      </c>
      <c r="B227" s="4">
        <v>1135.5</v>
      </c>
    </row>
    <row r="228" spans="1:2" x14ac:dyDescent="0.3">
      <c r="A228" s="1">
        <v>44160</v>
      </c>
      <c r="B228" s="4">
        <v>1116</v>
      </c>
    </row>
    <row r="229" spans="1:2" x14ac:dyDescent="0.3">
      <c r="A229" s="1">
        <v>44161</v>
      </c>
      <c r="B229" s="4">
        <v>1118.8499999999999</v>
      </c>
    </row>
    <row r="230" spans="1:2" x14ac:dyDescent="0.3">
      <c r="A230" s="1">
        <v>44162</v>
      </c>
      <c r="B230" s="4">
        <v>1122.4000000000001</v>
      </c>
    </row>
    <row r="231" spans="1:2" x14ac:dyDescent="0.3">
      <c r="A231" s="1">
        <v>44166</v>
      </c>
      <c r="B231" s="4">
        <v>1115.95</v>
      </c>
    </row>
    <row r="232" spans="1:2" x14ac:dyDescent="0.3">
      <c r="A232" s="1">
        <v>44167</v>
      </c>
      <c r="B232" s="4">
        <v>1113.75</v>
      </c>
    </row>
    <row r="233" spans="1:2" x14ac:dyDescent="0.3">
      <c r="A233" s="1">
        <v>44168</v>
      </c>
      <c r="B233" s="4">
        <v>1125.1500000000001</v>
      </c>
    </row>
    <row r="234" spans="1:2" x14ac:dyDescent="0.3">
      <c r="A234" s="1">
        <v>44169</v>
      </c>
      <c r="B234" s="4">
        <v>1149.5</v>
      </c>
    </row>
    <row r="235" spans="1:2" x14ac:dyDescent="0.3">
      <c r="A235" s="1">
        <v>44172</v>
      </c>
      <c r="B235" s="4">
        <v>1169.7</v>
      </c>
    </row>
    <row r="236" spans="1:2" x14ac:dyDescent="0.3">
      <c r="A236" s="1">
        <v>44173</v>
      </c>
      <c r="B236" s="4">
        <v>1171.4000000000001</v>
      </c>
    </row>
    <row r="237" spans="1:2" x14ac:dyDescent="0.3">
      <c r="A237" s="1">
        <v>44174</v>
      </c>
      <c r="B237" s="4">
        <v>1181</v>
      </c>
    </row>
    <row r="238" spans="1:2" x14ac:dyDescent="0.3">
      <c r="A238" s="1">
        <v>44175</v>
      </c>
      <c r="B238" s="4">
        <v>1190.3499999999999</v>
      </c>
    </row>
    <row r="239" spans="1:2" x14ac:dyDescent="0.3">
      <c r="A239" s="1">
        <v>44176</v>
      </c>
      <c r="B239" s="4">
        <v>1194.3</v>
      </c>
    </row>
    <row r="240" spans="1:2" x14ac:dyDescent="0.3">
      <c r="A240" s="1">
        <v>44179</v>
      </c>
      <c r="B240" s="4">
        <v>1249.6500000000001</v>
      </c>
    </row>
    <row r="241" spans="1:2" x14ac:dyDescent="0.3">
      <c r="A241" s="1">
        <v>44180</v>
      </c>
      <c r="B241" s="4">
        <v>1246.25</v>
      </c>
    </row>
    <row r="242" spans="1:2" x14ac:dyDescent="0.3">
      <c r="A242" s="1">
        <v>44181</v>
      </c>
      <c r="B242" s="4">
        <v>1268.25</v>
      </c>
    </row>
    <row r="243" spans="1:2" x14ac:dyDescent="0.3">
      <c r="A243" s="1">
        <v>44182</v>
      </c>
      <c r="B243" s="4">
        <v>1278.8</v>
      </c>
    </row>
    <row r="244" spans="1:2" x14ac:dyDescent="0.3">
      <c r="A244" s="1">
        <v>44183</v>
      </c>
      <c r="B244" s="4">
        <v>1281.55</v>
      </c>
    </row>
    <row r="245" spans="1:2" x14ac:dyDescent="0.3">
      <c r="A245" s="1">
        <v>44186</v>
      </c>
      <c r="B245" s="4">
        <v>1234.8499999999999</v>
      </c>
    </row>
    <row r="246" spans="1:2" x14ac:dyDescent="0.3">
      <c r="A246" s="1">
        <v>44187</v>
      </c>
      <c r="B246" s="4">
        <v>1262.7</v>
      </c>
    </row>
    <row r="247" spans="1:2" x14ac:dyDescent="0.3">
      <c r="A247" s="1">
        <v>44188</v>
      </c>
      <c r="B247" s="4">
        <v>1264.8</v>
      </c>
    </row>
    <row r="248" spans="1:2" x14ac:dyDescent="0.3">
      <c r="A248" s="1">
        <v>44189</v>
      </c>
      <c r="B248" s="4">
        <v>1262.2</v>
      </c>
    </row>
    <row r="249" spans="1:2" x14ac:dyDescent="0.3">
      <c r="A249" s="1">
        <v>44193</v>
      </c>
      <c r="B249" s="4">
        <v>1289.4000000000001</v>
      </c>
    </row>
    <row r="250" spans="1:2" x14ac:dyDescent="0.3">
      <c r="A250" s="1">
        <v>44194</v>
      </c>
      <c r="B250" s="4">
        <v>1284.8499999999999</v>
      </c>
    </row>
    <row r="251" spans="1:2" x14ac:dyDescent="0.3">
      <c r="A251" s="1">
        <v>44195</v>
      </c>
      <c r="B251" s="4">
        <v>1292.05</v>
      </c>
    </row>
    <row r="252" spans="1:2" x14ac:dyDescent="0.3">
      <c r="A252" s="1">
        <v>44196</v>
      </c>
      <c r="B252" s="4">
        <v>1287.5999999999999</v>
      </c>
    </row>
    <row r="253" spans="1:2" x14ac:dyDescent="0.3">
      <c r="A253" s="1">
        <v>44197</v>
      </c>
      <c r="B253" s="4">
        <v>1297</v>
      </c>
    </row>
    <row r="254" spans="1:2" x14ac:dyDescent="0.3">
      <c r="A254" s="1">
        <v>44200</v>
      </c>
      <c r="B254" s="4">
        <v>1314.6</v>
      </c>
    </row>
    <row r="255" spans="1:2" x14ac:dyDescent="0.3">
      <c r="A255" s="1">
        <v>44201</v>
      </c>
      <c r="B255" s="4">
        <v>1306.3</v>
      </c>
    </row>
    <row r="256" spans="1:2" x14ac:dyDescent="0.3">
      <c r="A256" s="1">
        <v>44202</v>
      </c>
      <c r="B256" s="4">
        <v>1314</v>
      </c>
    </row>
    <row r="257" spans="1:2" x14ac:dyDescent="0.3">
      <c r="A257" s="1">
        <v>44203</v>
      </c>
      <c r="B257" s="4">
        <v>1338.95</v>
      </c>
    </row>
    <row r="258" spans="1:2" x14ac:dyDescent="0.3">
      <c r="A258" s="1">
        <v>44204</v>
      </c>
      <c r="B258" s="4">
        <v>1373.4</v>
      </c>
    </row>
    <row r="259" spans="1:2" x14ac:dyDescent="0.3">
      <c r="A259" s="1">
        <v>44207</v>
      </c>
      <c r="B259" s="4">
        <v>1350</v>
      </c>
    </row>
    <row r="260" spans="1:2" x14ac:dyDescent="0.3">
      <c r="A260" s="1">
        <v>44208</v>
      </c>
      <c r="B260" s="4">
        <v>1349.8</v>
      </c>
    </row>
    <row r="261" spans="1:2" x14ac:dyDescent="0.3">
      <c r="A261" s="1">
        <v>44209</v>
      </c>
      <c r="B261" s="4">
        <v>1352.5</v>
      </c>
    </row>
    <row r="262" spans="1:2" x14ac:dyDescent="0.3">
      <c r="A262" s="1">
        <v>44210</v>
      </c>
      <c r="B262" s="4">
        <v>1376.6</v>
      </c>
    </row>
    <row r="263" spans="1:2" x14ac:dyDescent="0.3">
      <c r="A263" s="1">
        <v>44211</v>
      </c>
      <c r="B263" s="4">
        <v>1354.15</v>
      </c>
    </row>
    <row r="264" spans="1:2" x14ac:dyDescent="0.3">
      <c r="A264" s="1">
        <v>44214</v>
      </c>
      <c r="B264" s="4">
        <v>1336.05</v>
      </c>
    </row>
    <row r="265" spans="1:2" x14ac:dyDescent="0.3">
      <c r="A265" s="1">
        <v>44215</v>
      </c>
      <c r="B265" s="4">
        <v>1369.85</v>
      </c>
    </row>
    <row r="266" spans="1:2" x14ac:dyDescent="0.3">
      <c r="A266" s="1">
        <v>44216</v>
      </c>
      <c r="B266" s="4">
        <v>1382.65</v>
      </c>
    </row>
    <row r="267" spans="1:2" x14ac:dyDescent="0.3">
      <c r="A267" s="1">
        <v>44217</v>
      </c>
      <c r="B267" s="4">
        <v>1371.3</v>
      </c>
    </row>
    <row r="268" spans="1:2" x14ac:dyDescent="0.3">
      <c r="A268" s="1">
        <v>44218</v>
      </c>
      <c r="B268" s="4">
        <v>1362.1</v>
      </c>
    </row>
    <row r="269" spans="1:2" x14ac:dyDescent="0.3">
      <c r="A269" s="1">
        <v>44221</v>
      </c>
      <c r="B269" s="4">
        <v>1361.3</v>
      </c>
    </row>
    <row r="270" spans="1:2" x14ac:dyDescent="0.3">
      <c r="A270" s="1">
        <v>44223</v>
      </c>
      <c r="B270" s="4">
        <v>1359.85</v>
      </c>
    </row>
    <row r="271" spans="1:2" x14ac:dyDescent="0.3">
      <c r="A271" s="1">
        <v>44224</v>
      </c>
      <c r="B271" s="4">
        <v>1345.35</v>
      </c>
    </row>
    <row r="272" spans="1:2" x14ac:dyDescent="0.3">
      <c r="A272" s="1">
        <v>44225</v>
      </c>
      <c r="B272" s="4">
        <v>1334.7</v>
      </c>
    </row>
    <row r="273" spans="1:2" x14ac:dyDescent="0.3">
      <c r="A273" s="1">
        <v>44228</v>
      </c>
      <c r="B273" s="4">
        <v>1448.85</v>
      </c>
    </row>
    <row r="274" spans="1:2" x14ac:dyDescent="0.3">
      <c r="A274" s="1">
        <v>44229</v>
      </c>
      <c r="B274" s="4">
        <v>1520.2</v>
      </c>
    </row>
    <row r="275" spans="1:2" x14ac:dyDescent="0.3">
      <c r="A275" s="1">
        <v>44230</v>
      </c>
      <c r="B275" s="4">
        <v>1528.55</v>
      </c>
    </row>
    <row r="276" spans="1:2" x14ac:dyDescent="0.3">
      <c r="A276" s="1">
        <v>44231</v>
      </c>
      <c r="B276" s="4">
        <v>1529.8</v>
      </c>
    </row>
    <row r="277" spans="1:2" x14ac:dyDescent="0.3">
      <c r="A277" s="1">
        <v>44232</v>
      </c>
      <c r="B277" s="4">
        <v>1516.5</v>
      </c>
    </row>
    <row r="278" spans="1:2" x14ac:dyDescent="0.3">
      <c r="A278" s="1">
        <v>44235</v>
      </c>
      <c r="B278" s="4">
        <v>1551.8</v>
      </c>
    </row>
    <row r="279" spans="1:2" x14ac:dyDescent="0.3">
      <c r="A279" s="1">
        <v>44236</v>
      </c>
      <c r="B279" s="4">
        <v>1566.45</v>
      </c>
    </row>
    <row r="280" spans="1:2" x14ac:dyDescent="0.3">
      <c r="A280" s="1">
        <v>44237</v>
      </c>
      <c r="B280" s="4">
        <v>1552.85</v>
      </c>
    </row>
    <row r="281" spans="1:2" x14ac:dyDescent="0.3">
      <c r="A281" s="1">
        <v>44238</v>
      </c>
      <c r="B281" s="4">
        <v>1530.5</v>
      </c>
    </row>
    <row r="282" spans="1:2" x14ac:dyDescent="0.3">
      <c r="A282" s="1">
        <v>44239</v>
      </c>
      <c r="B282" s="4">
        <v>1521.35</v>
      </c>
    </row>
    <row r="283" spans="1:2" x14ac:dyDescent="0.3">
      <c r="A283" s="1">
        <v>44242</v>
      </c>
      <c r="B283" s="4">
        <v>1537.65</v>
      </c>
    </row>
    <row r="284" spans="1:2" x14ac:dyDescent="0.3">
      <c r="A284" s="1">
        <v>44243</v>
      </c>
      <c r="B284" s="4">
        <v>1549.45</v>
      </c>
    </row>
    <row r="285" spans="1:2" x14ac:dyDescent="0.3">
      <c r="A285" s="1">
        <v>44244</v>
      </c>
      <c r="B285" s="4">
        <v>1548.35</v>
      </c>
    </row>
    <row r="286" spans="1:2" x14ac:dyDescent="0.3">
      <c r="A286" s="1">
        <v>44245</v>
      </c>
      <c r="B286" s="4">
        <v>1524.6</v>
      </c>
    </row>
    <row r="287" spans="1:2" x14ac:dyDescent="0.3">
      <c r="A287" s="1">
        <v>44246</v>
      </c>
      <c r="B287" s="4">
        <v>1508.8</v>
      </c>
    </row>
    <row r="288" spans="1:2" x14ac:dyDescent="0.3">
      <c r="A288" s="1">
        <v>44249</v>
      </c>
      <c r="B288" s="4">
        <v>1452.2</v>
      </c>
    </row>
    <row r="289" spans="1:2" x14ac:dyDescent="0.3">
      <c r="A289" s="1">
        <v>44250</v>
      </c>
      <c r="B289" s="4">
        <v>1486.3</v>
      </c>
    </row>
    <row r="290" spans="1:2" x14ac:dyDescent="0.3">
      <c r="A290" s="1">
        <v>44251</v>
      </c>
      <c r="B290" s="4">
        <v>1526.6</v>
      </c>
    </row>
    <row r="291" spans="1:2" x14ac:dyDescent="0.3">
      <c r="A291" s="1">
        <v>44252</v>
      </c>
      <c r="B291" s="4">
        <v>1506.45</v>
      </c>
    </row>
    <row r="292" spans="1:2" x14ac:dyDescent="0.3">
      <c r="A292" s="1">
        <v>44253</v>
      </c>
      <c r="B292" s="4">
        <v>1442.5</v>
      </c>
    </row>
    <row r="293" spans="1:2" x14ac:dyDescent="0.3">
      <c r="A293" s="1">
        <v>44256</v>
      </c>
      <c r="B293" s="4">
        <v>1472.85</v>
      </c>
    </row>
    <row r="294" spans="1:2" x14ac:dyDescent="0.3">
      <c r="A294" s="1">
        <v>44257</v>
      </c>
      <c r="B294" s="4">
        <v>1485.65</v>
      </c>
    </row>
    <row r="295" spans="1:2" x14ac:dyDescent="0.3">
      <c r="A295" s="1">
        <v>44258</v>
      </c>
      <c r="B295" s="4">
        <v>1496.9</v>
      </c>
    </row>
    <row r="296" spans="1:2" x14ac:dyDescent="0.3">
      <c r="A296" s="1">
        <v>44259</v>
      </c>
      <c r="B296" s="4">
        <v>1462.6</v>
      </c>
    </row>
    <row r="297" spans="1:2" x14ac:dyDescent="0.3">
      <c r="A297" s="1">
        <v>44260</v>
      </c>
      <c r="B297" s="4">
        <v>1463.55</v>
      </c>
    </row>
    <row r="298" spans="1:2" x14ac:dyDescent="0.3">
      <c r="A298" s="1">
        <v>44263</v>
      </c>
      <c r="B298" s="4">
        <v>1515.2</v>
      </c>
    </row>
    <row r="299" spans="1:2" x14ac:dyDescent="0.3">
      <c r="A299" s="1">
        <v>44264</v>
      </c>
      <c r="B299" s="4">
        <v>1508.3</v>
      </c>
    </row>
    <row r="300" spans="1:2" x14ac:dyDescent="0.3">
      <c r="A300" s="1">
        <v>44265</v>
      </c>
      <c r="B300" s="4">
        <v>1524.2</v>
      </c>
    </row>
    <row r="301" spans="1:2" x14ac:dyDescent="0.3">
      <c r="A301" s="1">
        <v>44267</v>
      </c>
      <c r="B301" s="4">
        <v>1514</v>
      </c>
    </row>
    <row r="302" spans="1:2" x14ac:dyDescent="0.3">
      <c r="A302" s="1">
        <v>44270</v>
      </c>
      <c r="B302" s="4">
        <v>1483.75</v>
      </c>
    </row>
    <row r="303" spans="1:2" x14ac:dyDescent="0.3">
      <c r="A303" s="1">
        <v>44271</v>
      </c>
      <c r="B303" s="4">
        <v>1461.8</v>
      </c>
    </row>
    <row r="304" spans="1:2" x14ac:dyDescent="0.3">
      <c r="A304" s="1">
        <v>44272</v>
      </c>
      <c r="B304" s="4">
        <v>1437.65</v>
      </c>
    </row>
    <row r="305" spans="1:2" x14ac:dyDescent="0.3">
      <c r="A305" s="1">
        <v>44273</v>
      </c>
      <c r="B305" s="4">
        <v>1428.1</v>
      </c>
    </row>
    <row r="306" spans="1:2" x14ac:dyDescent="0.3">
      <c r="A306" s="1">
        <v>44274</v>
      </c>
      <c r="B306" s="4">
        <v>1411.25</v>
      </c>
    </row>
    <row r="307" spans="1:2" x14ac:dyDescent="0.3">
      <c r="A307" s="1">
        <v>44277</v>
      </c>
      <c r="B307" s="4">
        <v>1400.05</v>
      </c>
    </row>
    <row r="308" spans="1:2" x14ac:dyDescent="0.3">
      <c r="A308" s="1">
        <v>44278</v>
      </c>
      <c r="B308" s="4">
        <v>1404.35</v>
      </c>
    </row>
    <row r="309" spans="1:2" x14ac:dyDescent="0.3">
      <c r="A309" s="1">
        <v>44279</v>
      </c>
      <c r="B309" s="4">
        <v>1369.15</v>
      </c>
    </row>
    <row r="310" spans="1:2" x14ac:dyDescent="0.3">
      <c r="A310" s="1">
        <v>44280</v>
      </c>
      <c r="B310" s="4">
        <v>1371.1</v>
      </c>
    </row>
    <row r="311" spans="1:2" x14ac:dyDescent="0.3">
      <c r="A311" s="1">
        <v>44281</v>
      </c>
      <c r="B311" s="4">
        <v>1398.3</v>
      </c>
    </row>
    <row r="312" spans="1:2" x14ac:dyDescent="0.3">
      <c r="A312" s="1">
        <v>44285</v>
      </c>
      <c r="B312" s="4">
        <v>1423.55</v>
      </c>
    </row>
    <row r="313" spans="1:2" x14ac:dyDescent="0.3">
      <c r="A313" s="1">
        <v>44286</v>
      </c>
      <c r="B313" s="4">
        <v>1418.9</v>
      </c>
    </row>
    <row r="314" spans="1:2" x14ac:dyDescent="0.3">
      <c r="A314" s="1">
        <v>44287</v>
      </c>
      <c r="B314" s="4">
        <v>1444.6</v>
      </c>
    </row>
    <row r="315" spans="1:2" x14ac:dyDescent="0.3">
      <c r="A315" s="1">
        <v>44291</v>
      </c>
      <c r="B315" s="4">
        <v>1403.8</v>
      </c>
    </row>
    <row r="316" spans="1:2" x14ac:dyDescent="0.3">
      <c r="A316" s="1">
        <v>44292</v>
      </c>
      <c r="B316" s="4">
        <v>1401</v>
      </c>
    </row>
    <row r="317" spans="1:2" x14ac:dyDescent="0.3">
      <c r="A317" s="1">
        <v>44293</v>
      </c>
      <c r="B317" s="4">
        <v>1404.15</v>
      </c>
    </row>
    <row r="318" spans="1:2" x14ac:dyDescent="0.3">
      <c r="A318" s="1">
        <v>44294</v>
      </c>
      <c r="B318" s="4">
        <v>1419.15</v>
      </c>
    </row>
    <row r="319" spans="1:2" x14ac:dyDescent="0.3">
      <c r="A319" s="1">
        <v>44295</v>
      </c>
      <c r="B319" s="4">
        <v>1404.1</v>
      </c>
    </row>
    <row r="320" spans="1:2" x14ac:dyDescent="0.3">
      <c r="A320" s="1">
        <v>44298</v>
      </c>
      <c r="B320" s="4">
        <v>1345.15</v>
      </c>
    </row>
    <row r="321" spans="1:2" x14ac:dyDescent="0.3">
      <c r="A321" s="1">
        <v>44299</v>
      </c>
      <c r="B321" s="4">
        <v>1373.7</v>
      </c>
    </row>
    <row r="322" spans="1:2" x14ac:dyDescent="0.3">
      <c r="A322" s="1">
        <v>44301</v>
      </c>
      <c r="B322" s="4">
        <v>1374.65</v>
      </c>
    </row>
    <row r="323" spans="1:2" x14ac:dyDescent="0.3">
      <c r="A323" s="1">
        <v>44302</v>
      </c>
      <c r="B323" s="4">
        <v>1359.15</v>
      </c>
    </row>
    <row r="324" spans="1:2" x14ac:dyDescent="0.3">
      <c r="A324" s="1">
        <v>44305</v>
      </c>
      <c r="B324" s="4">
        <v>1310.45</v>
      </c>
    </row>
    <row r="325" spans="1:2" x14ac:dyDescent="0.3">
      <c r="A325" s="1">
        <v>44306</v>
      </c>
      <c r="B325" s="4">
        <v>1331.5</v>
      </c>
    </row>
    <row r="326" spans="1:2" x14ac:dyDescent="0.3">
      <c r="A326" s="1">
        <v>44308</v>
      </c>
      <c r="B326" s="4">
        <v>1336.8</v>
      </c>
    </row>
    <row r="327" spans="1:2" x14ac:dyDescent="0.3">
      <c r="A327" s="1">
        <v>44309</v>
      </c>
      <c r="B327" s="4">
        <v>1322.9</v>
      </c>
    </row>
    <row r="328" spans="1:2" x14ac:dyDescent="0.3">
      <c r="A328" s="1">
        <v>44312</v>
      </c>
      <c r="B328" s="4">
        <v>1335.9</v>
      </c>
    </row>
    <row r="329" spans="1:2" x14ac:dyDescent="0.3">
      <c r="A329" s="1">
        <v>44313</v>
      </c>
      <c r="B329" s="4">
        <v>1380.65</v>
      </c>
    </row>
    <row r="330" spans="1:2" x14ac:dyDescent="0.3">
      <c r="A330" s="1">
        <v>44314</v>
      </c>
      <c r="B330" s="4">
        <v>1375.9</v>
      </c>
    </row>
    <row r="331" spans="1:2" x14ac:dyDescent="0.3">
      <c r="A331" s="1">
        <v>44315</v>
      </c>
      <c r="B331" s="4">
        <v>1358.65</v>
      </c>
    </row>
    <row r="332" spans="1:2" x14ac:dyDescent="0.3">
      <c r="A332" s="1">
        <v>44316</v>
      </c>
      <c r="B332" s="4">
        <v>1340.45</v>
      </c>
    </row>
    <row r="333" spans="1:2" x14ac:dyDescent="0.3">
      <c r="A333" s="1">
        <v>44319</v>
      </c>
      <c r="B333" s="4">
        <v>1342.5</v>
      </c>
    </row>
    <row r="334" spans="1:2" x14ac:dyDescent="0.3">
      <c r="A334" s="1">
        <v>44320</v>
      </c>
      <c r="B334" s="4">
        <v>1337.6</v>
      </c>
    </row>
    <row r="335" spans="1:2" x14ac:dyDescent="0.3">
      <c r="A335" s="1">
        <v>44321</v>
      </c>
      <c r="B335" s="4">
        <v>1338.65</v>
      </c>
    </row>
    <row r="336" spans="1:2" x14ac:dyDescent="0.3">
      <c r="A336" s="1">
        <v>44322</v>
      </c>
      <c r="B336" s="4">
        <v>1339.9</v>
      </c>
    </row>
    <row r="337" spans="1:2" x14ac:dyDescent="0.3">
      <c r="A337" s="1">
        <v>44323</v>
      </c>
      <c r="B337" s="4">
        <v>1342.7</v>
      </c>
    </row>
    <row r="338" spans="1:2" x14ac:dyDescent="0.3">
      <c r="A338" s="1">
        <v>44326</v>
      </c>
      <c r="B338" s="4">
        <v>1395</v>
      </c>
    </row>
    <row r="339" spans="1:2" x14ac:dyDescent="0.3">
      <c r="A339" s="1">
        <v>44327</v>
      </c>
      <c r="B339" s="4">
        <v>1383.6</v>
      </c>
    </row>
    <row r="340" spans="1:2" x14ac:dyDescent="0.3">
      <c r="A340" s="1">
        <v>44328</v>
      </c>
      <c r="B340" s="4">
        <v>1385.3</v>
      </c>
    </row>
    <row r="341" spans="1:2" x14ac:dyDescent="0.3">
      <c r="A341" s="1">
        <v>44330</v>
      </c>
      <c r="B341" s="4">
        <v>1415.5</v>
      </c>
    </row>
    <row r="342" spans="1:2" x14ac:dyDescent="0.3">
      <c r="A342" s="1">
        <v>44333</v>
      </c>
      <c r="B342" s="4">
        <v>1386.75</v>
      </c>
    </row>
    <row r="343" spans="1:2" x14ac:dyDescent="0.3">
      <c r="A343" s="1">
        <v>44334</v>
      </c>
      <c r="B343" s="4">
        <v>1417.3</v>
      </c>
    </row>
    <row r="344" spans="1:2" x14ac:dyDescent="0.3">
      <c r="A344" s="1">
        <v>44335</v>
      </c>
      <c r="B344" s="4">
        <v>1403.45</v>
      </c>
    </row>
    <row r="345" spans="1:2" x14ac:dyDescent="0.3">
      <c r="A345" s="1">
        <v>44336</v>
      </c>
      <c r="B345" s="4">
        <v>1409.75</v>
      </c>
    </row>
    <row r="346" spans="1:2" x14ac:dyDescent="0.3">
      <c r="A346" s="1">
        <v>44337</v>
      </c>
      <c r="B346" s="4">
        <v>1418.05</v>
      </c>
    </row>
    <row r="347" spans="1:2" x14ac:dyDescent="0.3">
      <c r="A347" s="1">
        <v>44340</v>
      </c>
      <c r="B347" s="4">
        <v>1443.25</v>
      </c>
    </row>
    <row r="348" spans="1:2" x14ac:dyDescent="0.3">
      <c r="A348" s="1">
        <v>44341</v>
      </c>
      <c r="B348" s="4">
        <v>1450.95</v>
      </c>
    </row>
    <row r="349" spans="1:2" x14ac:dyDescent="0.3">
      <c r="A349" s="1">
        <v>44342</v>
      </c>
      <c r="B349" s="4">
        <v>1472.9</v>
      </c>
    </row>
    <row r="350" spans="1:2" x14ac:dyDescent="0.3">
      <c r="A350" s="1">
        <v>44343</v>
      </c>
      <c r="B350" s="4">
        <v>1482.85</v>
      </c>
    </row>
    <row r="351" spans="1:2" x14ac:dyDescent="0.3">
      <c r="A351" s="1">
        <v>44344</v>
      </c>
      <c r="B351" s="4">
        <v>1478.1</v>
      </c>
    </row>
    <row r="352" spans="1:2" x14ac:dyDescent="0.3">
      <c r="A352" s="1">
        <v>44347</v>
      </c>
      <c r="B352" s="4">
        <v>1467.7</v>
      </c>
    </row>
    <row r="353" spans="1:2" x14ac:dyDescent="0.3">
      <c r="A353" s="1">
        <v>44348</v>
      </c>
      <c r="B353" s="4">
        <v>1474.65</v>
      </c>
    </row>
    <row r="354" spans="1:2" x14ac:dyDescent="0.3">
      <c r="A354" s="1">
        <v>44349</v>
      </c>
      <c r="B354" s="4">
        <v>1471.05</v>
      </c>
    </row>
    <row r="355" spans="1:2" x14ac:dyDescent="0.3">
      <c r="A355" s="1">
        <v>44350</v>
      </c>
      <c r="B355" s="4">
        <v>1510.85</v>
      </c>
    </row>
    <row r="356" spans="1:2" x14ac:dyDescent="0.3">
      <c r="A356" s="1">
        <v>44351</v>
      </c>
      <c r="B356" s="4">
        <v>1537.55</v>
      </c>
    </row>
    <row r="357" spans="1:2" x14ac:dyDescent="0.3">
      <c r="A357" s="1">
        <v>44354</v>
      </c>
      <c r="B357" s="4">
        <v>1557.8</v>
      </c>
    </row>
    <row r="358" spans="1:2" x14ac:dyDescent="0.3">
      <c r="A358" s="1">
        <v>44355</v>
      </c>
      <c r="B358" s="4">
        <v>1549.15</v>
      </c>
    </row>
    <row r="359" spans="1:2" x14ac:dyDescent="0.3">
      <c r="A359" s="1">
        <v>44356</v>
      </c>
      <c r="B359" s="4">
        <v>1519.3</v>
      </c>
    </row>
    <row r="360" spans="1:2" x14ac:dyDescent="0.3">
      <c r="A360" s="1">
        <v>44357</v>
      </c>
      <c r="B360" s="4">
        <v>1519.7</v>
      </c>
    </row>
    <row r="361" spans="1:2" x14ac:dyDescent="0.3">
      <c r="A361" s="1">
        <v>44358</v>
      </c>
      <c r="B361" s="4">
        <v>1503.45</v>
      </c>
    </row>
    <row r="362" spans="1:2" x14ac:dyDescent="0.3">
      <c r="A362" s="1">
        <v>44361</v>
      </c>
      <c r="B362" s="4">
        <v>1515.75</v>
      </c>
    </row>
    <row r="363" spans="1:2" x14ac:dyDescent="0.3">
      <c r="A363" s="1">
        <v>44362</v>
      </c>
      <c r="B363" s="4">
        <v>1510.8</v>
      </c>
    </row>
    <row r="364" spans="1:2" x14ac:dyDescent="0.3">
      <c r="A364" s="1">
        <v>44363</v>
      </c>
      <c r="B364" s="4">
        <v>1490.9</v>
      </c>
    </row>
    <row r="365" spans="1:2" x14ac:dyDescent="0.3">
      <c r="A365" s="1">
        <v>44364</v>
      </c>
      <c r="B365" s="4">
        <v>1487.55</v>
      </c>
    </row>
    <row r="366" spans="1:2" x14ac:dyDescent="0.3">
      <c r="A366" s="1">
        <v>44365</v>
      </c>
      <c r="B366" s="4">
        <v>1476</v>
      </c>
    </row>
    <row r="367" spans="1:2" x14ac:dyDescent="0.3">
      <c r="A367" s="1">
        <v>44368</v>
      </c>
      <c r="B367" s="4">
        <v>1467.05</v>
      </c>
    </row>
    <row r="368" spans="1:2" x14ac:dyDescent="0.3">
      <c r="A368" s="1">
        <v>44369</v>
      </c>
      <c r="B368" s="4">
        <v>1499.2</v>
      </c>
    </row>
    <row r="369" spans="1:2" x14ac:dyDescent="0.3">
      <c r="A369" s="1">
        <v>44370</v>
      </c>
      <c r="B369" s="4">
        <v>1479.25</v>
      </c>
    </row>
    <row r="370" spans="1:2" x14ac:dyDescent="0.3">
      <c r="A370" s="1">
        <v>44371</v>
      </c>
      <c r="B370" s="4">
        <v>1504.05</v>
      </c>
    </row>
    <row r="371" spans="1:2" x14ac:dyDescent="0.3">
      <c r="A371" s="1">
        <v>44372</v>
      </c>
      <c r="B371" s="4">
        <v>1523.85</v>
      </c>
    </row>
    <row r="372" spans="1:2" x14ac:dyDescent="0.3">
      <c r="A372" s="1">
        <v>44375</v>
      </c>
      <c r="B372" s="4">
        <v>1514.45</v>
      </c>
    </row>
    <row r="373" spans="1:2" x14ac:dyDescent="0.3">
      <c r="A373" s="1">
        <v>44376</v>
      </c>
      <c r="B373" s="4">
        <v>1510.9</v>
      </c>
    </row>
    <row r="374" spans="1:2" x14ac:dyDescent="0.3">
      <c r="A374" s="1">
        <v>44377</v>
      </c>
      <c r="B374" s="4">
        <v>1500.55</v>
      </c>
    </row>
    <row r="375" spans="1:2" x14ac:dyDescent="0.3">
      <c r="A375" s="1">
        <v>44378</v>
      </c>
      <c r="B375" s="4">
        <v>1492.3</v>
      </c>
    </row>
    <row r="376" spans="1:2" x14ac:dyDescent="0.3">
      <c r="A376" s="1">
        <v>44379</v>
      </c>
      <c r="B376" s="4">
        <v>1485.65</v>
      </c>
    </row>
    <row r="377" spans="1:2" x14ac:dyDescent="0.3">
      <c r="A377" s="1">
        <v>44382</v>
      </c>
      <c r="B377" s="4">
        <v>1507.95</v>
      </c>
    </row>
    <row r="378" spans="1:2" x14ac:dyDescent="0.3">
      <c r="A378" s="1">
        <v>44383</v>
      </c>
      <c r="B378" s="4">
        <v>1505.5</v>
      </c>
    </row>
    <row r="379" spans="1:2" x14ac:dyDescent="0.3">
      <c r="A379" s="1">
        <v>44384</v>
      </c>
      <c r="B379" s="4">
        <v>1516.45</v>
      </c>
    </row>
    <row r="380" spans="1:2" x14ac:dyDescent="0.3">
      <c r="A380" s="1">
        <v>44385</v>
      </c>
      <c r="B380" s="4">
        <v>1500.7</v>
      </c>
    </row>
    <row r="381" spans="1:2" x14ac:dyDescent="0.3">
      <c r="A381" s="1">
        <v>44386</v>
      </c>
      <c r="B381" s="4">
        <v>1499.6</v>
      </c>
    </row>
    <row r="382" spans="1:2" x14ac:dyDescent="0.3">
      <c r="A382" s="1">
        <v>44389</v>
      </c>
      <c r="B382" s="4">
        <v>1500.75</v>
      </c>
    </row>
    <row r="383" spans="1:2" x14ac:dyDescent="0.3">
      <c r="A383" s="1">
        <v>44390</v>
      </c>
      <c r="B383" s="4">
        <v>1513.6</v>
      </c>
    </row>
    <row r="384" spans="1:2" x14ac:dyDescent="0.3">
      <c r="A384" s="1">
        <v>44391</v>
      </c>
      <c r="B384" s="4">
        <v>1544.7</v>
      </c>
    </row>
    <row r="385" spans="1:2" x14ac:dyDescent="0.3">
      <c r="A385" s="1">
        <v>44392</v>
      </c>
      <c r="B385" s="4">
        <v>1609.35</v>
      </c>
    </row>
    <row r="386" spans="1:2" x14ac:dyDescent="0.3">
      <c r="A386" s="1">
        <v>44393</v>
      </c>
      <c r="B386" s="4">
        <v>1618.75</v>
      </c>
    </row>
    <row r="387" spans="1:2" x14ac:dyDescent="0.3">
      <c r="A387" s="1">
        <v>44396</v>
      </c>
      <c r="B387" s="4">
        <v>1609.6</v>
      </c>
    </row>
    <row r="388" spans="1:2" x14ac:dyDescent="0.3">
      <c r="A388" s="1">
        <v>44397</v>
      </c>
      <c r="B388" s="4">
        <v>1590.35</v>
      </c>
    </row>
    <row r="389" spans="1:2" x14ac:dyDescent="0.3">
      <c r="A389" s="1">
        <v>44399</v>
      </c>
      <c r="B389" s="4">
        <v>1642.15</v>
      </c>
    </row>
    <row r="390" spans="1:2" x14ac:dyDescent="0.3">
      <c r="A390" s="1">
        <v>44400</v>
      </c>
      <c r="B390" s="4">
        <v>1611.75</v>
      </c>
    </row>
    <row r="391" spans="1:2" x14ac:dyDescent="0.3">
      <c r="A391" s="1">
        <v>44403</v>
      </c>
      <c r="B391" s="4">
        <v>1597.6</v>
      </c>
    </row>
    <row r="392" spans="1:2" x14ac:dyDescent="0.3">
      <c r="A392" s="1">
        <v>44404</v>
      </c>
      <c r="B392" s="4">
        <v>1608.25</v>
      </c>
    </row>
    <row r="393" spans="1:2" x14ac:dyDescent="0.3">
      <c r="A393" s="1">
        <v>44405</v>
      </c>
      <c r="B393" s="4">
        <v>1594.2</v>
      </c>
    </row>
    <row r="394" spans="1:2" x14ac:dyDescent="0.3">
      <c r="A394" s="1">
        <v>44406</v>
      </c>
      <c r="B394" s="4">
        <v>1596</v>
      </c>
    </row>
    <row r="395" spans="1:2" x14ac:dyDescent="0.3">
      <c r="A395" s="1">
        <v>44407</v>
      </c>
      <c r="B395" s="4">
        <v>1601.45</v>
      </c>
    </row>
    <row r="396" spans="1:2" x14ac:dyDescent="0.3">
      <c r="A396" s="1">
        <v>44410</v>
      </c>
      <c r="B396" s="4">
        <v>1613.95</v>
      </c>
    </row>
    <row r="397" spans="1:2" x14ac:dyDescent="0.3">
      <c r="A397" s="1">
        <v>44411</v>
      </c>
      <c r="B397" s="4">
        <v>1634.35</v>
      </c>
    </row>
    <row r="398" spans="1:2" x14ac:dyDescent="0.3">
      <c r="A398" s="1">
        <v>44412</v>
      </c>
      <c r="B398" s="4">
        <v>1623.2</v>
      </c>
    </row>
    <row r="399" spans="1:2" x14ac:dyDescent="0.3">
      <c r="A399" s="1">
        <v>44413</v>
      </c>
      <c r="B399" s="4">
        <v>1627.4</v>
      </c>
    </row>
    <row r="400" spans="1:2" x14ac:dyDescent="0.3">
      <c r="A400" s="1">
        <v>44414</v>
      </c>
      <c r="B400" s="4">
        <v>1610.35</v>
      </c>
    </row>
    <row r="401" spans="1:2" x14ac:dyDescent="0.3">
      <c r="A401" s="1">
        <v>44417</v>
      </c>
      <c r="B401" s="4">
        <v>1597.45</v>
      </c>
    </row>
    <row r="402" spans="1:2" x14ac:dyDescent="0.3">
      <c r="A402" s="1">
        <v>44418</v>
      </c>
      <c r="B402" s="4">
        <v>1588.45</v>
      </c>
    </row>
    <row r="403" spans="1:2" x14ac:dyDescent="0.3">
      <c r="A403" s="1">
        <v>44419</v>
      </c>
      <c r="B403" s="4">
        <v>1583.3</v>
      </c>
    </row>
    <row r="404" spans="1:2" x14ac:dyDescent="0.3">
      <c r="A404" s="1">
        <v>44420</v>
      </c>
      <c r="B404" s="4">
        <v>1623.45</v>
      </c>
    </row>
    <row r="405" spans="1:2" x14ac:dyDescent="0.3">
      <c r="A405" s="1">
        <v>44421</v>
      </c>
      <c r="B405" s="4">
        <v>1668.4</v>
      </c>
    </row>
    <row r="406" spans="1:2" x14ac:dyDescent="0.3">
      <c r="A406" s="1">
        <v>44424</v>
      </c>
      <c r="B406" s="4">
        <v>1656.1</v>
      </c>
    </row>
    <row r="407" spans="1:2" x14ac:dyDescent="0.3">
      <c r="A407" s="1">
        <v>44425</v>
      </c>
      <c r="B407" s="4">
        <v>1638.75</v>
      </c>
    </row>
    <row r="408" spans="1:2" x14ac:dyDescent="0.3">
      <c r="A408" s="1">
        <v>44426</v>
      </c>
      <c r="B408" s="4">
        <v>1632.85</v>
      </c>
    </row>
    <row r="409" spans="1:2" x14ac:dyDescent="0.3">
      <c r="A409" s="1">
        <v>44428</v>
      </c>
      <c r="B409" s="4">
        <v>1593.6</v>
      </c>
    </row>
    <row r="410" spans="1:2" x14ac:dyDescent="0.3">
      <c r="A410" s="1">
        <v>44431</v>
      </c>
      <c r="B410" s="4">
        <v>1580.75</v>
      </c>
    </row>
    <row r="411" spans="1:2" x14ac:dyDescent="0.3">
      <c r="A411" s="1">
        <v>44432</v>
      </c>
      <c r="B411" s="4">
        <v>1605.8</v>
      </c>
    </row>
    <row r="412" spans="1:2" x14ac:dyDescent="0.3">
      <c r="A412" s="1">
        <v>44433</v>
      </c>
      <c r="B412" s="4">
        <v>1593.8</v>
      </c>
    </row>
    <row r="413" spans="1:2" x14ac:dyDescent="0.3">
      <c r="A413" s="1">
        <v>44434</v>
      </c>
      <c r="B413" s="4">
        <v>1595.75</v>
      </c>
    </row>
    <row r="414" spans="1:2" x14ac:dyDescent="0.3">
      <c r="A414" s="1">
        <v>44435</v>
      </c>
      <c r="B414" s="4">
        <v>1638.1</v>
      </c>
    </row>
    <row r="415" spans="1:2" x14ac:dyDescent="0.3">
      <c r="A415" s="1">
        <v>44438</v>
      </c>
      <c r="B415" s="4">
        <v>1660.1</v>
      </c>
    </row>
    <row r="416" spans="1:2" x14ac:dyDescent="0.3">
      <c r="A416" s="1">
        <v>44439</v>
      </c>
      <c r="B416" s="4">
        <v>1672.2</v>
      </c>
    </row>
    <row r="417" spans="1:2" x14ac:dyDescent="0.3">
      <c r="A417" s="1">
        <v>44440</v>
      </c>
      <c r="B417" s="4">
        <v>1686.4</v>
      </c>
    </row>
    <row r="418" spans="1:2" x14ac:dyDescent="0.3">
      <c r="A418" s="1">
        <v>44441</v>
      </c>
      <c r="B418" s="4">
        <v>1686.2</v>
      </c>
    </row>
    <row r="419" spans="1:2" x14ac:dyDescent="0.3">
      <c r="A419" s="1">
        <v>44442</v>
      </c>
      <c r="B419" s="4">
        <v>1691.5</v>
      </c>
    </row>
    <row r="420" spans="1:2" x14ac:dyDescent="0.3">
      <c r="A420" s="1">
        <v>44445</v>
      </c>
      <c r="B420" s="4">
        <v>1694.2</v>
      </c>
    </row>
    <row r="421" spans="1:2" x14ac:dyDescent="0.3">
      <c r="A421" s="1">
        <v>44446</v>
      </c>
      <c r="B421" s="4">
        <v>1681.7</v>
      </c>
    </row>
    <row r="422" spans="1:2" x14ac:dyDescent="0.3">
      <c r="A422" s="1">
        <v>44447</v>
      </c>
      <c r="B422" s="4">
        <v>1666.55</v>
      </c>
    </row>
    <row r="423" spans="1:2" x14ac:dyDescent="0.3">
      <c r="A423" s="1">
        <v>44448</v>
      </c>
      <c r="B423" s="4">
        <v>1670.05</v>
      </c>
    </row>
    <row r="424" spans="1:2" x14ac:dyDescent="0.3">
      <c r="A424" s="1">
        <v>44452</v>
      </c>
      <c r="B424" s="4">
        <v>1671.7</v>
      </c>
    </row>
    <row r="425" spans="1:2" x14ac:dyDescent="0.3">
      <c r="A425" s="1">
        <v>44453</v>
      </c>
      <c r="B425" s="4">
        <v>1696.45</v>
      </c>
    </row>
    <row r="426" spans="1:2" x14ac:dyDescent="0.3">
      <c r="A426" s="1">
        <v>44454</v>
      </c>
      <c r="B426" s="4">
        <v>1717</v>
      </c>
    </row>
    <row r="427" spans="1:2" x14ac:dyDescent="0.3">
      <c r="A427" s="1">
        <v>44455</v>
      </c>
      <c r="B427" s="4">
        <v>1721.25</v>
      </c>
    </row>
    <row r="428" spans="1:2" x14ac:dyDescent="0.3">
      <c r="A428" s="1">
        <v>44456</v>
      </c>
      <c r="B428" s="4">
        <v>1716.2</v>
      </c>
    </row>
    <row r="429" spans="1:2" x14ac:dyDescent="0.3">
      <c r="A429" s="1">
        <v>44459</v>
      </c>
      <c r="B429" s="4">
        <v>1704.35</v>
      </c>
    </row>
    <row r="430" spans="1:2" x14ac:dyDescent="0.3">
      <c r="A430" s="1">
        <v>44460</v>
      </c>
      <c r="B430" s="4">
        <v>1720.9</v>
      </c>
    </row>
    <row r="431" spans="1:2" x14ac:dyDescent="0.3">
      <c r="A431" s="1">
        <v>44461</v>
      </c>
      <c r="B431" s="4">
        <v>1710.9</v>
      </c>
    </row>
    <row r="432" spans="1:2" x14ac:dyDescent="0.3">
      <c r="A432" s="1">
        <v>44462</v>
      </c>
      <c r="B432" s="4">
        <v>1769.7</v>
      </c>
    </row>
    <row r="433" spans="1:2" x14ac:dyDescent="0.3">
      <c r="A433" s="1">
        <v>44463</v>
      </c>
      <c r="B433" s="4">
        <v>1768.75</v>
      </c>
    </row>
    <row r="434" spans="1:2" x14ac:dyDescent="0.3">
      <c r="A434" s="1">
        <v>44466</v>
      </c>
      <c r="B434" s="4">
        <v>1739.6</v>
      </c>
    </row>
    <row r="435" spans="1:2" x14ac:dyDescent="0.3">
      <c r="A435" s="1">
        <v>44467</v>
      </c>
      <c r="B435" s="4">
        <v>1737.15</v>
      </c>
    </row>
    <row r="436" spans="1:2" x14ac:dyDescent="0.3">
      <c r="A436" s="1">
        <v>44468</v>
      </c>
      <c r="B436" s="4">
        <v>1721</v>
      </c>
    </row>
    <row r="437" spans="1:2" x14ac:dyDescent="0.3">
      <c r="A437" s="1">
        <v>44469</v>
      </c>
      <c r="B437" s="4">
        <v>1702.95</v>
      </c>
    </row>
    <row r="438" spans="1:2" x14ac:dyDescent="0.3">
      <c r="A438" s="1">
        <v>44470</v>
      </c>
      <c r="B438" s="4">
        <v>1696.9</v>
      </c>
    </row>
    <row r="439" spans="1:2" x14ac:dyDescent="0.3">
      <c r="A439" s="1">
        <v>44473</v>
      </c>
      <c r="B439" s="4">
        <v>1715.25</v>
      </c>
    </row>
    <row r="440" spans="1:2" x14ac:dyDescent="0.3">
      <c r="A440" s="1">
        <v>44474</v>
      </c>
      <c r="B440" s="4">
        <v>1716.7</v>
      </c>
    </row>
    <row r="441" spans="1:2" x14ac:dyDescent="0.3">
      <c r="A441" s="1">
        <v>44475</v>
      </c>
      <c r="B441" s="4">
        <v>1695.05</v>
      </c>
    </row>
    <row r="442" spans="1:2" x14ac:dyDescent="0.3">
      <c r="A442" s="1">
        <v>44476</v>
      </c>
      <c r="B442" s="4">
        <v>1712.45</v>
      </c>
    </row>
    <row r="443" spans="1:2" x14ac:dyDescent="0.3">
      <c r="A443" s="1">
        <v>44477</v>
      </c>
      <c r="B443" s="4">
        <v>1726.9</v>
      </c>
    </row>
    <row r="444" spans="1:2" x14ac:dyDescent="0.3">
      <c r="A444" s="1">
        <v>44480</v>
      </c>
      <c r="B444" s="4">
        <v>1716.9</v>
      </c>
    </row>
    <row r="445" spans="1:2" x14ac:dyDescent="0.3">
      <c r="A445" s="1">
        <v>44481</v>
      </c>
      <c r="B445" s="4">
        <v>1718.2</v>
      </c>
    </row>
    <row r="446" spans="1:2" x14ac:dyDescent="0.3">
      <c r="A446" s="1">
        <v>44482</v>
      </c>
      <c r="B446" s="4">
        <v>1752.05</v>
      </c>
    </row>
    <row r="447" spans="1:2" x14ac:dyDescent="0.3">
      <c r="A447" s="1">
        <v>44483</v>
      </c>
      <c r="B447" s="4">
        <v>1789.3</v>
      </c>
    </row>
    <row r="448" spans="1:2" x14ac:dyDescent="0.3">
      <c r="A448" s="1">
        <v>44487</v>
      </c>
      <c r="B448" s="4">
        <v>1788.45</v>
      </c>
    </row>
    <row r="449" spans="1:2" x14ac:dyDescent="0.3">
      <c r="A449" s="1">
        <v>44488</v>
      </c>
      <c r="B449" s="4">
        <v>1846.05</v>
      </c>
    </row>
    <row r="450" spans="1:2" x14ac:dyDescent="0.3">
      <c r="A450" s="1">
        <v>44489</v>
      </c>
      <c r="B450" s="4">
        <v>1806.7</v>
      </c>
    </row>
    <row r="451" spans="1:2" x14ac:dyDescent="0.3">
      <c r="A451" s="1">
        <v>44490</v>
      </c>
      <c r="B451" s="4">
        <v>1805.75</v>
      </c>
    </row>
    <row r="452" spans="1:2" x14ac:dyDescent="0.3">
      <c r="A452" s="1">
        <v>44491</v>
      </c>
      <c r="B452" s="4">
        <v>1792.25</v>
      </c>
    </row>
    <row r="453" spans="1:2" x14ac:dyDescent="0.3">
      <c r="A453" s="1">
        <v>44494</v>
      </c>
      <c r="B453" s="4">
        <v>1784.15</v>
      </c>
    </row>
    <row r="454" spans="1:2" x14ac:dyDescent="0.3">
      <c r="A454" s="1">
        <v>44495</v>
      </c>
      <c r="B454" s="4">
        <v>1796.25</v>
      </c>
    </row>
    <row r="455" spans="1:2" x14ac:dyDescent="0.3">
      <c r="A455" s="1">
        <v>44496</v>
      </c>
      <c r="B455" s="4">
        <v>1784.55</v>
      </c>
    </row>
    <row r="456" spans="1:2" x14ac:dyDescent="0.3">
      <c r="A456" s="1">
        <v>44497</v>
      </c>
      <c r="B456" s="4">
        <v>1814.25</v>
      </c>
    </row>
    <row r="457" spans="1:2" x14ac:dyDescent="0.3">
      <c r="A457" s="1">
        <v>44498</v>
      </c>
      <c r="B457" s="4">
        <v>1766.65</v>
      </c>
    </row>
    <row r="458" spans="1:2" x14ac:dyDescent="0.3">
      <c r="A458" s="1">
        <v>44501</v>
      </c>
      <c r="B458" s="4">
        <v>1795.35</v>
      </c>
    </row>
    <row r="459" spans="1:2" x14ac:dyDescent="0.3">
      <c r="A459" s="1">
        <v>44502</v>
      </c>
      <c r="B459" s="4">
        <v>1815.65</v>
      </c>
    </row>
    <row r="460" spans="1:2" x14ac:dyDescent="0.3">
      <c r="A460" s="1">
        <v>44503</v>
      </c>
      <c r="B460" s="4">
        <v>1889.5</v>
      </c>
    </row>
    <row r="461" spans="1:2" x14ac:dyDescent="0.3">
      <c r="A461" s="1">
        <v>44504</v>
      </c>
      <c r="B461" s="4">
        <v>1908.95</v>
      </c>
    </row>
    <row r="462" spans="1:2" x14ac:dyDescent="0.3">
      <c r="A462" s="1">
        <v>44508</v>
      </c>
      <c r="B462" s="4">
        <v>1924.55</v>
      </c>
    </row>
    <row r="463" spans="1:2" x14ac:dyDescent="0.3">
      <c r="A463" s="1">
        <v>44509</v>
      </c>
      <c r="B463" s="4">
        <v>1943.6</v>
      </c>
    </row>
    <row r="464" spans="1:2" x14ac:dyDescent="0.3">
      <c r="A464" s="1">
        <v>44510</v>
      </c>
      <c r="B464" s="4">
        <v>1950.15</v>
      </c>
    </row>
    <row r="465" spans="1:2" x14ac:dyDescent="0.3">
      <c r="A465" s="1">
        <v>44511</v>
      </c>
      <c r="B465" s="4">
        <v>1931.7</v>
      </c>
    </row>
    <row r="466" spans="1:2" x14ac:dyDescent="0.3">
      <c r="A466" s="1">
        <v>44512</v>
      </c>
      <c r="B466" s="4">
        <v>1959.95</v>
      </c>
    </row>
    <row r="467" spans="1:2" x14ac:dyDescent="0.3">
      <c r="A467" s="1">
        <v>44515</v>
      </c>
      <c r="B467" s="4">
        <v>1947.05</v>
      </c>
    </row>
    <row r="468" spans="1:2" x14ac:dyDescent="0.3">
      <c r="A468" s="1">
        <v>44516</v>
      </c>
      <c r="B468" s="4">
        <v>1955.3</v>
      </c>
    </row>
    <row r="469" spans="1:2" x14ac:dyDescent="0.3">
      <c r="A469" s="1">
        <v>44517</v>
      </c>
      <c r="B469" s="4">
        <v>1952.9</v>
      </c>
    </row>
    <row r="470" spans="1:2" x14ac:dyDescent="0.3">
      <c r="A470" s="1">
        <v>44518</v>
      </c>
      <c r="B470" s="4">
        <v>1897</v>
      </c>
    </row>
    <row r="471" spans="1:2" x14ac:dyDescent="0.3">
      <c r="A471" s="1">
        <v>44522</v>
      </c>
      <c r="B471" s="4">
        <v>1864.5</v>
      </c>
    </row>
    <row r="472" spans="1:2" x14ac:dyDescent="0.3">
      <c r="A472" s="1">
        <v>44523</v>
      </c>
      <c r="B472" s="4">
        <v>1886.35</v>
      </c>
    </row>
    <row r="473" spans="1:2" x14ac:dyDescent="0.3">
      <c r="A473" s="1">
        <v>44524</v>
      </c>
      <c r="B473" s="4">
        <v>1862.5</v>
      </c>
    </row>
    <row r="474" spans="1:2" x14ac:dyDescent="0.3">
      <c r="A474" s="1">
        <v>44525</v>
      </c>
      <c r="B474" s="4">
        <v>1849.9</v>
      </c>
    </row>
    <row r="475" spans="1:2" x14ac:dyDescent="0.3">
      <c r="A475" s="1">
        <v>44526</v>
      </c>
      <c r="B475" s="4">
        <v>1778.15</v>
      </c>
    </row>
    <row r="476" spans="1:2" x14ac:dyDescent="0.3">
      <c r="A476" s="1">
        <v>44529</v>
      </c>
      <c r="B476" s="4">
        <v>1767.25</v>
      </c>
    </row>
    <row r="477" spans="1:2" x14ac:dyDescent="0.3">
      <c r="A477" s="1">
        <v>44530</v>
      </c>
      <c r="B477" s="4">
        <v>1764.75</v>
      </c>
    </row>
    <row r="478" spans="1:2" x14ac:dyDescent="0.3">
      <c r="A478" s="1">
        <v>44531</v>
      </c>
      <c r="B478" s="4">
        <v>1786</v>
      </c>
    </row>
    <row r="479" spans="1:2" x14ac:dyDescent="0.3">
      <c r="A479" s="1">
        <v>44532</v>
      </c>
      <c r="B479" s="4">
        <v>1789.2</v>
      </c>
    </row>
    <row r="480" spans="1:2" x14ac:dyDescent="0.3">
      <c r="A480" s="1">
        <v>44533</v>
      </c>
      <c r="B480" s="4">
        <v>1801.25</v>
      </c>
    </row>
    <row r="481" spans="1:2" x14ac:dyDescent="0.3">
      <c r="A481" s="1">
        <v>44536</v>
      </c>
      <c r="B481" s="4">
        <v>1782.65</v>
      </c>
    </row>
    <row r="482" spans="1:2" x14ac:dyDescent="0.3">
      <c r="A482" s="1">
        <v>44537</v>
      </c>
      <c r="B482" s="4">
        <v>1798.1</v>
      </c>
    </row>
    <row r="483" spans="1:2" x14ac:dyDescent="0.3">
      <c r="A483" s="1">
        <v>44538</v>
      </c>
      <c r="B483" s="4">
        <v>1825.05</v>
      </c>
    </row>
    <row r="484" spans="1:2" x14ac:dyDescent="0.3">
      <c r="A484" s="1">
        <v>44539</v>
      </c>
      <c r="B484" s="4">
        <v>1879.8</v>
      </c>
    </row>
    <row r="485" spans="1:2" x14ac:dyDescent="0.3">
      <c r="A485" s="1">
        <v>44540</v>
      </c>
      <c r="B485" s="4">
        <v>1873.4</v>
      </c>
    </row>
    <row r="486" spans="1:2" x14ac:dyDescent="0.3">
      <c r="A486" s="1">
        <v>44543</v>
      </c>
      <c r="B486" s="4">
        <v>1861.5</v>
      </c>
    </row>
    <row r="487" spans="1:2" x14ac:dyDescent="0.3">
      <c r="A487" s="1">
        <v>44544</v>
      </c>
      <c r="B487" s="4">
        <v>1865.7</v>
      </c>
    </row>
    <row r="488" spans="1:2" x14ac:dyDescent="0.3">
      <c r="A488" s="1">
        <v>44545</v>
      </c>
      <c r="B488" s="4">
        <v>1880.8</v>
      </c>
    </row>
    <row r="489" spans="1:2" x14ac:dyDescent="0.3">
      <c r="A489" s="1">
        <v>44546</v>
      </c>
      <c r="B489" s="4">
        <v>1873.9</v>
      </c>
    </row>
    <row r="490" spans="1:2" x14ac:dyDescent="0.3">
      <c r="A490" s="1">
        <v>44547</v>
      </c>
      <c r="B490" s="4">
        <v>1847.1</v>
      </c>
    </row>
    <row r="491" spans="1:2" x14ac:dyDescent="0.3">
      <c r="A491" s="1">
        <v>44550</v>
      </c>
      <c r="B491" s="4">
        <v>1799.35</v>
      </c>
    </row>
    <row r="492" spans="1:2" x14ac:dyDescent="0.3">
      <c r="A492" s="1">
        <v>44551</v>
      </c>
      <c r="B492" s="4">
        <v>1827.55</v>
      </c>
    </row>
    <row r="493" spans="1:2" x14ac:dyDescent="0.3">
      <c r="A493" s="1">
        <v>44552</v>
      </c>
      <c r="B493" s="4">
        <v>1871</v>
      </c>
    </row>
    <row r="494" spans="1:2" x14ac:dyDescent="0.3">
      <c r="A494" s="1">
        <v>44553</v>
      </c>
      <c r="B494" s="4">
        <v>1878.45</v>
      </c>
    </row>
    <row r="495" spans="1:2" x14ac:dyDescent="0.3">
      <c r="A495" s="1">
        <v>44554</v>
      </c>
      <c r="B495" s="4">
        <v>1859.4</v>
      </c>
    </row>
    <row r="496" spans="1:2" x14ac:dyDescent="0.3">
      <c r="A496" s="1">
        <v>44557</v>
      </c>
      <c r="B496" s="4">
        <v>1866.2</v>
      </c>
    </row>
    <row r="497" spans="1:2" x14ac:dyDescent="0.3">
      <c r="A497" s="1">
        <v>44558</v>
      </c>
      <c r="B497" s="4">
        <v>1899.5</v>
      </c>
    </row>
    <row r="498" spans="1:2" x14ac:dyDescent="0.3">
      <c r="A498" s="1">
        <v>44559</v>
      </c>
      <c r="B498" s="4">
        <v>1894.85</v>
      </c>
    </row>
    <row r="499" spans="1:2" x14ac:dyDescent="0.3">
      <c r="A499" s="1">
        <v>44560</v>
      </c>
      <c r="B499" s="4">
        <v>1885.7</v>
      </c>
    </row>
    <row r="500" spans="1:2" x14ac:dyDescent="0.3">
      <c r="A500" s="1">
        <v>44561</v>
      </c>
      <c r="B500" s="4">
        <v>1895.9</v>
      </c>
    </row>
    <row r="501" spans="1:2" x14ac:dyDescent="0.3">
      <c r="A501" s="1">
        <v>44564</v>
      </c>
      <c r="B501" s="4">
        <v>1922.85</v>
      </c>
    </row>
    <row r="502" spans="1:2" x14ac:dyDescent="0.3">
      <c r="A502" s="1">
        <v>44565</v>
      </c>
      <c r="B502" s="4">
        <v>1937.55</v>
      </c>
    </row>
    <row r="503" spans="1:2" x14ac:dyDescent="0.3">
      <c r="A503" s="1">
        <v>44566</v>
      </c>
      <c r="B503" s="4">
        <v>1948.6</v>
      </c>
    </row>
    <row r="504" spans="1:2" x14ac:dyDescent="0.3">
      <c r="A504" s="1">
        <v>44567</v>
      </c>
      <c r="B504" s="4">
        <v>1924.5</v>
      </c>
    </row>
    <row r="505" spans="1:2" x14ac:dyDescent="0.3">
      <c r="A505" s="1">
        <v>44568</v>
      </c>
      <c r="B505" s="4">
        <v>1904.9</v>
      </c>
    </row>
    <row r="506" spans="1:2" x14ac:dyDescent="0.3">
      <c r="A506" s="1">
        <v>44571</v>
      </c>
      <c r="B506" s="4">
        <v>1953.1</v>
      </c>
    </row>
    <row r="507" spans="1:2" x14ac:dyDescent="0.3">
      <c r="A507" s="1">
        <v>44572</v>
      </c>
      <c r="B507" s="4">
        <v>1961.15</v>
      </c>
    </row>
    <row r="508" spans="1:2" x14ac:dyDescent="0.3">
      <c r="A508" s="1">
        <v>44573</v>
      </c>
      <c r="B508" s="4">
        <v>1974.2</v>
      </c>
    </row>
    <row r="509" spans="1:2" x14ac:dyDescent="0.3">
      <c r="A509" s="1">
        <v>44574</v>
      </c>
      <c r="B509" s="4">
        <v>2018.4</v>
      </c>
    </row>
    <row r="510" spans="1:2" x14ac:dyDescent="0.3">
      <c r="A510" s="1">
        <v>44575</v>
      </c>
      <c r="B510" s="4">
        <v>2044.75</v>
      </c>
    </row>
    <row r="511" spans="1:2" x14ac:dyDescent="0.3">
      <c r="A511" s="1">
        <v>44578</v>
      </c>
      <c r="B511" s="4">
        <v>2069.4</v>
      </c>
    </row>
    <row r="512" spans="1:2" x14ac:dyDescent="0.3">
      <c r="A512" s="1">
        <v>44579</v>
      </c>
      <c r="B512" s="4">
        <v>2022.2</v>
      </c>
    </row>
    <row r="513" spans="1:2" x14ac:dyDescent="0.3">
      <c r="A513" s="1">
        <v>44580</v>
      </c>
      <c r="B513" s="4">
        <v>2020.9</v>
      </c>
    </row>
    <row r="514" spans="1:2" x14ac:dyDescent="0.3">
      <c r="A514" s="1">
        <v>44581</v>
      </c>
      <c r="B514" s="4">
        <v>2003.5</v>
      </c>
    </row>
    <row r="515" spans="1:2" x14ac:dyDescent="0.3">
      <c r="A515" s="1">
        <v>44582</v>
      </c>
      <c r="B515" s="4">
        <v>1956.05</v>
      </c>
    </row>
    <row r="516" spans="1:2" x14ac:dyDescent="0.3">
      <c r="A516" s="1">
        <v>44585</v>
      </c>
      <c r="B516" s="4">
        <v>1899.9</v>
      </c>
    </row>
    <row r="517" spans="1:2" x14ac:dyDescent="0.3">
      <c r="A517" s="1">
        <v>44586</v>
      </c>
      <c r="B517" s="4">
        <v>1925.3</v>
      </c>
    </row>
    <row r="518" spans="1:2" x14ac:dyDescent="0.3">
      <c r="A518" s="1">
        <v>44588</v>
      </c>
      <c r="B518" s="4">
        <v>1910.85</v>
      </c>
    </row>
    <row r="519" spans="1:2" x14ac:dyDescent="0.3">
      <c r="A519" s="1">
        <v>44589</v>
      </c>
      <c r="B519" s="4">
        <v>1897.55</v>
      </c>
    </row>
    <row r="520" spans="1:2" x14ac:dyDescent="0.3">
      <c r="A520" s="1">
        <v>44592</v>
      </c>
      <c r="B520" s="4">
        <v>1909.2</v>
      </c>
    </row>
    <row r="521" spans="1:2" x14ac:dyDescent="0.3">
      <c r="A521" s="1">
        <v>44593</v>
      </c>
      <c r="B521" s="4">
        <v>1990.5</v>
      </c>
    </row>
    <row r="522" spans="1:2" x14ac:dyDescent="0.3">
      <c r="A522" s="1">
        <v>44594</v>
      </c>
      <c r="B522" s="4">
        <v>1982.7</v>
      </c>
    </row>
    <row r="523" spans="1:2" x14ac:dyDescent="0.3">
      <c r="A523" s="1">
        <v>44595</v>
      </c>
      <c r="B523" s="4">
        <v>1933.65</v>
      </c>
    </row>
    <row r="524" spans="1:2" x14ac:dyDescent="0.3">
      <c r="A524" s="1">
        <v>44596</v>
      </c>
      <c r="B524" s="4">
        <v>1947.95</v>
      </c>
    </row>
    <row r="525" spans="1:2" x14ac:dyDescent="0.3">
      <c r="A525" s="1">
        <v>44599</v>
      </c>
      <c r="B525" s="4">
        <v>1884.5</v>
      </c>
    </row>
    <row r="526" spans="1:2" x14ac:dyDescent="0.3">
      <c r="A526" s="1">
        <v>44600</v>
      </c>
      <c r="B526" s="4">
        <v>1875.6</v>
      </c>
    </row>
    <row r="527" spans="1:2" x14ac:dyDescent="0.3">
      <c r="A527" s="1">
        <v>44601</v>
      </c>
      <c r="B527" s="4">
        <v>1888.8</v>
      </c>
    </row>
    <row r="528" spans="1:2" x14ac:dyDescent="0.3">
      <c r="A528" s="1">
        <v>44602</v>
      </c>
      <c r="B528" s="4">
        <v>1901</v>
      </c>
    </row>
    <row r="529" spans="1:2" x14ac:dyDescent="0.3">
      <c r="A529" s="1">
        <v>44603</v>
      </c>
      <c r="B529" s="4">
        <v>1871.25</v>
      </c>
    </row>
    <row r="530" spans="1:2" x14ac:dyDescent="0.3">
      <c r="A530" s="1">
        <v>44606</v>
      </c>
      <c r="B530" s="4">
        <v>1799</v>
      </c>
    </row>
    <row r="531" spans="1:2" x14ac:dyDescent="0.3">
      <c r="A531" s="1">
        <v>44607</v>
      </c>
      <c r="B531" s="4">
        <v>1876.05</v>
      </c>
    </row>
    <row r="532" spans="1:2" x14ac:dyDescent="0.3">
      <c r="A532" s="1">
        <v>44608</v>
      </c>
      <c r="B532" s="4">
        <v>1860.7</v>
      </c>
    </row>
    <row r="533" spans="1:2" x14ac:dyDescent="0.3">
      <c r="A533" s="1">
        <v>44609</v>
      </c>
      <c r="B533" s="4">
        <v>1868.7</v>
      </c>
    </row>
    <row r="534" spans="1:2" x14ac:dyDescent="0.3">
      <c r="A534" s="1">
        <v>44610</v>
      </c>
      <c r="B534" s="4">
        <v>1883.1</v>
      </c>
    </row>
    <row r="535" spans="1:2" x14ac:dyDescent="0.3">
      <c r="A535" s="1">
        <v>44613</v>
      </c>
      <c r="B535" s="4">
        <v>1863.95</v>
      </c>
    </row>
    <row r="536" spans="1:2" x14ac:dyDescent="0.3">
      <c r="A536" s="1">
        <v>44614</v>
      </c>
      <c r="B536" s="4">
        <v>1844.45</v>
      </c>
    </row>
    <row r="537" spans="1:2" x14ac:dyDescent="0.3">
      <c r="A537" s="1">
        <v>44615</v>
      </c>
      <c r="B537" s="4">
        <v>1820.3</v>
      </c>
    </row>
    <row r="538" spans="1:2" x14ac:dyDescent="0.3">
      <c r="A538" s="1">
        <v>44616</v>
      </c>
      <c r="B538" s="4">
        <v>1757.35</v>
      </c>
    </row>
    <row r="539" spans="1:2" x14ac:dyDescent="0.3">
      <c r="A539" s="1">
        <v>44617</v>
      </c>
      <c r="B539" s="4">
        <v>1777.05</v>
      </c>
    </row>
    <row r="540" spans="1:2" x14ac:dyDescent="0.3">
      <c r="A540" s="1">
        <v>44620</v>
      </c>
      <c r="B540" s="4">
        <v>1816.75</v>
      </c>
    </row>
    <row r="541" spans="1:2" x14ac:dyDescent="0.3">
      <c r="A541" s="1">
        <v>44622</v>
      </c>
      <c r="B541" s="4">
        <v>1784.5</v>
      </c>
    </row>
    <row r="542" spans="1:2" x14ac:dyDescent="0.3">
      <c r="A542" s="1">
        <v>44623</v>
      </c>
      <c r="B542" s="4">
        <v>1752.3</v>
      </c>
    </row>
    <row r="543" spans="1:2" x14ac:dyDescent="0.3">
      <c r="A543" s="1">
        <v>44624</v>
      </c>
      <c r="B543" s="4">
        <v>1711.75</v>
      </c>
    </row>
    <row r="544" spans="1:2" x14ac:dyDescent="0.3">
      <c r="A544" s="1">
        <v>44627</v>
      </c>
      <c r="B544" s="4">
        <v>1634.45</v>
      </c>
    </row>
    <row r="545" spans="1:2" x14ac:dyDescent="0.3">
      <c r="A545" s="1">
        <v>44628</v>
      </c>
      <c r="B545" s="4">
        <v>1658.5</v>
      </c>
    </row>
    <row r="546" spans="1:2" x14ac:dyDescent="0.3">
      <c r="A546" s="1">
        <v>44629</v>
      </c>
      <c r="B546" s="4">
        <v>1690.95</v>
      </c>
    </row>
    <row r="547" spans="1:2" x14ac:dyDescent="0.3">
      <c r="A547" s="1">
        <v>44630</v>
      </c>
      <c r="B547" s="4">
        <v>1728.2</v>
      </c>
    </row>
    <row r="548" spans="1:2" x14ac:dyDescent="0.3">
      <c r="A548" s="1">
        <v>44631</v>
      </c>
      <c r="B548" s="4">
        <v>1728.65</v>
      </c>
    </row>
    <row r="549" spans="1:2" x14ac:dyDescent="0.3">
      <c r="A549" s="1">
        <v>44634</v>
      </c>
      <c r="B549" s="4">
        <v>1746.75</v>
      </c>
    </row>
    <row r="550" spans="1:2" x14ac:dyDescent="0.3">
      <c r="A550" s="1">
        <v>44635</v>
      </c>
      <c r="B550" s="4">
        <v>1743.45</v>
      </c>
    </row>
    <row r="551" spans="1:2" x14ac:dyDescent="0.3">
      <c r="A551" s="1">
        <v>44636</v>
      </c>
      <c r="B551" s="4">
        <v>1756.2</v>
      </c>
    </row>
    <row r="552" spans="1:2" x14ac:dyDescent="0.3">
      <c r="A552" s="1">
        <v>44637</v>
      </c>
      <c r="B552" s="4">
        <v>1787.9</v>
      </c>
    </row>
    <row r="553" spans="1:2" x14ac:dyDescent="0.3">
      <c r="A553" s="1">
        <v>44641</v>
      </c>
      <c r="B553" s="4">
        <v>1756.3</v>
      </c>
    </row>
    <row r="554" spans="1:2" x14ac:dyDescent="0.3">
      <c r="A554" s="1">
        <v>44642</v>
      </c>
      <c r="B554" s="4">
        <v>1774.05</v>
      </c>
    </row>
    <row r="555" spans="1:2" x14ac:dyDescent="0.3">
      <c r="A555" s="1">
        <v>44643</v>
      </c>
      <c r="B555" s="4">
        <v>1767.25</v>
      </c>
    </row>
    <row r="556" spans="1:2" x14ac:dyDescent="0.3">
      <c r="A556" s="1">
        <v>44644</v>
      </c>
      <c r="B556" s="4">
        <v>1771.55</v>
      </c>
    </row>
    <row r="557" spans="1:2" x14ac:dyDescent="0.3">
      <c r="A557" s="1">
        <v>44645</v>
      </c>
      <c r="B557" s="4">
        <v>1751.1</v>
      </c>
    </row>
    <row r="558" spans="1:2" x14ac:dyDescent="0.3">
      <c r="A558" s="1">
        <v>44648</v>
      </c>
      <c r="B558" s="4">
        <v>1741.6</v>
      </c>
    </row>
    <row r="559" spans="1:2" x14ac:dyDescent="0.3">
      <c r="A559" s="1">
        <v>44649</v>
      </c>
      <c r="B559" s="4">
        <v>1746.65</v>
      </c>
    </row>
    <row r="560" spans="1:2" x14ac:dyDescent="0.3">
      <c r="A560" s="1">
        <v>44650</v>
      </c>
      <c r="B560" s="4">
        <v>1773.6</v>
      </c>
    </row>
    <row r="561" spans="1:2" x14ac:dyDescent="0.3">
      <c r="A561" s="1">
        <v>44651</v>
      </c>
      <c r="B561" s="4">
        <v>1767.65</v>
      </c>
    </row>
    <row r="562" spans="1:2" x14ac:dyDescent="0.3">
      <c r="A562" s="1">
        <v>44652</v>
      </c>
      <c r="B562" s="4">
        <v>1790.1</v>
      </c>
    </row>
    <row r="563" spans="1:2" x14ac:dyDescent="0.3">
      <c r="A563" s="1">
        <v>44655</v>
      </c>
      <c r="B563" s="4">
        <v>1826.35</v>
      </c>
    </row>
    <row r="564" spans="1:2" x14ac:dyDescent="0.3">
      <c r="A564" s="1">
        <v>44656</v>
      </c>
      <c r="B564" s="4">
        <v>1836.05</v>
      </c>
    </row>
    <row r="565" spans="1:2" x14ac:dyDescent="0.3">
      <c r="A565" s="1">
        <v>44657</v>
      </c>
      <c r="B565" s="4">
        <v>1852.8</v>
      </c>
    </row>
    <row r="566" spans="1:2" x14ac:dyDescent="0.3">
      <c r="A566" s="1">
        <v>44658</v>
      </c>
      <c r="B566" s="4">
        <v>1826.3</v>
      </c>
    </row>
    <row r="567" spans="1:2" x14ac:dyDescent="0.3">
      <c r="A567" s="1">
        <v>44659</v>
      </c>
      <c r="B567" s="4">
        <v>1830.75</v>
      </c>
    </row>
    <row r="568" spans="1:2" x14ac:dyDescent="0.3">
      <c r="A568" s="1">
        <v>44662</v>
      </c>
      <c r="B568" s="4">
        <v>1781.5</v>
      </c>
    </row>
    <row r="569" spans="1:2" x14ac:dyDescent="0.3">
      <c r="A569" s="1">
        <v>44663</v>
      </c>
      <c r="B569" s="4">
        <v>1747.7</v>
      </c>
    </row>
    <row r="570" spans="1:2" x14ac:dyDescent="0.3">
      <c r="A570" s="1">
        <v>44664</v>
      </c>
      <c r="B570" s="4">
        <v>1760.8</v>
      </c>
    </row>
    <row r="571" spans="1:2" x14ac:dyDescent="0.3">
      <c r="A571" s="1">
        <v>44669</v>
      </c>
      <c r="B571" s="4">
        <v>1738.35</v>
      </c>
    </row>
    <row r="572" spans="1:2" x14ac:dyDescent="0.3">
      <c r="A572" s="1">
        <v>44670</v>
      </c>
      <c r="B572" s="4">
        <v>1705.75</v>
      </c>
    </row>
    <row r="573" spans="1:2" x14ac:dyDescent="0.3">
      <c r="A573" s="1">
        <v>44671</v>
      </c>
      <c r="B573" s="4">
        <v>1691.6</v>
      </c>
    </row>
    <row r="574" spans="1:2" x14ac:dyDescent="0.3">
      <c r="A574" s="1">
        <v>44672</v>
      </c>
      <c r="B574" s="4">
        <v>1714.5</v>
      </c>
    </row>
    <row r="575" spans="1:2" x14ac:dyDescent="0.3">
      <c r="A575" s="1">
        <v>44673</v>
      </c>
      <c r="B575" s="4">
        <v>1694.35</v>
      </c>
    </row>
    <row r="576" spans="1:2" x14ac:dyDescent="0.3">
      <c r="A576" s="1">
        <v>44676</v>
      </c>
      <c r="B576" s="4">
        <v>1657.35</v>
      </c>
    </row>
    <row r="577" spans="1:2" x14ac:dyDescent="0.3">
      <c r="A577" s="1">
        <v>44677</v>
      </c>
      <c r="B577" s="4">
        <v>1699.95</v>
      </c>
    </row>
    <row r="578" spans="1:2" x14ac:dyDescent="0.3">
      <c r="A578" s="1">
        <v>44678</v>
      </c>
      <c r="B578" s="4">
        <v>1677.05</v>
      </c>
    </row>
    <row r="579" spans="1:2" x14ac:dyDescent="0.3">
      <c r="A579" s="1">
        <v>44679</v>
      </c>
      <c r="B579" s="4">
        <v>1719.25</v>
      </c>
    </row>
    <row r="580" spans="1:2" x14ac:dyDescent="0.3">
      <c r="A580" s="1">
        <v>44680</v>
      </c>
      <c r="B580" s="4">
        <v>1694.35</v>
      </c>
    </row>
    <row r="581" spans="1:2" x14ac:dyDescent="0.3">
      <c r="A581" s="1">
        <v>44683</v>
      </c>
      <c r="B581" s="4">
        <v>1679.45</v>
      </c>
    </row>
    <row r="582" spans="1:2" x14ac:dyDescent="0.3">
      <c r="A582" s="1">
        <v>44685</v>
      </c>
      <c r="B582" s="4">
        <v>1633.95</v>
      </c>
    </row>
    <row r="583" spans="1:2" x14ac:dyDescent="0.3">
      <c r="A583" s="1">
        <v>44686</v>
      </c>
      <c r="B583" s="4">
        <v>1637.65</v>
      </c>
    </row>
    <row r="584" spans="1:2" x14ac:dyDescent="0.3">
      <c r="A584" s="1">
        <v>44687</v>
      </c>
      <c r="B584" s="4">
        <v>1622.45</v>
      </c>
    </row>
    <row r="585" spans="1:2" x14ac:dyDescent="0.3">
      <c r="A585" s="1">
        <v>44690</v>
      </c>
      <c r="B585" s="4">
        <v>1616.15</v>
      </c>
    </row>
    <row r="586" spans="1:2" x14ac:dyDescent="0.3">
      <c r="A586" s="1">
        <v>44691</v>
      </c>
      <c r="B586" s="4">
        <v>1607.95</v>
      </c>
    </row>
    <row r="587" spans="1:2" x14ac:dyDescent="0.3">
      <c r="A587" s="1">
        <v>44692</v>
      </c>
      <c r="B587" s="4">
        <v>1570.8</v>
      </c>
    </row>
    <row r="588" spans="1:2" x14ac:dyDescent="0.3">
      <c r="A588" s="1">
        <v>44693</v>
      </c>
      <c r="B588" s="4">
        <v>1526.15</v>
      </c>
    </row>
    <row r="589" spans="1:2" x14ac:dyDescent="0.3">
      <c r="A589" s="1">
        <v>44694</v>
      </c>
      <c r="B589" s="4">
        <v>1534.5</v>
      </c>
    </row>
    <row r="590" spans="1:2" x14ac:dyDescent="0.3">
      <c r="A590" s="1">
        <v>44697</v>
      </c>
      <c r="B590" s="4">
        <v>1542.9</v>
      </c>
    </row>
    <row r="591" spans="1:2" x14ac:dyDescent="0.3">
      <c r="A591" s="1">
        <v>44698</v>
      </c>
      <c r="B591" s="4">
        <v>1604.1</v>
      </c>
    </row>
    <row r="592" spans="1:2" x14ac:dyDescent="0.3">
      <c r="A592" s="1">
        <v>44699</v>
      </c>
      <c r="B592" s="4">
        <v>1572.5</v>
      </c>
    </row>
    <row r="593" spans="1:2" x14ac:dyDescent="0.3">
      <c r="A593" s="1">
        <v>44700</v>
      </c>
      <c r="B593" s="4">
        <v>1547.95</v>
      </c>
    </row>
    <row r="594" spans="1:2" x14ac:dyDescent="0.3">
      <c r="A594" s="1">
        <v>44701</v>
      </c>
      <c r="B594" s="4">
        <v>1610.1</v>
      </c>
    </row>
    <row r="595" spans="1:2" x14ac:dyDescent="0.3">
      <c r="A595" s="1">
        <v>44704</v>
      </c>
      <c r="B595" s="4">
        <v>1644.15</v>
      </c>
    </row>
    <row r="596" spans="1:2" x14ac:dyDescent="0.3">
      <c r="A596" s="1">
        <v>44705</v>
      </c>
      <c r="B596" s="4">
        <v>1626.3</v>
      </c>
    </row>
    <row r="597" spans="1:2" x14ac:dyDescent="0.3">
      <c r="A597" s="1">
        <v>44706</v>
      </c>
      <c r="B597" s="4">
        <v>1574.75</v>
      </c>
    </row>
    <row r="598" spans="1:2" x14ac:dyDescent="0.3">
      <c r="A598" s="1">
        <v>44707</v>
      </c>
      <c r="B598" s="4">
        <v>1564.55</v>
      </c>
    </row>
    <row r="599" spans="1:2" x14ac:dyDescent="0.3">
      <c r="A599" s="1">
        <v>44708</v>
      </c>
      <c r="B599" s="4">
        <v>1596.7</v>
      </c>
    </row>
    <row r="600" spans="1:2" x14ac:dyDescent="0.3">
      <c r="A600" s="1">
        <v>44711</v>
      </c>
      <c r="B600" s="4">
        <v>1657.11</v>
      </c>
    </row>
    <row r="601" spans="1:2" x14ac:dyDescent="0.3">
      <c r="A601" s="1">
        <v>44712</v>
      </c>
      <c r="B601" s="4">
        <v>1650.78</v>
      </c>
    </row>
    <row r="602" spans="1:2" x14ac:dyDescent="0.3">
      <c r="A602" s="1">
        <v>44713</v>
      </c>
      <c r="B602" s="4">
        <v>1644.29</v>
      </c>
    </row>
    <row r="603" spans="1:2" x14ac:dyDescent="0.3">
      <c r="A603" s="1">
        <v>44714</v>
      </c>
      <c r="B603" s="4">
        <v>1633.47</v>
      </c>
    </row>
    <row r="604" spans="1:2" x14ac:dyDescent="0.3">
      <c r="A604" s="1">
        <v>44715</v>
      </c>
      <c r="B604" s="4">
        <v>1648.33</v>
      </c>
    </row>
    <row r="605" spans="1:2" x14ac:dyDescent="0.3">
      <c r="A605" s="1">
        <v>44718</v>
      </c>
      <c r="B605" s="4">
        <v>1636.51</v>
      </c>
    </row>
    <row r="606" spans="1:2" x14ac:dyDescent="0.3">
      <c r="A606" s="1">
        <v>44719</v>
      </c>
      <c r="B606" s="4">
        <v>1585.87</v>
      </c>
    </row>
    <row r="607" spans="1:2" x14ac:dyDescent="0.3">
      <c r="A607" s="1">
        <v>44720</v>
      </c>
      <c r="B607" s="4">
        <v>1580.98</v>
      </c>
    </row>
    <row r="608" spans="1:2" x14ac:dyDescent="0.3">
      <c r="A608" s="1">
        <v>44721</v>
      </c>
      <c r="B608" s="4">
        <v>1591.51</v>
      </c>
    </row>
    <row r="609" spans="1:2" x14ac:dyDescent="0.3">
      <c r="A609" s="1">
        <v>44722</v>
      </c>
      <c r="B609" s="4">
        <v>1581.53</v>
      </c>
    </row>
    <row r="610" spans="1:2" x14ac:dyDescent="0.3">
      <c r="A610" s="1">
        <v>44725</v>
      </c>
      <c r="B610" s="4">
        <v>1528.6</v>
      </c>
    </row>
    <row r="611" spans="1:2" x14ac:dyDescent="0.3">
      <c r="A611" s="1">
        <v>44726</v>
      </c>
      <c r="B611" s="4">
        <v>1541.18</v>
      </c>
    </row>
    <row r="612" spans="1:2" x14ac:dyDescent="0.3">
      <c r="A612" s="1">
        <v>44727</v>
      </c>
      <c r="B612" s="4">
        <v>1556.84</v>
      </c>
    </row>
    <row r="613" spans="1:2" x14ac:dyDescent="0.3">
      <c r="A613" s="1">
        <v>44728</v>
      </c>
      <c r="B613" s="4">
        <v>1523.96</v>
      </c>
    </row>
    <row r="614" spans="1:2" x14ac:dyDescent="0.3">
      <c r="A614" s="1">
        <v>44729</v>
      </c>
      <c r="B614" s="4">
        <v>1486.6</v>
      </c>
    </row>
    <row r="615" spans="1:2" x14ac:dyDescent="0.3">
      <c r="A615" s="1">
        <v>44732</v>
      </c>
      <c r="B615" s="4">
        <v>1468.49</v>
      </c>
    </row>
    <row r="616" spans="1:2" x14ac:dyDescent="0.3">
      <c r="A616" s="1">
        <v>44733</v>
      </c>
      <c r="B616" s="4">
        <v>1496.92</v>
      </c>
    </row>
    <row r="617" spans="1:2" x14ac:dyDescent="0.3">
      <c r="A617" s="1">
        <v>44734</v>
      </c>
      <c r="B617" s="4">
        <v>1475.42</v>
      </c>
    </row>
    <row r="618" spans="1:2" x14ac:dyDescent="0.3">
      <c r="A618" s="1">
        <v>44735</v>
      </c>
      <c r="B618" s="4">
        <v>1490.94</v>
      </c>
    </row>
    <row r="619" spans="1:2" x14ac:dyDescent="0.3">
      <c r="A619" s="1">
        <v>44736</v>
      </c>
      <c r="B619" s="4">
        <v>1491.49</v>
      </c>
    </row>
    <row r="620" spans="1:2" x14ac:dyDescent="0.3">
      <c r="A620" s="1">
        <v>44739</v>
      </c>
      <c r="B620" s="4">
        <v>1532.34</v>
      </c>
    </row>
    <row r="621" spans="1:2" x14ac:dyDescent="0.3">
      <c r="A621" s="1">
        <v>44740</v>
      </c>
      <c r="B621" s="4">
        <v>1548.01</v>
      </c>
    </row>
    <row r="622" spans="1:2" x14ac:dyDescent="0.3">
      <c r="A622" s="1">
        <v>44741</v>
      </c>
      <c r="B622" s="4">
        <v>1544.42</v>
      </c>
    </row>
    <row r="623" spans="1:2" x14ac:dyDescent="0.3">
      <c r="A623" s="1">
        <v>44742</v>
      </c>
      <c r="B623" s="4">
        <v>1554.74</v>
      </c>
    </row>
    <row r="624" spans="1:2" x14ac:dyDescent="0.3">
      <c r="A624" s="1">
        <v>44743</v>
      </c>
      <c r="B624" s="4">
        <v>1568.61</v>
      </c>
    </row>
    <row r="625" spans="1:2" x14ac:dyDescent="0.3">
      <c r="A625" s="1">
        <v>44746</v>
      </c>
      <c r="B625" s="4">
        <v>1578.14</v>
      </c>
    </row>
    <row r="626" spans="1:2" x14ac:dyDescent="0.3">
      <c r="A626" s="1">
        <v>44747</v>
      </c>
      <c r="B626" s="4">
        <v>1561.38</v>
      </c>
    </row>
    <row r="627" spans="1:2" x14ac:dyDescent="0.3">
      <c r="A627" s="1">
        <v>44748</v>
      </c>
      <c r="B627" s="4">
        <v>1552.65</v>
      </c>
    </row>
    <row r="628" spans="1:2" x14ac:dyDescent="0.3">
      <c r="A628" s="1">
        <v>44749</v>
      </c>
      <c r="B628" s="4">
        <v>1607.47</v>
      </c>
    </row>
    <row r="629" spans="1:2" x14ac:dyDescent="0.3">
      <c r="A629" s="1">
        <v>44750</v>
      </c>
      <c r="B629" s="4">
        <v>1683.65</v>
      </c>
    </row>
    <row r="630" spans="1:2" x14ac:dyDescent="0.3">
      <c r="A630" s="1">
        <v>44753</v>
      </c>
      <c r="B630" s="4">
        <v>1659.26</v>
      </c>
    </row>
    <row r="631" spans="1:2" x14ac:dyDescent="0.3">
      <c r="A631" s="1">
        <v>44754</v>
      </c>
      <c r="B631" s="4">
        <v>1650.03</v>
      </c>
    </row>
    <row r="632" spans="1:2" x14ac:dyDescent="0.3">
      <c r="A632" s="1">
        <v>44755</v>
      </c>
      <c r="B632" s="4">
        <v>1643.54</v>
      </c>
    </row>
    <row r="633" spans="1:2" x14ac:dyDescent="0.3">
      <c r="A633" s="1">
        <v>44756</v>
      </c>
      <c r="B633" s="4">
        <v>1642.45</v>
      </c>
    </row>
    <row r="634" spans="1:2" x14ac:dyDescent="0.3">
      <c r="A634" s="1">
        <v>44757</v>
      </c>
      <c r="B634" s="4">
        <v>1681.06</v>
      </c>
    </row>
    <row r="635" spans="1:2" x14ac:dyDescent="0.3">
      <c r="A635" s="1">
        <v>44760</v>
      </c>
      <c r="B635" s="4">
        <v>1723.76</v>
      </c>
    </row>
    <row r="636" spans="1:2" x14ac:dyDescent="0.3">
      <c r="A636" s="1">
        <v>44761</v>
      </c>
      <c r="B636" s="4">
        <v>1725.91</v>
      </c>
    </row>
    <row r="637" spans="1:2" x14ac:dyDescent="0.3">
      <c r="A637" s="1">
        <v>44762</v>
      </c>
      <c r="B637" s="4">
        <v>1736.04</v>
      </c>
    </row>
    <row r="638" spans="1:2" x14ac:dyDescent="0.3">
      <c r="A638" s="1">
        <v>44763</v>
      </c>
      <c r="B638" s="4">
        <v>1761.18</v>
      </c>
    </row>
    <row r="639" spans="1:2" x14ac:dyDescent="0.3">
      <c r="A639" s="1">
        <v>44764</v>
      </c>
      <c r="B639" s="4">
        <v>1763.77</v>
      </c>
    </row>
    <row r="640" spans="1:2" x14ac:dyDescent="0.3">
      <c r="A640" s="1">
        <v>44767</v>
      </c>
      <c r="B640" s="4">
        <v>1778.44</v>
      </c>
    </row>
    <row r="641" spans="1:2" x14ac:dyDescent="0.3">
      <c r="A641" s="1">
        <v>44768</v>
      </c>
      <c r="B641" s="4">
        <v>1747.31</v>
      </c>
    </row>
    <row r="642" spans="1:2" x14ac:dyDescent="0.3">
      <c r="A642" s="1">
        <v>44769</v>
      </c>
      <c r="B642" s="4">
        <v>1792.61</v>
      </c>
    </row>
    <row r="643" spans="1:2" x14ac:dyDescent="0.3">
      <c r="A643" s="1">
        <v>44770</v>
      </c>
      <c r="B643" s="4">
        <v>1797.2</v>
      </c>
    </row>
    <row r="644" spans="1:2" x14ac:dyDescent="0.3">
      <c r="A644" s="1">
        <v>44771</v>
      </c>
      <c r="B644" s="4">
        <v>1803.98</v>
      </c>
    </row>
    <row r="645" spans="1:2" x14ac:dyDescent="0.3">
      <c r="A645" s="1">
        <v>44774</v>
      </c>
      <c r="B645" s="4">
        <v>1810.62</v>
      </c>
    </row>
    <row r="646" spans="1:2" x14ac:dyDescent="0.3">
      <c r="A646" s="1">
        <v>44775</v>
      </c>
      <c r="B646" s="4">
        <v>1789.02</v>
      </c>
    </row>
    <row r="647" spans="1:2" x14ac:dyDescent="0.3">
      <c r="A647" s="1">
        <v>44776</v>
      </c>
      <c r="B647" s="4">
        <v>1785.77</v>
      </c>
    </row>
    <row r="648" spans="1:2" x14ac:dyDescent="0.3">
      <c r="A648" s="1">
        <v>44777</v>
      </c>
      <c r="B648" s="4">
        <v>1776.09</v>
      </c>
    </row>
    <row r="649" spans="1:2" x14ac:dyDescent="0.3">
      <c r="A649" s="1">
        <v>44778</v>
      </c>
      <c r="B649" s="4">
        <v>1783.43</v>
      </c>
    </row>
    <row r="650" spans="1:2" x14ac:dyDescent="0.3">
      <c r="A650" s="1">
        <v>44781</v>
      </c>
      <c r="B650" s="4">
        <v>1825.53</v>
      </c>
    </row>
    <row r="651" spans="1:2" x14ac:dyDescent="0.3">
      <c r="A651" s="1">
        <v>44783</v>
      </c>
      <c r="B651" s="4">
        <v>1850.98</v>
      </c>
    </row>
    <row r="652" spans="1:2" x14ac:dyDescent="0.3">
      <c r="A652" s="1">
        <v>44784</v>
      </c>
      <c r="B652" s="4">
        <v>1862.95</v>
      </c>
    </row>
    <row r="653" spans="1:2" x14ac:dyDescent="0.3">
      <c r="A653" s="1">
        <v>44785</v>
      </c>
      <c r="B653" s="4">
        <v>1842.3</v>
      </c>
    </row>
    <row r="654" spans="1:2" x14ac:dyDescent="0.3">
      <c r="A654" s="1">
        <v>44789</v>
      </c>
      <c r="B654" s="4">
        <v>1844.74</v>
      </c>
    </row>
    <row r="655" spans="1:2" x14ac:dyDescent="0.3">
      <c r="A655" s="1">
        <v>44790</v>
      </c>
      <c r="B655" s="4">
        <v>1851.53</v>
      </c>
    </row>
    <row r="656" spans="1:2" x14ac:dyDescent="0.3">
      <c r="A656" s="1">
        <v>44791</v>
      </c>
      <c r="B656" s="4">
        <v>1890.29</v>
      </c>
    </row>
    <row r="657" spans="1:2" x14ac:dyDescent="0.3">
      <c r="A657" s="1">
        <v>44792</v>
      </c>
      <c r="B657" s="4">
        <v>1931.69</v>
      </c>
    </row>
    <row r="658" spans="1:2" x14ac:dyDescent="0.3">
      <c r="A658" s="1">
        <v>44795</v>
      </c>
      <c r="B658" s="4">
        <v>1876.42</v>
      </c>
    </row>
    <row r="659" spans="1:2" x14ac:dyDescent="0.3">
      <c r="A659" s="1">
        <v>44796</v>
      </c>
      <c r="B659" s="4">
        <v>1872.83</v>
      </c>
    </row>
    <row r="660" spans="1:2" x14ac:dyDescent="0.3">
      <c r="A660" s="1">
        <v>44797</v>
      </c>
      <c r="B660" s="4">
        <v>1889.09</v>
      </c>
    </row>
    <row r="661" spans="1:2" x14ac:dyDescent="0.3">
      <c r="A661" s="1">
        <v>44798</v>
      </c>
      <c r="B661" s="4">
        <v>1873.68</v>
      </c>
    </row>
    <row r="662" spans="1:2" x14ac:dyDescent="0.3">
      <c r="A662" s="1">
        <v>44799</v>
      </c>
      <c r="B662" s="4">
        <v>1901.11</v>
      </c>
    </row>
    <row r="663" spans="1:2" x14ac:dyDescent="0.3">
      <c r="A663" s="1">
        <v>44802</v>
      </c>
      <c r="B663" s="4">
        <v>1877.27</v>
      </c>
    </row>
    <row r="664" spans="1:2" x14ac:dyDescent="0.3">
      <c r="A664" s="1">
        <v>44803</v>
      </c>
      <c r="B664" s="4">
        <v>1918.17</v>
      </c>
    </row>
    <row r="665" spans="1:2" x14ac:dyDescent="0.3">
      <c r="A665" s="1">
        <v>44805</v>
      </c>
      <c r="B665" s="4">
        <v>1908.65</v>
      </c>
    </row>
    <row r="666" spans="1:2" x14ac:dyDescent="0.3">
      <c r="A666" s="1">
        <v>44806</v>
      </c>
      <c r="B666" s="4">
        <v>1936.13</v>
      </c>
    </row>
    <row r="667" spans="1:2" x14ac:dyDescent="0.3">
      <c r="A667" s="1">
        <v>44809</v>
      </c>
      <c r="B667" s="4">
        <v>1963.92</v>
      </c>
    </row>
    <row r="668" spans="1:2" x14ac:dyDescent="0.3">
      <c r="A668" s="1">
        <v>44810</v>
      </c>
      <c r="B668" s="4">
        <v>1957.89</v>
      </c>
    </row>
    <row r="669" spans="1:2" x14ac:dyDescent="0.3">
      <c r="A669" s="1">
        <v>44811</v>
      </c>
      <c r="B669" s="4">
        <v>1953.69</v>
      </c>
    </row>
    <row r="670" spans="1:2" x14ac:dyDescent="0.3">
      <c r="A670" s="1">
        <v>44812</v>
      </c>
      <c r="B670" s="4">
        <v>1969.96</v>
      </c>
    </row>
    <row r="671" spans="1:2" x14ac:dyDescent="0.3">
      <c r="A671" s="1">
        <v>44813</v>
      </c>
      <c r="B671" s="4">
        <v>1945.36</v>
      </c>
    </row>
    <row r="672" spans="1:2" x14ac:dyDescent="0.3">
      <c r="A672" s="1">
        <v>44816</v>
      </c>
      <c r="B672" s="4">
        <v>1957.49</v>
      </c>
    </row>
    <row r="673" spans="1:2" x14ac:dyDescent="0.3">
      <c r="A673" s="1">
        <v>44817</v>
      </c>
      <c r="B673" s="4">
        <v>1986.87</v>
      </c>
    </row>
    <row r="674" spans="1:2" x14ac:dyDescent="0.3">
      <c r="A674" s="1">
        <v>44818</v>
      </c>
      <c r="B674" s="4">
        <v>1949.5</v>
      </c>
    </row>
    <row r="675" spans="1:2" x14ac:dyDescent="0.3">
      <c r="A675" s="1">
        <v>44819</v>
      </c>
      <c r="B675" s="4">
        <v>1953.1</v>
      </c>
    </row>
    <row r="676" spans="1:2" x14ac:dyDescent="0.3">
      <c r="A676" s="1">
        <v>44820</v>
      </c>
      <c r="B676" s="4">
        <v>1915.68</v>
      </c>
    </row>
    <row r="677" spans="1:2" x14ac:dyDescent="0.3">
      <c r="A677" s="1">
        <v>44823</v>
      </c>
      <c r="B677" s="4">
        <v>1906.4</v>
      </c>
    </row>
    <row r="678" spans="1:2" x14ac:dyDescent="0.3">
      <c r="A678" s="1">
        <v>44824</v>
      </c>
      <c r="B678" s="4">
        <v>1928.35</v>
      </c>
    </row>
    <row r="679" spans="1:2" x14ac:dyDescent="0.3">
      <c r="A679" s="1">
        <v>44825</v>
      </c>
      <c r="B679" s="4">
        <v>1891.39</v>
      </c>
    </row>
    <row r="680" spans="1:2" x14ac:dyDescent="0.3">
      <c r="A680" s="1">
        <v>44826</v>
      </c>
      <c r="B680" s="4">
        <v>1883.95</v>
      </c>
    </row>
    <row r="681" spans="1:2" x14ac:dyDescent="0.3">
      <c r="A681" s="1">
        <v>44827</v>
      </c>
      <c r="B681" s="4">
        <v>1852.67</v>
      </c>
    </row>
    <row r="682" spans="1:2" x14ac:dyDescent="0.3">
      <c r="A682" s="1">
        <v>44830</v>
      </c>
      <c r="B682" s="4">
        <v>1847.28</v>
      </c>
    </row>
    <row r="683" spans="1:2" x14ac:dyDescent="0.3">
      <c r="A683" s="1">
        <v>44831</v>
      </c>
      <c r="B683" s="4">
        <v>1837.06</v>
      </c>
    </row>
    <row r="684" spans="1:2" x14ac:dyDescent="0.3">
      <c r="A684" s="1">
        <v>44832</v>
      </c>
      <c r="B684" s="4">
        <v>1831.32</v>
      </c>
    </row>
    <row r="685" spans="1:2" x14ac:dyDescent="0.3">
      <c r="A685" s="1">
        <v>44833</v>
      </c>
      <c r="B685" s="4">
        <v>1811.42</v>
      </c>
    </row>
    <row r="686" spans="1:2" x14ac:dyDescent="0.3">
      <c r="A686" s="1">
        <v>44834</v>
      </c>
      <c r="B686" s="4">
        <v>1843.54</v>
      </c>
    </row>
    <row r="687" spans="1:2" x14ac:dyDescent="0.3">
      <c r="A687" s="1">
        <v>44837</v>
      </c>
      <c r="B687" s="4">
        <v>1815.21</v>
      </c>
    </row>
    <row r="688" spans="1:2" x14ac:dyDescent="0.3">
      <c r="A688" s="1">
        <v>44838</v>
      </c>
      <c r="B688" s="4">
        <v>1867.34</v>
      </c>
    </row>
    <row r="689" spans="1:2" x14ac:dyDescent="0.3">
      <c r="A689" s="1">
        <v>44840</v>
      </c>
      <c r="B689" s="4">
        <v>1908.65</v>
      </c>
    </row>
    <row r="690" spans="1:2" x14ac:dyDescent="0.3">
      <c r="A690" s="1">
        <v>44841</v>
      </c>
      <c r="B690" s="4">
        <v>1920.22</v>
      </c>
    </row>
    <row r="691" spans="1:2" x14ac:dyDescent="0.3">
      <c r="A691" s="1">
        <v>44844</v>
      </c>
      <c r="B691" s="4">
        <v>1905.35</v>
      </c>
    </row>
    <row r="692" spans="1:2" x14ac:dyDescent="0.3">
      <c r="A692" s="1">
        <v>44845</v>
      </c>
      <c r="B692" s="4">
        <v>1874.72</v>
      </c>
    </row>
    <row r="693" spans="1:2" x14ac:dyDescent="0.3">
      <c r="A693" s="1">
        <v>44846</v>
      </c>
      <c r="B693" s="4">
        <v>1906.95</v>
      </c>
    </row>
    <row r="694" spans="1:2" x14ac:dyDescent="0.3">
      <c r="A694" s="1">
        <v>44847</v>
      </c>
      <c r="B694" s="4">
        <v>1871.93</v>
      </c>
    </row>
    <row r="695" spans="1:2" x14ac:dyDescent="0.3">
      <c r="A695" s="1">
        <v>44848</v>
      </c>
      <c r="B695" s="4">
        <v>1907.3</v>
      </c>
    </row>
    <row r="696" spans="1:2" x14ac:dyDescent="0.3">
      <c r="A696" s="1">
        <v>44851</v>
      </c>
      <c r="B696" s="4">
        <v>1878.96</v>
      </c>
    </row>
    <row r="697" spans="1:2" x14ac:dyDescent="0.3">
      <c r="A697" s="1">
        <v>44852</v>
      </c>
      <c r="B697" s="4">
        <v>1913.78</v>
      </c>
    </row>
    <row r="698" spans="1:2" x14ac:dyDescent="0.3">
      <c r="A698" s="1">
        <v>44853</v>
      </c>
      <c r="B698" s="4">
        <v>1900.61</v>
      </c>
    </row>
    <row r="699" spans="1:2" x14ac:dyDescent="0.3">
      <c r="A699" s="1">
        <v>44854</v>
      </c>
      <c r="B699" s="4">
        <v>1899.87</v>
      </c>
    </row>
    <row r="700" spans="1:2" x14ac:dyDescent="0.3">
      <c r="A700" s="1">
        <v>44855</v>
      </c>
      <c r="B700" s="4">
        <v>1872.53</v>
      </c>
    </row>
    <row r="701" spans="1:2" x14ac:dyDescent="0.3">
      <c r="A701" s="1">
        <v>44858</v>
      </c>
      <c r="B701" s="4">
        <v>1905.45</v>
      </c>
    </row>
    <row r="702" spans="1:2" x14ac:dyDescent="0.3">
      <c r="A702" s="1">
        <v>44859</v>
      </c>
      <c r="B702" s="4">
        <v>1944.71</v>
      </c>
    </row>
    <row r="703" spans="1:2" x14ac:dyDescent="0.3">
      <c r="A703" s="1">
        <v>44861</v>
      </c>
      <c r="B703" s="4">
        <v>1959.63</v>
      </c>
    </row>
    <row r="704" spans="1:2" x14ac:dyDescent="0.3">
      <c r="A704" s="1">
        <v>44862</v>
      </c>
      <c r="B704" s="4">
        <v>1970.61</v>
      </c>
    </row>
    <row r="705" spans="1:2" x14ac:dyDescent="0.3">
      <c r="A705" s="1">
        <v>44865</v>
      </c>
      <c r="B705" s="4">
        <v>2018.55</v>
      </c>
    </row>
    <row r="706" spans="1:2" x14ac:dyDescent="0.3">
      <c r="A706" s="1">
        <v>44866</v>
      </c>
      <c r="B706" s="4">
        <v>2019.9</v>
      </c>
    </row>
    <row r="707" spans="1:2" x14ac:dyDescent="0.3">
      <c r="A707" s="1">
        <v>44867</v>
      </c>
      <c r="B707" s="4">
        <v>2008.77</v>
      </c>
    </row>
    <row r="708" spans="1:2" x14ac:dyDescent="0.3">
      <c r="A708" s="1">
        <v>44868</v>
      </c>
      <c r="B708" s="4">
        <v>2004.18</v>
      </c>
    </row>
    <row r="709" spans="1:2" x14ac:dyDescent="0.3">
      <c r="A709" s="1">
        <v>44869</v>
      </c>
      <c r="B709" s="4">
        <v>2010.57</v>
      </c>
    </row>
    <row r="710" spans="1:2" x14ac:dyDescent="0.3">
      <c r="A710" s="1">
        <v>44872</v>
      </c>
      <c r="B710" s="4">
        <v>2013.11</v>
      </c>
    </row>
    <row r="711" spans="1:2" x14ac:dyDescent="0.3">
      <c r="A711" s="1">
        <v>44874</v>
      </c>
      <c r="B711" s="4">
        <v>1998.99</v>
      </c>
    </row>
    <row r="712" spans="1:2" x14ac:dyDescent="0.3">
      <c r="A712" s="1">
        <v>44875</v>
      </c>
      <c r="B712" s="4">
        <v>1973.2</v>
      </c>
    </row>
    <row r="713" spans="1:2" x14ac:dyDescent="0.3">
      <c r="A713" s="1">
        <v>44876</v>
      </c>
      <c r="B713" s="4">
        <v>2006.57</v>
      </c>
    </row>
    <row r="714" spans="1:2" x14ac:dyDescent="0.3">
      <c r="A714" s="1">
        <v>44879</v>
      </c>
      <c r="B714" s="4">
        <v>1995.3</v>
      </c>
    </row>
    <row r="715" spans="1:2" x14ac:dyDescent="0.3">
      <c r="A715" s="1">
        <v>44880</v>
      </c>
      <c r="B715" s="4">
        <v>1992.06</v>
      </c>
    </row>
    <row r="716" spans="1:2" x14ac:dyDescent="0.3">
      <c r="A716" s="1">
        <v>44881</v>
      </c>
      <c r="B716" s="4">
        <v>1999.09</v>
      </c>
    </row>
    <row r="717" spans="1:2" x14ac:dyDescent="0.3">
      <c r="A717" s="1">
        <v>44882</v>
      </c>
      <c r="B717" s="4">
        <v>2024.98</v>
      </c>
    </row>
    <row r="718" spans="1:2" x14ac:dyDescent="0.3">
      <c r="A718" s="1">
        <v>44883</v>
      </c>
      <c r="B718" s="4">
        <v>2019.9</v>
      </c>
    </row>
    <row r="719" spans="1:2" x14ac:dyDescent="0.3">
      <c r="A719" s="1">
        <v>44886</v>
      </c>
      <c r="B719" s="4">
        <v>2006.92</v>
      </c>
    </row>
    <row r="720" spans="1:2" x14ac:dyDescent="0.3">
      <c r="A720" s="1">
        <v>44887</v>
      </c>
      <c r="B720" s="4">
        <v>2025.23</v>
      </c>
    </row>
    <row r="721" spans="1:2" x14ac:dyDescent="0.3">
      <c r="A721" s="1">
        <v>44888</v>
      </c>
      <c r="B721" s="4">
        <v>2020.44</v>
      </c>
    </row>
    <row r="722" spans="1:2" x14ac:dyDescent="0.3">
      <c r="A722" s="1">
        <v>44889</v>
      </c>
      <c r="B722" s="4">
        <v>2047.58</v>
      </c>
    </row>
    <row r="723" spans="1:2" x14ac:dyDescent="0.3">
      <c r="A723" s="1">
        <v>44890</v>
      </c>
      <c r="B723" s="4">
        <v>2058.11</v>
      </c>
    </row>
    <row r="724" spans="1:2" x14ac:dyDescent="0.3">
      <c r="A724" s="1">
        <v>44893</v>
      </c>
      <c r="B724" s="4">
        <v>2059.8000000000002</v>
      </c>
    </row>
    <row r="725" spans="1:2" x14ac:dyDescent="0.3">
      <c r="A725" s="1">
        <v>44894</v>
      </c>
      <c r="B725" s="4">
        <v>2045.94</v>
      </c>
    </row>
    <row r="726" spans="1:2" x14ac:dyDescent="0.3">
      <c r="A726" s="1">
        <v>44895</v>
      </c>
      <c r="B726" s="4">
        <v>2070.1799999999998</v>
      </c>
    </row>
    <row r="727" spans="1:2" x14ac:dyDescent="0.3">
      <c r="A727" s="1">
        <v>44896</v>
      </c>
      <c r="B727" s="4">
        <v>2099.5100000000002</v>
      </c>
    </row>
    <row r="728" spans="1:2" x14ac:dyDescent="0.3">
      <c r="A728" s="1">
        <v>44897</v>
      </c>
      <c r="B728" s="4">
        <v>2080.81</v>
      </c>
    </row>
    <row r="729" spans="1:2" x14ac:dyDescent="0.3">
      <c r="A729" s="1">
        <v>44900</v>
      </c>
      <c r="B729" s="4">
        <v>2080.91</v>
      </c>
    </row>
    <row r="730" spans="1:2" x14ac:dyDescent="0.3">
      <c r="A730" s="1">
        <v>44901</v>
      </c>
      <c r="B730" s="4">
        <v>2088.79</v>
      </c>
    </row>
    <row r="731" spans="1:2" x14ac:dyDescent="0.3">
      <c r="A731" s="1">
        <v>44902</v>
      </c>
      <c r="B731" s="4">
        <v>2119.2199999999998</v>
      </c>
    </row>
    <row r="732" spans="1:2" x14ac:dyDescent="0.3">
      <c r="A732" s="1">
        <v>44903</v>
      </c>
      <c r="B732" s="4">
        <v>2162.8200000000002</v>
      </c>
    </row>
    <row r="733" spans="1:2" x14ac:dyDescent="0.3">
      <c r="A733" s="1">
        <v>44904</v>
      </c>
      <c r="B733" s="4">
        <v>2149.1999999999998</v>
      </c>
    </row>
    <row r="734" spans="1:2" x14ac:dyDescent="0.3">
      <c r="A734" s="1">
        <v>44907</v>
      </c>
      <c r="B734" s="4">
        <v>2158.83</v>
      </c>
    </row>
    <row r="735" spans="1:2" x14ac:dyDescent="0.3">
      <c r="A735" s="1">
        <v>44908</v>
      </c>
      <c r="B735" s="4">
        <v>2168.0100000000002</v>
      </c>
    </row>
    <row r="736" spans="1:2" x14ac:dyDescent="0.3">
      <c r="A736" s="1">
        <v>44909</v>
      </c>
      <c r="B736" s="4">
        <v>2190.5100000000002</v>
      </c>
    </row>
    <row r="737" spans="1:2" x14ac:dyDescent="0.3">
      <c r="A737" s="1">
        <v>44910</v>
      </c>
      <c r="B737" s="4">
        <v>2172.65</v>
      </c>
    </row>
    <row r="738" spans="1:2" x14ac:dyDescent="0.3">
      <c r="A738" s="1">
        <v>44911</v>
      </c>
      <c r="B738" s="4">
        <v>2170.11</v>
      </c>
    </row>
    <row r="739" spans="1:2" x14ac:dyDescent="0.3">
      <c r="A739" s="1">
        <v>44914</v>
      </c>
      <c r="B739" s="4">
        <v>2179.09</v>
      </c>
    </row>
    <row r="740" spans="1:2" x14ac:dyDescent="0.3">
      <c r="A740" s="1">
        <v>44915</v>
      </c>
      <c r="B740" s="4">
        <v>2158.38</v>
      </c>
    </row>
    <row r="741" spans="1:2" x14ac:dyDescent="0.3">
      <c r="A741" s="1">
        <v>44916</v>
      </c>
      <c r="B741" s="4">
        <v>2141.4699999999998</v>
      </c>
    </row>
    <row r="742" spans="1:2" x14ac:dyDescent="0.3">
      <c r="A742" s="1">
        <v>44917</v>
      </c>
      <c r="B742" s="4">
        <v>2105.1999999999998</v>
      </c>
    </row>
    <row r="743" spans="1:2" x14ac:dyDescent="0.3">
      <c r="A743" s="1">
        <v>44918</v>
      </c>
      <c r="B743" s="4">
        <v>2058.11</v>
      </c>
    </row>
    <row r="744" spans="1:2" x14ac:dyDescent="0.3">
      <c r="A744" s="1">
        <v>44921</v>
      </c>
      <c r="B744" s="4">
        <v>2086.34</v>
      </c>
    </row>
    <row r="745" spans="1:2" x14ac:dyDescent="0.3">
      <c r="A745" s="1">
        <v>44922</v>
      </c>
      <c r="B745" s="4">
        <v>2119.3200000000002</v>
      </c>
    </row>
    <row r="746" spans="1:2" x14ac:dyDescent="0.3">
      <c r="A746" s="1">
        <v>44923</v>
      </c>
      <c r="B746" s="4">
        <v>2116.33</v>
      </c>
    </row>
    <row r="747" spans="1:2" x14ac:dyDescent="0.3">
      <c r="A747" s="1">
        <v>44924</v>
      </c>
      <c r="B747" s="4">
        <v>2106.15</v>
      </c>
    </row>
    <row r="748" spans="1:2" x14ac:dyDescent="0.3">
      <c r="A748" s="1">
        <v>44925</v>
      </c>
      <c r="B748" s="4">
        <v>2081.11</v>
      </c>
    </row>
    <row r="749" spans="1:2" x14ac:dyDescent="0.3">
      <c r="A749" s="1">
        <v>44928</v>
      </c>
      <c r="B749" s="4">
        <v>2084.75</v>
      </c>
    </row>
    <row r="750" spans="1:2" x14ac:dyDescent="0.3">
      <c r="A750" s="1">
        <v>44929</v>
      </c>
      <c r="B750" s="4">
        <v>2084.25</v>
      </c>
    </row>
    <row r="751" spans="1:2" x14ac:dyDescent="0.3">
      <c r="A751" s="1">
        <v>44930</v>
      </c>
      <c r="B751" s="4">
        <v>2065.89</v>
      </c>
    </row>
    <row r="752" spans="1:2" x14ac:dyDescent="0.3">
      <c r="A752" s="1">
        <v>44931</v>
      </c>
      <c r="B752" s="4">
        <v>2082.65</v>
      </c>
    </row>
    <row r="753" spans="1:2" x14ac:dyDescent="0.3">
      <c r="A753" s="1">
        <v>44932</v>
      </c>
      <c r="B753" s="4">
        <v>2081.85</v>
      </c>
    </row>
    <row r="754" spans="1:2" x14ac:dyDescent="0.3">
      <c r="A754" s="1">
        <v>44935</v>
      </c>
      <c r="B754" s="4">
        <v>2116.9299999999998</v>
      </c>
    </row>
    <row r="755" spans="1:2" x14ac:dyDescent="0.3">
      <c r="A755" s="1">
        <v>44936</v>
      </c>
      <c r="B755" s="4">
        <v>2101.91</v>
      </c>
    </row>
    <row r="756" spans="1:2" x14ac:dyDescent="0.3">
      <c r="A756" s="1">
        <v>44937</v>
      </c>
      <c r="B756" s="4">
        <v>2120.5700000000002</v>
      </c>
    </row>
    <row r="757" spans="1:2" x14ac:dyDescent="0.3">
      <c r="A757" s="1">
        <v>44938</v>
      </c>
      <c r="B757" s="4">
        <v>2154.89</v>
      </c>
    </row>
    <row r="758" spans="1:2" x14ac:dyDescent="0.3">
      <c r="A758" s="1">
        <v>44939</v>
      </c>
      <c r="B758" s="4">
        <v>2148.5500000000002</v>
      </c>
    </row>
    <row r="759" spans="1:2" x14ac:dyDescent="0.3">
      <c r="A759" s="1">
        <v>44942</v>
      </c>
      <c r="B759" s="4">
        <v>2132.39</v>
      </c>
    </row>
    <row r="760" spans="1:2" x14ac:dyDescent="0.3">
      <c r="A760" s="1">
        <v>44943</v>
      </c>
      <c r="B760" s="4">
        <v>2208.12</v>
      </c>
    </row>
    <row r="761" spans="1:2" x14ac:dyDescent="0.3">
      <c r="A761" s="1">
        <v>44944</v>
      </c>
      <c r="B761" s="4">
        <v>2261.4</v>
      </c>
    </row>
    <row r="762" spans="1:2" x14ac:dyDescent="0.3">
      <c r="A762" s="1">
        <v>44945</v>
      </c>
      <c r="B762" s="4">
        <v>2267.9899999999998</v>
      </c>
    </row>
    <row r="763" spans="1:2" x14ac:dyDescent="0.3">
      <c r="A763" s="1">
        <v>44946</v>
      </c>
      <c r="B763" s="4">
        <v>2244.89</v>
      </c>
    </row>
    <row r="764" spans="1:2" x14ac:dyDescent="0.3">
      <c r="A764" s="1">
        <v>44949</v>
      </c>
      <c r="B764" s="4">
        <v>2228.48</v>
      </c>
    </row>
    <row r="765" spans="1:2" x14ac:dyDescent="0.3">
      <c r="A765" s="1">
        <v>44950</v>
      </c>
      <c r="B765" s="4">
        <v>2202.5300000000002</v>
      </c>
    </row>
    <row r="766" spans="1:2" x14ac:dyDescent="0.3">
      <c r="A766" s="1">
        <v>44951</v>
      </c>
      <c r="B766" s="4">
        <v>2169.81</v>
      </c>
    </row>
    <row r="767" spans="1:2" x14ac:dyDescent="0.3">
      <c r="A767" s="1">
        <v>44953</v>
      </c>
      <c r="B767" s="4">
        <v>2154.9899999999998</v>
      </c>
    </row>
    <row r="768" spans="1:2" x14ac:dyDescent="0.3">
      <c r="A768" s="1">
        <v>44956</v>
      </c>
      <c r="B768" s="4">
        <v>2108.15</v>
      </c>
    </row>
    <row r="769" spans="1:2" x14ac:dyDescent="0.3">
      <c r="A769" s="1">
        <v>44957</v>
      </c>
      <c r="B769" s="4">
        <v>2119.62</v>
      </c>
    </row>
    <row r="770" spans="1:2" x14ac:dyDescent="0.3">
      <c r="A770" s="1">
        <v>44958</v>
      </c>
      <c r="B770" s="4">
        <v>2140.7199999999998</v>
      </c>
    </row>
    <row r="771" spans="1:2" x14ac:dyDescent="0.3">
      <c r="A771" s="1">
        <v>44959</v>
      </c>
      <c r="B771" s="4">
        <v>2140.0700000000002</v>
      </c>
    </row>
    <row r="772" spans="1:2" x14ac:dyDescent="0.3">
      <c r="A772" s="1">
        <v>44960</v>
      </c>
      <c r="B772" s="4">
        <v>2161.6799999999998</v>
      </c>
    </row>
    <row r="773" spans="1:2" x14ac:dyDescent="0.3">
      <c r="A773" s="1">
        <v>44963</v>
      </c>
      <c r="B773" s="4">
        <v>2151.25</v>
      </c>
    </row>
    <row r="774" spans="1:2" x14ac:dyDescent="0.3">
      <c r="A774" s="1">
        <v>44964</v>
      </c>
      <c r="B774" s="4">
        <v>2160.4299999999998</v>
      </c>
    </row>
    <row r="775" spans="1:2" x14ac:dyDescent="0.3">
      <c r="A775" s="1">
        <v>44965</v>
      </c>
      <c r="B775" s="4">
        <v>2126.06</v>
      </c>
    </row>
    <row r="776" spans="1:2" x14ac:dyDescent="0.3">
      <c r="A776" s="1">
        <v>44966</v>
      </c>
      <c r="B776" s="4">
        <v>2142.5700000000002</v>
      </c>
    </row>
    <row r="777" spans="1:2" x14ac:dyDescent="0.3">
      <c r="A777" s="1">
        <v>44967</v>
      </c>
      <c r="B777" s="4">
        <v>2158.98</v>
      </c>
    </row>
    <row r="778" spans="1:2" x14ac:dyDescent="0.3">
      <c r="A778" s="1">
        <v>44970</v>
      </c>
      <c r="B778" s="4">
        <v>2198.34</v>
      </c>
    </row>
    <row r="779" spans="1:2" x14ac:dyDescent="0.3">
      <c r="A779" s="1">
        <v>44971</v>
      </c>
      <c r="B779" s="4">
        <v>2186.7199999999998</v>
      </c>
    </row>
    <row r="780" spans="1:2" x14ac:dyDescent="0.3">
      <c r="A780" s="1">
        <v>44972</v>
      </c>
      <c r="B780" s="4">
        <v>2170.16</v>
      </c>
    </row>
    <row r="781" spans="1:2" x14ac:dyDescent="0.3">
      <c r="A781" s="1">
        <v>44973</v>
      </c>
      <c r="B781" s="4">
        <v>2173.4</v>
      </c>
    </row>
    <row r="782" spans="1:2" x14ac:dyDescent="0.3">
      <c r="A782" s="1">
        <v>44974</v>
      </c>
      <c r="B782" s="4">
        <v>2221.34</v>
      </c>
    </row>
    <row r="783" spans="1:2" x14ac:dyDescent="0.3">
      <c r="A783" s="1">
        <v>44977</v>
      </c>
      <c r="B783" s="4">
        <v>2220.4899999999998</v>
      </c>
    </row>
    <row r="784" spans="1:2" x14ac:dyDescent="0.3">
      <c r="A784" s="1">
        <v>44978</v>
      </c>
      <c r="B784" s="4">
        <v>2224.4299999999998</v>
      </c>
    </row>
    <row r="785" spans="1:2" x14ac:dyDescent="0.3">
      <c r="A785" s="1">
        <v>44979</v>
      </c>
      <c r="B785" s="4">
        <v>2189.81</v>
      </c>
    </row>
    <row r="786" spans="1:2" x14ac:dyDescent="0.3">
      <c r="A786" s="1">
        <v>44980</v>
      </c>
      <c r="B786" s="4">
        <v>2154.29</v>
      </c>
    </row>
    <row r="787" spans="1:2" x14ac:dyDescent="0.3">
      <c r="A787" s="1">
        <v>44981</v>
      </c>
      <c r="B787" s="4">
        <v>2129.25</v>
      </c>
    </row>
    <row r="788" spans="1:2" x14ac:dyDescent="0.3">
      <c r="A788" s="1">
        <v>44984</v>
      </c>
      <c r="B788" s="4">
        <v>2108.94</v>
      </c>
    </row>
    <row r="789" spans="1:2" x14ac:dyDescent="0.3">
      <c r="A789" s="1">
        <v>44985</v>
      </c>
      <c r="B789" s="4">
        <v>2104.4</v>
      </c>
    </row>
    <row r="790" spans="1:2" x14ac:dyDescent="0.3">
      <c r="A790" s="1">
        <v>44986</v>
      </c>
      <c r="B790" s="4">
        <v>2110.54</v>
      </c>
    </row>
    <row r="791" spans="1:2" x14ac:dyDescent="0.3">
      <c r="A791" s="1">
        <v>44987</v>
      </c>
      <c r="B791" s="4">
        <v>2116.83</v>
      </c>
    </row>
    <row r="792" spans="1:2" x14ac:dyDescent="0.3">
      <c r="A792" s="1">
        <v>44988</v>
      </c>
      <c r="B792" s="4">
        <v>2147.21</v>
      </c>
    </row>
    <row r="793" spans="1:2" x14ac:dyDescent="0.3">
      <c r="A793" s="1">
        <v>44991</v>
      </c>
      <c r="B793" s="4">
        <v>2136.33</v>
      </c>
    </row>
    <row r="794" spans="1:2" x14ac:dyDescent="0.3">
      <c r="A794" s="1">
        <v>44993</v>
      </c>
      <c r="B794" s="4">
        <v>2165.92</v>
      </c>
    </row>
    <row r="795" spans="1:2" x14ac:dyDescent="0.3">
      <c r="A795" s="1">
        <v>44994</v>
      </c>
      <c r="B795" s="4">
        <v>2188.2600000000002</v>
      </c>
    </row>
    <row r="796" spans="1:2" x14ac:dyDescent="0.3">
      <c r="A796" s="1">
        <v>44995</v>
      </c>
      <c r="B796" s="4">
        <v>2153</v>
      </c>
    </row>
    <row r="797" spans="1:2" x14ac:dyDescent="0.3">
      <c r="A797" s="1">
        <v>44998</v>
      </c>
      <c r="B797" s="4">
        <v>2129.0500000000002</v>
      </c>
    </row>
    <row r="798" spans="1:2" x14ac:dyDescent="0.3">
      <c r="A798" s="1">
        <v>44999</v>
      </c>
      <c r="B798" s="4">
        <v>2139.38</v>
      </c>
    </row>
    <row r="799" spans="1:2" x14ac:dyDescent="0.3">
      <c r="A799" s="1">
        <v>45000</v>
      </c>
      <c r="B799" s="4">
        <v>2171.75</v>
      </c>
    </row>
    <row r="800" spans="1:2" x14ac:dyDescent="0.3">
      <c r="A800" s="1">
        <v>45001</v>
      </c>
      <c r="B800" s="4">
        <v>2168.71</v>
      </c>
    </row>
    <row r="801" spans="1:2" x14ac:dyDescent="0.3">
      <c r="A801" s="1">
        <v>45002</v>
      </c>
      <c r="B801" s="4">
        <v>2190.81</v>
      </c>
    </row>
    <row r="802" spans="1:2" x14ac:dyDescent="0.3">
      <c r="A802" s="1">
        <v>45005</v>
      </c>
      <c r="B802" s="4">
        <v>2172.65</v>
      </c>
    </row>
    <row r="803" spans="1:2" x14ac:dyDescent="0.3">
      <c r="A803" s="1">
        <v>45006</v>
      </c>
      <c r="B803" s="4">
        <v>2203.48</v>
      </c>
    </row>
    <row r="804" spans="1:2" x14ac:dyDescent="0.3">
      <c r="A804" s="1">
        <v>45007</v>
      </c>
      <c r="B804" s="4">
        <v>2208.9699999999998</v>
      </c>
    </row>
    <row r="805" spans="1:2" x14ac:dyDescent="0.3">
      <c r="A805" s="1">
        <v>45008</v>
      </c>
      <c r="B805" s="4">
        <v>2201.69</v>
      </c>
    </row>
    <row r="806" spans="1:2" x14ac:dyDescent="0.3">
      <c r="A806" s="1">
        <v>45009</v>
      </c>
      <c r="B806" s="4">
        <v>2161.2800000000002</v>
      </c>
    </row>
    <row r="807" spans="1:2" x14ac:dyDescent="0.3">
      <c r="A807" s="1">
        <v>45012</v>
      </c>
      <c r="B807" s="4">
        <v>2149.15</v>
      </c>
    </row>
    <row r="808" spans="1:2" x14ac:dyDescent="0.3">
      <c r="A808" s="1">
        <v>45013</v>
      </c>
      <c r="B808" s="4">
        <v>2128.8000000000002</v>
      </c>
    </row>
    <row r="809" spans="1:2" x14ac:dyDescent="0.3">
      <c r="A809" s="1">
        <v>45014</v>
      </c>
      <c r="B809" s="4">
        <v>2142.62</v>
      </c>
    </row>
    <row r="810" spans="1:2" x14ac:dyDescent="0.3">
      <c r="A810" s="1">
        <v>45016</v>
      </c>
      <c r="B810" s="4">
        <v>2159.33</v>
      </c>
    </row>
    <row r="811" spans="1:2" x14ac:dyDescent="0.3">
      <c r="A811" s="1">
        <v>45019</v>
      </c>
      <c r="B811" s="4">
        <v>2165.27</v>
      </c>
    </row>
    <row r="812" spans="1:2" x14ac:dyDescent="0.3">
      <c r="A812" s="1">
        <v>45021</v>
      </c>
      <c r="B812" s="4">
        <v>2252.67</v>
      </c>
    </row>
    <row r="813" spans="1:2" x14ac:dyDescent="0.3">
      <c r="A813" s="1">
        <v>45022</v>
      </c>
      <c r="B813" s="4">
        <v>2269.13</v>
      </c>
    </row>
    <row r="814" spans="1:2" x14ac:dyDescent="0.3">
      <c r="A814" s="1">
        <v>45026</v>
      </c>
      <c r="B814" s="4">
        <v>2304.5</v>
      </c>
    </row>
    <row r="815" spans="1:2" x14ac:dyDescent="0.3">
      <c r="A815" s="1">
        <v>45027</v>
      </c>
      <c r="B815" s="4">
        <v>2296.3200000000002</v>
      </c>
    </row>
    <row r="816" spans="1:2" x14ac:dyDescent="0.3">
      <c r="A816" s="1">
        <v>45028</v>
      </c>
      <c r="B816" s="4">
        <v>2283.35</v>
      </c>
    </row>
    <row r="817" spans="1:2" x14ac:dyDescent="0.3">
      <c r="A817" s="1">
        <v>45029</v>
      </c>
      <c r="B817" s="4">
        <v>2253.67</v>
      </c>
    </row>
    <row r="818" spans="1:2" x14ac:dyDescent="0.3">
      <c r="A818" s="1">
        <v>45033</v>
      </c>
      <c r="B818" s="4">
        <v>2209.02</v>
      </c>
    </row>
    <row r="819" spans="1:2" x14ac:dyDescent="0.3">
      <c r="A819" s="1">
        <v>45034</v>
      </c>
      <c r="B819" s="4">
        <v>2211.61</v>
      </c>
    </row>
    <row r="820" spans="1:2" x14ac:dyDescent="0.3">
      <c r="A820" s="1">
        <v>45035</v>
      </c>
      <c r="B820" s="4">
        <v>2214.61</v>
      </c>
    </row>
    <row r="821" spans="1:2" x14ac:dyDescent="0.3">
      <c r="A821" s="1">
        <v>45036</v>
      </c>
      <c r="B821" s="4">
        <v>2227.73</v>
      </c>
    </row>
    <row r="822" spans="1:2" x14ac:dyDescent="0.3">
      <c r="A822" s="1">
        <v>45037</v>
      </c>
      <c r="B822" s="4">
        <v>2210.2199999999998</v>
      </c>
    </row>
    <row r="823" spans="1:2" x14ac:dyDescent="0.3">
      <c r="A823" s="1">
        <v>45040</v>
      </c>
      <c r="B823" s="4">
        <v>2223.89</v>
      </c>
    </row>
    <row r="824" spans="1:2" x14ac:dyDescent="0.3">
      <c r="A824" s="1">
        <v>45041</v>
      </c>
      <c r="B824" s="4">
        <v>2242.89</v>
      </c>
    </row>
    <row r="825" spans="1:2" x14ac:dyDescent="0.3">
      <c r="A825" s="1">
        <v>45042</v>
      </c>
      <c r="B825" s="4">
        <v>2271.0300000000002</v>
      </c>
    </row>
    <row r="826" spans="1:2" x14ac:dyDescent="0.3">
      <c r="A826" s="1">
        <v>45043</v>
      </c>
      <c r="B826" s="4">
        <v>2300.41</v>
      </c>
    </row>
    <row r="827" spans="1:2" x14ac:dyDescent="0.3">
      <c r="A827" s="1">
        <v>45044</v>
      </c>
      <c r="B827" s="4">
        <v>2359.08</v>
      </c>
    </row>
    <row r="828" spans="1:2" x14ac:dyDescent="0.3">
      <c r="A828" s="1">
        <v>45048</v>
      </c>
      <c r="B828" s="4">
        <v>2379.08</v>
      </c>
    </row>
    <row r="829" spans="1:2" x14ac:dyDescent="0.3">
      <c r="A829" s="1">
        <v>45049</v>
      </c>
      <c r="B829" s="4">
        <v>2351</v>
      </c>
    </row>
    <row r="830" spans="1:2" x14ac:dyDescent="0.3">
      <c r="A830" s="1">
        <v>45050</v>
      </c>
      <c r="B830" s="4">
        <v>2351.6</v>
      </c>
    </row>
    <row r="831" spans="1:2" x14ac:dyDescent="0.3">
      <c r="A831" s="1">
        <v>45051</v>
      </c>
      <c r="B831" s="4">
        <v>2372.15</v>
      </c>
    </row>
    <row r="832" spans="1:2" x14ac:dyDescent="0.3">
      <c r="A832" s="1">
        <v>45054</v>
      </c>
      <c r="B832" s="4">
        <v>2360.08</v>
      </c>
    </row>
    <row r="833" spans="1:2" x14ac:dyDescent="0.3">
      <c r="A833" s="1">
        <v>45055</v>
      </c>
      <c r="B833" s="4">
        <v>2369.0100000000002</v>
      </c>
    </row>
    <row r="834" spans="1:2" x14ac:dyDescent="0.3">
      <c r="A834" s="1">
        <v>45056</v>
      </c>
      <c r="B834" s="4">
        <v>2359.13</v>
      </c>
    </row>
    <row r="835" spans="1:2" x14ac:dyDescent="0.3">
      <c r="A835" s="1">
        <v>45057</v>
      </c>
      <c r="B835" s="4">
        <v>2237.1</v>
      </c>
    </row>
    <row r="836" spans="1:2" x14ac:dyDescent="0.3">
      <c r="A836" s="1">
        <v>45058</v>
      </c>
      <c r="B836" s="4">
        <v>2216.1</v>
      </c>
    </row>
    <row r="837" spans="1:2" x14ac:dyDescent="0.3">
      <c r="A837" s="1">
        <v>45061</v>
      </c>
      <c r="B837" s="4">
        <v>2241.79</v>
      </c>
    </row>
    <row r="838" spans="1:2" x14ac:dyDescent="0.3">
      <c r="A838" s="1">
        <v>45062</v>
      </c>
      <c r="B838" s="4">
        <v>2222.19</v>
      </c>
    </row>
    <row r="839" spans="1:2" x14ac:dyDescent="0.3">
      <c r="A839" s="1">
        <v>45063</v>
      </c>
      <c r="B839" s="4">
        <v>2214.61</v>
      </c>
    </row>
    <row r="840" spans="1:2" x14ac:dyDescent="0.3">
      <c r="A840" s="1">
        <v>45064</v>
      </c>
      <c r="B840" s="4">
        <v>2183.2800000000002</v>
      </c>
    </row>
    <row r="841" spans="1:2" x14ac:dyDescent="0.3">
      <c r="A841" s="1">
        <v>45065</v>
      </c>
      <c r="B841" s="4">
        <v>2185.12</v>
      </c>
    </row>
    <row r="842" spans="1:2" x14ac:dyDescent="0.3">
      <c r="A842" s="1">
        <v>45068</v>
      </c>
      <c r="B842" s="4">
        <v>2211.61</v>
      </c>
    </row>
    <row r="843" spans="1:2" x14ac:dyDescent="0.3">
      <c r="A843" s="1">
        <v>45069</v>
      </c>
      <c r="B843" s="4">
        <v>2192.71</v>
      </c>
    </row>
    <row r="844" spans="1:2" x14ac:dyDescent="0.3">
      <c r="A844" s="1">
        <v>45070</v>
      </c>
      <c r="B844" s="4">
        <v>2180.23</v>
      </c>
    </row>
    <row r="845" spans="1:2" x14ac:dyDescent="0.3">
      <c r="A845" s="1">
        <v>45071</v>
      </c>
      <c r="B845" s="4">
        <v>2199.7399999999998</v>
      </c>
    </row>
    <row r="846" spans="1:2" x14ac:dyDescent="0.3">
      <c r="A846" s="1">
        <v>45072</v>
      </c>
      <c r="B846" s="4">
        <v>2213.46</v>
      </c>
    </row>
    <row r="847" spans="1:2" x14ac:dyDescent="0.3">
      <c r="A847" s="1">
        <v>45075</v>
      </c>
      <c r="B847" s="4">
        <v>2219.54</v>
      </c>
    </row>
    <row r="848" spans="1:2" x14ac:dyDescent="0.3">
      <c r="A848" s="1">
        <v>45076</v>
      </c>
      <c r="B848" s="4">
        <v>2205.83</v>
      </c>
    </row>
    <row r="849" spans="1:2" x14ac:dyDescent="0.3">
      <c r="A849" s="1">
        <v>45077</v>
      </c>
      <c r="B849" s="4">
        <v>2200.69</v>
      </c>
    </row>
    <row r="850" spans="1:2" x14ac:dyDescent="0.3">
      <c r="A850" s="1">
        <v>45078</v>
      </c>
      <c r="B850" s="4">
        <v>2202.83</v>
      </c>
    </row>
    <row r="851" spans="1:2" x14ac:dyDescent="0.3">
      <c r="A851" s="1">
        <v>45079</v>
      </c>
      <c r="B851" s="4">
        <v>2229.52</v>
      </c>
    </row>
    <row r="852" spans="1:2" x14ac:dyDescent="0.3">
      <c r="A852" s="1">
        <v>45082</v>
      </c>
      <c r="B852" s="4">
        <v>2263.1999999999998</v>
      </c>
    </row>
    <row r="853" spans="1:2" x14ac:dyDescent="0.3">
      <c r="A853" s="1">
        <v>45083</v>
      </c>
      <c r="B853" s="4">
        <v>2272.8200000000002</v>
      </c>
    </row>
    <row r="854" spans="1:2" x14ac:dyDescent="0.3">
      <c r="A854" s="1">
        <v>45084</v>
      </c>
      <c r="B854" s="4">
        <v>2310.29</v>
      </c>
    </row>
    <row r="855" spans="1:2" x14ac:dyDescent="0.3">
      <c r="A855" s="1">
        <v>45085</v>
      </c>
      <c r="B855" s="4">
        <v>2335.0300000000002</v>
      </c>
    </row>
    <row r="856" spans="1:2" x14ac:dyDescent="0.3">
      <c r="A856" s="1">
        <v>45086</v>
      </c>
      <c r="B856" s="4">
        <v>2357.6799999999998</v>
      </c>
    </row>
    <row r="857" spans="1:2" x14ac:dyDescent="0.3">
      <c r="A857" s="1">
        <v>45089</v>
      </c>
      <c r="B857" s="4">
        <v>2334.69</v>
      </c>
    </row>
    <row r="858" spans="1:2" x14ac:dyDescent="0.3">
      <c r="A858" s="1">
        <v>45090</v>
      </c>
      <c r="B858" s="4">
        <v>2349.1</v>
      </c>
    </row>
    <row r="859" spans="1:2" x14ac:dyDescent="0.3">
      <c r="A859" s="1">
        <v>45091</v>
      </c>
      <c r="B859" s="4">
        <v>2349.75</v>
      </c>
    </row>
    <row r="860" spans="1:2" x14ac:dyDescent="0.3">
      <c r="A860" s="1">
        <v>45092</v>
      </c>
      <c r="B860" s="4">
        <v>2355.9899999999998</v>
      </c>
    </row>
    <row r="861" spans="1:2" x14ac:dyDescent="0.3">
      <c r="A861" s="1">
        <v>45093</v>
      </c>
      <c r="B861" s="4">
        <v>2361.48</v>
      </c>
    </row>
    <row r="862" spans="1:2" x14ac:dyDescent="0.3">
      <c r="A862" s="1">
        <v>45096</v>
      </c>
      <c r="B862" s="4">
        <v>2361.0300000000002</v>
      </c>
    </row>
    <row r="863" spans="1:2" x14ac:dyDescent="0.3">
      <c r="A863" s="1">
        <v>45097</v>
      </c>
      <c r="B863" s="4">
        <v>2376.64</v>
      </c>
    </row>
    <row r="864" spans="1:2" x14ac:dyDescent="0.3">
      <c r="A864" s="1">
        <v>45098</v>
      </c>
      <c r="B864" s="4">
        <v>2389.06</v>
      </c>
    </row>
    <row r="865" spans="1:2" x14ac:dyDescent="0.3">
      <c r="A865" s="1">
        <v>45099</v>
      </c>
      <c r="B865" s="4">
        <v>2410.81</v>
      </c>
    </row>
    <row r="866" spans="1:2" x14ac:dyDescent="0.3">
      <c r="A866" s="1">
        <v>45100</v>
      </c>
      <c r="B866" s="4">
        <v>2384.17</v>
      </c>
    </row>
    <row r="867" spans="1:2" x14ac:dyDescent="0.3">
      <c r="A867" s="1">
        <v>45103</v>
      </c>
      <c r="B867" s="4">
        <v>2372.1999999999998</v>
      </c>
    </row>
    <row r="868" spans="1:2" x14ac:dyDescent="0.3">
      <c r="A868" s="1">
        <v>45104</v>
      </c>
      <c r="B868" s="4">
        <v>2382.6799999999998</v>
      </c>
    </row>
    <row r="869" spans="1:2" x14ac:dyDescent="0.3">
      <c r="A869" s="1">
        <v>45105</v>
      </c>
      <c r="B869" s="4">
        <v>2416</v>
      </c>
    </row>
    <row r="870" spans="1:2" x14ac:dyDescent="0.3">
      <c r="A870" s="1">
        <v>45107</v>
      </c>
      <c r="B870" s="4">
        <v>2469.98</v>
      </c>
    </row>
    <row r="871" spans="1:2" x14ac:dyDescent="0.3">
      <c r="A871" s="1">
        <v>45110</v>
      </c>
      <c r="B871" s="4">
        <v>2448.5300000000002</v>
      </c>
    </row>
    <row r="872" spans="1:2" x14ac:dyDescent="0.3">
      <c r="A872" s="1">
        <v>45111</v>
      </c>
      <c r="B872" s="4">
        <v>2456.31</v>
      </c>
    </row>
    <row r="873" spans="1:2" x14ac:dyDescent="0.3">
      <c r="A873" s="1">
        <v>45112</v>
      </c>
      <c r="B873" s="4">
        <v>2465.2399999999998</v>
      </c>
    </row>
    <row r="874" spans="1:2" x14ac:dyDescent="0.3">
      <c r="A874" s="1">
        <v>45113</v>
      </c>
      <c r="B874" s="4">
        <v>2483</v>
      </c>
    </row>
    <row r="875" spans="1:2" x14ac:dyDescent="0.3">
      <c r="A875" s="1">
        <v>45114</v>
      </c>
      <c r="B875" s="4">
        <v>2443.84</v>
      </c>
    </row>
    <row r="876" spans="1:2" x14ac:dyDescent="0.3">
      <c r="A876" s="1">
        <v>45117</v>
      </c>
      <c r="B876" s="4">
        <v>2433.2600000000002</v>
      </c>
    </row>
    <row r="877" spans="1:2" x14ac:dyDescent="0.3">
      <c r="A877" s="1">
        <v>45118</v>
      </c>
      <c r="B877" s="4">
        <v>2468.98</v>
      </c>
    </row>
    <row r="878" spans="1:2" x14ac:dyDescent="0.3">
      <c r="A878" s="1">
        <v>45119</v>
      </c>
      <c r="B878" s="4">
        <v>2449.4299999999998</v>
      </c>
    </row>
    <row r="879" spans="1:2" x14ac:dyDescent="0.3">
      <c r="A879" s="1">
        <v>45120</v>
      </c>
      <c r="B879" s="4">
        <v>2444.64</v>
      </c>
    </row>
    <row r="880" spans="1:2" x14ac:dyDescent="0.3">
      <c r="A880" s="1">
        <v>45121</v>
      </c>
      <c r="B880" s="4">
        <v>2466.69</v>
      </c>
    </row>
    <row r="881" spans="1:2" x14ac:dyDescent="0.3">
      <c r="A881" s="1">
        <v>45124</v>
      </c>
      <c r="B881" s="4">
        <v>2463.25</v>
      </c>
    </row>
    <row r="882" spans="1:2" x14ac:dyDescent="0.3">
      <c r="A882" s="1">
        <v>45125</v>
      </c>
      <c r="B882" s="4">
        <v>2469.13</v>
      </c>
    </row>
    <row r="883" spans="1:2" x14ac:dyDescent="0.3">
      <c r="A883" s="1">
        <v>45126</v>
      </c>
      <c r="B883" s="4">
        <v>2488.54</v>
      </c>
    </row>
    <row r="884" spans="1:2" x14ac:dyDescent="0.3">
      <c r="A884" s="1">
        <v>45127</v>
      </c>
      <c r="B884" s="4">
        <v>2484.1</v>
      </c>
    </row>
    <row r="885" spans="1:2" x14ac:dyDescent="0.3">
      <c r="A885" s="1">
        <v>45128</v>
      </c>
      <c r="B885" s="4">
        <v>2580.4299999999998</v>
      </c>
    </row>
    <row r="886" spans="1:2" x14ac:dyDescent="0.3">
      <c r="A886" s="1">
        <v>45131</v>
      </c>
      <c r="B886" s="4">
        <v>2599.39</v>
      </c>
    </row>
    <row r="887" spans="1:2" x14ac:dyDescent="0.3">
      <c r="A887" s="1">
        <v>45132</v>
      </c>
      <c r="B887" s="4">
        <v>2555.14</v>
      </c>
    </row>
    <row r="888" spans="1:2" x14ac:dyDescent="0.3">
      <c r="A888" s="1">
        <v>45133</v>
      </c>
      <c r="B888" s="4">
        <v>2640.3</v>
      </c>
    </row>
    <row r="889" spans="1:2" x14ac:dyDescent="0.3">
      <c r="A889" s="1">
        <v>45134</v>
      </c>
      <c r="B889" s="4">
        <v>2654.22</v>
      </c>
    </row>
    <row r="890" spans="1:2" x14ac:dyDescent="0.3">
      <c r="A890" s="1">
        <v>45135</v>
      </c>
      <c r="B890" s="4">
        <v>2643.59</v>
      </c>
    </row>
    <row r="891" spans="1:2" x14ac:dyDescent="0.3">
      <c r="A891" s="1">
        <v>45138</v>
      </c>
      <c r="B891" s="4">
        <v>2675.32</v>
      </c>
    </row>
    <row r="892" spans="1:2" x14ac:dyDescent="0.3">
      <c r="A892" s="1">
        <v>45139</v>
      </c>
      <c r="B892" s="4">
        <v>2660.65</v>
      </c>
    </row>
    <row r="893" spans="1:2" x14ac:dyDescent="0.3">
      <c r="A893" s="1">
        <v>45140</v>
      </c>
      <c r="B893" s="4">
        <v>2622.15</v>
      </c>
    </row>
    <row r="894" spans="1:2" x14ac:dyDescent="0.3">
      <c r="A894" s="1">
        <v>45141</v>
      </c>
      <c r="B894" s="4">
        <v>2598.1</v>
      </c>
    </row>
    <row r="895" spans="1:2" x14ac:dyDescent="0.3">
      <c r="A895" s="1">
        <v>45142</v>
      </c>
      <c r="B895" s="4">
        <v>2626.9</v>
      </c>
    </row>
    <row r="896" spans="1:2" x14ac:dyDescent="0.3">
      <c r="A896" s="1">
        <v>45145</v>
      </c>
      <c r="B896" s="4">
        <v>2635.9</v>
      </c>
    </row>
    <row r="897" spans="1:2" x14ac:dyDescent="0.3">
      <c r="A897" s="1">
        <v>45146</v>
      </c>
      <c r="B897" s="4">
        <v>2632.2</v>
      </c>
    </row>
    <row r="898" spans="1:2" x14ac:dyDescent="0.3">
      <c r="A898" s="1">
        <v>45147</v>
      </c>
      <c r="B898" s="4">
        <v>2651.6</v>
      </c>
    </row>
    <row r="899" spans="1:2" x14ac:dyDescent="0.3">
      <c r="A899" s="1">
        <v>45148</v>
      </c>
      <c r="B899" s="4">
        <v>2643.5</v>
      </c>
    </row>
    <row r="900" spans="1:2" x14ac:dyDescent="0.3">
      <c r="A900" s="1">
        <v>45149</v>
      </c>
      <c r="B900" s="4">
        <v>2638.5</v>
      </c>
    </row>
    <row r="901" spans="1:2" x14ac:dyDescent="0.3">
      <c r="A901" s="1">
        <v>45152</v>
      </c>
      <c r="B901" s="4">
        <v>2659.9</v>
      </c>
    </row>
    <row r="902" spans="1:2" x14ac:dyDescent="0.3">
      <c r="A902" s="1">
        <v>45154</v>
      </c>
      <c r="B902" s="4">
        <v>2691.05</v>
      </c>
    </row>
    <row r="903" spans="1:2" x14ac:dyDescent="0.3">
      <c r="A903" s="1">
        <v>45155</v>
      </c>
      <c r="B903" s="4">
        <v>2652.5</v>
      </c>
    </row>
    <row r="904" spans="1:2" x14ac:dyDescent="0.3">
      <c r="A904" s="1">
        <v>45156</v>
      </c>
      <c r="B904" s="4">
        <v>2641.95</v>
      </c>
    </row>
    <row r="905" spans="1:2" x14ac:dyDescent="0.3">
      <c r="A905" s="1">
        <v>45159</v>
      </c>
      <c r="B905" s="4">
        <v>2662.25</v>
      </c>
    </row>
    <row r="906" spans="1:2" x14ac:dyDescent="0.3">
      <c r="A906" s="1">
        <v>45160</v>
      </c>
      <c r="B906" s="4">
        <v>2678.8</v>
      </c>
    </row>
    <row r="907" spans="1:2" x14ac:dyDescent="0.3">
      <c r="A907" s="1">
        <v>45161</v>
      </c>
      <c r="B907" s="4">
        <v>2717.6</v>
      </c>
    </row>
    <row r="908" spans="1:2" x14ac:dyDescent="0.3">
      <c r="A908" s="1">
        <v>45162</v>
      </c>
      <c r="B908" s="4">
        <v>2688.15</v>
      </c>
    </row>
    <row r="909" spans="1:2" x14ac:dyDescent="0.3">
      <c r="A909" s="1">
        <v>45163</v>
      </c>
      <c r="B909" s="4">
        <v>2638.4</v>
      </c>
    </row>
    <row r="910" spans="1:2" x14ac:dyDescent="0.3">
      <c r="A910" s="1">
        <v>45166</v>
      </c>
      <c r="B910" s="4">
        <v>2695.35</v>
      </c>
    </row>
    <row r="911" spans="1:2" x14ac:dyDescent="0.3">
      <c r="A911" s="1">
        <v>45167</v>
      </c>
      <c r="B911" s="4">
        <v>2718.95</v>
      </c>
    </row>
    <row r="912" spans="1:2" x14ac:dyDescent="0.3">
      <c r="A912" s="1">
        <v>45168</v>
      </c>
      <c r="B912" s="4">
        <v>2709</v>
      </c>
    </row>
    <row r="913" spans="1:2" x14ac:dyDescent="0.3">
      <c r="A913" s="1">
        <v>45169</v>
      </c>
      <c r="B913" s="4">
        <v>2702.7</v>
      </c>
    </row>
    <row r="914" spans="1:2" x14ac:dyDescent="0.3">
      <c r="A914" s="1">
        <v>45170</v>
      </c>
      <c r="B914" s="4">
        <v>2702.1</v>
      </c>
    </row>
    <row r="915" spans="1:2" x14ac:dyDescent="0.3">
      <c r="A915" s="1">
        <v>45173</v>
      </c>
      <c r="B915" s="4">
        <v>2711.1</v>
      </c>
    </row>
    <row r="916" spans="1:2" x14ac:dyDescent="0.3">
      <c r="A916" s="1">
        <v>45174</v>
      </c>
      <c r="B916" s="4">
        <v>2732.95</v>
      </c>
    </row>
    <row r="917" spans="1:2" x14ac:dyDescent="0.3">
      <c r="A917" s="1">
        <v>45175</v>
      </c>
      <c r="B917" s="4">
        <v>2730.45</v>
      </c>
    </row>
    <row r="918" spans="1:2" x14ac:dyDescent="0.3">
      <c r="A918" s="1">
        <v>45176</v>
      </c>
      <c r="B918" s="4">
        <v>2846.4</v>
      </c>
    </row>
    <row r="919" spans="1:2" x14ac:dyDescent="0.3">
      <c r="A919" s="1">
        <v>45177</v>
      </c>
      <c r="B919" s="4">
        <v>2901.6</v>
      </c>
    </row>
    <row r="920" spans="1:2" x14ac:dyDescent="0.3">
      <c r="A920" s="1">
        <v>45180</v>
      </c>
      <c r="B920" s="4">
        <v>2894.2</v>
      </c>
    </row>
    <row r="921" spans="1:2" x14ac:dyDescent="0.3">
      <c r="A921" s="1">
        <v>45181</v>
      </c>
      <c r="B921" s="4">
        <v>2944.1</v>
      </c>
    </row>
    <row r="922" spans="1:2" x14ac:dyDescent="0.3">
      <c r="A922" s="1">
        <v>45182</v>
      </c>
      <c r="B922" s="4">
        <v>2906.75</v>
      </c>
    </row>
    <row r="923" spans="1:2" x14ac:dyDescent="0.3">
      <c r="A923" s="1">
        <v>45183</v>
      </c>
      <c r="B923" s="4">
        <v>2918.6</v>
      </c>
    </row>
    <row r="924" spans="1:2" x14ac:dyDescent="0.3">
      <c r="A924" s="1">
        <v>45184</v>
      </c>
      <c r="B924" s="4">
        <v>2908.55</v>
      </c>
    </row>
    <row r="925" spans="1:2" x14ac:dyDescent="0.3">
      <c r="A925" s="1">
        <v>45187</v>
      </c>
      <c r="B925" s="4">
        <v>2919.85</v>
      </c>
    </row>
    <row r="926" spans="1:2" x14ac:dyDescent="0.3">
      <c r="A926" s="1">
        <v>45189</v>
      </c>
      <c r="B926" s="4">
        <v>2890</v>
      </c>
    </row>
    <row r="927" spans="1:2" x14ac:dyDescent="0.3">
      <c r="A927" s="1">
        <v>45190</v>
      </c>
      <c r="B927" s="4">
        <v>2899.35</v>
      </c>
    </row>
    <row r="928" spans="1:2" x14ac:dyDescent="0.3">
      <c r="A928" s="1">
        <v>45191</v>
      </c>
      <c r="B928" s="4">
        <v>2918.5</v>
      </c>
    </row>
    <row r="929" spans="1:2" x14ac:dyDescent="0.3">
      <c r="A929" s="1">
        <v>45194</v>
      </c>
      <c r="B929" s="4">
        <v>2902.5</v>
      </c>
    </row>
    <row r="930" spans="1:2" x14ac:dyDescent="0.3">
      <c r="A930" s="1">
        <v>45195</v>
      </c>
      <c r="B930" s="4">
        <v>2912.55</v>
      </c>
    </row>
    <row r="931" spans="1:2" x14ac:dyDescent="0.3">
      <c r="A931" s="1">
        <v>45196</v>
      </c>
      <c r="B931" s="4">
        <v>2965.05</v>
      </c>
    </row>
    <row r="932" spans="1:2" x14ac:dyDescent="0.3">
      <c r="A932" s="1">
        <v>45197</v>
      </c>
      <c r="B932" s="4">
        <v>3010</v>
      </c>
    </row>
    <row r="933" spans="1:2" x14ac:dyDescent="0.3">
      <c r="A933" s="1">
        <v>45198</v>
      </c>
      <c r="B933" s="4">
        <v>3023.55</v>
      </c>
    </row>
    <row r="934" spans="1:2" x14ac:dyDescent="0.3">
      <c r="A934" s="1">
        <v>45202</v>
      </c>
      <c r="B934" s="4">
        <v>3073.25</v>
      </c>
    </row>
    <row r="935" spans="1:2" x14ac:dyDescent="0.3">
      <c r="A935" s="1">
        <v>45203</v>
      </c>
      <c r="B935" s="4">
        <v>3027.75</v>
      </c>
    </row>
    <row r="936" spans="1:2" x14ac:dyDescent="0.3">
      <c r="A936" s="1">
        <v>45204</v>
      </c>
      <c r="B936" s="4">
        <v>3096.05</v>
      </c>
    </row>
    <row r="937" spans="1:2" x14ac:dyDescent="0.3">
      <c r="A937" s="1">
        <v>45205</v>
      </c>
      <c r="B937" s="4">
        <v>3093.7</v>
      </c>
    </row>
    <row r="938" spans="1:2" x14ac:dyDescent="0.3">
      <c r="A938" s="1">
        <v>45208</v>
      </c>
      <c r="B938" s="4">
        <v>3074.7</v>
      </c>
    </row>
    <row r="939" spans="1:2" x14ac:dyDescent="0.3">
      <c r="A939" s="1">
        <v>45209</v>
      </c>
      <c r="B939" s="4">
        <v>3076</v>
      </c>
    </row>
    <row r="940" spans="1:2" x14ac:dyDescent="0.3">
      <c r="A940" s="1">
        <v>45210</v>
      </c>
      <c r="B940" s="4">
        <v>3088.7</v>
      </c>
    </row>
    <row r="941" spans="1:2" x14ac:dyDescent="0.3">
      <c r="A941" s="1">
        <v>45211</v>
      </c>
      <c r="B941" s="4">
        <v>3081.75</v>
      </c>
    </row>
    <row r="942" spans="1:2" x14ac:dyDescent="0.3">
      <c r="A942" s="1">
        <v>45212</v>
      </c>
      <c r="B942" s="4">
        <v>3089.6</v>
      </c>
    </row>
    <row r="943" spans="1:2" x14ac:dyDescent="0.3">
      <c r="A943" s="1">
        <v>45215</v>
      </c>
      <c r="B943" s="4">
        <v>3101.9</v>
      </c>
    </row>
    <row r="944" spans="1:2" x14ac:dyDescent="0.3">
      <c r="A944" s="1">
        <v>45216</v>
      </c>
      <c r="B944" s="4">
        <v>3066.3</v>
      </c>
    </row>
    <row r="945" spans="1:2" x14ac:dyDescent="0.3">
      <c r="A945" s="1">
        <v>45217</v>
      </c>
      <c r="B945" s="4">
        <v>3045.6</v>
      </c>
    </row>
    <row r="946" spans="1:2" x14ac:dyDescent="0.3">
      <c r="A946" s="1">
        <v>45218</v>
      </c>
      <c r="B946" s="4">
        <v>3054.4</v>
      </c>
    </row>
    <row r="947" spans="1:2" x14ac:dyDescent="0.3">
      <c r="A947" s="1">
        <v>45219</v>
      </c>
      <c r="B947" s="4">
        <v>3012.35</v>
      </c>
    </row>
    <row r="948" spans="1:2" x14ac:dyDescent="0.3">
      <c r="A948" s="1">
        <v>45222</v>
      </c>
      <c r="B948" s="4">
        <v>2958.3</v>
      </c>
    </row>
    <row r="949" spans="1:2" x14ac:dyDescent="0.3">
      <c r="A949" s="1">
        <v>45224</v>
      </c>
      <c r="B949" s="4">
        <v>2916.1</v>
      </c>
    </row>
    <row r="950" spans="1:2" x14ac:dyDescent="0.3">
      <c r="A950" s="1">
        <v>45225</v>
      </c>
      <c r="B950" s="4">
        <v>2864.6</v>
      </c>
    </row>
    <row r="951" spans="1:2" x14ac:dyDescent="0.3">
      <c r="A951" s="1">
        <v>45226</v>
      </c>
      <c r="B951" s="4">
        <v>2901.9</v>
      </c>
    </row>
    <row r="952" spans="1:2" x14ac:dyDescent="0.3">
      <c r="A952" s="1">
        <v>45229</v>
      </c>
      <c r="B952" s="4">
        <v>2926.35</v>
      </c>
    </row>
    <row r="953" spans="1:2" x14ac:dyDescent="0.3">
      <c r="A953" s="1">
        <v>45230</v>
      </c>
      <c r="B953" s="4">
        <v>2929.05</v>
      </c>
    </row>
    <row r="954" spans="1:2" x14ac:dyDescent="0.3">
      <c r="A954" s="1">
        <v>45231</v>
      </c>
      <c r="B954" s="4">
        <v>2895.3</v>
      </c>
    </row>
    <row r="955" spans="1:2" x14ac:dyDescent="0.3">
      <c r="A955" s="1">
        <v>45232</v>
      </c>
      <c r="B955" s="4">
        <v>2918.1</v>
      </c>
    </row>
    <row r="956" spans="1:2" x14ac:dyDescent="0.3">
      <c r="A956" s="1">
        <v>45233</v>
      </c>
      <c r="B956" s="4">
        <v>2911.25</v>
      </c>
    </row>
    <row r="957" spans="1:2" x14ac:dyDescent="0.3">
      <c r="A957" s="1">
        <v>45236</v>
      </c>
      <c r="B957" s="4">
        <v>2975.45</v>
      </c>
    </row>
    <row r="958" spans="1:2" x14ac:dyDescent="0.3">
      <c r="A958" s="1">
        <v>45237</v>
      </c>
      <c r="B958" s="4">
        <v>2961.3</v>
      </c>
    </row>
    <row r="959" spans="1:2" x14ac:dyDescent="0.3">
      <c r="A959" s="1">
        <v>45238</v>
      </c>
      <c r="B959" s="4">
        <v>2996.45</v>
      </c>
    </row>
    <row r="960" spans="1:2" x14ac:dyDescent="0.3">
      <c r="A960" s="1">
        <v>45239</v>
      </c>
      <c r="B960" s="4">
        <v>3024.85</v>
      </c>
    </row>
    <row r="961" spans="1:2" x14ac:dyDescent="0.3">
      <c r="A961" s="1">
        <v>45240</v>
      </c>
      <c r="B961" s="4">
        <v>3033.25</v>
      </c>
    </row>
    <row r="962" spans="1:2" x14ac:dyDescent="0.3">
      <c r="A962" s="1">
        <v>45242</v>
      </c>
      <c r="B962" s="4">
        <v>3052</v>
      </c>
    </row>
    <row r="963" spans="1:2" x14ac:dyDescent="0.3">
      <c r="A963" s="1">
        <v>45243</v>
      </c>
      <c r="B963" s="4">
        <v>3048.5</v>
      </c>
    </row>
    <row r="964" spans="1:2" x14ac:dyDescent="0.3">
      <c r="A964" s="1">
        <v>45245</v>
      </c>
      <c r="B964" s="4">
        <v>3064.95</v>
      </c>
    </row>
    <row r="965" spans="1:2" x14ac:dyDescent="0.3">
      <c r="A965" s="1">
        <v>45246</v>
      </c>
      <c r="B965" s="4">
        <v>3051.15</v>
      </c>
    </row>
    <row r="966" spans="1:2" x14ac:dyDescent="0.3">
      <c r="A966" s="1">
        <v>45247</v>
      </c>
      <c r="B966" s="4">
        <v>3109</v>
      </c>
    </row>
    <row r="967" spans="1:2" x14ac:dyDescent="0.3">
      <c r="A967" s="1">
        <v>45250</v>
      </c>
      <c r="B967" s="4">
        <v>3088.8</v>
      </c>
    </row>
    <row r="968" spans="1:2" x14ac:dyDescent="0.3">
      <c r="A968" s="1">
        <v>45251</v>
      </c>
      <c r="B968" s="4">
        <v>3074.85</v>
      </c>
    </row>
    <row r="969" spans="1:2" x14ac:dyDescent="0.3">
      <c r="A969" s="1">
        <v>45252</v>
      </c>
      <c r="B969" s="4">
        <v>3082.3</v>
      </c>
    </row>
    <row r="970" spans="1:2" x14ac:dyDescent="0.3">
      <c r="A970" s="1">
        <v>45253</v>
      </c>
      <c r="B970" s="4">
        <v>3045.65</v>
      </c>
    </row>
    <row r="971" spans="1:2" x14ac:dyDescent="0.3">
      <c r="A971" s="1">
        <v>45254</v>
      </c>
      <c r="B971" s="4">
        <v>3054.25</v>
      </c>
    </row>
    <row r="972" spans="1:2" x14ac:dyDescent="0.3">
      <c r="A972" s="1">
        <v>45258</v>
      </c>
      <c r="B972" s="4">
        <v>3050</v>
      </c>
    </row>
    <row r="973" spans="1:2" x14ac:dyDescent="0.3">
      <c r="A973" s="1">
        <v>45259</v>
      </c>
      <c r="B973" s="4">
        <v>3083.75</v>
      </c>
    </row>
    <row r="974" spans="1:2" x14ac:dyDescent="0.3">
      <c r="A974" s="1">
        <v>45260</v>
      </c>
      <c r="B974" s="4">
        <v>3109.2</v>
      </c>
    </row>
    <row r="975" spans="1:2" x14ac:dyDescent="0.3">
      <c r="A975" s="1">
        <v>45261</v>
      </c>
      <c r="B975" s="4">
        <v>3190.65</v>
      </c>
    </row>
    <row r="976" spans="1:2" x14ac:dyDescent="0.3">
      <c r="A976" s="1">
        <v>45264</v>
      </c>
      <c r="B976" s="4">
        <v>3313.55</v>
      </c>
    </row>
    <row r="977" spans="1:2" x14ac:dyDescent="0.3">
      <c r="A977" s="1">
        <v>45265</v>
      </c>
      <c r="B977" s="4">
        <v>3315.45</v>
      </c>
    </row>
    <row r="978" spans="1:2" x14ac:dyDescent="0.3">
      <c r="A978" s="1">
        <v>45266</v>
      </c>
      <c r="B978" s="4">
        <v>3392.3</v>
      </c>
    </row>
    <row r="979" spans="1:2" x14ac:dyDescent="0.3">
      <c r="A979" s="1">
        <v>45267</v>
      </c>
      <c r="B979" s="4">
        <v>3355.6</v>
      </c>
    </row>
    <row r="980" spans="1:2" x14ac:dyDescent="0.3">
      <c r="A980" s="1">
        <v>45268</v>
      </c>
      <c r="B980" s="4">
        <v>3378.45</v>
      </c>
    </row>
    <row r="981" spans="1:2" x14ac:dyDescent="0.3">
      <c r="A981" s="1">
        <v>45271</v>
      </c>
      <c r="B981" s="4">
        <v>3385.8</v>
      </c>
    </row>
    <row r="982" spans="1:2" x14ac:dyDescent="0.3">
      <c r="A982" s="1">
        <v>45272</v>
      </c>
      <c r="B982" s="4">
        <v>3342.4</v>
      </c>
    </row>
    <row r="983" spans="1:2" x14ac:dyDescent="0.3">
      <c r="A983" s="1">
        <v>45273</v>
      </c>
      <c r="B983" s="4">
        <v>3399.8</v>
      </c>
    </row>
    <row r="984" spans="1:2" x14ac:dyDescent="0.3">
      <c r="A984" s="1">
        <v>45274</v>
      </c>
      <c r="B984" s="4">
        <v>3433.1</v>
      </c>
    </row>
    <row r="985" spans="1:2" x14ac:dyDescent="0.3">
      <c r="A985" s="1">
        <v>45275</v>
      </c>
      <c r="B985" s="4">
        <v>3488</v>
      </c>
    </row>
    <row r="986" spans="1:2" x14ac:dyDescent="0.3">
      <c r="A986" s="1">
        <v>45278</v>
      </c>
      <c r="B986" s="4">
        <v>3491.6</v>
      </c>
    </row>
    <row r="987" spans="1:2" x14ac:dyDescent="0.3">
      <c r="A987" s="1">
        <v>45279</v>
      </c>
      <c r="B987" s="4">
        <v>3498.95</v>
      </c>
    </row>
    <row r="988" spans="1:2" x14ac:dyDescent="0.3">
      <c r="A988" s="1">
        <v>45280</v>
      </c>
      <c r="B988" s="4">
        <v>3418.5</v>
      </c>
    </row>
    <row r="989" spans="1:2" x14ac:dyDescent="0.3">
      <c r="A989" s="1">
        <v>45281</v>
      </c>
      <c r="B989" s="4">
        <v>3424.15</v>
      </c>
    </row>
    <row r="990" spans="1:2" x14ac:dyDescent="0.3">
      <c r="A990" s="1">
        <v>45282</v>
      </c>
      <c r="B990" s="4">
        <v>3477.95</v>
      </c>
    </row>
    <row r="991" spans="1:2" x14ac:dyDescent="0.3">
      <c r="A991" s="1">
        <v>45286</v>
      </c>
      <c r="B991" s="4">
        <v>3490.05</v>
      </c>
    </row>
    <row r="992" spans="1:2" x14ac:dyDescent="0.3">
      <c r="A992" s="1">
        <v>45287</v>
      </c>
      <c r="B992" s="4">
        <v>3544</v>
      </c>
    </row>
    <row r="993" spans="1:2" x14ac:dyDescent="0.3">
      <c r="A993" s="1">
        <v>45288</v>
      </c>
      <c r="B993" s="4">
        <v>3518.05</v>
      </c>
    </row>
    <row r="994" spans="1:2" x14ac:dyDescent="0.3">
      <c r="A994" s="1">
        <v>45289</v>
      </c>
      <c r="B994" s="4">
        <v>3526</v>
      </c>
    </row>
    <row r="995" spans="1:2" x14ac:dyDescent="0.3">
      <c r="A995" s="1">
        <v>45292</v>
      </c>
      <c r="B995" s="4">
        <v>3525.45</v>
      </c>
    </row>
    <row r="996" spans="1:2" x14ac:dyDescent="0.3">
      <c r="A996" s="1">
        <v>45293</v>
      </c>
      <c r="B996" s="4">
        <v>3438.1</v>
      </c>
    </row>
    <row r="997" spans="1:2" x14ac:dyDescent="0.3">
      <c r="A997" s="1">
        <v>45294</v>
      </c>
      <c r="B997" s="4">
        <v>3440.35</v>
      </c>
    </row>
    <row r="998" spans="1:2" x14ac:dyDescent="0.3">
      <c r="A998" s="1">
        <v>45295</v>
      </c>
      <c r="B998" s="4">
        <v>3458.7</v>
      </c>
    </row>
    <row r="999" spans="1:2" x14ac:dyDescent="0.3">
      <c r="A999" s="1">
        <v>45296</v>
      </c>
      <c r="B999" s="4">
        <v>3521.9</v>
      </c>
    </row>
    <row r="1000" spans="1:2" x14ac:dyDescent="0.3">
      <c r="A1000" s="1">
        <v>45299</v>
      </c>
      <c r="B1000" s="4">
        <v>3501.1</v>
      </c>
    </row>
    <row r="1001" spans="1:2" x14ac:dyDescent="0.3">
      <c r="A1001" s="1">
        <v>45300</v>
      </c>
      <c r="B1001" s="4">
        <v>3555.95</v>
      </c>
    </row>
    <row r="1002" spans="1:2" x14ac:dyDescent="0.3">
      <c r="A1002" s="1">
        <v>45301</v>
      </c>
      <c r="B1002" s="4">
        <v>3545.5</v>
      </c>
    </row>
    <row r="1003" spans="1:2" x14ac:dyDescent="0.3">
      <c r="A1003" s="1">
        <v>45302</v>
      </c>
      <c r="B1003" s="4">
        <v>3504.85</v>
      </c>
    </row>
    <row r="1004" spans="1:2" x14ac:dyDescent="0.3">
      <c r="A1004" s="1">
        <v>45303</v>
      </c>
      <c r="B1004" s="4">
        <v>3568.8</v>
      </c>
    </row>
    <row r="1005" spans="1:2" x14ac:dyDescent="0.3">
      <c r="A1005" s="1">
        <v>45306</v>
      </c>
      <c r="B1005" s="4">
        <v>3543.05</v>
      </c>
    </row>
    <row r="1006" spans="1:2" x14ac:dyDescent="0.3">
      <c r="A1006" s="1">
        <v>45307</v>
      </c>
      <c r="B1006" s="4">
        <v>3573.5</v>
      </c>
    </row>
    <row r="1007" spans="1:2" x14ac:dyDescent="0.3">
      <c r="A1007" s="1">
        <v>45308</v>
      </c>
      <c r="B1007" s="4">
        <v>3570.95</v>
      </c>
    </row>
    <row r="1008" spans="1:2" x14ac:dyDescent="0.3">
      <c r="A1008" s="1">
        <v>45309</v>
      </c>
      <c r="B1008" s="4">
        <v>3596</v>
      </c>
    </row>
    <row r="1009" spans="1:2" x14ac:dyDescent="0.3">
      <c r="A1009" s="1">
        <v>45310</v>
      </c>
      <c r="B1009" s="4">
        <v>3646</v>
      </c>
    </row>
    <row r="1010" spans="1:2" x14ac:dyDescent="0.3">
      <c r="A1010" s="1">
        <v>45311</v>
      </c>
      <c r="B1010" s="4">
        <v>3634.5</v>
      </c>
    </row>
    <row r="1011" spans="1:2" x14ac:dyDescent="0.3">
      <c r="A1011" s="1">
        <v>45314</v>
      </c>
      <c r="B1011" s="4">
        <v>3551</v>
      </c>
    </row>
    <row r="1012" spans="1:2" x14ac:dyDescent="0.3">
      <c r="A1012" s="1">
        <v>45315</v>
      </c>
      <c r="B1012" s="4">
        <v>3589.2</v>
      </c>
    </row>
    <row r="1013" spans="1:2" x14ac:dyDescent="0.3">
      <c r="A1013" s="1">
        <v>45316</v>
      </c>
      <c r="B1013" s="4">
        <v>3593.45</v>
      </c>
    </row>
    <row r="1014" spans="1:2" x14ac:dyDescent="0.3">
      <c r="A1014" s="1">
        <v>45320</v>
      </c>
      <c r="B1014" s="4">
        <v>3708</v>
      </c>
    </row>
    <row r="1015" spans="1:2" x14ac:dyDescent="0.3">
      <c r="A1015" s="1">
        <v>45321</v>
      </c>
      <c r="B1015" s="4">
        <v>3633.3</v>
      </c>
    </row>
    <row r="1016" spans="1:2" x14ac:dyDescent="0.3">
      <c r="A1016" s="1">
        <v>45322</v>
      </c>
      <c r="B1016" s="4">
        <v>3479.75</v>
      </c>
    </row>
    <row r="1017" spans="1:2" x14ac:dyDescent="0.3">
      <c r="A1017" s="1">
        <v>45323</v>
      </c>
      <c r="B1017" s="4">
        <v>3398</v>
      </c>
    </row>
    <row r="1018" spans="1:2" x14ac:dyDescent="0.3">
      <c r="A1018" s="1">
        <v>45324</v>
      </c>
      <c r="B1018" s="4">
        <v>3376.05</v>
      </c>
    </row>
    <row r="1019" spans="1:2" x14ac:dyDescent="0.3">
      <c r="A1019" s="1">
        <v>45327</v>
      </c>
      <c r="B1019" s="4">
        <v>3341.75</v>
      </c>
    </row>
    <row r="1020" spans="1:2" x14ac:dyDescent="0.3">
      <c r="A1020" s="1">
        <v>45328</v>
      </c>
      <c r="B1020" s="4">
        <v>3424.25</v>
      </c>
    </row>
    <row r="1021" spans="1:2" x14ac:dyDescent="0.3">
      <c r="A1021" s="1">
        <v>45329</v>
      </c>
      <c r="B1021" s="4">
        <v>3394.7</v>
      </c>
    </row>
    <row r="1022" spans="1:2" x14ac:dyDescent="0.3">
      <c r="A1022" s="1">
        <v>45330</v>
      </c>
      <c r="B1022" s="4">
        <v>3335.5</v>
      </c>
    </row>
    <row r="1023" spans="1:2" x14ac:dyDescent="0.3">
      <c r="A1023" s="1">
        <v>45331</v>
      </c>
      <c r="B1023" s="4">
        <v>3324.55</v>
      </c>
    </row>
    <row r="1024" spans="1:2" x14ac:dyDescent="0.3">
      <c r="A1024" s="1">
        <v>45334</v>
      </c>
      <c r="B1024" s="4">
        <v>3299.55</v>
      </c>
    </row>
    <row r="1025" spans="1:2" x14ac:dyDescent="0.3">
      <c r="A1025" s="1">
        <v>45335</v>
      </c>
      <c r="B1025" s="4">
        <v>3321.5</v>
      </c>
    </row>
    <row r="1026" spans="1:2" x14ac:dyDescent="0.3">
      <c r="A1026" s="1">
        <v>45336</v>
      </c>
      <c r="B1026" s="4">
        <v>3309</v>
      </c>
    </row>
    <row r="1027" spans="1:2" x14ac:dyDescent="0.3">
      <c r="A1027" s="1">
        <v>45337</v>
      </c>
      <c r="B1027" s="4">
        <v>3300.3</v>
      </c>
    </row>
    <row r="1028" spans="1:2" x14ac:dyDescent="0.3">
      <c r="A1028" s="1">
        <v>45338</v>
      </c>
      <c r="B1028" s="4">
        <v>3386.75</v>
      </c>
    </row>
    <row r="1029" spans="1:2" x14ac:dyDescent="0.3">
      <c r="A1029" s="1">
        <v>45341</v>
      </c>
      <c r="B1029" s="4">
        <v>3339.85</v>
      </c>
    </row>
    <row r="1030" spans="1:2" x14ac:dyDescent="0.3">
      <c r="A1030" s="1">
        <v>45342</v>
      </c>
      <c r="B1030" s="4">
        <v>3356.75</v>
      </c>
    </row>
    <row r="1031" spans="1:2" x14ac:dyDescent="0.3">
      <c r="A1031" s="1">
        <v>45343</v>
      </c>
      <c r="B1031" s="4">
        <v>3296.4</v>
      </c>
    </row>
    <row r="1032" spans="1:2" x14ac:dyDescent="0.3">
      <c r="A1032" s="1">
        <v>45344</v>
      </c>
      <c r="B1032" s="4">
        <v>3363.75</v>
      </c>
    </row>
    <row r="1033" spans="1:2" x14ac:dyDescent="0.3">
      <c r="A1033" s="1">
        <v>45345</v>
      </c>
      <c r="B1033" s="4">
        <v>3387.95</v>
      </c>
    </row>
    <row r="1034" spans="1:2" x14ac:dyDescent="0.3">
      <c r="A1034" s="1">
        <v>45348</v>
      </c>
      <c r="B1034" s="4">
        <v>3470.15</v>
      </c>
    </row>
    <row r="1035" spans="1:2" x14ac:dyDescent="0.3">
      <c r="A1035" s="1">
        <v>45349</v>
      </c>
      <c r="B1035" s="4">
        <v>3506.45</v>
      </c>
    </row>
    <row r="1036" spans="1:2" x14ac:dyDescent="0.3">
      <c r="A1036" s="1">
        <v>45350</v>
      </c>
      <c r="B1036" s="4">
        <v>3470.2</v>
      </c>
    </row>
    <row r="1037" spans="1:2" x14ac:dyDescent="0.3">
      <c r="A1037" s="1">
        <v>45351</v>
      </c>
      <c r="B1037" s="4">
        <v>3477.55</v>
      </c>
    </row>
    <row r="1038" spans="1:2" x14ac:dyDescent="0.3">
      <c r="A1038" s="1">
        <v>45352</v>
      </c>
      <c r="B1038" s="4">
        <v>3633.5</v>
      </c>
    </row>
    <row r="1039" spans="1:2" x14ac:dyDescent="0.3">
      <c r="A1039" s="1">
        <v>45353</v>
      </c>
      <c r="B1039" s="4">
        <v>3655.25</v>
      </c>
    </row>
    <row r="1040" spans="1:2" x14ac:dyDescent="0.3">
      <c r="A1040" s="1">
        <v>45355</v>
      </c>
      <c r="B1040" s="4">
        <v>3644.45</v>
      </c>
    </row>
    <row r="1041" spans="1:2" x14ac:dyDescent="0.3">
      <c r="A1041" s="1">
        <v>45356</v>
      </c>
      <c r="B1041" s="4">
        <v>3612.6</v>
      </c>
    </row>
    <row r="1042" spans="1:2" x14ac:dyDescent="0.3">
      <c r="A1042" s="1">
        <v>45357</v>
      </c>
      <c r="B1042" s="4">
        <v>3642.2</v>
      </c>
    </row>
    <row r="1043" spans="1:2" x14ac:dyDescent="0.3">
      <c r="A1043" s="1">
        <v>45358</v>
      </c>
      <c r="B1043" s="4">
        <v>3676.95</v>
      </c>
    </row>
    <row r="1044" spans="1:2" x14ac:dyDescent="0.3">
      <c r="A1044" s="1">
        <v>45362</v>
      </c>
      <c r="B1044" s="4">
        <v>3640.6</v>
      </c>
    </row>
    <row r="1045" spans="1:2" x14ac:dyDescent="0.3">
      <c r="A1045" s="1">
        <v>45363</v>
      </c>
      <c r="B1045" s="4">
        <v>3621.65</v>
      </c>
    </row>
    <row r="1046" spans="1:2" x14ac:dyDescent="0.3">
      <c r="A1046" s="1">
        <v>45364</v>
      </c>
      <c r="B1046" s="4">
        <v>3538.55</v>
      </c>
    </row>
    <row r="1047" spans="1:2" x14ac:dyDescent="0.3">
      <c r="A1047" s="1">
        <v>45365</v>
      </c>
      <c r="B1047" s="4">
        <v>3608.2</v>
      </c>
    </row>
    <row r="1048" spans="1:2" x14ac:dyDescent="0.3">
      <c r="A1048" s="1">
        <v>45366</v>
      </c>
      <c r="B1048" s="4">
        <v>3537.15</v>
      </c>
    </row>
    <row r="1049" spans="1:2" x14ac:dyDescent="0.3">
      <c r="A1049" s="1">
        <v>45369</v>
      </c>
      <c r="B1049" s="4">
        <v>3561.2</v>
      </c>
    </row>
    <row r="1050" spans="1:2" x14ac:dyDescent="0.3">
      <c r="A1050" s="1">
        <v>45370</v>
      </c>
      <c r="B1050" s="4">
        <v>3501.7</v>
      </c>
    </row>
    <row r="1051" spans="1:2" x14ac:dyDescent="0.3">
      <c r="A1051" s="1">
        <v>45371</v>
      </c>
      <c r="B1051" s="4">
        <v>3509.7</v>
      </c>
    </row>
    <row r="1052" spans="1:2" x14ac:dyDescent="0.3">
      <c r="A1052" s="1">
        <v>45372</v>
      </c>
      <c r="B1052" s="4">
        <v>3560</v>
      </c>
    </row>
    <row r="1053" spans="1:2" x14ac:dyDescent="0.3">
      <c r="A1053" s="1">
        <v>45373</v>
      </c>
      <c r="B1053" s="4">
        <v>3617.8</v>
      </c>
    </row>
    <row r="1054" spans="1:2" x14ac:dyDescent="0.3">
      <c r="A1054" s="1">
        <v>45377</v>
      </c>
      <c r="B1054" s="4">
        <v>3670.1</v>
      </c>
    </row>
    <row r="1055" spans="1:2" x14ac:dyDescent="0.3">
      <c r="A1055" s="1">
        <v>45378</v>
      </c>
      <c r="B1055" s="4">
        <v>3706.4</v>
      </c>
    </row>
    <row r="1056" spans="1:2" x14ac:dyDescent="0.3">
      <c r="A1056" s="1">
        <v>45379</v>
      </c>
      <c r="B1056" s="4">
        <v>3763.9</v>
      </c>
    </row>
    <row r="1057" spans="1:2" x14ac:dyDescent="0.3">
      <c r="A1057" s="1">
        <v>45383</v>
      </c>
      <c r="B1057" s="4">
        <v>3838</v>
      </c>
    </row>
    <row r="1058" spans="1:2" x14ac:dyDescent="0.3">
      <c r="A1058" s="1">
        <v>45384</v>
      </c>
      <c r="B1058" s="4">
        <v>3807.4</v>
      </c>
    </row>
    <row r="1059" spans="1:2" x14ac:dyDescent="0.3">
      <c r="A1059" s="1">
        <v>45385</v>
      </c>
      <c r="B1059" s="4">
        <v>3782.45</v>
      </c>
    </row>
    <row r="1060" spans="1:2" x14ac:dyDescent="0.3">
      <c r="A1060" s="1">
        <v>45386</v>
      </c>
      <c r="B1060" s="4">
        <v>3797.85</v>
      </c>
    </row>
    <row r="1061" spans="1:2" x14ac:dyDescent="0.3">
      <c r="A1061" s="1">
        <v>45387</v>
      </c>
      <c r="B1061" s="4">
        <v>3743.1</v>
      </c>
    </row>
    <row r="1062" spans="1:2" x14ac:dyDescent="0.3">
      <c r="A1062" s="1">
        <v>45390</v>
      </c>
      <c r="B1062" s="4">
        <v>3807.85</v>
      </c>
    </row>
    <row r="1063" spans="1:2" x14ac:dyDescent="0.3">
      <c r="A1063" s="1">
        <v>45391</v>
      </c>
      <c r="B1063" s="4">
        <v>3785.25</v>
      </c>
    </row>
    <row r="1064" spans="1:2" x14ac:dyDescent="0.3">
      <c r="A1064" s="1">
        <v>45392</v>
      </c>
      <c r="B1064" s="4">
        <v>3753.2</v>
      </c>
    </row>
    <row r="1065" spans="1:2" x14ac:dyDescent="0.3">
      <c r="A1065" s="1">
        <v>45394</v>
      </c>
      <c r="B1065" s="4">
        <v>3679.25</v>
      </c>
    </row>
    <row r="1066" spans="1:2" x14ac:dyDescent="0.3">
      <c r="A1066" s="1">
        <v>45397</v>
      </c>
      <c r="B1066" s="4">
        <v>3600.8</v>
      </c>
    </row>
    <row r="1067" spans="1:2" x14ac:dyDescent="0.3">
      <c r="A1067" s="1">
        <v>45398</v>
      </c>
      <c r="B1067" s="4">
        <v>3543.45</v>
      </c>
    </row>
    <row r="1068" spans="1:2" x14ac:dyDescent="0.3">
      <c r="A1068" s="1">
        <v>45400</v>
      </c>
      <c r="B1068" s="4">
        <v>3550.95</v>
      </c>
    </row>
    <row r="1069" spans="1:2" x14ac:dyDescent="0.3">
      <c r="A1069" s="1">
        <v>45401</v>
      </c>
      <c r="B1069" s="4">
        <v>3518.35</v>
      </c>
    </row>
    <row r="1070" spans="1:2" x14ac:dyDescent="0.3">
      <c r="A1070" s="1">
        <v>45404</v>
      </c>
      <c r="B1070" s="4">
        <v>3612.7</v>
      </c>
    </row>
    <row r="1071" spans="1:2" x14ac:dyDescent="0.3">
      <c r="A1071" s="1">
        <v>45405</v>
      </c>
      <c r="B1071" s="4">
        <v>3610.15</v>
      </c>
    </row>
    <row r="1072" spans="1:2" x14ac:dyDescent="0.3">
      <c r="A1072" s="1">
        <v>45406</v>
      </c>
      <c r="B1072" s="4">
        <v>3634.85</v>
      </c>
    </row>
    <row r="1073" spans="1:2" x14ac:dyDescent="0.3">
      <c r="A1073" s="1">
        <v>45407</v>
      </c>
      <c r="B1073" s="4">
        <v>3652.3</v>
      </c>
    </row>
    <row r="1074" spans="1:2" x14ac:dyDescent="0.3">
      <c r="A1074" s="1">
        <v>45408</v>
      </c>
      <c r="B1074" s="4">
        <v>3605.2</v>
      </c>
    </row>
    <row r="1075" spans="1:2" x14ac:dyDescent="0.3">
      <c r="A1075" s="1">
        <v>45411</v>
      </c>
      <c r="B1075" s="4">
        <v>3634.3</v>
      </c>
    </row>
    <row r="1076" spans="1:2" x14ac:dyDescent="0.3">
      <c r="A1076" s="1">
        <v>45412</v>
      </c>
      <c r="B1076" s="4">
        <v>3594.3</v>
      </c>
    </row>
    <row r="1077" spans="1:2" x14ac:dyDescent="0.3">
      <c r="A1077" s="1">
        <v>45414</v>
      </c>
      <c r="B1077" s="4">
        <v>3599.5</v>
      </c>
    </row>
    <row r="1078" spans="1:2" x14ac:dyDescent="0.3">
      <c r="A1078" s="1">
        <v>45415</v>
      </c>
      <c r="B1078" s="4">
        <v>3499.8</v>
      </c>
    </row>
    <row r="1079" spans="1:2" x14ac:dyDescent="0.3">
      <c r="A1079" s="1">
        <v>45418</v>
      </c>
      <c r="B1079" s="4">
        <v>3463.3</v>
      </c>
    </row>
    <row r="1080" spans="1:2" x14ac:dyDescent="0.3">
      <c r="A1080" s="1">
        <v>45419</v>
      </c>
      <c r="B1080" s="4">
        <v>3427.75</v>
      </c>
    </row>
    <row r="1081" spans="1:2" x14ac:dyDescent="0.3">
      <c r="A1081" s="1">
        <v>45420</v>
      </c>
      <c r="B1081" s="4">
        <v>3486.85</v>
      </c>
    </row>
    <row r="1082" spans="1:2" x14ac:dyDescent="0.3">
      <c r="A1082" s="1">
        <v>45421</v>
      </c>
      <c r="B1082" s="4">
        <v>3275.45</v>
      </c>
    </row>
    <row r="1083" spans="1:2" x14ac:dyDescent="0.3">
      <c r="A1083" s="1">
        <v>45422</v>
      </c>
      <c r="B1083" s="4">
        <v>3271.45</v>
      </c>
    </row>
    <row r="1084" spans="1:2" x14ac:dyDescent="0.3">
      <c r="A1084" s="1">
        <v>45425</v>
      </c>
      <c r="B1084" s="4">
        <v>3293.85</v>
      </c>
    </row>
    <row r="1085" spans="1:2" x14ac:dyDescent="0.3">
      <c r="A1085" s="1">
        <v>45426</v>
      </c>
      <c r="B1085" s="4">
        <v>3379.45</v>
      </c>
    </row>
    <row r="1086" spans="1:2" x14ac:dyDescent="0.3">
      <c r="A1086" s="1">
        <v>45427</v>
      </c>
      <c r="B1086" s="4">
        <v>3411.3</v>
      </c>
    </row>
    <row r="1087" spans="1:2" x14ac:dyDescent="0.3">
      <c r="A1087" s="1">
        <v>45428</v>
      </c>
      <c r="B1087" s="4">
        <v>3460.6</v>
      </c>
    </row>
    <row r="1088" spans="1:2" x14ac:dyDescent="0.3">
      <c r="A1088" s="1">
        <v>45429</v>
      </c>
      <c r="B1088" s="4">
        <v>3450.75</v>
      </c>
    </row>
    <row r="1089" spans="1:2" x14ac:dyDescent="0.3">
      <c r="A1089" s="1">
        <v>45430</v>
      </c>
      <c r="B1089" s="4">
        <v>3464.2</v>
      </c>
    </row>
    <row r="1090" spans="1:2" x14ac:dyDescent="0.3">
      <c r="A1090" s="1">
        <v>45433</v>
      </c>
      <c r="B1090" s="4">
        <v>3440.95</v>
      </c>
    </row>
    <row r="1091" spans="1:2" x14ac:dyDescent="0.3">
      <c r="A1091" s="1">
        <v>45434</v>
      </c>
      <c r="B1091" s="4">
        <v>3460.85</v>
      </c>
    </row>
    <row r="1092" spans="1:2" x14ac:dyDescent="0.3">
      <c r="A1092" s="1">
        <v>45435</v>
      </c>
      <c r="B1092" s="4">
        <v>3585.4</v>
      </c>
    </row>
    <row r="1093" spans="1:2" x14ac:dyDescent="0.3">
      <c r="A1093" s="1">
        <v>45436</v>
      </c>
      <c r="B1093" s="4">
        <v>3625.9</v>
      </c>
    </row>
    <row r="1094" spans="1:2" x14ac:dyDescent="0.3">
      <c r="A1094" s="1">
        <v>45439</v>
      </c>
      <c r="B1094" s="4">
        <v>3652</v>
      </c>
    </row>
    <row r="1095" spans="1:2" x14ac:dyDescent="0.3">
      <c r="A1095" s="1">
        <v>45440</v>
      </c>
      <c r="B1095" s="4">
        <v>3658.2</v>
      </c>
    </row>
    <row r="1096" spans="1:2" x14ac:dyDescent="0.3">
      <c r="A1096" s="1">
        <v>45441</v>
      </c>
      <c r="B1096" s="4">
        <v>3634.8</v>
      </c>
    </row>
    <row r="1097" spans="1:2" x14ac:dyDescent="0.3">
      <c r="A1097" s="1">
        <v>45442</v>
      </c>
      <c r="B1097" s="4">
        <v>3634.7</v>
      </c>
    </row>
    <row r="1098" spans="1:2" x14ac:dyDescent="0.3">
      <c r="A1098" s="1">
        <v>45443</v>
      </c>
      <c r="B1098" s="4">
        <v>3669.3</v>
      </c>
    </row>
    <row r="1099" spans="1:2" x14ac:dyDescent="0.3">
      <c r="A1099" s="1">
        <v>45446</v>
      </c>
      <c r="B1099" s="4">
        <v>3897.15</v>
      </c>
    </row>
    <row r="1100" spans="1:2" x14ac:dyDescent="0.3">
      <c r="A1100" s="1">
        <v>45447</v>
      </c>
      <c r="B1100" s="4">
        <v>3403.2</v>
      </c>
    </row>
    <row r="1101" spans="1:2" x14ac:dyDescent="0.3">
      <c r="A1101" s="1">
        <v>45448</v>
      </c>
      <c r="B1101" s="4">
        <v>3409</v>
      </c>
    </row>
    <row r="1102" spans="1:2" x14ac:dyDescent="0.3">
      <c r="A1102" s="1">
        <v>45449</v>
      </c>
      <c r="B1102" s="4">
        <v>3482.55</v>
      </c>
    </row>
    <row r="1103" spans="1:2" x14ac:dyDescent="0.3">
      <c r="A1103" s="1">
        <v>45450</v>
      </c>
      <c r="B1103" s="4">
        <v>3532.5</v>
      </c>
    </row>
    <row r="1104" spans="1:2" x14ac:dyDescent="0.3">
      <c r="A1104" s="1">
        <v>45453</v>
      </c>
      <c r="B1104" s="4">
        <v>3543.75</v>
      </c>
    </row>
    <row r="1105" spans="1:2" x14ac:dyDescent="0.3">
      <c r="A1105" s="1">
        <v>45454</v>
      </c>
      <c r="B1105" s="4">
        <v>3598.7</v>
      </c>
    </row>
    <row r="1106" spans="1:2" x14ac:dyDescent="0.3">
      <c r="A1106" s="1">
        <v>45455</v>
      </c>
      <c r="B1106" s="4">
        <v>3630.3</v>
      </c>
    </row>
    <row r="1107" spans="1:2" x14ac:dyDescent="0.3">
      <c r="A1107" s="1">
        <v>45456</v>
      </c>
      <c r="B1107" s="4">
        <v>3703.65</v>
      </c>
    </row>
    <row r="1108" spans="1:2" x14ac:dyDescent="0.3">
      <c r="A1108" s="1">
        <v>45457</v>
      </c>
      <c r="B1108" s="4">
        <v>3687.8</v>
      </c>
    </row>
    <row r="1109" spans="1:2" x14ac:dyDescent="0.3">
      <c r="A1109" s="1">
        <v>45461</v>
      </c>
      <c r="B1109" s="4">
        <v>3689.2</v>
      </c>
    </row>
    <row r="1110" spans="1:2" x14ac:dyDescent="0.3">
      <c r="A1110" s="1">
        <v>45462</v>
      </c>
      <c r="B1110" s="4">
        <v>3589.95</v>
      </c>
    </row>
    <row r="1111" spans="1:2" x14ac:dyDescent="0.3">
      <c r="A1111" s="1">
        <v>45463</v>
      </c>
      <c r="B1111" s="4">
        <v>3594.45</v>
      </c>
    </row>
    <row r="1112" spans="1:2" x14ac:dyDescent="0.3">
      <c r="A1112" s="1">
        <v>45464</v>
      </c>
      <c r="B1112" s="4">
        <v>3535</v>
      </c>
    </row>
    <row r="1113" spans="1:2" x14ac:dyDescent="0.3">
      <c r="A1113" s="1">
        <v>45467</v>
      </c>
      <c r="B1113" s="4">
        <v>3531.6</v>
      </c>
    </row>
    <row r="1114" spans="1:2" x14ac:dyDescent="0.3">
      <c r="A1114" s="1">
        <v>45468</v>
      </c>
      <c r="B1114" s="4">
        <v>3587.8</v>
      </c>
    </row>
    <row r="1115" spans="1:2" x14ac:dyDescent="0.3">
      <c r="A1115" s="1">
        <v>45469</v>
      </c>
      <c r="B1115" s="4">
        <v>3602.95</v>
      </c>
    </row>
    <row r="1116" spans="1:2" x14ac:dyDescent="0.3">
      <c r="A1116" s="1">
        <v>45470</v>
      </c>
      <c r="B1116" s="4">
        <v>3564.4</v>
      </c>
    </row>
    <row r="1117" spans="1:2" x14ac:dyDescent="0.3">
      <c r="A1117" s="1">
        <v>45471</v>
      </c>
      <c r="B1117" s="4">
        <v>3548.45</v>
      </c>
    </row>
    <row r="1118" spans="1:2" x14ac:dyDescent="0.3">
      <c r="A1118" s="1">
        <v>45474</v>
      </c>
      <c r="B1118" s="4">
        <v>3526.55</v>
      </c>
    </row>
    <row r="1119" spans="1:2" x14ac:dyDescent="0.3">
      <c r="A1119" s="1">
        <v>45475</v>
      </c>
      <c r="B1119" s="4">
        <v>3626.5</v>
      </c>
    </row>
    <row r="1120" spans="1:2" x14ac:dyDescent="0.3">
      <c r="A1120" s="1">
        <v>45476</v>
      </c>
      <c r="B1120" s="4">
        <v>3614.35</v>
      </c>
    </row>
    <row r="1121" spans="1:2" x14ac:dyDescent="0.3">
      <c r="A1121" s="1">
        <v>45477</v>
      </c>
      <c r="B1121" s="4">
        <v>3573.3</v>
      </c>
    </row>
    <row r="1122" spans="1:2" x14ac:dyDescent="0.3">
      <c r="A1122" s="1">
        <v>45478</v>
      </c>
      <c r="B1122" s="4">
        <v>3627.15</v>
      </c>
    </row>
    <row r="1123" spans="1:2" x14ac:dyDescent="0.3">
      <c r="A1123" s="1">
        <v>45481</v>
      </c>
      <c r="B1123" s="4">
        <v>3632</v>
      </c>
    </row>
    <row r="1124" spans="1:2" x14ac:dyDescent="0.3">
      <c r="A1124" s="1">
        <v>45482</v>
      </c>
      <c r="B1124" s="4">
        <v>3666.1</v>
      </c>
    </row>
    <row r="1125" spans="1:2" x14ac:dyDescent="0.3">
      <c r="A1125" s="1">
        <v>45483</v>
      </c>
      <c r="B1125" s="4">
        <v>3650.05</v>
      </c>
    </row>
    <row r="1126" spans="1:2" x14ac:dyDescent="0.3">
      <c r="A1126" s="1">
        <v>45484</v>
      </c>
      <c r="B1126" s="4">
        <v>3621.1</v>
      </c>
    </row>
    <row r="1127" spans="1:2" x14ac:dyDescent="0.3">
      <c r="A1127" s="1">
        <v>45485</v>
      </c>
      <c r="B1127" s="4">
        <v>3649.35</v>
      </c>
    </row>
    <row r="1128" spans="1:2" x14ac:dyDescent="0.3">
      <c r="A1128" s="1">
        <v>45488</v>
      </c>
      <c r="B1128" s="4">
        <v>3651.6</v>
      </c>
    </row>
    <row r="1129" spans="1:2" x14ac:dyDescent="0.3">
      <c r="A1129" s="1">
        <v>45489</v>
      </c>
      <c r="B1129" s="4">
        <v>3636.55</v>
      </c>
    </row>
    <row r="1130" spans="1:2" x14ac:dyDescent="0.3">
      <c r="A1130" s="1">
        <v>45491</v>
      </c>
      <c r="B1130" s="4">
        <v>3656.2</v>
      </c>
    </row>
    <row r="1131" spans="1:2" x14ac:dyDescent="0.3">
      <c r="A1131" s="1">
        <v>45492</v>
      </c>
      <c r="B1131" s="4">
        <v>3618.5</v>
      </c>
    </row>
    <row r="1132" spans="1:2" x14ac:dyDescent="0.3">
      <c r="A1132" s="1">
        <v>45495</v>
      </c>
      <c r="B1132" s="4">
        <v>3651.45</v>
      </c>
    </row>
    <row r="1133" spans="1:2" x14ac:dyDescent="0.3">
      <c r="A1133" s="1">
        <v>45496</v>
      </c>
      <c r="B1133" s="4">
        <v>3538.05</v>
      </c>
    </row>
    <row r="1134" spans="1:2" x14ac:dyDescent="0.3">
      <c r="A1134" s="1">
        <v>45497</v>
      </c>
      <c r="B1134" s="4">
        <v>3519.45</v>
      </c>
    </row>
    <row r="1135" spans="1:2" x14ac:dyDescent="0.3">
      <c r="A1135" s="1">
        <v>45498</v>
      </c>
      <c r="B1135" s="4">
        <v>3619.15</v>
      </c>
    </row>
    <row r="1136" spans="1:2" x14ac:dyDescent="0.3">
      <c r="A1136" s="1">
        <v>45499</v>
      </c>
      <c r="B1136" s="4">
        <v>3679.9</v>
      </c>
    </row>
    <row r="1137" spans="1:2" x14ac:dyDescent="0.3">
      <c r="A1137" s="1">
        <v>45502</v>
      </c>
      <c r="B1137" s="4">
        <v>3774.95</v>
      </c>
    </row>
    <row r="1138" spans="1:2" x14ac:dyDescent="0.3">
      <c r="A1138" s="1">
        <v>45503</v>
      </c>
      <c r="B1138" s="4">
        <v>3784.65</v>
      </c>
    </row>
    <row r="1139" spans="1:2" x14ac:dyDescent="0.3">
      <c r="A1139" s="1">
        <v>45504</v>
      </c>
      <c r="B1139" s="4">
        <v>3815</v>
      </c>
    </row>
    <row r="1140" spans="1:2" x14ac:dyDescent="0.3">
      <c r="A1140" s="1">
        <v>45505</v>
      </c>
      <c r="B1140" s="4">
        <v>3779.3</v>
      </c>
    </row>
    <row r="1141" spans="1:2" x14ac:dyDescent="0.3">
      <c r="A1141" s="1">
        <v>45506</v>
      </c>
      <c r="B1141" s="4">
        <v>3665.7</v>
      </c>
    </row>
    <row r="1142" spans="1:2" x14ac:dyDescent="0.3">
      <c r="A1142" s="1">
        <v>45509</v>
      </c>
      <c r="B1142" s="4">
        <v>3528</v>
      </c>
    </row>
    <row r="1143" spans="1:2" x14ac:dyDescent="0.3">
      <c r="A1143" s="1">
        <v>45510</v>
      </c>
      <c r="B1143" s="4">
        <v>3576.2</v>
      </c>
    </row>
    <row r="1144" spans="1:2" x14ac:dyDescent="0.3">
      <c r="A1144" s="1">
        <v>45511</v>
      </c>
      <c r="B1144" s="4">
        <v>3638.25</v>
      </c>
    </row>
    <row r="1145" spans="1:2" x14ac:dyDescent="0.3">
      <c r="A1145" s="1">
        <v>45512</v>
      </c>
      <c r="B1145" s="4">
        <v>3553.55</v>
      </c>
    </row>
    <row r="1146" spans="1:2" x14ac:dyDescent="0.3">
      <c r="A1146" s="1">
        <v>45513</v>
      </c>
      <c r="B1146" s="4">
        <v>3592.05</v>
      </c>
    </row>
    <row r="1147" spans="1:2" x14ac:dyDescent="0.3">
      <c r="A1147" s="1">
        <v>45516</v>
      </c>
      <c r="B1147" s="4">
        <v>3571.95</v>
      </c>
    </row>
    <row r="1148" spans="1:2" x14ac:dyDescent="0.3">
      <c r="A1148" s="1">
        <v>45517</v>
      </c>
      <c r="B1148" s="4">
        <v>3551.8</v>
      </c>
    </row>
    <row r="1149" spans="1:2" x14ac:dyDescent="0.3">
      <c r="A1149" s="1">
        <v>45518</v>
      </c>
      <c r="B1149" s="4">
        <v>3545.2</v>
      </c>
    </row>
    <row r="1150" spans="1:2" x14ac:dyDescent="0.3">
      <c r="A1150" s="1">
        <v>45520</v>
      </c>
      <c r="B1150" s="4">
        <v>3568.35</v>
      </c>
    </row>
    <row r="1151" spans="1:2" x14ac:dyDescent="0.3">
      <c r="A1151" s="1">
        <v>45523</v>
      </c>
      <c r="B1151" s="4">
        <v>3555.05</v>
      </c>
    </row>
    <row r="1152" spans="1:2" x14ac:dyDescent="0.3">
      <c r="A1152" s="1">
        <v>45524</v>
      </c>
      <c r="B1152" s="4">
        <v>3572.7</v>
      </c>
    </row>
    <row r="1153" spans="1:2" x14ac:dyDescent="0.3">
      <c r="A1153" s="1">
        <v>45525</v>
      </c>
      <c r="B1153" s="4">
        <v>3596.05</v>
      </c>
    </row>
    <row r="1154" spans="1:2" x14ac:dyDescent="0.3">
      <c r="A1154" s="1">
        <v>45526</v>
      </c>
      <c r="B1154" s="4">
        <v>3606.5</v>
      </c>
    </row>
    <row r="1155" spans="1:2" x14ac:dyDescent="0.3">
      <c r="A1155" s="1">
        <v>45527</v>
      </c>
      <c r="B1155" s="4">
        <v>3598.55</v>
      </c>
    </row>
    <row r="1156" spans="1:2" x14ac:dyDescent="0.3">
      <c r="A1156" s="1">
        <v>45530</v>
      </c>
      <c r="B1156" s="4">
        <v>3641.9</v>
      </c>
    </row>
    <row r="1157" spans="1:2" x14ac:dyDescent="0.3">
      <c r="A1157" s="1">
        <v>45531</v>
      </c>
      <c r="B1157" s="4">
        <v>3702.7</v>
      </c>
    </row>
    <row r="1158" spans="1:2" x14ac:dyDescent="0.3">
      <c r="A1158" s="1">
        <v>45532</v>
      </c>
      <c r="B1158" s="4">
        <v>3689.05</v>
      </c>
    </row>
    <row r="1159" spans="1:2" x14ac:dyDescent="0.3">
      <c r="A1159" s="1">
        <v>45533</v>
      </c>
      <c r="B1159" s="4">
        <v>3683.45</v>
      </c>
    </row>
    <row r="1160" spans="1:2" x14ac:dyDescent="0.3">
      <c r="A1160" s="1">
        <v>45534</v>
      </c>
      <c r="B1160" s="4">
        <v>3704.65</v>
      </c>
    </row>
    <row r="1161" spans="1:2" x14ac:dyDescent="0.3">
      <c r="A1161" s="1">
        <v>45537</v>
      </c>
      <c r="B1161" s="4">
        <v>3683.1</v>
      </c>
    </row>
    <row r="1162" spans="1:2" x14ac:dyDescent="0.3">
      <c r="A1162" s="1">
        <v>45538</v>
      </c>
      <c r="B1162" s="4">
        <v>3690.15</v>
      </c>
    </row>
    <row r="1163" spans="1:2" x14ac:dyDescent="0.3">
      <c r="A1163" s="1">
        <v>45539</v>
      </c>
      <c r="B1163" s="4">
        <v>3650.8</v>
      </c>
    </row>
    <row r="1164" spans="1:2" x14ac:dyDescent="0.3">
      <c r="A1164" s="1">
        <v>45540</v>
      </c>
      <c r="B1164" s="4">
        <v>3624.15</v>
      </c>
    </row>
    <row r="1165" spans="1:2" x14ac:dyDescent="0.3">
      <c r="A1165" s="1">
        <v>45541</v>
      </c>
      <c r="B1165" s="4">
        <v>3574.75</v>
      </c>
    </row>
    <row r="1166" spans="1:2" x14ac:dyDescent="0.3">
      <c r="A1166" s="1">
        <v>45544</v>
      </c>
      <c r="B1166" s="4">
        <v>3578.3</v>
      </c>
    </row>
    <row r="1167" spans="1:2" x14ac:dyDescent="0.3">
      <c r="A1167" s="1">
        <v>45545</v>
      </c>
      <c r="B1167" s="4">
        <v>3596.15</v>
      </c>
    </row>
    <row r="1168" spans="1:2" x14ac:dyDescent="0.3">
      <c r="A1168" s="1">
        <v>45546</v>
      </c>
      <c r="B1168" s="4">
        <v>3536.95</v>
      </c>
    </row>
    <row r="1169" spans="1:2" x14ac:dyDescent="0.3">
      <c r="A1169" s="1">
        <v>45547</v>
      </c>
      <c r="B1169" s="4">
        <v>3622</v>
      </c>
    </row>
    <row r="1170" spans="1:2" x14ac:dyDescent="0.3">
      <c r="A1170" s="1">
        <v>45548</v>
      </c>
      <c r="B1170" s="4">
        <v>3613</v>
      </c>
    </row>
    <row r="1171" spans="1:2" x14ac:dyDescent="0.3">
      <c r="A1171" s="1">
        <v>45551</v>
      </c>
      <c r="B1171" s="4">
        <v>3662.25</v>
      </c>
    </row>
    <row r="1172" spans="1:2" x14ac:dyDescent="0.3">
      <c r="A1172" s="1">
        <v>45552</v>
      </c>
      <c r="B1172" s="4">
        <v>3695.2</v>
      </c>
    </row>
    <row r="1173" spans="1:2" x14ac:dyDescent="0.3">
      <c r="A1173" s="1">
        <v>45553</v>
      </c>
      <c r="B1173" s="4">
        <v>3730.45</v>
      </c>
    </row>
    <row r="1174" spans="1:2" x14ac:dyDescent="0.3">
      <c r="A1174" s="1">
        <v>45554</v>
      </c>
      <c r="B1174" s="4">
        <v>3683.7</v>
      </c>
    </row>
    <row r="1175" spans="1:2" x14ac:dyDescent="0.3">
      <c r="A1175" s="1">
        <v>45555</v>
      </c>
      <c r="B1175" s="4">
        <v>3793.9</v>
      </c>
    </row>
    <row r="1176" spans="1:2" x14ac:dyDescent="0.3">
      <c r="A1176" s="1">
        <v>45558</v>
      </c>
      <c r="B1176" s="4">
        <v>3787.7</v>
      </c>
    </row>
    <row r="1177" spans="1:2" x14ac:dyDescent="0.3">
      <c r="A1177" s="1">
        <v>45559</v>
      </c>
      <c r="B1177" s="4">
        <v>3791.6</v>
      </c>
    </row>
    <row r="1178" spans="1:2" x14ac:dyDescent="0.3">
      <c r="A1178" s="1">
        <v>45560</v>
      </c>
      <c r="B1178" s="4">
        <v>3793.85</v>
      </c>
    </row>
    <row r="1179" spans="1:2" x14ac:dyDescent="0.3">
      <c r="A1179" s="1">
        <v>45561</v>
      </c>
      <c r="B1179" s="4">
        <v>3762.15</v>
      </c>
    </row>
    <row r="1180" spans="1:2" x14ac:dyDescent="0.3">
      <c r="A1180" s="1">
        <v>45562</v>
      </c>
      <c r="B1180" s="4">
        <v>3705.65</v>
      </c>
    </row>
    <row r="1181" spans="1:2" x14ac:dyDescent="0.3">
      <c r="A1181" s="1">
        <v>45565</v>
      </c>
      <c r="B1181" s="4">
        <v>3675.55</v>
      </c>
    </row>
    <row r="1182" spans="1:2" x14ac:dyDescent="0.3">
      <c r="A1182" s="1">
        <v>45566</v>
      </c>
      <c r="B1182" s="4">
        <v>3653.5</v>
      </c>
    </row>
    <row r="1183" spans="1:2" x14ac:dyDescent="0.3">
      <c r="A1183" s="1">
        <v>45568</v>
      </c>
      <c r="B1183" s="4">
        <v>3497.65</v>
      </c>
    </row>
    <row r="1184" spans="1:2" x14ac:dyDescent="0.3">
      <c r="A1184" s="1">
        <v>45569</v>
      </c>
      <c r="B1184" s="4">
        <v>3493.95</v>
      </c>
    </row>
    <row r="1185" spans="1:2" x14ac:dyDescent="0.3">
      <c r="A1185" s="1">
        <v>45572</v>
      </c>
      <c r="B1185" s="4">
        <v>3468.35</v>
      </c>
    </row>
    <row r="1186" spans="1:2" x14ac:dyDescent="0.3">
      <c r="A1186" s="1">
        <v>45573</v>
      </c>
      <c r="B1186" s="4">
        <v>3532.4</v>
      </c>
    </row>
    <row r="1187" spans="1:2" x14ac:dyDescent="0.3">
      <c r="A1187" s="1">
        <v>45574</v>
      </c>
      <c r="B1187" s="4">
        <v>3487.1</v>
      </c>
    </row>
    <row r="1188" spans="1:2" x14ac:dyDescent="0.3">
      <c r="A1188" s="1">
        <v>45575</v>
      </c>
      <c r="B1188" s="4">
        <v>3460.35</v>
      </c>
    </row>
    <row r="1189" spans="1:2" x14ac:dyDescent="0.3">
      <c r="A1189" s="1">
        <v>45576</v>
      </c>
      <c r="B1189" s="4">
        <v>3482.55</v>
      </c>
    </row>
    <row r="1190" spans="1:2" x14ac:dyDescent="0.3">
      <c r="A1190" s="1">
        <v>45579</v>
      </c>
      <c r="B1190" s="4">
        <v>3555.05</v>
      </c>
    </row>
    <row r="1191" spans="1:2" x14ac:dyDescent="0.3">
      <c r="A1191" s="1">
        <v>45580</v>
      </c>
      <c r="B1191" s="4">
        <v>3551.9</v>
      </c>
    </row>
    <row r="1192" spans="1:2" x14ac:dyDescent="0.3">
      <c r="A1192" s="1">
        <v>45581</v>
      </c>
      <c r="B1192" s="4">
        <v>3532.6</v>
      </c>
    </row>
    <row r="1193" spans="1:2" x14ac:dyDescent="0.3">
      <c r="A1193" s="1">
        <v>45582</v>
      </c>
      <c r="B1193" s="4">
        <v>3570.3</v>
      </c>
    </row>
    <row r="1194" spans="1:2" x14ac:dyDescent="0.3">
      <c r="A1194" s="1">
        <v>45583</v>
      </c>
      <c r="B1194" s="4">
        <v>3577.8</v>
      </c>
    </row>
    <row r="1195" spans="1:2" x14ac:dyDescent="0.3">
      <c r="A1195" s="1">
        <v>45586</v>
      </c>
      <c r="B1195" s="4">
        <v>3585.6</v>
      </c>
    </row>
    <row r="1196" spans="1:2" x14ac:dyDescent="0.3">
      <c r="A1196" s="1">
        <v>45587</v>
      </c>
      <c r="B1196" s="4">
        <v>3511.9</v>
      </c>
    </row>
    <row r="1197" spans="1:2" x14ac:dyDescent="0.3">
      <c r="A1197" s="1">
        <v>45588</v>
      </c>
      <c r="B1197" s="4">
        <v>3455.4</v>
      </c>
    </row>
    <row r="1198" spans="1:2" x14ac:dyDescent="0.3">
      <c r="A1198" s="1">
        <v>45589</v>
      </c>
      <c r="B1198" s="4">
        <v>3442.65</v>
      </c>
    </row>
    <row r="1199" spans="1:2" x14ac:dyDescent="0.3">
      <c r="A1199" s="1">
        <v>45590</v>
      </c>
      <c r="B1199" s="4">
        <v>3326.4</v>
      </c>
    </row>
    <row r="1200" spans="1:2" x14ac:dyDescent="0.3">
      <c r="A1200" s="1">
        <v>45593</v>
      </c>
      <c r="B1200" s="4">
        <v>3340.8</v>
      </c>
    </row>
    <row r="1201" spans="1:2" x14ac:dyDescent="0.3">
      <c r="A1201" s="1">
        <v>45594</v>
      </c>
      <c r="B1201" s="4">
        <v>3380.9</v>
      </c>
    </row>
    <row r="1202" spans="1:2" x14ac:dyDescent="0.3">
      <c r="A1202" s="1">
        <v>45595</v>
      </c>
      <c r="B1202" s="4">
        <v>3408.35</v>
      </c>
    </row>
    <row r="1203" spans="1:2" x14ac:dyDescent="0.3">
      <c r="A1203" s="1">
        <v>45596</v>
      </c>
      <c r="B1203" s="4">
        <v>3622.3</v>
      </c>
    </row>
    <row r="1204" spans="1:2" x14ac:dyDescent="0.3">
      <c r="A1204" s="1">
        <v>45597</v>
      </c>
      <c r="B1204" s="4">
        <v>3626.35</v>
      </c>
    </row>
    <row r="1205" spans="1:2" x14ac:dyDescent="0.3">
      <c r="A1205" s="1">
        <v>45600</v>
      </c>
      <c r="B1205" s="4">
        <v>3574.45</v>
      </c>
    </row>
    <row r="1206" spans="1:2" x14ac:dyDescent="0.3">
      <c r="A1206" s="1">
        <v>45601</v>
      </c>
      <c r="B1206" s="4">
        <v>3574.8</v>
      </c>
    </row>
    <row r="1207" spans="1:2" x14ac:dyDescent="0.3">
      <c r="A1207" s="1">
        <v>45602</v>
      </c>
      <c r="B1207" s="4">
        <v>3645.45</v>
      </c>
    </row>
    <row r="1208" spans="1:2" x14ac:dyDescent="0.3">
      <c r="A1208" s="1">
        <v>45603</v>
      </c>
      <c r="B1208" s="4">
        <v>3646.55</v>
      </c>
    </row>
    <row r="1209" spans="1:2" x14ac:dyDescent="0.3">
      <c r="A1209" s="1">
        <v>45604</v>
      </c>
      <c r="B1209" s="4">
        <v>3660.3</v>
      </c>
    </row>
    <row r="1210" spans="1:2" x14ac:dyDescent="0.3">
      <c r="A1210" s="1">
        <v>45607</v>
      </c>
      <c r="B1210" s="4">
        <v>3628.85</v>
      </c>
    </row>
    <row r="1211" spans="1:2" x14ac:dyDescent="0.3">
      <c r="A1211" s="1">
        <v>45608</v>
      </c>
      <c r="B1211" s="4">
        <v>3591.35</v>
      </c>
    </row>
    <row r="1212" spans="1:2" x14ac:dyDescent="0.3">
      <c r="A1212" s="1">
        <v>45609</v>
      </c>
      <c r="B1212" s="4">
        <v>3547.95</v>
      </c>
    </row>
    <row r="1213" spans="1:2" x14ac:dyDescent="0.3">
      <c r="A1213" s="1">
        <v>45610</v>
      </c>
      <c r="B1213" s="4">
        <v>3526.25</v>
      </c>
    </row>
    <row r="1214" spans="1:2" x14ac:dyDescent="0.3">
      <c r="A1214" s="1">
        <v>45614</v>
      </c>
      <c r="B1214" s="4">
        <v>3542.15</v>
      </c>
    </row>
    <row r="1215" spans="1:2" x14ac:dyDescent="0.3">
      <c r="A1215" s="1">
        <v>45615</v>
      </c>
      <c r="B1215" s="4">
        <v>3505.9</v>
      </c>
    </row>
    <row r="1216" spans="1:2" x14ac:dyDescent="0.3">
      <c r="A1216" s="1">
        <v>45617</v>
      </c>
      <c r="B1216" s="4">
        <v>3483.5</v>
      </c>
    </row>
    <row r="1217" spans="1:2" x14ac:dyDescent="0.3">
      <c r="A1217" s="1">
        <v>45618</v>
      </c>
      <c r="B1217" s="4">
        <v>3603.5</v>
      </c>
    </row>
    <row r="1218" spans="1:2" x14ac:dyDescent="0.3">
      <c r="A1218" s="1">
        <v>45621</v>
      </c>
      <c r="B1218" s="4">
        <v>3753</v>
      </c>
    </row>
    <row r="1219" spans="1:2" x14ac:dyDescent="0.3">
      <c r="A1219" s="1">
        <v>45622</v>
      </c>
      <c r="B1219" s="4">
        <v>3702.6</v>
      </c>
    </row>
    <row r="1220" spans="1:2" x14ac:dyDescent="0.3">
      <c r="A1220" s="1">
        <v>45623</v>
      </c>
      <c r="B1220" s="4">
        <v>3698.7</v>
      </c>
    </row>
    <row r="1221" spans="1:2" x14ac:dyDescent="0.3">
      <c r="A1221" s="1">
        <v>45624</v>
      </c>
      <c r="B1221" s="4">
        <v>3666.05</v>
      </c>
    </row>
    <row r="1222" spans="1:2" x14ac:dyDescent="0.3">
      <c r="A1222" s="1">
        <v>45625</v>
      </c>
      <c r="B1222" s="4">
        <v>3724.8</v>
      </c>
    </row>
    <row r="1223" spans="1:2" x14ac:dyDescent="0.3">
      <c r="A1223" s="1">
        <v>45628</v>
      </c>
      <c r="B1223" s="4">
        <v>3704.05</v>
      </c>
    </row>
    <row r="1224" spans="1:2" x14ac:dyDescent="0.3">
      <c r="A1224" s="1">
        <v>45629</v>
      </c>
      <c r="B1224" s="4">
        <v>3787.05</v>
      </c>
    </row>
    <row r="1225" spans="1:2" x14ac:dyDescent="0.3">
      <c r="A1225" s="1">
        <v>45630</v>
      </c>
      <c r="B1225" s="4">
        <v>3789.9</v>
      </c>
    </row>
    <row r="1226" spans="1:2" x14ac:dyDescent="0.3">
      <c r="A1226" s="1">
        <v>45631</v>
      </c>
      <c r="B1226" s="4">
        <v>3831.55</v>
      </c>
    </row>
    <row r="1227" spans="1:2" x14ac:dyDescent="0.3">
      <c r="A1227" s="1">
        <v>45632</v>
      </c>
      <c r="B1227" s="4">
        <v>3866.7</v>
      </c>
    </row>
    <row r="1228" spans="1:2" x14ac:dyDescent="0.3">
      <c r="A1228" s="1">
        <v>45635</v>
      </c>
      <c r="B1228" s="4">
        <v>3947.3</v>
      </c>
    </row>
    <row r="1229" spans="1:2" x14ac:dyDescent="0.3">
      <c r="A1229" s="1">
        <v>45636</v>
      </c>
      <c r="B1229" s="4">
        <v>3923.15</v>
      </c>
    </row>
    <row r="1230" spans="1:2" x14ac:dyDescent="0.3">
      <c r="A1230" s="1">
        <v>45637</v>
      </c>
      <c r="B1230" s="4">
        <v>3916.75</v>
      </c>
    </row>
    <row r="1231" spans="1:2" x14ac:dyDescent="0.3">
      <c r="A1231" s="1">
        <v>45638</v>
      </c>
      <c r="B1231" s="4">
        <v>3859.9</v>
      </c>
    </row>
    <row r="1232" spans="1:2" x14ac:dyDescent="0.3">
      <c r="A1232" s="1">
        <v>45639</v>
      </c>
      <c r="B1232" s="4">
        <v>3887</v>
      </c>
    </row>
    <row r="1233" spans="1:2" x14ac:dyDescent="0.3">
      <c r="A1233" s="1">
        <v>45642</v>
      </c>
      <c r="B1233" s="4">
        <v>3877.85</v>
      </c>
    </row>
    <row r="1234" spans="1:2" x14ac:dyDescent="0.3">
      <c r="A1234" s="1">
        <v>45643</v>
      </c>
      <c r="B1234" s="4">
        <v>3807.2</v>
      </c>
    </row>
    <row r="1235" spans="1:2" x14ac:dyDescent="0.3">
      <c r="A1235" s="1">
        <v>45644</v>
      </c>
      <c r="B1235" s="4">
        <v>3758.15</v>
      </c>
    </row>
    <row r="1236" spans="1:2" x14ac:dyDescent="0.3">
      <c r="A1236" s="1">
        <v>45645</v>
      </c>
      <c r="B1236" s="4">
        <v>3716.35</v>
      </c>
    </row>
    <row r="1237" spans="1:2" x14ac:dyDescent="0.3">
      <c r="A1237" s="1">
        <v>45646</v>
      </c>
      <c r="B1237" s="4">
        <v>3629.85</v>
      </c>
    </row>
    <row r="1238" spans="1:2" x14ac:dyDescent="0.3">
      <c r="A1238" s="1">
        <v>45649</v>
      </c>
      <c r="B1238" s="4">
        <v>3640.5</v>
      </c>
    </row>
    <row r="1239" spans="1:2" x14ac:dyDescent="0.3">
      <c r="A1239" s="1">
        <v>45650</v>
      </c>
      <c r="B1239" s="4">
        <v>3639.75</v>
      </c>
    </row>
    <row r="1240" spans="1:2" x14ac:dyDescent="0.3">
      <c r="A1240" s="1">
        <v>45652</v>
      </c>
      <c r="B1240" s="4">
        <v>3629.5</v>
      </c>
    </row>
    <row r="1241" spans="1:2" x14ac:dyDescent="0.3">
      <c r="A1241" s="1">
        <v>45653</v>
      </c>
      <c r="B1241" s="4">
        <v>3608.1</v>
      </c>
    </row>
    <row r="1242" spans="1:2" x14ac:dyDescent="0.3">
      <c r="A1242" s="1">
        <v>45656</v>
      </c>
      <c r="B1242" s="4">
        <v>3578.95</v>
      </c>
    </row>
    <row r="1243" spans="1:2" x14ac:dyDescent="0.3">
      <c r="A1243" s="1">
        <v>45657</v>
      </c>
      <c r="B1243" s="4">
        <v>3607.65</v>
      </c>
    </row>
    <row r="1244" spans="1:2" x14ac:dyDescent="0.3">
      <c r="A1244" s="1">
        <v>45658</v>
      </c>
      <c r="B1244" s="4">
        <v>3667.5</v>
      </c>
    </row>
    <row r="1245" spans="1:2" x14ac:dyDescent="0.3">
      <c r="A1245" s="1">
        <v>45659</v>
      </c>
      <c r="B1245" s="4">
        <v>3713.5</v>
      </c>
    </row>
    <row r="1246" spans="1:2" x14ac:dyDescent="0.3">
      <c r="A1246" s="1">
        <v>45660</v>
      </c>
      <c r="B1246" s="4">
        <v>3659.9</v>
      </c>
    </row>
    <row r="1247" spans="1:2" x14ac:dyDescent="0.3">
      <c r="A1247" s="1">
        <v>45663</v>
      </c>
      <c r="B1247" s="4">
        <v>3603.2</v>
      </c>
    </row>
    <row r="1248" spans="1:2" x14ac:dyDescent="0.3">
      <c r="A1248" s="1">
        <v>45664</v>
      </c>
      <c r="B1248" s="4">
        <v>3643.3</v>
      </c>
    </row>
    <row r="1249" spans="1:2" x14ac:dyDescent="0.3">
      <c r="A1249" s="1">
        <v>45665</v>
      </c>
      <c r="B1249" s="4">
        <v>3596.35</v>
      </c>
    </row>
    <row r="1250" spans="1:2" x14ac:dyDescent="0.3">
      <c r="A1250" s="1">
        <v>45666</v>
      </c>
      <c r="B1250" s="4">
        <v>3527.9</v>
      </c>
    </row>
    <row r="1251" spans="1:2" x14ac:dyDescent="0.3">
      <c r="A1251" s="1">
        <v>45667</v>
      </c>
      <c r="B1251" s="4">
        <v>3536.15</v>
      </c>
    </row>
    <row r="1252" spans="1:2" x14ac:dyDescent="0.3">
      <c r="A1252" s="1">
        <v>45670</v>
      </c>
      <c r="B1252" s="4">
        <v>3464.3</v>
      </c>
    </row>
    <row r="1253" spans="1:2" x14ac:dyDescent="0.3">
      <c r="A1253" s="1">
        <v>45671</v>
      </c>
      <c r="B1253" s="4">
        <v>3462.6</v>
      </c>
    </row>
    <row r="1254" spans="1:2" x14ac:dyDescent="0.3">
      <c r="A1254" s="1">
        <v>45672</v>
      </c>
      <c r="B1254" s="4">
        <v>3501.4</v>
      </c>
    </row>
    <row r="1255" spans="1:2" x14ac:dyDescent="0.3">
      <c r="A1255" s="1">
        <v>45673</v>
      </c>
      <c r="B1255" s="4">
        <v>3507.9</v>
      </c>
    </row>
    <row r="1256" spans="1:2" x14ac:dyDescent="0.3">
      <c r="A1256" s="1">
        <v>45674</v>
      </c>
      <c r="B1256" s="4">
        <v>3568.65</v>
      </c>
    </row>
    <row r="1257" spans="1:2" x14ac:dyDescent="0.3">
      <c r="A1257" s="1">
        <v>45677</v>
      </c>
      <c r="B1257" s="4">
        <v>3593</v>
      </c>
    </row>
    <row r="1258" spans="1:2" x14ac:dyDescent="0.3">
      <c r="A1258" s="1">
        <v>45678</v>
      </c>
      <c r="B1258" s="4">
        <v>3541.1</v>
      </c>
    </row>
    <row r="1259" spans="1:2" x14ac:dyDescent="0.3">
      <c r="A1259" s="1">
        <v>45679</v>
      </c>
      <c r="B1259" s="4">
        <v>3518.2</v>
      </c>
    </row>
    <row r="1260" spans="1:2" x14ac:dyDescent="0.3">
      <c r="A1260" s="1">
        <v>45680</v>
      </c>
      <c r="B1260" s="4">
        <v>3503.25</v>
      </c>
    </row>
    <row r="1261" spans="1:2" x14ac:dyDescent="0.3">
      <c r="A1261" s="1">
        <v>45681</v>
      </c>
      <c r="B1261" s="4">
        <v>3458.2</v>
      </c>
    </row>
    <row r="1262" spans="1:2" x14ac:dyDescent="0.3">
      <c r="A1262" s="1">
        <v>45684</v>
      </c>
      <c r="B1262" s="4">
        <v>3457.65</v>
      </c>
    </row>
    <row r="1263" spans="1:2" x14ac:dyDescent="0.3">
      <c r="A1263" s="1">
        <v>45685</v>
      </c>
      <c r="B1263" s="4">
        <v>3413.9</v>
      </c>
    </row>
    <row r="1264" spans="1:2" x14ac:dyDescent="0.3">
      <c r="A1264" s="1">
        <v>45686</v>
      </c>
      <c r="B1264" s="4">
        <v>3449.7</v>
      </c>
    </row>
    <row r="1265" spans="1:2" x14ac:dyDescent="0.3">
      <c r="A1265" s="1">
        <v>45687</v>
      </c>
      <c r="B1265" s="4">
        <v>3420.95</v>
      </c>
    </row>
    <row r="1266" spans="1:2" x14ac:dyDescent="0.3">
      <c r="A1266" s="1">
        <v>45688</v>
      </c>
      <c r="B1266" s="4">
        <v>3567.4</v>
      </c>
    </row>
    <row r="1267" spans="1:2" x14ac:dyDescent="0.3">
      <c r="A1267" s="1">
        <v>45689</v>
      </c>
      <c r="B1267" s="4">
        <v>3447.5</v>
      </c>
    </row>
    <row r="1268" spans="1:2" x14ac:dyDescent="0.3">
      <c r="A1268" s="1">
        <v>45691</v>
      </c>
      <c r="B1268" s="4">
        <v>3289.2</v>
      </c>
    </row>
    <row r="1269" spans="1:2" x14ac:dyDescent="0.3">
      <c r="A1269" s="1">
        <v>45692</v>
      </c>
      <c r="B1269" s="4">
        <v>3439.15</v>
      </c>
    </row>
    <row r="1270" spans="1:2" x14ac:dyDescent="0.3">
      <c r="A1270" s="1">
        <v>45693</v>
      </c>
      <c r="B1270" s="4">
        <v>3383.2</v>
      </c>
    </row>
    <row r="1271" spans="1:2" x14ac:dyDescent="0.3">
      <c r="A1271" s="1">
        <v>45694</v>
      </c>
      <c r="B1271" s="4">
        <v>3352.75</v>
      </c>
    </row>
    <row r="1272" spans="1:2" x14ac:dyDescent="0.3">
      <c r="A1272" s="1">
        <v>45695</v>
      </c>
      <c r="B1272" s="4">
        <v>3336.9</v>
      </c>
    </row>
    <row r="1273" spans="1:2" x14ac:dyDescent="0.3">
      <c r="A1273" s="1">
        <v>45698</v>
      </c>
      <c r="B1273" s="4">
        <v>3328.65</v>
      </c>
    </row>
    <row r="1274" spans="1:2" x14ac:dyDescent="0.3">
      <c r="A1274" s="1">
        <v>45699</v>
      </c>
      <c r="B1274" s="4">
        <v>3239.65</v>
      </c>
    </row>
    <row r="1275" spans="1:2" x14ac:dyDescent="0.3">
      <c r="A1275" s="1">
        <v>45700</v>
      </c>
      <c r="B1275" s="4">
        <v>3289.65</v>
      </c>
    </row>
    <row r="1276" spans="1:2" x14ac:dyDescent="0.3">
      <c r="A1276" s="1">
        <v>45701</v>
      </c>
      <c r="B1276" s="4">
        <v>3263.65</v>
      </c>
    </row>
    <row r="1277" spans="1:2" x14ac:dyDescent="0.3">
      <c r="A1277" s="1">
        <v>45702</v>
      </c>
      <c r="B1277" s="4">
        <v>3237.65</v>
      </c>
    </row>
    <row r="1278" spans="1:2" x14ac:dyDescent="0.3">
      <c r="A1278" s="1">
        <v>45705</v>
      </c>
      <c r="B1278" s="4">
        <v>3221.85</v>
      </c>
    </row>
    <row r="1279" spans="1:2" x14ac:dyDescent="0.3">
      <c r="A1279" s="1">
        <v>45706</v>
      </c>
      <c r="B1279" s="4">
        <v>3220.15</v>
      </c>
    </row>
    <row r="1280" spans="1:2" x14ac:dyDescent="0.3">
      <c r="A1280" s="1">
        <v>45707</v>
      </c>
      <c r="B1280" s="4">
        <v>3275.9</v>
      </c>
    </row>
    <row r="1281" spans="1:2" x14ac:dyDescent="0.3">
      <c r="A1281" s="1">
        <v>45708</v>
      </c>
      <c r="B1281" s="4">
        <v>3275.8</v>
      </c>
    </row>
    <row r="1282" spans="1:2" x14ac:dyDescent="0.3">
      <c r="A1282" s="1">
        <v>45709</v>
      </c>
      <c r="B1282" s="4">
        <v>3315.1</v>
      </c>
    </row>
    <row r="1283" spans="1:2" x14ac:dyDescent="0.3">
      <c r="A1283" s="1">
        <v>45712</v>
      </c>
      <c r="B1283" s="4">
        <v>3257.7</v>
      </c>
    </row>
    <row r="1284" spans="1:2" x14ac:dyDescent="0.3">
      <c r="A1284" s="1">
        <v>45713</v>
      </c>
      <c r="B1284" s="4">
        <v>3225.9</v>
      </c>
    </row>
    <row r="1285" spans="1:2" x14ac:dyDescent="0.3">
      <c r="A1285" s="1">
        <v>45715</v>
      </c>
      <c r="B1285" s="4">
        <v>3209.5</v>
      </c>
    </row>
    <row r="1286" spans="1:2" x14ac:dyDescent="0.3">
      <c r="A1286" s="1">
        <v>45716</v>
      </c>
      <c r="B1286" s="4">
        <v>3163.85</v>
      </c>
    </row>
    <row r="1287" spans="1:2" x14ac:dyDescent="0.3">
      <c r="A1287" s="1">
        <v>45719</v>
      </c>
      <c r="B1287" s="4">
        <v>3197.3</v>
      </c>
    </row>
    <row r="1288" spans="1:2" x14ac:dyDescent="0.3">
      <c r="A1288" s="1">
        <v>45720</v>
      </c>
      <c r="B1288" s="4">
        <v>3213</v>
      </c>
    </row>
    <row r="1289" spans="1:2" x14ac:dyDescent="0.3">
      <c r="A1289" s="1">
        <v>45721</v>
      </c>
      <c r="B1289" s="4">
        <v>3239.65</v>
      </c>
    </row>
    <row r="1290" spans="1:2" x14ac:dyDescent="0.3">
      <c r="A1290" s="1">
        <v>45722</v>
      </c>
      <c r="B1290" s="4">
        <v>3259.9</v>
      </c>
    </row>
    <row r="1291" spans="1:2" x14ac:dyDescent="0.3">
      <c r="A1291" s="1">
        <v>45723</v>
      </c>
      <c r="B1291" s="4">
        <v>3244.7</v>
      </c>
    </row>
    <row r="1292" spans="1:2" x14ac:dyDescent="0.3">
      <c r="A1292" s="1">
        <v>45726</v>
      </c>
      <c r="B1292" s="4">
        <v>3177.7</v>
      </c>
    </row>
    <row r="1293" spans="1:2" x14ac:dyDescent="0.3">
      <c r="A1293" s="1">
        <v>45727</v>
      </c>
      <c r="B1293" s="4">
        <v>3195.45</v>
      </c>
    </row>
    <row r="1294" spans="1:2" x14ac:dyDescent="0.3">
      <c r="A1294" s="1">
        <v>45728</v>
      </c>
      <c r="B1294" s="4">
        <v>3193.65</v>
      </c>
    </row>
    <row r="1295" spans="1:2" x14ac:dyDescent="0.3">
      <c r="A1295" s="1">
        <v>45729</v>
      </c>
      <c r="B1295" s="4">
        <v>3187.3</v>
      </c>
    </row>
    <row r="1296" spans="1:2" x14ac:dyDescent="0.3">
      <c r="A1296" s="1">
        <v>45733</v>
      </c>
      <c r="B1296" s="4">
        <v>3173.45</v>
      </c>
    </row>
    <row r="1297" spans="1:2" x14ac:dyDescent="0.3">
      <c r="A1297" s="1">
        <v>45734</v>
      </c>
      <c r="B1297" s="4">
        <v>3270.7</v>
      </c>
    </row>
    <row r="1298" spans="1:2" x14ac:dyDescent="0.3">
      <c r="A1298" s="1">
        <v>45735</v>
      </c>
      <c r="B1298" s="4">
        <v>3319.55</v>
      </c>
    </row>
    <row r="1299" spans="1:2" x14ac:dyDescent="0.3">
      <c r="A1299" s="1">
        <v>45736</v>
      </c>
      <c r="B1299" s="4">
        <v>3351.05</v>
      </c>
    </row>
    <row r="1300" spans="1:2" x14ac:dyDescent="0.3">
      <c r="A1300" s="1">
        <v>45737</v>
      </c>
      <c r="B1300" s="4">
        <v>3415.95</v>
      </c>
    </row>
    <row r="1301" spans="1:2" x14ac:dyDescent="0.3">
      <c r="A1301" s="1">
        <v>45740</v>
      </c>
      <c r="B1301" s="4">
        <v>3481.85</v>
      </c>
    </row>
    <row r="1302" spans="1:2" x14ac:dyDescent="0.3">
      <c r="A1302" s="1">
        <v>45741</v>
      </c>
      <c r="B1302" s="4">
        <v>3469.6</v>
      </c>
    </row>
    <row r="1303" spans="1:2" x14ac:dyDescent="0.3">
      <c r="A1303" s="1">
        <v>45742</v>
      </c>
      <c r="B1303" s="4">
        <v>3444.8</v>
      </c>
    </row>
    <row r="1304" spans="1:2" x14ac:dyDescent="0.3">
      <c r="A1304" s="1">
        <v>45743</v>
      </c>
      <c r="B1304" s="4">
        <v>3501.6</v>
      </c>
    </row>
    <row r="1305" spans="1:2" x14ac:dyDescent="0.3">
      <c r="A1305" s="1">
        <v>45744</v>
      </c>
      <c r="B1305" s="4">
        <v>3492.3</v>
      </c>
    </row>
    <row r="1306" spans="1:2" x14ac:dyDescent="0.3">
      <c r="A1306" s="1">
        <v>45748</v>
      </c>
      <c r="B1306" s="4">
        <v>3436.8</v>
      </c>
    </row>
    <row r="1307" spans="1:2" x14ac:dyDescent="0.3">
      <c r="A1307" s="1">
        <v>45749</v>
      </c>
      <c r="B1307" s="4">
        <v>3419.9</v>
      </c>
    </row>
    <row r="1308" spans="1:2" x14ac:dyDescent="0.3">
      <c r="A1308" s="1">
        <v>45750</v>
      </c>
      <c r="B1308" s="4">
        <v>3420.15</v>
      </c>
    </row>
    <row r="1309" spans="1:2" x14ac:dyDescent="0.3">
      <c r="A1309" s="1">
        <v>45751</v>
      </c>
      <c r="B1309" s="4">
        <v>3260.15</v>
      </c>
    </row>
    <row r="1310" spans="1:2" x14ac:dyDescent="0.3">
      <c r="A1310" s="1">
        <v>45754</v>
      </c>
      <c r="B1310" s="4">
        <v>3068.5</v>
      </c>
    </row>
    <row r="1311" spans="1:2" x14ac:dyDescent="0.3">
      <c r="A1311" s="1">
        <v>45755</v>
      </c>
      <c r="B1311" s="4">
        <v>3161.1</v>
      </c>
    </row>
    <row r="1312" spans="1:2" x14ac:dyDescent="0.3">
      <c r="A1312" s="1">
        <v>45756</v>
      </c>
      <c r="B1312" s="4">
        <v>3054.15</v>
      </c>
    </row>
    <row r="1313" spans="1:2" x14ac:dyDescent="0.3">
      <c r="A1313" s="1">
        <v>45758</v>
      </c>
      <c r="B1313" s="4">
        <v>3115.95</v>
      </c>
    </row>
    <row r="1314" spans="1:2" x14ac:dyDescent="0.3">
      <c r="A1314" s="1">
        <v>45762</v>
      </c>
      <c r="B1314" s="4">
        <v>3257.6</v>
      </c>
    </row>
    <row r="1315" spans="1:2" x14ac:dyDescent="0.3">
      <c r="A1315" s="1">
        <v>45763</v>
      </c>
      <c r="B1315" s="4">
        <v>3227.7</v>
      </c>
    </row>
    <row r="1316" spans="1:2" x14ac:dyDescent="0.3">
      <c r="A1316" s="1">
        <v>45764</v>
      </c>
      <c r="B1316" s="4">
        <v>3247.3</v>
      </c>
    </row>
    <row r="1317" spans="1:2" x14ac:dyDescent="0.3">
      <c r="A1317" s="1">
        <v>45768</v>
      </c>
      <c r="B1317" s="4">
        <v>3280.5</v>
      </c>
    </row>
    <row r="1318" spans="1:2" x14ac:dyDescent="0.3">
      <c r="A1318" s="1">
        <v>45769</v>
      </c>
      <c r="B1318" s="4">
        <v>3257.8</v>
      </c>
    </row>
    <row r="1319" spans="1:2" x14ac:dyDescent="0.3">
      <c r="A1319" s="1">
        <v>45770</v>
      </c>
      <c r="B1319" s="4">
        <v>3301</v>
      </c>
    </row>
    <row r="1320" spans="1:2" x14ac:dyDescent="0.3">
      <c r="A1320" s="1">
        <v>45771</v>
      </c>
      <c r="B1320" s="4">
        <v>3300.6</v>
      </c>
    </row>
    <row r="1321" spans="1:2" x14ac:dyDescent="0.3">
      <c r="A1321" s="1">
        <v>45772</v>
      </c>
      <c r="B1321" s="4">
        <v>3272.1</v>
      </c>
    </row>
    <row r="1322" spans="1:2" x14ac:dyDescent="0.3">
      <c r="A1322" s="1">
        <v>45775</v>
      </c>
      <c r="B1322" s="4">
        <v>3327.3</v>
      </c>
    </row>
    <row r="1323" spans="1:2" x14ac:dyDescent="0.3">
      <c r="A1323" s="1">
        <v>45776</v>
      </c>
      <c r="B1323" s="4">
        <v>3322.3</v>
      </c>
    </row>
    <row r="1324" spans="1:2" x14ac:dyDescent="0.3">
      <c r="A1324" s="1">
        <v>45777</v>
      </c>
      <c r="B1324" s="4">
        <v>3341</v>
      </c>
    </row>
    <row r="1325" spans="1:2" x14ac:dyDescent="0.3">
      <c r="A1325" s="1">
        <v>45779</v>
      </c>
      <c r="B1325" s="4">
        <v>3329.8</v>
      </c>
    </row>
    <row r="1326" spans="1:2" x14ac:dyDescent="0.3">
      <c r="A1326" s="1">
        <v>45782</v>
      </c>
      <c r="B1326" s="4">
        <v>3330.2</v>
      </c>
    </row>
    <row r="1327" spans="1:2" x14ac:dyDescent="0.3">
      <c r="A1327" s="1">
        <v>45783</v>
      </c>
      <c r="B1327" s="4">
        <v>3334</v>
      </c>
    </row>
    <row r="1328" spans="1:2" x14ac:dyDescent="0.3">
      <c r="A1328" s="1">
        <v>45784</v>
      </c>
      <c r="B1328" s="4">
        <v>3321.4</v>
      </c>
    </row>
    <row r="1329" spans="1:2" x14ac:dyDescent="0.3">
      <c r="A1329" s="1">
        <v>45785</v>
      </c>
      <c r="B1329" s="4">
        <v>3323.9</v>
      </c>
    </row>
    <row r="1330" spans="1:2" x14ac:dyDescent="0.3">
      <c r="A1330" s="1">
        <v>45786</v>
      </c>
      <c r="B1330" s="4">
        <v>3443.9</v>
      </c>
    </row>
    <row r="1331" spans="1:2" x14ac:dyDescent="0.3">
      <c r="A1331" s="1">
        <v>45789</v>
      </c>
      <c r="B1331" s="4">
        <v>3587.2</v>
      </c>
    </row>
    <row r="1332" spans="1:2" x14ac:dyDescent="0.3">
      <c r="A1332" s="1">
        <v>45790</v>
      </c>
      <c r="B1332" s="4">
        <v>3567</v>
      </c>
    </row>
    <row r="1333" spans="1:2" x14ac:dyDescent="0.3">
      <c r="A1333" s="1">
        <v>45791</v>
      </c>
      <c r="B1333" s="4">
        <v>3573.1</v>
      </c>
    </row>
    <row r="1334" spans="1:2" x14ac:dyDescent="0.3">
      <c r="A1334" s="1">
        <v>45792</v>
      </c>
      <c r="B1334" s="4">
        <v>3618.2</v>
      </c>
    </row>
    <row r="1335" spans="1:2" x14ac:dyDescent="0.3">
      <c r="A1335" s="1">
        <v>45793</v>
      </c>
      <c r="B1335" s="4">
        <v>3604.7</v>
      </c>
    </row>
    <row r="1336" spans="1:2" x14ac:dyDescent="0.3">
      <c r="A1336" s="1">
        <v>45796</v>
      </c>
      <c r="B1336" s="4">
        <v>3600.2</v>
      </c>
    </row>
    <row r="1337" spans="1:2" x14ac:dyDescent="0.3">
      <c r="A1337" s="1">
        <v>45797</v>
      </c>
      <c r="B1337" s="4">
        <v>3567.8</v>
      </c>
    </row>
    <row r="1338" spans="1:2" x14ac:dyDescent="0.3">
      <c r="A1338" s="1">
        <v>45798</v>
      </c>
      <c r="B1338" s="4">
        <v>3589</v>
      </c>
    </row>
    <row r="1339" spans="1:2" x14ac:dyDescent="0.3">
      <c r="A1339" s="1">
        <v>45799</v>
      </c>
      <c r="B1339" s="4">
        <v>3551.4</v>
      </c>
    </row>
    <row r="1340" spans="1:2" x14ac:dyDescent="0.3">
      <c r="A1340" s="1">
        <v>45800</v>
      </c>
      <c r="B1340" s="4">
        <v>3599.9</v>
      </c>
    </row>
    <row r="1341" spans="1:2" x14ac:dyDescent="0.3">
      <c r="A1341" s="1">
        <v>45803</v>
      </c>
      <c r="B1341" s="4">
        <v>3648.7</v>
      </c>
    </row>
    <row r="1342" spans="1:2" x14ac:dyDescent="0.3">
      <c r="A1342" s="1">
        <v>45804</v>
      </c>
      <c r="B1342" s="4">
        <v>3640</v>
      </c>
    </row>
    <row r="1343" spans="1:2" x14ac:dyDescent="0.3">
      <c r="A1343" s="1">
        <v>45805</v>
      </c>
      <c r="B1343" s="4">
        <v>3646.3</v>
      </c>
    </row>
    <row r="1344" spans="1:2" x14ac:dyDescent="0.3">
      <c r="A1344" s="1">
        <v>45806</v>
      </c>
      <c r="B1344" s="4">
        <v>3655.3</v>
      </c>
    </row>
    <row r="1345" spans="1:2" x14ac:dyDescent="0.3">
      <c r="A1345" s="1">
        <v>45807</v>
      </c>
      <c r="B1345" s="4">
        <v>3675.1</v>
      </c>
    </row>
    <row r="1346" spans="1:2" x14ac:dyDescent="0.3">
      <c r="A1346" s="1">
        <v>45810</v>
      </c>
      <c r="B1346" s="4">
        <v>3679.6</v>
      </c>
    </row>
    <row r="1347" spans="1:2" x14ac:dyDescent="0.3">
      <c r="A1347" s="1">
        <v>45811</v>
      </c>
      <c r="B1347" s="4">
        <v>3644.8</v>
      </c>
    </row>
    <row r="1348" spans="1:2" x14ac:dyDescent="0.3">
      <c r="A1348" s="1">
        <v>45812</v>
      </c>
      <c r="B1348" s="4">
        <v>3626.5</v>
      </c>
    </row>
    <row r="1349" spans="1:2" x14ac:dyDescent="0.3">
      <c r="A1349" s="1">
        <v>45813</v>
      </c>
      <c r="B1349" s="4">
        <v>3642.6</v>
      </c>
    </row>
    <row r="1350" spans="1:2" x14ac:dyDescent="0.3">
      <c r="A1350" s="1">
        <v>45814</v>
      </c>
      <c r="B1350" s="4">
        <v>3656.3</v>
      </c>
    </row>
    <row r="1351" spans="1:2" x14ac:dyDescent="0.3">
      <c r="A1351" s="1">
        <v>45817</v>
      </c>
      <c r="B1351" s="4">
        <v>3678.9</v>
      </c>
    </row>
    <row r="1352" spans="1:2" x14ac:dyDescent="0.3">
      <c r="A1352" s="1">
        <v>45818</v>
      </c>
      <c r="B1352" s="4">
        <v>3679.8</v>
      </c>
    </row>
    <row r="1353" spans="1:2" x14ac:dyDescent="0.3">
      <c r="A1353" s="1">
        <v>45819</v>
      </c>
      <c r="B1353" s="4">
        <v>3684.8</v>
      </c>
    </row>
    <row r="1354" spans="1:2" x14ac:dyDescent="0.3">
      <c r="A1354" s="1">
        <v>45820</v>
      </c>
      <c r="B1354" s="4">
        <v>3603.9</v>
      </c>
    </row>
    <row r="1355" spans="1:2" x14ac:dyDescent="0.3">
      <c r="A1355" s="1">
        <v>45821</v>
      </c>
      <c r="B1355" s="4">
        <v>3587.4</v>
      </c>
    </row>
    <row r="1356" spans="1:2" x14ac:dyDescent="0.3">
      <c r="A1356" s="1">
        <v>45824</v>
      </c>
      <c r="B1356" s="4">
        <v>3628.7</v>
      </c>
    </row>
    <row r="1357" spans="1:2" x14ac:dyDescent="0.3">
      <c r="A1357" s="1">
        <v>45825</v>
      </c>
      <c r="B1357" s="4">
        <v>3622.3</v>
      </c>
    </row>
    <row r="1358" spans="1:2" x14ac:dyDescent="0.3">
      <c r="A1358" s="1">
        <v>45826</v>
      </c>
      <c r="B1358" s="4">
        <v>3601.5</v>
      </c>
    </row>
    <row r="1359" spans="1:2" x14ac:dyDescent="0.3">
      <c r="A1359" s="1">
        <v>45827</v>
      </c>
      <c r="B1359" s="4">
        <v>3621.1</v>
      </c>
    </row>
    <row r="1360" spans="1:2" x14ac:dyDescent="0.3">
      <c r="A1360" s="1">
        <v>45828</v>
      </c>
      <c r="B1360" s="4">
        <v>3662</v>
      </c>
    </row>
    <row r="1361" spans="1:2" x14ac:dyDescent="0.3">
      <c r="A1361" s="1">
        <v>45831</v>
      </c>
      <c r="B1361" s="4">
        <v>3583.7</v>
      </c>
    </row>
    <row r="1362" spans="1:2" x14ac:dyDescent="0.3">
      <c r="A1362" s="1">
        <v>45832</v>
      </c>
      <c r="B1362" s="4">
        <v>3604.8</v>
      </c>
    </row>
    <row r="1363" spans="1:2" x14ac:dyDescent="0.3">
      <c r="A1363" s="1">
        <v>45833</v>
      </c>
      <c r="B1363" s="4">
        <v>3619.8</v>
      </c>
    </row>
    <row r="1364" spans="1:2" x14ac:dyDescent="0.3">
      <c r="A1364" s="1">
        <v>45834</v>
      </c>
      <c r="B1364" s="4">
        <v>3659.6</v>
      </c>
    </row>
    <row r="1365" spans="1:2" x14ac:dyDescent="0.3">
      <c r="A1365" s="1">
        <v>45835</v>
      </c>
      <c r="B1365" s="4">
        <v>3679.2</v>
      </c>
    </row>
    <row r="1366" spans="1:2" x14ac:dyDescent="0.3">
      <c r="A1366" s="1">
        <v>45838</v>
      </c>
      <c r="B1366" s="4">
        <v>3669.8</v>
      </c>
    </row>
    <row r="1367" spans="1:2" x14ac:dyDescent="0.3">
      <c r="A1367" s="1">
        <v>45839</v>
      </c>
      <c r="B1367" s="4">
        <v>3666.7</v>
      </c>
    </row>
    <row r="1368" spans="1:2" x14ac:dyDescent="0.3">
      <c r="A1368" s="1">
        <v>45840</v>
      </c>
      <c r="B1368" s="4">
        <v>3596.8</v>
      </c>
    </row>
    <row r="1369" spans="1:2" x14ac:dyDescent="0.3">
      <c r="A1369" s="1">
        <v>45841</v>
      </c>
      <c r="B1369" s="4">
        <v>3582.9</v>
      </c>
    </row>
    <row r="1370" spans="1:2" x14ac:dyDescent="0.3">
      <c r="A1370" s="1">
        <v>45842</v>
      </c>
      <c r="B1370" s="4">
        <v>3594.6</v>
      </c>
    </row>
    <row r="1371" spans="1:2" x14ac:dyDescent="0.3">
      <c r="A1371" s="1">
        <v>45845</v>
      </c>
      <c r="B1371" s="4">
        <v>3581.4</v>
      </c>
    </row>
    <row r="1372" spans="1:2" x14ac:dyDescent="0.3">
      <c r="A1372" s="1">
        <v>45846</v>
      </c>
      <c r="B1372" s="4">
        <v>3606.4</v>
      </c>
    </row>
    <row r="1373" spans="1:2" x14ac:dyDescent="0.3">
      <c r="A1373" s="1">
        <v>45847</v>
      </c>
      <c r="B1373" s="4">
        <v>3579.7</v>
      </c>
    </row>
    <row r="1374" spans="1:2" x14ac:dyDescent="0.3">
      <c r="A1374" s="1">
        <v>45848</v>
      </c>
      <c r="B1374" s="4">
        <v>3574.7</v>
      </c>
    </row>
    <row r="1375" spans="1:2" x14ac:dyDescent="0.3">
      <c r="A1375" s="1">
        <v>45849</v>
      </c>
      <c r="B1375" s="4">
        <v>3540.6</v>
      </c>
    </row>
    <row r="1376" spans="1:2" x14ac:dyDescent="0.3">
      <c r="A1376" s="1">
        <v>45852</v>
      </c>
      <c r="B1376" s="4">
        <v>3495.9</v>
      </c>
    </row>
    <row r="1377" spans="1:2" x14ac:dyDescent="0.3">
      <c r="A1377" s="1">
        <v>45853</v>
      </c>
      <c r="B1377" s="4">
        <v>3494</v>
      </c>
    </row>
    <row r="1378" spans="1:2" x14ac:dyDescent="0.3">
      <c r="A1378" s="1">
        <v>45854</v>
      </c>
      <c r="B1378" s="4">
        <v>3503.8</v>
      </c>
    </row>
    <row r="1379" spans="1:2" x14ac:dyDescent="0.3">
      <c r="A1379" s="1">
        <v>45855</v>
      </c>
      <c r="B1379" s="4">
        <v>3474</v>
      </c>
    </row>
    <row r="1380" spans="1:2" x14ac:dyDescent="0.3">
      <c r="A1380" s="1">
        <v>45856</v>
      </c>
      <c r="B1380" s="4">
        <v>3464.8</v>
      </c>
    </row>
    <row r="1381" spans="1:2" x14ac:dyDescent="0.3">
      <c r="A1381" s="1">
        <v>45859</v>
      </c>
      <c r="B1381" s="4">
        <v>3502.8</v>
      </c>
    </row>
    <row r="1382" spans="1:2" x14ac:dyDescent="0.3">
      <c r="A1382" s="1">
        <v>45860</v>
      </c>
      <c r="B1382" s="4">
        <v>3464.6</v>
      </c>
    </row>
    <row r="1383" spans="1:2" x14ac:dyDescent="0.3">
      <c r="A1383" s="1">
        <v>45861</v>
      </c>
      <c r="B1383" s="4">
        <v>3484.9</v>
      </c>
    </row>
    <row r="1384" spans="1:2" x14ac:dyDescent="0.3">
      <c r="A1384" s="1">
        <v>45862</v>
      </c>
      <c r="B1384" s="4">
        <v>3477.5</v>
      </c>
    </row>
    <row r="1385" spans="1:2" x14ac:dyDescent="0.3">
      <c r="A1385" s="1">
        <v>45863</v>
      </c>
      <c r="B1385" s="4">
        <v>3442.9</v>
      </c>
    </row>
    <row r="1386" spans="1:2" x14ac:dyDescent="0.3">
      <c r="A1386" s="1">
        <v>45866</v>
      </c>
      <c r="B1386" s="4">
        <v>3422.2</v>
      </c>
    </row>
    <row r="1387" spans="1:2" x14ac:dyDescent="0.3">
      <c r="A1387" s="1">
        <v>45867</v>
      </c>
      <c r="B1387" s="4">
        <v>3495.6</v>
      </c>
    </row>
    <row r="1388" spans="1:2" x14ac:dyDescent="0.3">
      <c r="A1388" s="1">
        <v>45868</v>
      </c>
      <c r="B1388" s="4">
        <v>3665.1</v>
      </c>
    </row>
    <row r="1389" spans="1:2" x14ac:dyDescent="0.3">
      <c r="A1389" s="1">
        <v>45869</v>
      </c>
      <c r="B1389" s="4">
        <v>3636.5</v>
      </c>
    </row>
    <row r="1390" spans="1:2" x14ac:dyDescent="0.3">
      <c r="A1390" s="1">
        <v>45870</v>
      </c>
      <c r="B1390" s="4">
        <v>3587.3</v>
      </c>
    </row>
    <row r="1391" spans="1:2" x14ac:dyDescent="0.3">
      <c r="A1391" s="1">
        <v>45873</v>
      </c>
      <c r="B1391" s="4">
        <v>3631.1</v>
      </c>
    </row>
    <row r="1392" spans="1:2" x14ac:dyDescent="0.3">
      <c r="A1392" s="1">
        <v>45874</v>
      </c>
      <c r="B1392" s="4">
        <v>3652.6</v>
      </c>
    </row>
    <row r="1393" spans="1:2" x14ac:dyDescent="0.3">
      <c r="A1393" s="1">
        <v>45875</v>
      </c>
      <c r="B1393" s="4">
        <v>3628.4</v>
      </c>
    </row>
    <row r="1394" spans="1:2" x14ac:dyDescent="0.3">
      <c r="A1394" s="1">
        <v>45876</v>
      </c>
      <c r="B1394" s="4">
        <v>3641.6</v>
      </c>
    </row>
    <row r="1395" spans="1:2" x14ac:dyDescent="0.3">
      <c r="A1395" s="1">
        <v>45877</v>
      </c>
      <c r="B1395" s="4">
        <v>3607.6</v>
      </c>
    </row>
    <row r="1396" spans="1:2" x14ac:dyDescent="0.3">
      <c r="A1396" s="1">
        <v>45880</v>
      </c>
      <c r="B1396" s="4">
        <v>3668.4</v>
      </c>
    </row>
    <row r="1397" spans="1:2" x14ac:dyDescent="0.3">
      <c r="A1397" s="1">
        <v>45881</v>
      </c>
      <c r="B1397" s="4">
        <v>3686.1</v>
      </c>
    </row>
    <row r="1398" spans="1:2" x14ac:dyDescent="0.3">
      <c r="A1398" s="1">
        <v>45882</v>
      </c>
      <c r="B1398" s="4">
        <v>3693.7</v>
      </c>
    </row>
    <row r="1399" spans="1:2" x14ac:dyDescent="0.3">
      <c r="A1399" s="1">
        <v>45883</v>
      </c>
      <c r="B1399" s="4">
        <v>3677</v>
      </c>
    </row>
    <row r="1400" spans="1:2" x14ac:dyDescent="0.3">
      <c r="A1400" s="1">
        <v>45887</v>
      </c>
      <c r="B1400" s="4">
        <v>3635.1</v>
      </c>
    </row>
    <row r="1401" spans="1:2" x14ac:dyDescent="0.3">
      <c r="A1401" s="1">
        <v>45888</v>
      </c>
      <c r="B1401" s="4">
        <v>3613</v>
      </c>
    </row>
    <row r="1402" spans="1:2" x14ac:dyDescent="0.3">
      <c r="A1402" s="1">
        <v>45889</v>
      </c>
      <c r="B1402" s="4">
        <v>3592.3</v>
      </c>
    </row>
    <row r="1403" spans="1:2" x14ac:dyDescent="0.3">
      <c r="A1403" s="1">
        <v>45890</v>
      </c>
      <c r="B1403" s="4">
        <v>3612.6</v>
      </c>
    </row>
    <row r="1404" spans="1:2" x14ac:dyDescent="0.3">
      <c r="A1404" s="1">
        <v>45891</v>
      </c>
      <c r="B1404" s="4">
        <v>3595.8</v>
      </c>
    </row>
    <row r="1405" spans="1:2" x14ac:dyDescent="0.3">
      <c r="A1405" s="1">
        <v>45894</v>
      </c>
      <c r="B1405" s="4">
        <v>3603.1</v>
      </c>
    </row>
    <row r="1406" spans="1:2" x14ac:dyDescent="0.3">
      <c r="A1406" s="1">
        <v>45895</v>
      </c>
      <c r="B1406" s="4">
        <v>3541.3</v>
      </c>
    </row>
    <row r="1407" spans="1:2" x14ac:dyDescent="0.3">
      <c r="A1407" s="1">
        <v>45897</v>
      </c>
      <c r="B1407" s="4">
        <v>3560.1</v>
      </c>
    </row>
    <row r="1408" spans="1:2" x14ac:dyDescent="0.3">
      <c r="A1408" s="1">
        <v>45898</v>
      </c>
      <c r="B1408" s="4">
        <v>3601</v>
      </c>
    </row>
    <row r="1409" spans="1:2" x14ac:dyDescent="0.3">
      <c r="A1409" s="1">
        <v>45901</v>
      </c>
      <c r="B1409" s="4">
        <v>3598.4</v>
      </c>
    </row>
    <row r="1410" spans="1:2" x14ac:dyDescent="0.3">
      <c r="A1410" s="1">
        <v>45902</v>
      </c>
      <c r="B1410" s="4">
        <v>3574.9</v>
      </c>
    </row>
    <row r="1411" spans="1:2" x14ac:dyDescent="0.3">
      <c r="A1411" s="1">
        <v>45903</v>
      </c>
      <c r="B1411" s="4">
        <v>3600.8</v>
      </c>
    </row>
    <row r="1412" spans="1:2" x14ac:dyDescent="0.3">
      <c r="A1412" s="1">
        <v>45904</v>
      </c>
      <c r="B1412" s="4">
        <v>3592.6</v>
      </c>
    </row>
    <row r="1413" spans="1:2" x14ac:dyDescent="0.3">
      <c r="A1413" s="1">
        <v>45905</v>
      </c>
      <c r="B1413" s="4">
        <v>3553.6</v>
      </c>
    </row>
    <row r="1414" spans="1:2" x14ac:dyDescent="0.3">
      <c r="A1414" s="1">
        <v>45908</v>
      </c>
      <c r="B1414" s="4">
        <v>3529.6</v>
      </c>
    </row>
    <row r="1415" spans="1:2" x14ac:dyDescent="0.3">
      <c r="A1415" s="1">
        <v>45909</v>
      </c>
      <c r="B1415" s="4">
        <v>3525</v>
      </c>
    </row>
    <row r="1416" spans="1:2" x14ac:dyDescent="0.3">
      <c r="A1416" s="1">
        <v>45910</v>
      </c>
      <c r="B1416" s="4">
        <v>3550</v>
      </c>
    </row>
    <row r="1417" spans="1:2" x14ac:dyDescent="0.3">
      <c r="A1417" s="1">
        <v>45911</v>
      </c>
      <c r="B1417" s="4">
        <v>3539.7</v>
      </c>
    </row>
    <row r="1418" spans="1:2" x14ac:dyDescent="0.3">
      <c r="A1418" s="1">
        <v>45912</v>
      </c>
      <c r="B1418" s="4">
        <v>3579.8</v>
      </c>
    </row>
    <row r="1419" spans="1:2" x14ac:dyDescent="0.3">
      <c r="A1419" s="1">
        <v>45915</v>
      </c>
      <c r="B1419" s="4">
        <v>3586.2</v>
      </c>
    </row>
    <row r="1420" spans="1:2" x14ac:dyDescent="0.3">
      <c r="A1420" s="1">
        <v>45916</v>
      </c>
      <c r="B1420" s="4">
        <v>3667.8</v>
      </c>
    </row>
    <row r="1421" spans="1:2" x14ac:dyDescent="0.3">
      <c r="A1421" s="1">
        <v>45917</v>
      </c>
      <c r="B1421" s="4">
        <v>3685.5</v>
      </c>
    </row>
    <row r="1422" spans="1:2" x14ac:dyDescent="0.3">
      <c r="A1422" s="1">
        <v>45918</v>
      </c>
      <c r="B1422" s="4">
        <v>3686</v>
      </c>
    </row>
    <row r="1423" spans="1:2" x14ac:dyDescent="0.3">
      <c r="A1423" s="1">
        <v>45919</v>
      </c>
      <c r="B1423" s="4">
        <v>3675.4</v>
      </c>
    </row>
    <row r="1424" spans="1:2" x14ac:dyDescent="0.3">
      <c r="A1424" s="1">
        <v>45922</v>
      </c>
      <c r="B1424" s="4">
        <v>3644.5</v>
      </c>
    </row>
    <row r="1425" spans="1:2" x14ac:dyDescent="0.3">
      <c r="A1425" s="1">
        <v>45923</v>
      </c>
      <c r="B1425" s="4">
        <v>3657.6</v>
      </c>
    </row>
    <row r="1426" spans="1:2" x14ac:dyDescent="0.3">
      <c r="A1426" s="1">
        <v>45924</v>
      </c>
      <c r="B1426" s="4">
        <v>3673.8</v>
      </c>
    </row>
    <row r="1427" spans="1:2" x14ac:dyDescent="0.3">
      <c r="A1427" s="1">
        <v>45925</v>
      </c>
      <c r="B1427" s="4">
        <v>3644.4</v>
      </c>
    </row>
    <row r="1428" spans="1:2" x14ac:dyDescent="0.3">
      <c r="A1428" s="1">
        <v>45926</v>
      </c>
      <c r="B1428" s="4">
        <v>3729.5</v>
      </c>
    </row>
    <row r="1429" spans="1:2" x14ac:dyDescent="0.3">
      <c r="A1429" s="1">
        <v>45929</v>
      </c>
      <c r="B1429" s="4">
        <v>3688.4</v>
      </c>
    </row>
    <row r="1430" spans="1:2" x14ac:dyDescent="0.3">
      <c r="A1430" s="1">
        <v>45930</v>
      </c>
      <c r="B1430" s="4">
        <v>3659</v>
      </c>
    </row>
    <row r="1431" spans="1:2" x14ac:dyDescent="0.3">
      <c r="A1431" s="1">
        <v>45931</v>
      </c>
      <c r="B1431" s="4">
        <v>3670.3</v>
      </c>
    </row>
    <row r="1432" spans="1:2" x14ac:dyDescent="0.3">
      <c r="A1432" s="1">
        <v>45933</v>
      </c>
      <c r="B1432" s="4">
        <v>3733.1</v>
      </c>
    </row>
    <row r="1433" spans="1:2" x14ac:dyDescent="0.3">
      <c r="A1433" s="1">
        <v>45936</v>
      </c>
      <c r="B1433" s="4">
        <v>3737</v>
      </c>
    </row>
    <row r="1434" spans="1:2" x14ac:dyDescent="0.3">
      <c r="A1434" s="1">
        <v>45937</v>
      </c>
      <c r="B1434" s="4">
        <v>3729.7</v>
      </c>
    </row>
    <row r="1435" spans="1:2" x14ac:dyDescent="0.3">
      <c r="A1435" s="1">
        <v>45938</v>
      </c>
      <c r="B1435" s="4">
        <v>3729.8</v>
      </c>
    </row>
    <row r="1436" spans="1:2" x14ac:dyDescent="0.3">
      <c r="A1436" s="1">
        <v>45939</v>
      </c>
      <c r="B1436" s="4">
        <v>3769.2</v>
      </c>
    </row>
    <row r="1437" spans="1:2" x14ac:dyDescent="0.3">
      <c r="A1437" s="1">
        <v>45940</v>
      </c>
      <c r="B1437" s="4">
        <v>3784</v>
      </c>
    </row>
    <row r="1438" spans="1:2" x14ac:dyDescent="0.3">
      <c r="A1438" s="1">
        <v>45943</v>
      </c>
      <c r="B1438" s="4">
        <v>3769.5</v>
      </c>
    </row>
    <row r="1439" spans="1:2" x14ac:dyDescent="0.3">
      <c r="A1439" s="1">
        <v>45944</v>
      </c>
      <c r="B1439" s="4">
        <v>3744.3</v>
      </c>
    </row>
    <row r="1440" spans="1:2" x14ac:dyDescent="0.3">
      <c r="A1440" s="1">
        <v>45945</v>
      </c>
      <c r="B1440" s="4">
        <v>3828.7</v>
      </c>
    </row>
    <row r="1441" spans="1:2" x14ac:dyDescent="0.3">
      <c r="A1441" s="1">
        <v>45946</v>
      </c>
      <c r="B1441" s="4">
        <v>3861.8</v>
      </c>
    </row>
    <row r="1442" spans="1:2" x14ac:dyDescent="0.3">
      <c r="A1442" s="1">
        <v>45947</v>
      </c>
      <c r="B1442" s="4">
        <v>3839.4</v>
      </c>
    </row>
    <row r="1443" spans="1:2" x14ac:dyDescent="0.3">
      <c r="A1443" s="1">
        <v>45950</v>
      </c>
      <c r="B1443" s="4">
        <v>3872.7</v>
      </c>
    </row>
    <row r="1444" spans="1:2" x14ac:dyDescent="0.3">
      <c r="A1444" s="1">
        <v>45951</v>
      </c>
      <c r="B1444" s="4">
        <v>3888.2</v>
      </c>
    </row>
    <row r="1445" spans="1:2" x14ac:dyDescent="0.3">
      <c r="A1445" s="1">
        <v>45953</v>
      </c>
      <c r="B1445" s="4">
        <v>3918.7</v>
      </c>
    </row>
    <row r="1446" spans="1:2" x14ac:dyDescent="0.3">
      <c r="A1446" s="1">
        <v>45954</v>
      </c>
      <c r="B1446" s="4">
        <v>3904.9</v>
      </c>
    </row>
    <row r="1447" spans="1:2" x14ac:dyDescent="0.3">
      <c r="A1447" s="1">
        <v>45957</v>
      </c>
      <c r="B1447" s="4">
        <v>3923.8</v>
      </c>
    </row>
    <row r="1448" spans="1:2" x14ac:dyDescent="0.3">
      <c r="A1448" s="1">
        <v>45958</v>
      </c>
      <c r="B1448" s="4">
        <v>3972.8</v>
      </c>
    </row>
    <row r="1449" spans="1:2" x14ac:dyDescent="0.3">
      <c r="A1449" s="1">
        <v>45959</v>
      </c>
      <c r="B1449" s="4">
        <v>3958.1</v>
      </c>
    </row>
    <row r="1450" spans="1:2" x14ac:dyDescent="0.3">
      <c r="A1450" s="1">
        <v>45960</v>
      </c>
      <c r="B1450" s="4">
        <v>3987.5</v>
      </c>
    </row>
    <row r="1451" spans="1:2" x14ac:dyDescent="0.3">
      <c r="A1451" s="1">
        <v>45961</v>
      </c>
      <c r="B1451" s="4">
        <v>4030.9</v>
      </c>
    </row>
    <row r="1452" spans="1:2" x14ac:dyDescent="0.3">
      <c r="A1452" s="1">
        <v>45964</v>
      </c>
      <c r="B1452" s="4">
        <v>3980.5</v>
      </c>
    </row>
    <row r="1453" spans="1:2" x14ac:dyDescent="0.3">
      <c r="A1453" s="1">
        <v>45965</v>
      </c>
      <c r="B1453" s="4">
        <v>3924.4</v>
      </c>
    </row>
    <row r="1454" spans="1:2" x14ac:dyDescent="0.3">
      <c r="A1454" s="1">
        <v>45967</v>
      </c>
      <c r="B1454" s="4">
        <v>3881.6</v>
      </c>
    </row>
    <row r="1455" spans="1:2" x14ac:dyDescent="0.3">
      <c r="A1455" s="1">
        <v>45968</v>
      </c>
      <c r="B1455" s="4">
        <v>3882.5</v>
      </c>
    </row>
    <row r="1456" spans="1:2" x14ac:dyDescent="0.3">
      <c r="A1456" s="1">
        <v>45971</v>
      </c>
      <c r="B1456" s="4">
        <v>3918.5</v>
      </c>
    </row>
    <row r="1457" spans="1:2" x14ac:dyDescent="0.3">
      <c r="A1457" s="1">
        <v>45972</v>
      </c>
      <c r="B1457" s="4">
        <v>3955</v>
      </c>
    </row>
    <row r="1458" spans="1:2" x14ac:dyDescent="0.3">
      <c r="A1458" s="1">
        <v>45973</v>
      </c>
      <c r="B1458" s="4">
        <v>3954.6</v>
      </c>
    </row>
    <row r="1459" spans="1:2" x14ac:dyDescent="0.3">
      <c r="A1459" s="1">
        <v>45974</v>
      </c>
      <c r="B1459" s="4">
        <v>4002.5</v>
      </c>
    </row>
    <row r="1460" spans="1:2" x14ac:dyDescent="0.3">
      <c r="A1460" s="1">
        <v>45975</v>
      </c>
      <c r="B1460" s="4">
        <v>4004.4</v>
      </c>
    </row>
    <row r="1461" spans="1:2" x14ac:dyDescent="0.3">
      <c r="A1461" s="1">
        <v>45978</v>
      </c>
      <c r="B1461" s="4">
        <v>4027.7</v>
      </c>
    </row>
    <row r="1462" spans="1:2" x14ac:dyDescent="0.3">
      <c r="A1462" s="1">
        <v>45979</v>
      </c>
      <c r="B1462" s="4">
        <v>3999.6</v>
      </c>
    </row>
    <row r="1463" spans="1:2" x14ac:dyDescent="0.3">
      <c r="A1463" s="1">
        <v>45980</v>
      </c>
      <c r="B1463" s="4">
        <v>4019.6</v>
      </c>
    </row>
    <row r="1464" spans="1:2" x14ac:dyDescent="0.3">
      <c r="A1464" s="1">
        <v>45981</v>
      </c>
      <c r="B1464" s="4">
        <v>4037.4</v>
      </c>
    </row>
    <row r="1465" spans="1:2" x14ac:dyDescent="0.3">
      <c r="A1465" s="1">
        <v>45982</v>
      </c>
      <c r="B1465" s="4">
        <v>4024.9</v>
      </c>
    </row>
    <row r="1466" spans="1:2" x14ac:dyDescent="0.3">
      <c r="A1466" s="1">
        <v>45985</v>
      </c>
      <c r="B1466" s="4">
        <v>4013.3</v>
      </c>
    </row>
    <row r="1467" spans="1:2" x14ac:dyDescent="0.3">
      <c r="A1467" s="1">
        <v>45986</v>
      </c>
      <c r="B1467" s="4">
        <v>3996.7</v>
      </c>
    </row>
    <row r="1468" spans="1:2" x14ac:dyDescent="0.3">
      <c r="A1468" s="1">
        <v>45987</v>
      </c>
      <c r="B1468" s="4">
        <v>4062</v>
      </c>
    </row>
    <row r="1469" spans="1:2" x14ac:dyDescent="0.3">
      <c r="A1469" s="1">
        <v>45988</v>
      </c>
      <c r="B1469" s="4">
        <v>4081.3</v>
      </c>
    </row>
    <row r="1470" spans="1:2" x14ac:dyDescent="0.3">
      <c r="A1470" s="1">
        <v>45989</v>
      </c>
      <c r="B1470" s="4">
        <v>4069.6</v>
      </c>
    </row>
    <row r="1471" spans="1:2" x14ac:dyDescent="0.3">
      <c r="A1471" s="1">
        <v>45992</v>
      </c>
      <c r="B1471" s="4">
        <v>4073.2</v>
      </c>
    </row>
    <row r="1472" spans="1:2" x14ac:dyDescent="0.3">
      <c r="A1472" s="1">
        <v>45993</v>
      </c>
      <c r="B1472" s="4">
        <v>4030.5</v>
      </c>
    </row>
    <row r="1473" spans="1:2" x14ac:dyDescent="0.3">
      <c r="A1473" s="1">
        <v>45994</v>
      </c>
      <c r="B1473" s="4">
        <v>3988</v>
      </c>
    </row>
    <row r="1474" spans="1:2" x14ac:dyDescent="0.3">
      <c r="A1474" s="1">
        <v>45995</v>
      </c>
      <c r="B1474" s="4">
        <v>3983.6</v>
      </c>
    </row>
    <row r="1475" spans="1:2" x14ac:dyDescent="0.3">
      <c r="A1475" s="1">
        <v>45996</v>
      </c>
      <c r="B1475" s="4">
        <v>4038.2</v>
      </c>
    </row>
    <row r="1476" spans="1:2" x14ac:dyDescent="0.3">
      <c r="A1476" s="1">
        <v>45999</v>
      </c>
      <c r="B1476" s="4">
        <v>3996.7</v>
      </c>
    </row>
    <row r="1477" spans="1:2" x14ac:dyDescent="0.3">
      <c r="A1477" s="1">
        <v>46000</v>
      </c>
      <c r="B1477" s="4">
        <v>3997.5</v>
      </c>
    </row>
    <row r="1478" spans="1:2" x14ac:dyDescent="0.3">
      <c r="A1478" s="1">
        <v>46001</v>
      </c>
      <c r="B1478" s="4">
        <v>3991.3</v>
      </c>
    </row>
    <row r="1479" spans="1:2" x14ac:dyDescent="0.3">
      <c r="A1479" s="1">
        <v>46002</v>
      </c>
      <c r="B1479" s="4">
        <v>4003.9</v>
      </c>
    </row>
    <row r="1480" spans="1:2" x14ac:dyDescent="0.3">
      <c r="A1480" s="1">
        <v>46003</v>
      </c>
      <c r="B1480" s="4">
        <v>4074.1</v>
      </c>
    </row>
    <row r="1481" spans="1:2" x14ac:dyDescent="0.3">
      <c r="A1481" s="1">
        <v>46006</v>
      </c>
      <c r="B1481" s="4">
        <v>4092.3</v>
      </c>
    </row>
    <row r="1482" spans="1:2" x14ac:dyDescent="0.3">
      <c r="A1482" s="1">
        <v>46007</v>
      </c>
      <c r="B1482" s="4">
        <v>4063.8</v>
      </c>
    </row>
    <row r="1483" spans="1:2" x14ac:dyDescent="0.3">
      <c r="A1483" s="1">
        <v>46008</v>
      </c>
      <c r="B1483" s="4">
        <v>4062.4</v>
      </c>
    </row>
    <row r="1484" spans="1:2" x14ac:dyDescent="0.3">
      <c r="A1484" s="1">
        <v>46009</v>
      </c>
      <c r="B1484" s="4">
        <v>4031.1</v>
      </c>
    </row>
    <row r="1485" spans="1:2" x14ac:dyDescent="0.3">
      <c r="A1485" s="1">
        <v>46010</v>
      </c>
      <c r="B1485" s="4">
        <v>4073.5</v>
      </c>
    </row>
    <row r="1486" spans="1:2" x14ac:dyDescent="0.3">
      <c r="A1486" s="1">
        <v>46013</v>
      </c>
      <c r="B1486" s="4">
        <v>4072.4</v>
      </c>
    </row>
    <row r="1487" spans="1:2" x14ac:dyDescent="0.3">
      <c r="A1487" s="1">
        <v>46014</v>
      </c>
      <c r="B1487" s="4">
        <v>4058.8</v>
      </c>
    </row>
    <row r="1488" spans="1:2" x14ac:dyDescent="0.3">
      <c r="A1488" s="1">
        <v>46015</v>
      </c>
      <c r="B1488" s="4">
        <v>4053.6</v>
      </c>
    </row>
    <row r="1489" spans="1:2" x14ac:dyDescent="0.3">
      <c r="A1489" s="1">
        <v>46017</v>
      </c>
      <c r="B1489" s="4">
        <v>4047.3</v>
      </c>
    </row>
    <row r="1490" spans="1:2" x14ac:dyDescent="0.3">
      <c r="A1490" s="1">
        <v>46020</v>
      </c>
      <c r="B1490" s="4">
        <v>4038.7</v>
      </c>
    </row>
    <row r="1491" spans="1:2" x14ac:dyDescent="0.3">
      <c r="A1491" s="1">
        <v>46021</v>
      </c>
      <c r="B1491" s="4">
        <v>4052</v>
      </c>
    </row>
    <row r="1492" spans="1:2" x14ac:dyDescent="0.3">
      <c r="A1492" s="1">
        <v>46022</v>
      </c>
      <c r="B1492" s="4">
        <v>4083.5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Title_Page</vt:lpstr>
      <vt:lpstr>Daily_Returns</vt:lpstr>
      <vt:lpstr>Risk_Return</vt:lpstr>
      <vt:lpstr>Correlation_Matrix</vt:lpstr>
      <vt:lpstr>Portfolio</vt:lpstr>
      <vt:lpstr>Covariance</vt:lpstr>
      <vt:lpstr>Sharpe_Ratio</vt:lpstr>
      <vt:lpstr>Conclusion</vt:lpstr>
      <vt:lpstr>Master_Table</vt:lpstr>
      <vt:lpstr>Nifty 50</vt:lpstr>
      <vt:lpstr>Reliance</vt:lpstr>
      <vt:lpstr>HDFC</vt:lpstr>
      <vt:lpstr>ITC</vt:lpstr>
      <vt:lpstr>TCS</vt:lpstr>
      <vt:lpstr>Infosys</vt:lpstr>
      <vt:lpstr>L &amp;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cp:lastPrinted>2026-01-19T15:34:46Z</cp:lastPrinted>
  <dcterms:created xsi:type="dcterms:W3CDTF">2015-06-05T18:17:20Z</dcterms:created>
  <dcterms:modified xsi:type="dcterms:W3CDTF">2026-01-19T15:35:58Z</dcterms:modified>
</cp:coreProperties>
</file>